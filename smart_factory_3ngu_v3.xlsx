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andbox\file_thu_ky\"/>
    </mc:Choice>
  </mc:AlternateContent>
  <xr:revisionPtr revIDLastSave="0" documentId="13_ncr:1_{65616EEA-A396-4B73-BE9A-0306931CF083}" xr6:coauthVersionLast="47" xr6:coauthVersionMax="47" xr10:uidLastSave="{00000000-0000-0000-0000-000000000000}"/>
  <bookViews>
    <workbookView xWindow="-120" yWindow="-120" windowWidth="20730" windowHeight="11040" tabRatio="713" firstSheet="1" activeTab="5" xr2:uid="{00000000-000D-0000-FFFF-FFFF00000000}"/>
  </bookViews>
  <sheets>
    <sheet name="言語切替" sheetId="10" r:id="rId1"/>
    <sheet name="00_運用ルール" sheetId="1" r:id="rId2"/>
    <sheet name="01_全体サマリー" sheetId="2" r:id="rId3"/>
    <sheet name="02_マスタ" sheetId="3" r:id="rId4"/>
    <sheet name="03_WBS" sheetId="4" r:id="rId5"/>
    <sheet name="04_課題ToDo" sheetId="5" r:id="rId6"/>
    <sheet name="05_決定事項" sheetId="6" r:id="rId7"/>
    <sheet name="06_KPI" sheetId="7" state="hidden" r:id="rId8"/>
    <sheet name="07_更新履歴" sheetId="8" r:id="rId9"/>
    <sheet name="_ゴミ箱_Backup" sheetId="12" r:id="rId10"/>
    <sheet name="_翻訳マスタ" sheetId="11" r:id="rId11"/>
  </sheets>
  <definedNames>
    <definedName name="_xlnm._FilterDatabase" localSheetId="2" hidden="1">'01_全体サマリー'!$A$9:$G$19</definedName>
    <definedName name="_xlnm._FilterDatabase" localSheetId="4" hidden="1">'03_WBS'!$A$4:$V$205</definedName>
    <definedName name="_xlnm._FilterDatabase" localSheetId="5" hidden="1">'04_課題ToDo'!$A$4:$AJ$304</definedName>
    <definedName name="_xlnm._FilterDatabase" localSheetId="6" hidden="1">'05_決定事項'!$A$4:$AA$204</definedName>
    <definedName name="_xlnm._FilterDatabase" localSheetId="7" hidden="1">'06_KPI'!$A$4:$AD$204</definedName>
    <definedName name="_xlnm._FilterDatabase" localSheetId="8" hidden="1">'07_更新履歴'!$A$4:$N$104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4" l="1"/>
  <c r="W9" i="4"/>
  <c r="W10" i="4"/>
  <c r="K8" i="4"/>
  <c r="K9" i="4"/>
  <c r="K10" i="4"/>
  <c r="I8" i="4"/>
  <c r="I9" i="4"/>
  <c r="I10" i="4"/>
  <c r="H8" i="4"/>
  <c r="H9" i="4"/>
  <c r="H10" i="4"/>
  <c r="G8" i="4"/>
  <c r="G9" i="4"/>
  <c r="G10" i="4"/>
  <c r="I4" i="4"/>
  <c r="H4" i="4"/>
  <c r="G4" i="4"/>
  <c r="F4" i="4"/>
  <c r="C4" i="4"/>
  <c r="E4" i="5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Y12" i="4"/>
  <c r="X12" i="4"/>
  <c r="W12" i="4"/>
  <c r="S12" i="4"/>
  <c r="S9" i="4"/>
  <c r="X9" i="4"/>
  <c r="Y9" i="4"/>
  <c r="F8" i="5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G4" i="7"/>
  <c r="AF4" i="7"/>
  <c r="AE4" i="7"/>
  <c r="AD4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C4" i="7"/>
  <c r="AB4" i="7"/>
  <c r="AA4" i="7"/>
  <c r="Z4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O4" i="7"/>
  <c r="N4" i="7"/>
  <c r="M4" i="7"/>
  <c r="L4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K4" i="7"/>
  <c r="J4" i="7"/>
  <c r="I4" i="7"/>
  <c r="H4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G4" i="7"/>
  <c r="F4" i="7"/>
  <c r="E4" i="7"/>
  <c r="D4" i="7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F4" i="5"/>
  <c r="AE4" i="5"/>
  <c r="AD4" i="5"/>
  <c r="AC4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AB4" i="5"/>
  <c r="AA4" i="5"/>
  <c r="Z4" i="5"/>
  <c r="Y4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Q4" i="5"/>
  <c r="P4" i="5"/>
  <c r="O4" i="5"/>
  <c r="N4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M4" i="5"/>
  <c r="L4" i="5"/>
  <c r="K4" i="5"/>
  <c r="J4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I4" i="5"/>
  <c r="H4" i="5"/>
  <c r="G4" i="5"/>
  <c r="F4" i="5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D4" i="6"/>
  <c r="AC4" i="6"/>
  <c r="AB4" i="6"/>
  <c r="AA4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V4" i="6"/>
  <c r="U4" i="6"/>
  <c r="T4" i="6"/>
  <c r="S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O4" i="6"/>
  <c r="N4" i="6"/>
  <c r="M4" i="6"/>
  <c r="L4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K4" i="6"/>
  <c r="J4" i="6"/>
  <c r="I4" i="6"/>
  <c r="H4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G4" i="6"/>
  <c r="F4" i="6"/>
  <c r="E4" i="6"/>
  <c r="D4" i="6"/>
  <c r="Y8" i="4"/>
  <c r="Y10" i="4"/>
  <c r="Y11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8" i="4"/>
  <c r="X10" i="4"/>
  <c r="X11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W11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Y4" i="4"/>
  <c r="X4" i="4"/>
  <c r="W4" i="4"/>
  <c r="V4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M4" i="4"/>
  <c r="L4" i="4"/>
  <c r="K4" i="4"/>
  <c r="J4" i="4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Q4" i="8"/>
  <c r="P4" i="8"/>
  <c r="O4" i="8"/>
  <c r="N4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L4" i="8"/>
  <c r="K4" i="8"/>
  <c r="J4" i="8"/>
  <c r="I4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H4" i="8"/>
  <c r="G4" i="8"/>
  <c r="F4" i="8"/>
  <c r="E4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192" i="6"/>
  <c r="AC193" i="6"/>
  <c r="AC194" i="6"/>
  <c r="AC195" i="6"/>
  <c r="AC196" i="6"/>
  <c r="AC197" i="6"/>
  <c r="AC198" i="6"/>
  <c r="AC199" i="6"/>
  <c r="AC200" i="6"/>
  <c r="AC201" i="6"/>
  <c r="AC202" i="6"/>
  <c r="AC203" i="6"/>
  <c r="AC204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26" i="5"/>
  <c r="AF127" i="5"/>
  <c r="AF128" i="5"/>
  <c r="AF129" i="5"/>
  <c r="AF130" i="5"/>
  <c r="AF131" i="5"/>
  <c r="AF132" i="5"/>
  <c r="AF133" i="5"/>
  <c r="AF134" i="5"/>
  <c r="AF135" i="5"/>
  <c r="AF136" i="5"/>
  <c r="AF137" i="5"/>
  <c r="AF138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86" i="5"/>
  <c r="AF187" i="5"/>
  <c r="AF188" i="5"/>
  <c r="AF189" i="5"/>
  <c r="AF190" i="5"/>
  <c r="AF191" i="5"/>
  <c r="AF192" i="5"/>
  <c r="AF193" i="5"/>
  <c r="AF194" i="5"/>
  <c r="AF195" i="5"/>
  <c r="AF196" i="5"/>
  <c r="AF197" i="5"/>
  <c r="AF198" i="5"/>
  <c r="AF199" i="5"/>
  <c r="AF200" i="5"/>
  <c r="AF201" i="5"/>
  <c r="AF202" i="5"/>
  <c r="AF203" i="5"/>
  <c r="AF204" i="5"/>
  <c r="AF205" i="5"/>
  <c r="AF206" i="5"/>
  <c r="AF207" i="5"/>
  <c r="AF208" i="5"/>
  <c r="AF209" i="5"/>
  <c r="AF210" i="5"/>
  <c r="AF211" i="5"/>
  <c r="AF212" i="5"/>
  <c r="AF213" i="5"/>
  <c r="AF214" i="5"/>
  <c r="AF215" i="5"/>
  <c r="AF216" i="5"/>
  <c r="AF217" i="5"/>
  <c r="AF218" i="5"/>
  <c r="AF219" i="5"/>
  <c r="AF220" i="5"/>
  <c r="AF221" i="5"/>
  <c r="AF222" i="5"/>
  <c r="AF223" i="5"/>
  <c r="AF224" i="5"/>
  <c r="AF225" i="5"/>
  <c r="AF226" i="5"/>
  <c r="AF227" i="5"/>
  <c r="AF228" i="5"/>
  <c r="AF229" i="5"/>
  <c r="AF230" i="5"/>
  <c r="AF231" i="5"/>
  <c r="AF232" i="5"/>
  <c r="AF233" i="5"/>
  <c r="AF234" i="5"/>
  <c r="AF235" i="5"/>
  <c r="AF236" i="5"/>
  <c r="AF237" i="5"/>
  <c r="AF238" i="5"/>
  <c r="AF239" i="5"/>
  <c r="AF240" i="5"/>
  <c r="AF241" i="5"/>
  <c r="AF242" i="5"/>
  <c r="AF243" i="5"/>
  <c r="AF244" i="5"/>
  <c r="AF245" i="5"/>
  <c r="AF246" i="5"/>
  <c r="AF247" i="5"/>
  <c r="AF248" i="5"/>
  <c r="AF249" i="5"/>
  <c r="AF250" i="5"/>
  <c r="AF251" i="5"/>
  <c r="AF252" i="5"/>
  <c r="AF253" i="5"/>
  <c r="AF254" i="5"/>
  <c r="AF255" i="5"/>
  <c r="AF256" i="5"/>
  <c r="AF257" i="5"/>
  <c r="AF258" i="5"/>
  <c r="AF259" i="5"/>
  <c r="AF260" i="5"/>
  <c r="AF261" i="5"/>
  <c r="AF262" i="5"/>
  <c r="AF263" i="5"/>
  <c r="AF264" i="5"/>
  <c r="AF265" i="5"/>
  <c r="AF266" i="5"/>
  <c r="AF267" i="5"/>
  <c r="AF268" i="5"/>
  <c r="AF269" i="5"/>
  <c r="AF270" i="5"/>
  <c r="AF271" i="5"/>
  <c r="AF272" i="5"/>
  <c r="AF273" i="5"/>
  <c r="AF274" i="5"/>
  <c r="AF275" i="5"/>
  <c r="AF276" i="5"/>
  <c r="AF277" i="5"/>
  <c r="AF278" i="5"/>
  <c r="AF279" i="5"/>
  <c r="AF280" i="5"/>
  <c r="AF281" i="5"/>
  <c r="AF282" i="5"/>
  <c r="AF283" i="5"/>
  <c r="AF284" i="5"/>
  <c r="AF285" i="5"/>
  <c r="AF286" i="5"/>
  <c r="AF287" i="5"/>
  <c r="AF288" i="5"/>
  <c r="AF289" i="5"/>
  <c r="AF290" i="5"/>
  <c r="AF291" i="5"/>
  <c r="AF292" i="5"/>
  <c r="AF293" i="5"/>
  <c r="AF294" i="5"/>
  <c r="AF295" i="5"/>
  <c r="AF296" i="5"/>
  <c r="AF297" i="5"/>
  <c r="AF298" i="5"/>
  <c r="AF299" i="5"/>
  <c r="AF300" i="5"/>
  <c r="AF301" i="5"/>
  <c r="AF302" i="5"/>
  <c r="AF303" i="5"/>
  <c r="AF304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129" i="5"/>
  <c r="AE130" i="5"/>
  <c r="AE131" i="5"/>
  <c r="AE132" i="5"/>
  <c r="AE133" i="5"/>
  <c r="AE134" i="5"/>
  <c r="AE135" i="5"/>
  <c r="AE136" i="5"/>
  <c r="AE137" i="5"/>
  <c r="AE138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3" i="5"/>
  <c r="AE154" i="5"/>
  <c r="AE155" i="5"/>
  <c r="AE156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2" i="5"/>
  <c r="AE183" i="5"/>
  <c r="AE184" i="5"/>
  <c r="AE185" i="5"/>
  <c r="AE186" i="5"/>
  <c r="AE187" i="5"/>
  <c r="AE188" i="5"/>
  <c r="AE189" i="5"/>
  <c r="AE190" i="5"/>
  <c r="AE191" i="5"/>
  <c r="AE192" i="5"/>
  <c r="AE193" i="5"/>
  <c r="AE194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07" i="5"/>
  <c r="AE208" i="5"/>
  <c r="AE209" i="5"/>
  <c r="AE210" i="5"/>
  <c r="AE211" i="5"/>
  <c r="AE212" i="5"/>
  <c r="AE213" i="5"/>
  <c r="AE214" i="5"/>
  <c r="AE215" i="5"/>
  <c r="AE216" i="5"/>
  <c r="AE217" i="5"/>
  <c r="AE218" i="5"/>
  <c r="AE219" i="5"/>
  <c r="AE220" i="5"/>
  <c r="AE221" i="5"/>
  <c r="AE222" i="5"/>
  <c r="AE223" i="5"/>
  <c r="AE224" i="5"/>
  <c r="AE225" i="5"/>
  <c r="AE226" i="5"/>
  <c r="AE227" i="5"/>
  <c r="AE228" i="5"/>
  <c r="AE229" i="5"/>
  <c r="AE230" i="5"/>
  <c r="AE231" i="5"/>
  <c r="AE232" i="5"/>
  <c r="AE233" i="5"/>
  <c r="AE234" i="5"/>
  <c r="AE235" i="5"/>
  <c r="AE236" i="5"/>
  <c r="AE237" i="5"/>
  <c r="AE238" i="5"/>
  <c r="AE239" i="5"/>
  <c r="AE240" i="5"/>
  <c r="AE241" i="5"/>
  <c r="AE242" i="5"/>
  <c r="AE243" i="5"/>
  <c r="AE244" i="5"/>
  <c r="AE245" i="5"/>
  <c r="AE246" i="5"/>
  <c r="AE247" i="5"/>
  <c r="AE248" i="5"/>
  <c r="AE249" i="5"/>
  <c r="AE250" i="5"/>
  <c r="AE251" i="5"/>
  <c r="AE252" i="5"/>
  <c r="AE253" i="5"/>
  <c r="AE254" i="5"/>
  <c r="AE255" i="5"/>
  <c r="AE256" i="5"/>
  <c r="AE257" i="5"/>
  <c r="AE258" i="5"/>
  <c r="AE259" i="5"/>
  <c r="AE260" i="5"/>
  <c r="AE261" i="5"/>
  <c r="AE262" i="5"/>
  <c r="AE263" i="5"/>
  <c r="AE264" i="5"/>
  <c r="AE265" i="5"/>
  <c r="AE266" i="5"/>
  <c r="AE267" i="5"/>
  <c r="AE268" i="5"/>
  <c r="AE269" i="5"/>
  <c r="AE270" i="5"/>
  <c r="AE271" i="5"/>
  <c r="AE272" i="5"/>
  <c r="AE273" i="5"/>
  <c r="AE274" i="5"/>
  <c r="AE275" i="5"/>
  <c r="AE276" i="5"/>
  <c r="AE277" i="5"/>
  <c r="AE278" i="5"/>
  <c r="AE279" i="5"/>
  <c r="AE280" i="5"/>
  <c r="AE281" i="5"/>
  <c r="AE282" i="5"/>
  <c r="AE283" i="5"/>
  <c r="AE284" i="5"/>
  <c r="AE285" i="5"/>
  <c r="AE286" i="5"/>
  <c r="AE287" i="5"/>
  <c r="AE288" i="5"/>
  <c r="AE289" i="5"/>
  <c r="AE290" i="5"/>
  <c r="AE291" i="5"/>
  <c r="AE292" i="5"/>
  <c r="AE293" i="5"/>
  <c r="AE294" i="5"/>
  <c r="AE295" i="5"/>
  <c r="AE296" i="5"/>
  <c r="AE297" i="5"/>
  <c r="AE298" i="5"/>
  <c r="AE299" i="5"/>
  <c r="AE300" i="5"/>
  <c r="AE301" i="5"/>
  <c r="AE302" i="5"/>
  <c r="AE303" i="5"/>
  <c r="AE304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81" i="7"/>
  <c r="AG82" i="7"/>
  <c r="AG83" i="7"/>
  <c r="AG84" i="7"/>
  <c r="AG85" i="7"/>
  <c r="AG86" i="7"/>
  <c r="AG87" i="7"/>
  <c r="AG88" i="7"/>
  <c r="AG89" i="7"/>
  <c r="AG90" i="7"/>
  <c r="AG91" i="7"/>
  <c r="AG92" i="7"/>
  <c r="AG93" i="7"/>
  <c r="AG94" i="7"/>
  <c r="AG95" i="7"/>
  <c r="AG96" i="7"/>
  <c r="AG97" i="7"/>
  <c r="AG98" i="7"/>
  <c r="AG99" i="7"/>
  <c r="AG100" i="7"/>
  <c r="AG101" i="7"/>
  <c r="AG102" i="7"/>
  <c r="AG103" i="7"/>
  <c r="AG104" i="7"/>
  <c r="AG105" i="7"/>
  <c r="AG106" i="7"/>
  <c r="AG107" i="7"/>
  <c r="AG108" i="7"/>
  <c r="AG109" i="7"/>
  <c r="AG110" i="7"/>
  <c r="AG111" i="7"/>
  <c r="AG112" i="7"/>
  <c r="AG113" i="7"/>
  <c r="AG114" i="7"/>
  <c r="AG115" i="7"/>
  <c r="AG116" i="7"/>
  <c r="AG117" i="7"/>
  <c r="AG118" i="7"/>
  <c r="AG119" i="7"/>
  <c r="AG120" i="7"/>
  <c r="AG121" i="7"/>
  <c r="AG122" i="7"/>
  <c r="AG123" i="7"/>
  <c r="AG124" i="7"/>
  <c r="AG125" i="7"/>
  <c r="AG126" i="7"/>
  <c r="AG127" i="7"/>
  <c r="AG128" i="7"/>
  <c r="AG129" i="7"/>
  <c r="AG130" i="7"/>
  <c r="AG131" i="7"/>
  <c r="AG132" i="7"/>
  <c r="AG133" i="7"/>
  <c r="AG134" i="7"/>
  <c r="AG135" i="7"/>
  <c r="AG136" i="7"/>
  <c r="AG137" i="7"/>
  <c r="AG138" i="7"/>
  <c r="AG139" i="7"/>
  <c r="AG140" i="7"/>
  <c r="AG141" i="7"/>
  <c r="AG142" i="7"/>
  <c r="AG143" i="7"/>
  <c r="AG144" i="7"/>
  <c r="AG145" i="7"/>
  <c r="AG146" i="7"/>
  <c r="AG147" i="7"/>
  <c r="AG148" i="7"/>
  <c r="AG149" i="7"/>
  <c r="AG150" i="7"/>
  <c r="AG151" i="7"/>
  <c r="AG152" i="7"/>
  <c r="AG153" i="7"/>
  <c r="AG154" i="7"/>
  <c r="AG155" i="7"/>
  <c r="AG156" i="7"/>
  <c r="AG157" i="7"/>
  <c r="AG158" i="7"/>
  <c r="AG159" i="7"/>
  <c r="AG160" i="7"/>
  <c r="AG161" i="7"/>
  <c r="AG162" i="7"/>
  <c r="AG163" i="7"/>
  <c r="AG164" i="7"/>
  <c r="AG165" i="7"/>
  <c r="AG166" i="7"/>
  <c r="AG167" i="7"/>
  <c r="AG168" i="7"/>
  <c r="AG169" i="7"/>
  <c r="AG170" i="7"/>
  <c r="AG171" i="7"/>
  <c r="AG172" i="7"/>
  <c r="AG173" i="7"/>
  <c r="AG174" i="7"/>
  <c r="AG175" i="7"/>
  <c r="AG176" i="7"/>
  <c r="AG177" i="7"/>
  <c r="AG178" i="7"/>
  <c r="AG179" i="7"/>
  <c r="AG180" i="7"/>
  <c r="AG181" i="7"/>
  <c r="AG182" i="7"/>
  <c r="AG183" i="7"/>
  <c r="AG184" i="7"/>
  <c r="AG185" i="7"/>
  <c r="AG186" i="7"/>
  <c r="AG187" i="7"/>
  <c r="AG188" i="7"/>
  <c r="AG189" i="7"/>
  <c r="AG190" i="7"/>
  <c r="AG191" i="7"/>
  <c r="AG192" i="7"/>
  <c r="AG193" i="7"/>
  <c r="AG194" i="7"/>
  <c r="AG195" i="7"/>
  <c r="AG196" i="7"/>
  <c r="AG197" i="7"/>
  <c r="AG198" i="7"/>
  <c r="AG199" i="7"/>
  <c r="AG200" i="7"/>
  <c r="AG201" i="7"/>
  <c r="AG202" i="7"/>
  <c r="AG203" i="7"/>
  <c r="AG204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F124" i="7"/>
  <c r="AF125" i="7"/>
  <c r="AF126" i="7"/>
  <c r="AF127" i="7"/>
  <c r="AF128" i="7"/>
  <c r="AF129" i="7"/>
  <c r="AF130" i="7"/>
  <c r="AF131" i="7"/>
  <c r="AF132" i="7"/>
  <c r="AF133" i="7"/>
  <c r="AF134" i="7"/>
  <c r="AF135" i="7"/>
  <c r="AF136" i="7"/>
  <c r="AF137" i="7"/>
  <c r="AF138" i="7"/>
  <c r="AF139" i="7"/>
  <c r="AF140" i="7"/>
  <c r="AF141" i="7"/>
  <c r="AF142" i="7"/>
  <c r="AF143" i="7"/>
  <c r="AF144" i="7"/>
  <c r="AF145" i="7"/>
  <c r="AF146" i="7"/>
  <c r="AF147" i="7"/>
  <c r="AF148" i="7"/>
  <c r="AF149" i="7"/>
  <c r="AF150" i="7"/>
  <c r="AF151" i="7"/>
  <c r="AF152" i="7"/>
  <c r="AF153" i="7"/>
  <c r="AF154" i="7"/>
  <c r="AF155" i="7"/>
  <c r="AF156" i="7"/>
  <c r="AF157" i="7"/>
  <c r="AF158" i="7"/>
  <c r="AF159" i="7"/>
  <c r="AF160" i="7"/>
  <c r="AF161" i="7"/>
  <c r="AF162" i="7"/>
  <c r="AF163" i="7"/>
  <c r="AF164" i="7"/>
  <c r="AF165" i="7"/>
  <c r="AF166" i="7"/>
  <c r="AF167" i="7"/>
  <c r="AF168" i="7"/>
  <c r="AF169" i="7"/>
  <c r="AF170" i="7"/>
  <c r="AF171" i="7"/>
  <c r="AF172" i="7"/>
  <c r="AF173" i="7"/>
  <c r="AF174" i="7"/>
  <c r="AF175" i="7"/>
  <c r="AF176" i="7"/>
  <c r="AF177" i="7"/>
  <c r="AF178" i="7"/>
  <c r="AF179" i="7"/>
  <c r="AF180" i="7"/>
  <c r="AF181" i="7"/>
  <c r="AF182" i="7"/>
  <c r="AF183" i="7"/>
  <c r="AF184" i="7"/>
  <c r="AF185" i="7"/>
  <c r="AF186" i="7"/>
  <c r="AF187" i="7"/>
  <c r="AF188" i="7"/>
  <c r="AF189" i="7"/>
  <c r="AF190" i="7"/>
  <c r="AF191" i="7"/>
  <c r="AF192" i="7"/>
  <c r="AF193" i="7"/>
  <c r="AF194" i="7"/>
  <c r="AF195" i="7"/>
  <c r="AF196" i="7"/>
  <c r="AF197" i="7"/>
  <c r="AF198" i="7"/>
  <c r="AF199" i="7"/>
  <c r="AF200" i="7"/>
  <c r="AF201" i="7"/>
  <c r="AF202" i="7"/>
  <c r="AF203" i="7"/>
  <c r="AF204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C130" i="7"/>
  <c r="AC131" i="7"/>
  <c r="AC132" i="7"/>
  <c r="AC133" i="7"/>
  <c r="AC134" i="7"/>
  <c r="AC135" i="7"/>
  <c r="AC136" i="7"/>
  <c r="AC137" i="7"/>
  <c r="AC138" i="7"/>
  <c r="AC139" i="7"/>
  <c r="AC140" i="7"/>
  <c r="AC141" i="7"/>
  <c r="AC142" i="7"/>
  <c r="AC143" i="7"/>
  <c r="AC144" i="7"/>
  <c r="AC145" i="7"/>
  <c r="AC146" i="7"/>
  <c r="AC147" i="7"/>
  <c r="AC148" i="7"/>
  <c r="AC149" i="7"/>
  <c r="AC150" i="7"/>
  <c r="AC151" i="7"/>
  <c r="AC152" i="7"/>
  <c r="AC153" i="7"/>
  <c r="AC154" i="7"/>
  <c r="AC155" i="7"/>
  <c r="AC156" i="7"/>
  <c r="AC157" i="7"/>
  <c r="AC158" i="7"/>
  <c r="AC159" i="7"/>
  <c r="AC160" i="7"/>
  <c r="AC161" i="7"/>
  <c r="AC162" i="7"/>
  <c r="AC163" i="7"/>
  <c r="AC164" i="7"/>
  <c r="AC165" i="7"/>
  <c r="AC166" i="7"/>
  <c r="AC167" i="7"/>
  <c r="AC168" i="7"/>
  <c r="AC169" i="7"/>
  <c r="AC170" i="7"/>
  <c r="AC171" i="7"/>
  <c r="AC172" i="7"/>
  <c r="AC173" i="7"/>
  <c r="AC174" i="7"/>
  <c r="AC175" i="7"/>
  <c r="AC176" i="7"/>
  <c r="AC177" i="7"/>
  <c r="AC178" i="7"/>
  <c r="AC179" i="7"/>
  <c r="AC180" i="7"/>
  <c r="AC181" i="7"/>
  <c r="AC182" i="7"/>
  <c r="AC183" i="7"/>
  <c r="AC184" i="7"/>
  <c r="AC185" i="7"/>
  <c r="AC186" i="7"/>
  <c r="AC187" i="7"/>
  <c r="AC188" i="7"/>
  <c r="AC189" i="7"/>
  <c r="AC190" i="7"/>
  <c r="AC191" i="7"/>
  <c r="AC192" i="7"/>
  <c r="AC193" i="7"/>
  <c r="AC194" i="7"/>
  <c r="AC195" i="7"/>
  <c r="AC196" i="7"/>
  <c r="AC197" i="7"/>
  <c r="AC198" i="7"/>
  <c r="AC199" i="7"/>
  <c r="AC200" i="7"/>
  <c r="AC201" i="7"/>
  <c r="AC202" i="7"/>
  <c r="AC203" i="7"/>
  <c r="AC204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N5" i="8"/>
  <c r="I5" i="8"/>
  <c r="E5" i="8"/>
  <c r="V7" i="4"/>
  <c r="V6" i="4"/>
  <c r="V5" i="4"/>
  <c r="J7" i="4"/>
  <c r="F7" i="5" s="1"/>
  <c r="J6" i="4"/>
  <c r="F6" i="5" s="1"/>
  <c r="J5" i="4"/>
  <c r="AA5" i="6"/>
  <c r="S5" i="6"/>
  <c r="L5" i="6"/>
  <c r="H5" i="6"/>
  <c r="D5" i="6"/>
  <c r="Y8" i="5"/>
  <c r="Y7" i="5"/>
  <c r="Y6" i="5"/>
  <c r="Y5" i="5"/>
  <c r="N8" i="5"/>
  <c r="N7" i="5"/>
  <c r="N6" i="5"/>
  <c r="N5" i="5"/>
  <c r="J8" i="5"/>
  <c r="J7" i="5"/>
  <c r="J6" i="5"/>
  <c r="J5" i="5"/>
  <c r="AD8" i="7"/>
  <c r="AD7" i="7"/>
  <c r="AD6" i="7"/>
  <c r="AD5" i="7"/>
  <c r="Z8" i="7"/>
  <c r="Z7" i="7"/>
  <c r="Z6" i="7"/>
  <c r="Z5" i="7"/>
  <c r="L8" i="7"/>
  <c r="L7" i="7"/>
  <c r="L6" i="7"/>
  <c r="L5" i="7"/>
  <c r="H8" i="7"/>
  <c r="H7" i="7"/>
  <c r="H6" i="7"/>
  <c r="H5" i="7"/>
  <c r="D8" i="7"/>
  <c r="D7" i="7"/>
  <c r="D6" i="7"/>
  <c r="D5" i="7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C5" i="8"/>
  <c r="M4" i="8"/>
  <c r="D4" i="8"/>
  <c r="C4" i="8"/>
  <c r="B4" i="8"/>
  <c r="A4" i="8"/>
  <c r="A3" i="8"/>
  <c r="A2" i="8"/>
  <c r="A1" i="8"/>
  <c r="X204" i="7"/>
  <c r="W204" i="7"/>
  <c r="X203" i="7"/>
  <c r="W203" i="7"/>
  <c r="X202" i="7"/>
  <c r="W202" i="7"/>
  <c r="X201" i="7"/>
  <c r="W201" i="7"/>
  <c r="X200" i="7"/>
  <c r="W200" i="7"/>
  <c r="X199" i="7"/>
  <c r="W199" i="7"/>
  <c r="X198" i="7"/>
  <c r="W198" i="7"/>
  <c r="X197" i="7"/>
  <c r="W197" i="7"/>
  <c r="X196" i="7"/>
  <c r="W196" i="7"/>
  <c r="X195" i="7"/>
  <c r="W195" i="7"/>
  <c r="X194" i="7"/>
  <c r="W194" i="7"/>
  <c r="X193" i="7"/>
  <c r="W193" i="7"/>
  <c r="X192" i="7"/>
  <c r="W192" i="7"/>
  <c r="X191" i="7"/>
  <c r="W191" i="7"/>
  <c r="X190" i="7"/>
  <c r="W190" i="7"/>
  <c r="X189" i="7"/>
  <c r="W189" i="7"/>
  <c r="X188" i="7"/>
  <c r="W188" i="7"/>
  <c r="X187" i="7"/>
  <c r="W187" i="7"/>
  <c r="X186" i="7"/>
  <c r="W186" i="7"/>
  <c r="X185" i="7"/>
  <c r="W185" i="7"/>
  <c r="X184" i="7"/>
  <c r="W184" i="7"/>
  <c r="X183" i="7"/>
  <c r="W183" i="7"/>
  <c r="X182" i="7"/>
  <c r="W182" i="7"/>
  <c r="X181" i="7"/>
  <c r="W181" i="7"/>
  <c r="X180" i="7"/>
  <c r="W180" i="7"/>
  <c r="X179" i="7"/>
  <c r="W179" i="7"/>
  <c r="X178" i="7"/>
  <c r="W178" i="7"/>
  <c r="X177" i="7"/>
  <c r="W177" i="7"/>
  <c r="X176" i="7"/>
  <c r="W176" i="7"/>
  <c r="X175" i="7"/>
  <c r="W175" i="7"/>
  <c r="X174" i="7"/>
  <c r="W174" i="7"/>
  <c r="X173" i="7"/>
  <c r="W173" i="7"/>
  <c r="X172" i="7"/>
  <c r="W172" i="7"/>
  <c r="X171" i="7"/>
  <c r="W171" i="7"/>
  <c r="X170" i="7"/>
  <c r="W170" i="7"/>
  <c r="X169" i="7"/>
  <c r="W169" i="7"/>
  <c r="X168" i="7"/>
  <c r="W168" i="7"/>
  <c r="X167" i="7"/>
  <c r="W167" i="7"/>
  <c r="X166" i="7"/>
  <c r="W166" i="7"/>
  <c r="X165" i="7"/>
  <c r="W165" i="7"/>
  <c r="X164" i="7"/>
  <c r="W164" i="7"/>
  <c r="X163" i="7"/>
  <c r="W163" i="7"/>
  <c r="X162" i="7"/>
  <c r="W162" i="7"/>
  <c r="X161" i="7"/>
  <c r="W161" i="7"/>
  <c r="X160" i="7"/>
  <c r="W160" i="7"/>
  <c r="X159" i="7"/>
  <c r="W159" i="7"/>
  <c r="X158" i="7"/>
  <c r="W158" i="7"/>
  <c r="X157" i="7"/>
  <c r="W157" i="7"/>
  <c r="X156" i="7"/>
  <c r="W156" i="7"/>
  <c r="X155" i="7"/>
  <c r="W155" i="7"/>
  <c r="X154" i="7"/>
  <c r="W154" i="7"/>
  <c r="X153" i="7"/>
  <c r="W153" i="7"/>
  <c r="X152" i="7"/>
  <c r="W152" i="7"/>
  <c r="X151" i="7"/>
  <c r="W151" i="7"/>
  <c r="X150" i="7"/>
  <c r="W150" i="7"/>
  <c r="X149" i="7"/>
  <c r="W149" i="7"/>
  <c r="X148" i="7"/>
  <c r="W148" i="7"/>
  <c r="X147" i="7"/>
  <c r="W147" i="7"/>
  <c r="X146" i="7"/>
  <c r="W146" i="7"/>
  <c r="X145" i="7"/>
  <c r="W145" i="7"/>
  <c r="X144" i="7"/>
  <c r="W144" i="7"/>
  <c r="X143" i="7"/>
  <c r="W143" i="7"/>
  <c r="X142" i="7"/>
  <c r="W142" i="7"/>
  <c r="X141" i="7"/>
  <c r="W141" i="7"/>
  <c r="X140" i="7"/>
  <c r="W140" i="7"/>
  <c r="X139" i="7"/>
  <c r="W139" i="7"/>
  <c r="X138" i="7"/>
  <c r="W138" i="7"/>
  <c r="X137" i="7"/>
  <c r="W137" i="7"/>
  <c r="X136" i="7"/>
  <c r="W136" i="7"/>
  <c r="X135" i="7"/>
  <c r="W135" i="7"/>
  <c r="X134" i="7"/>
  <c r="W134" i="7"/>
  <c r="X133" i="7"/>
  <c r="W133" i="7"/>
  <c r="X132" i="7"/>
  <c r="W132" i="7"/>
  <c r="X131" i="7"/>
  <c r="W131" i="7"/>
  <c r="X130" i="7"/>
  <c r="W130" i="7"/>
  <c r="X129" i="7"/>
  <c r="W129" i="7"/>
  <c r="X128" i="7"/>
  <c r="W128" i="7"/>
  <c r="X127" i="7"/>
  <c r="W127" i="7"/>
  <c r="X126" i="7"/>
  <c r="W126" i="7"/>
  <c r="X125" i="7"/>
  <c r="W125" i="7"/>
  <c r="X124" i="7"/>
  <c r="W124" i="7"/>
  <c r="X123" i="7"/>
  <c r="W123" i="7"/>
  <c r="X122" i="7"/>
  <c r="W122" i="7"/>
  <c r="X121" i="7"/>
  <c r="W121" i="7"/>
  <c r="X120" i="7"/>
  <c r="W120" i="7"/>
  <c r="X119" i="7"/>
  <c r="W119" i="7"/>
  <c r="X118" i="7"/>
  <c r="W118" i="7"/>
  <c r="X117" i="7"/>
  <c r="W117" i="7"/>
  <c r="X116" i="7"/>
  <c r="W116" i="7"/>
  <c r="X115" i="7"/>
  <c r="W115" i="7"/>
  <c r="X114" i="7"/>
  <c r="W114" i="7"/>
  <c r="X113" i="7"/>
  <c r="W113" i="7"/>
  <c r="X112" i="7"/>
  <c r="W112" i="7"/>
  <c r="X111" i="7"/>
  <c r="W111" i="7"/>
  <c r="X110" i="7"/>
  <c r="W110" i="7"/>
  <c r="X109" i="7"/>
  <c r="W109" i="7"/>
  <c r="X108" i="7"/>
  <c r="W108" i="7"/>
  <c r="X107" i="7"/>
  <c r="W107" i="7"/>
  <c r="X106" i="7"/>
  <c r="W106" i="7"/>
  <c r="X105" i="7"/>
  <c r="W105" i="7"/>
  <c r="X104" i="7"/>
  <c r="W104" i="7"/>
  <c r="X103" i="7"/>
  <c r="W103" i="7"/>
  <c r="X102" i="7"/>
  <c r="W102" i="7"/>
  <c r="X101" i="7"/>
  <c r="W101" i="7"/>
  <c r="X100" i="7"/>
  <c r="W100" i="7"/>
  <c r="X99" i="7"/>
  <c r="W99" i="7"/>
  <c r="X98" i="7"/>
  <c r="W98" i="7"/>
  <c r="X97" i="7"/>
  <c r="W97" i="7"/>
  <c r="X96" i="7"/>
  <c r="W96" i="7"/>
  <c r="X95" i="7"/>
  <c r="W95" i="7"/>
  <c r="X94" i="7"/>
  <c r="W94" i="7"/>
  <c r="X93" i="7"/>
  <c r="W93" i="7"/>
  <c r="X92" i="7"/>
  <c r="W92" i="7"/>
  <c r="X91" i="7"/>
  <c r="W91" i="7"/>
  <c r="X90" i="7"/>
  <c r="W90" i="7"/>
  <c r="X89" i="7"/>
  <c r="W89" i="7"/>
  <c r="X88" i="7"/>
  <c r="W88" i="7"/>
  <c r="X87" i="7"/>
  <c r="W87" i="7"/>
  <c r="X86" i="7"/>
  <c r="W86" i="7"/>
  <c r="X85" i="7"/>
  <c r="W85" i="7"/>
  <c r="X84" i="7"/>
  <c r="W84" i="7"/>
  <c r="X83" i="7"/>
  <c r="W83" i="7"/>
  <c r="X82" i="7"/>
  <c r="W82" i="7"/>
  <c r="X81" i="7"/>
  <c r="W81" i="7"/>
  <c r="X80" i="7"/>
  <c r="W80" i="7"/>
  <c r="X79" i="7"/>
  <c r="W79" i="7"/>
  <c r="X78" i="7"/>
  <c r="W78" i="7"/>
  <c r="X77" i="7"/>
  <c r="W77" i="7"/>
  <c r="X76" i="7"/>
  <c r="W76" i="7"/>
  <c r="X75" i="7"/>
  <c r="W75" i="7"/>
  <c r="X74" i="7"/>
  <c r="W74" i="7"/>
  <c r="X73" i="7"/>
  <c r="W73" i="7"/>
  <c r="X72" i="7"/>
  <c r="W72" i="7"/>
  <c r="X71" i="7"/>
  <c r="W71" i="7"/>
  <c r="X70" i="7"/>
  <c r="W70" i="7"/>
  <c r="X69" i="7"/>
  <c r="W69" i="7"/>
  <c r="X68" i="7"/>
  <c r="W68" i="7"/>
  <c r="X67" i="7"/>
  <c r="W67" i="7"/>
  <c r="X66" i="7"/>
  <c r="W66" i="7"/>
  <c r="X65" i="7"/>
  <c r="W65" i="7"/>
  <c r="X64" i="7"/>
  <c r="W64" i="7"/>
  <c r="X63" i="7"/>
  <c r="W63" i="7"/>
  <c r="X62" i="7"/>
  <c r="W62" i="7"/>
  <c r="X61" i="7"/>
  <c r="W61" i="7"/>
  <c r="X60" i="7"/>
  <c r="W60" i="7"/>
  <c r="X59" i="7"/>
  <c r="W59" i="7"/>
  <c r="X58" i="7"/>
  <c r="W58" i="7"/>
  <c r="X57" i="7"/>
  <c r="W57" i="7"/>
  <c r="X56" i="7"/>
  <c r="W56" i="7"/>
  <c r="X55" i="7"/>
  <c r="W55" i="7"/>
  <c r="X54" i="7"/>
  <c r="W54" i="7"/>
  <c r="X53" i="7"/>
  <c r="W53" i="7"/>
  <c r="X52" i="7"/>
  <c r="W52" i="7"/>
  <c r="X51" i="7"/>
  <c r="W51" i="7"/>
  <c r="X50" i="7"/>
  <c r="W50" i="7"/>
  <c r="X49" i="7"/>
  <c r="W49" i="7"/>
  <c r="X48" i="7"/>
  <c r="W48" i="7"/>
  <c r="X47" i="7"/>
  <c r="W47" i="7"/>
  <c r="X46" i="7"/>
  <c r="W46" i="7"/>
  <c r="X45" i="7"/>
  <c r="W45" i="7"/>
  <c r="X44" i="7"/>
  <c r="W44" i="7"/>
  <c r="X43" i="7"/>
  <c r="W43" i="7"/>
  <c r="X42" i="7"/>
  <c r="W42" i="7"/>
  <c r="X41" i="7"/>
  <c r="W41" i="7"/>
  <c r="X40" i="7"/>
  <c r="W40" i="7"/>
  <c r="X39" i="7"/>
  <c r="W39" i="7"/>
  <c r="X38" i="7"/>
  <c r="W38" i="7"/>
  <c r="X37" i="7"/>
  <c r="W37" i="7"/>
  <c r="X36" i="7"/>
  <c r="W36" i="7"/>
  <c r="X35" i="7"/>
  <c r="W35" i="7"/>
  <c r="X34" i="7"/>
  <c r="W34" i="7"/>
  <c r="X33" i="7"/>
  <c r="W33" i="7"/>
  <c r="X32" i="7"/>
  <c r="W32" i="7"/>
  <c r="X31" i="7"/>
  <c r="W31" i="7"/>
  <c r="X30" i="7"/>
  <c r="W30" i="7"/>
  <c r="X29" i="7"/>
  <c r="W29" i="7"/>
  <c r="X28" i="7"/>
  <c r="W28" i="7"/>
  <c r="X27" i="7"/>
  <c r="W27" i="7"/>
  <c r="X26" i="7"/>
  <c r="W26" i="7"/>
  <c r="X25" i="7"/>
  <c r="W25" i="7"/>
  <c r="X24" i="7"/>
  <c r="W24" i="7"/>
  <c r="X23" i="7"/>
  <c r="W23" i="7"/>
  <c r="X22" i="7"/>
  <c r="W22" i="7"/>
  <c r="X21" i="7"/>
  <c r="W21" i="7"/>
  <c r="X20" i="7"/>
  <c r="W20" i="7"/>
  <c r="X19" i="7"/>
  <c r="W19" i="7"/>
  <c r="X18" i="7"/>
  <c r="W18" i="7"/>
  <c r="X17" i="7"/>
  <c r="W17" i="7"/>
  <c r="X16" i="7"/>
  <c r="W16" i="7"/>
  <c r="X15" i="7"/>
  <c r="W15" i="7"/>
  <c r="X14" i="7"/>
  <c r="W14" i="7"/>
  <c r="X13" i="7"/>
  <c r="W13" i="7"/>
  <c r="X12" i="7"/>
  <c r="W12" i="7"/>
  <c r="X11" i="7"/>
  <c r="W11" i="7"/>
  <c r="X10" i="7"/>
  <c r="W10" i="7"/>
  <c r="X9" i="7"/>
  <c r="W9" i="7"/>
  <c r="W8" i="7"/>
  <c r="X8" i="7" s="1"/>
  <c r="S8" i="7"/>
  <c r="R8" i="7"/>
  <c r="Q8" i="7"/>
  <c r="P8" i="7"/>
  <c r="W7" i="7"/>
  <c r="X7" i="7" s="1"/>
  <c r="R7" i="7"/>
  <c r="Q7" i="7"/>
  <c r="P7" i="7"/>
  <c r="W6" i="7"/>
  <c r="X6" i="7" s="1"/>
  <c r="Q6" i="7"/>
  <c r="W5" i="7"/>
  <c r="X5" i="7" s="1"/>
  <c r="Q5" i="7"/>
  <c r="Y4" i="7"/>
  <c r="X4" i="7"/>
  <c r="W4" i="7"/>
  <c r="V4" i="7"/>
  <c r="U4" i="7"/>
  <c r="T4" i="7"/>
  <c r="S4" i="7"/>
  <c r="R4" i="7"/>
  <c r="Q4" i="7"/>
  <c r="P4" i="7"/>
  <c r="C4" i="7"/>
  <c r="B4" i="7"/>
  <c r="A4" i="7"/>
  <c r="A3" i="7"/>
  <c r="A2" i="7"/>
  <c r="A1" i="7"/>
  <c r="W5" i="6"/>
  <c r="P5" i="6"/>
  <c r="C5" i="6"/>
  <c r="Z4" i="6"/>
  <c r="Y4" i="6"/>
  <c r="X4" i="6"/>
  <c r="W4" i="6"/>
  <c r="R4" i="6"/>
  <c r="Q4" i="6"/>
  <c r="P4" i="6"/>
  <c r="C4" i="6"/>
  <c r="B4" i="6"/>
  <c r="A4" i="6"/>
  <c r="A3" i="6"/>
  <c r="A2" i="6"/>
  <c r="A1" i="6"/>
  <c r="AI304" i="5"/>
  <c r="AH304" i="5"/>
  <c r="AI303" i="5"/>
  <c r="AH303" i="5"/>
  <c r="AI302" i="5"/>
  <c r="AH302" i="5"/>
  <c r="AI301" i="5"/>
  <c r="AH301" i="5"/>
  <c r="AI300" i="5"/>
  <c r="AH300" i="5"/>
  <c r="AI299" i="5"/>
  <c r="AH299" i="5"/>
  <c r="AI298" i="5"/>
  <c r="AH298" i="5"/>
  <c r="AI297" i="5"/>
  <c r="AH297" i="5"/>
  <c r="AI296" i="5"/>
  <c r="AH296" i="5"/>
  <c r="AI295" i="5"/>
  <c r="AH295" i="5"/>
  <c r="AI294" i="5"/>
  <c r="AH294" i="5"/>
  <c r="AI293" i="5"/>
  <c r="AH293" i="5"/>
  <c r="AI292" i="5"/>
  <c r="AH292" i="5"/>
  <c r="AI291" i="5"/>
  <c r="AH291" i="5"/>
  <c r="AI290" i="5"/>
  <c r="AH290" i="5"/>
  <c r="AI289" i="5"/>
  <c r="AH289" i="5"/>
  <c r="AI288" i="5"/>
  <c r="AH288" i="5"/>
  <c r="AI287" i="5"/>
  <c r="AH287" i="5"/>
  <c r="AI286" i="5"/>
  <c r="AH286" i="5"/>
  <c r="AI285" i="5"/>
  <c r="AH285" i="5"/>
  <c r="AI284" i="5"/>
  <c r="AH284" i="5"/>
  <c r="AI283" i="5"/>
  <c r="AH283" i="5"/>
  <c r="AI282" i="5"/>
  <c r="AH282" i="5"/>
  <c r="AI281" i="5"/>
  <c r="AH281" i="5"/>
  <c r="AI280" i="5"/>
  <c r="AH280" i="5"/>
  <c r="AI279" i="5"/>
  <c r="AH279" i="5"/>
  <c r="AI278" i="5"/>
  <c r="AH278" i="5"/>
  <c r="AI277" i="5"/>
  <c r="AH277" i="5"/>
  <c r="AI276" i="5"/>
  <c r="AH276" i="5"/>
  <c r="AI275" i="5"/>
  <c r="AH275" i="5"/>
  <c r="AI274" i="5"/>
  <c r="AH274" i="5"/>
  <c r="AI273" i="5"/>
  <c r="AH273" i="5"/>
  <c r="AI272" i="5"/>
  <c r="AH272" i="5"/>
  <c r="AI271" i="5"/>
  <c r="AH271" i="5"/>
  <c r="AI270" i="5"/>
  <c r="AH270" i="5"/>
  <c r="AI269" i="5"/>
  <c r="AH269" i="5"/>
  <c r="AI268" i="5"/>
  <c r="AH268" i="5"/>
  <c r="AI267" i="5"/>
  <c r="AH267" i="5"/>
  <c r="AI266" i="5"/>
  <c r="AH266" i="5"/>
  <c r="AI265" i="5"/>
  <c r="AH265" i="5"/>
  <c r="AI264" i="5"/>
  <c r="AH264" i="5"/>
  <c r="AI263" i="5"/>
  <c r="AH263" i="5"/>
  <c r="AI262" i="5"/>
  <c r="AH262" i="5"/>
  <c r="AI261" i="5"/>
  <c r="AH261" i="5"/>
  <c r="AI260" i="5"/>
  <c r="AH260" i="5"/>
  <c r="AI259" i="5"/>
  <c r="AH259" i="5"/>
  <c r="AI258" i="5"/>
  <c r="AH258" i="5"/>
  <c r="AI257" i="5"/>
  <c r="AH257" i="5"/>
  <c r="AI256" i="5"/>
  <c r="AH256" i="5"/>
  <c r="AI255" i="5"/>
  <c r="AH255" i="5"/>
  <c r="AI254" i="5"/>
  <c r="AH254" i="5"/>
  <c r="AI253" i="5"/>
  <c r="AH253" i="5"/>
  <c r="AI252" i="5"/>
  <c r="AH252" i="5"/>
  <c r="AI251" i="5"/>
  <c r="AH251" i="5"/>
  <c r="AI250" i="5"/>
  <c r="AH250" i="5"/>
  <c r="AI249" i="5"/>
  <c r="AH249" i="5"/>
  <c r="AI248" i="5"/>
  <c r="AH248" i="5"/>
  <c r="AI247" i="5"/>
  <c r="AH247" i="5"/>
  <c r="AI246" i="5"/>
  <c r="AH246" i="5"/>
  <c r="AI245" i="5"/>
  <c r="AH245" i="5"/>
  <c r="AI244" i="5"/>
  <c r="AH244" i="5"/>
  <c r="AI243" i="5"/>
  <c r="AH243" i="5"/>
  <c r="AI242" i="5"/>
  <c r="AH242" i="5"/>
  <c r="AI241" i="5"/>
  <c r="AH241" i="5"/>
  <c r="AI240" i="5"/>
  <c r="AH240" i="5"/>
  <c r="AI239" i="5"/>
  <c r="AH239" i="5"/>
  <c r="AI238" i="5"/>
  <c r="AH238" i="5"/>
  <c r="AI237" i="5"/>
  <c r="AH237" i="5"/>
  <c r="AI236" i="5"/>
  <c r="AH236" i="5"/>
  <c r="AI235" i="5"/>
  <c r="AH235" i="5"/>
  <c r="AI234" i="5"/>
  <c r="AH234" i="5"/>
  <c r="AI233" i="5"/>
  <c r="AH233" i="5"/>
  <c r="AI232" i="5"/>
  <c r="AH232" i="5"/>
  <c r="AI231" i="5"/>
  <c r="AH231" i="5"/>
  <c r="AI230" i="5"/>
  <c r="AH230" i="5"/>
  <c r="AI229" i="5"/>
  <c r="AH229" i="5"/>
  <c r="AI228" i="5"/>
  <c r="AH228" i="5"/>
  <c r="AI227" i="5"/>
  <c r="AH227" i="5"/>
  <c r="AI226" i="5"/>
  <c r="AH226" i="5"/>
  <c r="AI225" i="5"/>
  <c r="AH225" i="5"/>
  <c r="AI224" i="5"/>
  <c r="AH224" i="5"/>
  <c r="AI223" i="5"/>
  <c r="AH223" i="5"/>
  <c r="AI222" i="5"/>
  <c r="AH222" i="5"/>
  <c r="AI221" i="5"/>
  <c r="AH221" i="5"/>
  <c r="AI220" i="5"/>
  <c r="AH220" i="5"/>
  <c r="AI219" i="5"/>
  <c r="AH219" i="5"/>
  <c r="AI218" i="5"/>
  <c r="AH218" i="5"/>
  <c r="AI217" i="5"/>
  <c r="AH217" i="5"/>
  <c r="AI216" i="5"/>
  <c r="AH216" i="5"/>
  <c r="AI215" i="5"/>
  <c r="AH215" i="5"/>
  <c r="AI214" i="5"/>
  <c r="AH214" i="5"/>
  <c r="AI213" i="5"/>
  <c r="AH213" i="5"/>
  <c r="AI212" i="5"/>
  <c r="AH212" i="5"/>
  <c r="AI211" i="5"/>
  <c r="AH211" i="5"/>
  <c r="AI210" i="5"/>
  <c r="AH210" i="5"/>
  <c r="AI209" i="5"/>
  <c r="AH209" i="5"/>
  <c r="AI208" i="5"/>
  <c r="AH208" i="5"/>
  <c r="AI207" i="5"/>
  <c r="AH207" i="5"/>
  <c r="AI206" i="5"/>
  <c r="AH206" i="5"/>
  <c r="AI205" i="5"/>
  <c r="AH205" i="5"/>
  <c r="AI204" i="5"/>
  <c r="AH204" i="5"/>
  <c r="AI203" i="5"/>
  <c r="AH203" i="5"/>
  <c r="AI202" i="5"/>
  <c r="AH202" i="5"/>
  <c r="AI201" i="5"/>
  <c r="AH201" i="5"/>
  <c r="AI200" i="5"/>
  <c r="AH200" i="5"/>
  <c r="AI199" i="5"/>
  <c r="AH199" i="5"/>
  <c r="AI198" i="5"/>
  <c r="AH198" i="5"/>
  <c r="AI197" i="5"/>
  <c r="AH197" i="5"/>
  <c r="AI196" i="5"/>
  <c r="AH196" i="5"/>
  <c r="AI195" i="5"/>
  <c r="AH195" i="5"/>
  <c r="AI194" i="5"/>
  <c r="AH194" i="5"/>
  <c r="AI193" i="5"/>
  <c r="AH193" i="5"/>
  <c r="AI192" i="5"/>
  <c r="AH192" i="5"/>
  <c r="AI191" i="5"/>
  <c r="AH191" i="5"/>
  <c r="AI190" i="5"/>
  <c r="AH190" i="5"/>
  <c r="AI189" i="5"/>
  <c r="AH189" i="5"/>
  <c r="AI188" i="5"/>
  <c r="AH188" i="5"/>
  <c r="AI187" i="5"/>
  <c r="AH187" i="5"/>
  <c r="AI186" i="5"/>
  <c r="AH186" i="5"/>
  <c r="AI185" i="5"/>
  <c r="AH185" i="5"/>
  <c r="AI184" i="5"/>
  <c r="AH184" i="5"/>
  <c r="AI183" i="5"/>
  <c r="AH183" i="5"/>
  <c r="AI182" i="5"/>
  <c r="AH182" i="5"/>
  <c r="AI181" i="5"/>
  <c r="AH181" i="5"/>
  <c r="AI180" i="5"/>
  <c r="AH180" i="5"/>
  <c r="AI179" i="5"/>
  <c r="AH179" i="5"/>
  <c r="AI178" i="5"/>
  <c r="AH178" i="5"/>
  <c r="AI177" i="5"/>
  <c r="AH177" i="5"/>
  <c r="AI176" i="5"/>
  <c r="AH176" i="5"/>
  <c r="AI175" i="5"/>
  <c r="AH175" i="5"/>
  <c r="AI174" i="5"/>
  <c r="AH174" i="5"/>
  <c r="AI173" i="5"/>
  <c r="AH173" i="5"/>
  <c r="AI172" i="5"/>
  <c r="AH172" i="5"/>
  <c r="AI171" i="5"/>
  <c r="AH171" i="5"/>
  <c r="AI170" i="5"/>
  <c r="AH170" i="5"/>
  <c r="AI169" i="5"/>
  <c r="AH169" i="5"/>
  <c r="AI168" i="5"/>
  <c r="AH168" i="5"/>
  <c r="AI167" i="5"/>
  <c r="AH167" i="5"/>
  <c r="AI166" i="5"/>
  <c r="AH166" i="5"/>
  <c r="AI165" i="5"/>
  <c r="AH165" i="5"/>
  <c r="AI164" i="5"/>
  <c r="AH164" i="5"/>
  <c r="AI163" i="5"/>
  <c r="AH163" i="5"/>
  <c r="AI162" i="5"/>
  <c r="AH162" i="5"/>
  <c r="AI161" i="5"/>
  <c r="AH161" i="5"/>
  <c r="AI160" i="5"/>
  <c r="AH160" i="5"/>
  <c r="AI159" i="5"/>
  <c r="AH159" i="5"/>
  <c r="AI158" i="5"/>
  <c r="AH158" i="5"/>
  <c r="AI157" i="5"/>
  <c r="AH157" i="5"/>
  <c r="AI156" i="5"/>
  <c r="AH156" i="5"/>
  <c r="AI155" i="5"/>
  <c r="AH155" i="5"/>
  <c r="AI154" i="5"/>
  <c r="AH154" i="5"/>
  <c r="AI153" i="5"/>
  <c r="AH153" i="5"/>
  <c r="AI152" i="5"/>
  <c r="AH152" i="5"/>
  <c r="AI151" i="5"/>
  <c r="AH151" i="5"/>
  <c r="AI150" i="5"/>
  <c r="AH150" i="5"/>
  <c r="AI149" i="5"/>
  <c r="AH149" i="5"/>
  <c r="AI148" i="5"/>
  <c r="AH148" i="5"/>
  <c r="AI147" i="5"/>
  <c r="AH147" i="5"/>
  <c r="AI146" i="5"/>
  <c r="AH146" i="5"/>
  <c r="AI145" i="5"/>
  <c r="AH145" i="5"/>
  <c r="AI144" i="5"/>
  <c r="AH144" i="5"/>
  <c r="AI143" i="5"/>
  <c r="AH143" i="5"/>
  <c r="AI142" i="5"/>
  <c r="AH142" i="5"/>
  <c r="AI141" i="5"/>
  <c r="AH141" i="5"/>
  <c r="AI140" i="5"/>
  <c r="AH140" i="5"/>
  <c r="AI139" i="5"/>
  <c r="AH139" i="5"/>
  <c r="AI138" i="5"/>
  <c r="AH138" i="5"/>
  <c r="AI137" i="5"/>
  <c r="AH137" i="5"/>
  <c r="AI136" i="5"/>
  <c r="AH136" i="5"/>
  <c r="AI135" i="5"/>
  <c r="AH135" i="5"/>
  <c r="AI134" i="5"/>
  <c r="AH134" i="5"/>
  <c r="AI133" i="5"/>
  <c r="AH133" i="5"/>
  <c r="AI132" i="5"/>
  <c r="AH132" i="5"/>
  <c r="AI131" i="5"/>
  <c r="AH131" i="5"/>
  <c r="AI130" i="5"/>
  <c r="AH130" i="5"/>
  <c r="AI129" i="5"/>
  <c r="AH129" i="5"/>
  <c r="AI128" i="5"/>
  <c r="AH128" i="5"/>
  <c r="AI127" i="5"/>
  <c r="AH127" i="5"/>
  <c r="AI126" i="5"/>
  <c r="AH126" i="5"/>
  <c r="AI125" i="5"/>
  <c r="AH125" i="5"/>
  <c r="AI124" i="5"/>
  <c r="AH124" i="5"/>
  <c r="AI123" i="5"/>
  <c r="AH123" i="5"/>
  <c r="AI122" i="5"/>
  <c r="AH122" i="5"/>
  <c r="AI121" i="5"/>
  <c r="AH121" i="5"/>
  <c r="AI120" i="5"/>
  <c r="AH120" i="5"/>
  <c r="AI119" i="5"/>
  <c r="AH119" i="5"/>
  <c r="AI118" i="5"/>
  <c r="AH118" i="5"/>
  <c r="AI117" i="5"/>
  <c r="AH117" i="5"/>
  <c r="AI116" i="5"/>
  <c r="AH116" i="5"/>
  <c r="AI115" i="5"/>
  <c r="AH115" i="5"/>
  <c r="AI114" i="5"/>
  <c r="AH114" i="5"/>
  <c r="AI113" i="5"/>
  <c r="AH113" i="5"/>
  <c r="AI112" i="5"/>
  <c r="AH112" i="5"/>
  <c r="AI111" i="5"/>
  <c r="AH111" i="5"/>
  <c r="AI110" i="5"/>
  <c r="AH110" i="5"/>
  <c r="AI109" i="5"/>
  <c r="AH109" i="5"/>
  <c r="AI108" i="5"/>
  <c r="AH108" i="5"/>
  <c r="AI107" i="5"/>
  <c r="AH107" i="5"/>
  <c r="AI106" i="5"/>
  <c r="AH106" i="5"/>
  <c r="AI105" i="5"/>
  <c r="AH105" i="5"/>
  <c r="AI104" i="5"/>
  <c r="AH104" i="5"/>
  <c r="AI103" i="5"/>
  <c r="AH103" i="5"/>
  <c r="AI102" i="5"/>
  <c r="AH102" i="5"/>
  <c r="AI101" i="5"/>
  <c r="AH101" i="5"/>
  <c r="AI100" i="5"/>
  <c r="AH100" i="5"/>
  <c r="AI99" i="5"/>
  <c r="AH99" i="5"/>
  <c r="AI98" i="5"/>
  <c r="AH98" i="5"/>
  <c r="AI97" i="5"/>
  <c r="AH97" i="5"/>
  <c r="AI96" i="5"/>
  <c r="AH96" i="5"/>
  <c r="AI95" i="5"/>
  <c r="AH95" i="5"/>
  <c r="AI94" i="5"/>
  <c r="AH94" i="5"/>
  <c r="AI93" i="5"/>
  <c r="AH93" i="5"/>
  <c r="AI92" i="5"/>
  <c r="AH92" i="5"/>
  <c r="AI91" i="5"/>
  <c r="AH91" i="5"/>
  <c r="AI90" i="5"/>
  <c r="AH90" i="5"/>
  <c r="AI89" i="5"/>
  <c r="AH89" i="5"/>
  <c r="AI88" i="5"/>
  <c r="AH88" i="5"/>
  <c r="AI87" i="5"/>
  <c r="AH87" i="5"/>
  <c r="AI86" i="5"/>
  <c r="AH86" i="5"/>
  <c r="AI85" i="5"/>
  <c r="AH85" i="5"/>
  <c r="AI84" i="5"/>
  <c r="AH84" i="5"/>
  <c r="AI83" i="5"/>
  <c r="AH83" i="5"/>
  <c r="AI82" i="5"/>
  <c r="AH82" i="5"/>
  <c r="AI81" i="5"/>
  <c r="AH81" i="5"/>
  <c r="AI80" i="5"/>
  <c r="AH80" i="5"/>
  <c r="AI79" i="5"/>
  <c r="AH79" i="5"/>
  <c r="AI78" i="5"/>
  <c r="AH78" i="5"/>
  <c r="AI77" i="5"/>
  <c r="AH77" i="5"/>
  <c r="AI76" i="5"/>
  <c r="AH76" i="5"/>
  <c r="AI75" i="5"/>
  <c r="AH75" i="5"/>
  <c r="AI74" i="5"/>
  <c r="AH74" i="5"/>
  <c r="AI73" i="5"/>
  <c r="AH73" i="5"/>
  <c r="AI72" i="5"/>
  <c r="AH72" i="5"/>
  <c r="AI71" i="5"/>
  <c r="AH71" i="5"/>
  <c r="AI70" i="5"/>
  <c r="AH70" i="5"/>
  <c r="AI69" i="5"/>
  <c r="AH69" i="5"/>
  <c r="AI68" i="5"/>
  <c r="AH68" i="5"/>
  <c r="AI67" i="5"/>
  <c r="AH67" i="5"/>
  <c r="AI66" i="5"/>
  <c r="AH66" i="5"/>
  <c r="AI65" i="5"/>
  <c r="AH65" i="5"/>
  <c r="AI64" i="5"/>
  <c r="AH64" i="5"/>
  <c r="AI63" i="5"/>
  <c r="AH63" i="5"/>
  <c r="AI62" i="5"/>
  <c r="AH62" i="5"/>
  <c r="AI61" i="5"/>
  <c r="AH61" i="5"/>
  <c r="AI60" i="5"/>
  <c r="AH60" i="5"/>
  <c r="AI59" i="5"/>
  <c r="AH59" i="5"/>
  <c r="AI58" i="5"/>
  <c r="AH58" i="5"/>
  <c r="AI57" i="5"/>
  <c r="AH57" i="5"/>
  <c r="AI56" i="5"/>
  <c r="AH56" i="5"/>
  <c r="AI55" i="5"/>
  <c r="AH55" i="5"/>
  <c r="AI54" i="5"/>
  <c r="AH54" i="5"/>
  <c r="AI53" i="5"/>
  <c r="AH53" i="5"/>
  <c r="AI52" i="5"/>
  <c r="AH52" i="5"/>
  <c r="AI51" i="5"/>
  <c r="AH51" i="5"/>
  <c r="AI50" i="5"/>
  <c r="AH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I10" i="5"/>
  <c r="AH10" i="5"/>
  <c r="AI9" i="5"/>
  <c r="AH9" i="5"/>
  <c r="AH8" i="5"/>
  <c r="X8" i="5"/>
  <c r="S8" i="5"/>
  <c r="AH7" i="5"/>
  <c r="S7" i="5"/>
  <c r="AH6" i="5"/>
  <c r="X6" i="5"/>
  <c r="AH5" i="5"/>
  <c r="S5" i="5"/>
  <c r="R5" i="5"/>
  <c r="AJ4" i="5"/>
  <c r="AI4" i="5"/>
  <c r="AH4" i="5"/>
  <c r="AG4" i="5"/>
  <c r="X4" i="5"/>
  <c r="W4" i="5"/>
  <c r="V4" i="5"/>
  <c r="U4" i="5"/>
  <c r="T4" i="5"/>
  <c r="S4" i="5"/>
  <c r="R4" i="5"/>
  <c r="D4" i="5"/>
  <c r="C4" i="5"/>
  <c r="B4" i="5"/>
  <c r="A4" i="5"/>
  <c r="A3" i="5"/>
  <c r="A2" i="5"/>
  <c r="A1" i="5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1" i="4"/>
  <c r="S10" i="4"/>
  <c r="S8" i="4"/>
  <c r="S7" i="4"/>
  <c r="F7" i="4"/>
  <c r="S6" i="4"/>
  <c r="F6" i="4"/>
  <c r="S5" i="4"/>
  <c r="F5" i="4"/>
  <c r="T4" i="4"/>
  <c r="S4" i="4"/>
  <c r="R4" i="4"/>
  <c r="Q4" i="4"/>
  <c r="P4" i="4"/>
  <c r="O4" i="4"/>
  <c r="N4" i="4"/>
  <c r="E4" i="4"/>
  <c r="B4" i="4"/>
  <c r="A4" i="4"/>
  <c r="A3" i="4"/>
  <c r="A2" i="4"/>
  <c r="A1" i="4"/>
  <c r="A21" i="3"/>
  <c r="A20" i="3"/>
  <c r="A19" i="3"/>
  <c r="A18" i="3"/>
  <c r="A14" i="3"/>
  <c r="C8" i="5" s="1"/>
  <c r="A13" i="3"/>
  <c r="E12" i="3"/>
  <c r="A12" i="3"/>
  <c r="E11" i="3"/>
  <c r="A11" i="3"/>
  <c r="M10" i="3"/>
  <c r="E10" i="3"/>
  <c r="A10" i="3"/>
  <c r="B6" i="7" s="1"/>
  <c r="M9" i="3"/>
  <c r="E9" i="3"/>
  <c r="A9" i="3"/>
  <c r="M8" i="3"/>
  <c r="K8" i="3"/>
  <c r="C8" i="7" s="1"/>
  <c r="I8" i="3"/>
  <c r="B8" i="5" s="1"/>
  <c r="E8" i="3"/>
  <c r="C8" i="3"/>
  <c r="A8" i="3"/>
  <c r="M7" i="3"/>
  <c r="K7" i="3"/>
  <c r="C7" i="7" s="1"/>
  <c r="I7" i="3"/>
  <c r="G7" i="3"/>
  <c r="E7" i="3"/>
  <c r="C7" i="3"/>
  <c r="A7" i="3"/>
  <c r="M6" i="3"/>
  <c r="K6" i="3"/>
  <c r="C6" i="7" s="1"/>
  <c r="I6" i="3"/>
  <c r="B5" i="5" s="1"/>
  <c r="G6" i="3"/>
  <c r="E6" i="3"/>
  <c r="C6" i="3"/>
  <c r="A6" i="3"/>
  <c r="M5" i="3"/>
  <c r="K5" i="3"/>
  <c r="C5" i="7" s="1"/>
  <c r="I5" i="3"/>
  <c r="G5" i="3"/>
  <c r="E5" i="3"/>
  <c r="C5" i="3"/>
  <c r="A5" i="3"/>
  <c r="A10" i="2" s="1"/>
  <c r="M4" i="3"/>
  <c r="K4" i="3"/>
  <c r="I4" i="3"/>
  <c r="G4" i="3"/>
  <c r="E4" i="3"/>
  <c r="C4" i="3"/>
  <c r="A4" i="3"/>
  <c r="A2" i="3"/>
  <c r="A1" i="3"/>
  <c r="G9" i="2"/>
  <c r="F9" i="2"/>
  <c r="E9" i="2"/>
  <c r="D9" i="2"/>
  <c r="C9" i="2"/>
  <c r="B9" i="2"/>
  <c r="A9" i="2"/>
  <c r="J4" i="2"/>
  <c r="H4" i="2"/>
  <c r="F4" i="2"/>
  <c r="D4" i="2"/>
  <c r="B4" i="2"/>
  <c r="A2" i="2"/>
  <c r="A1" i="2"/>
  <c r="A31" i="1"/>
  <c r="A30" i="1"/>
  <c r="A29" i="1"/>
  <c r="A28" i="1"/>
  <c r="A27" i="1"/>
  <c r="A26" i="1"/>
  <c r="A25" i="1"/>
  <c r="A24" i="1"/>
  <c r="A23" i="1"/>
  <c r="A22" i="1"/>
  <c r="A20" i="1"/>
  <c r="A19" i="1"/>
  <c r="A18" i="1"/>
  <c r="A17" i="1"/>
  <c r="A16" i="1"/>
  <c r="A14" i="1"/>
  <c r="A13" i="1"/>
  <c r="A12" i="1"/>
  <c r="K11" i="1"/>
  <c r="A11" i="1"/>
  <c r="K10" i="1"/>
  <c r="A10" i="1"/>
  <c r="K9" i="1"/>
  <c r="K8" i="1"/>
  <c r="A8" i="1"/>
  <c r="K7" i="1"/>
  <c r="A7" i="1"/>
  <c r="K6" i="1"/>
  <c r="A6" i="1"/>
  <c r="K5" i="1"/>
  <c r="A5" i="1"/>
  <c r="K4" i="1"/>
  <c r="J4" i="1"/>
  <c r="A4" i="1"/>
  <c r="A2" i="1"/>
  <c r="A1" i="1"/>
  <c r="G1" i="12"/>
  <c r="F1" i="12"/>
  <c r="E1" i="12"/>
  <c r="D1" i="12"/>
  <c r="C1" i="12"/>
  <c r="B1" i="12"/>
  <c r="A1" i="12"/>
  <c r="I5" i="5"/>
  <c r="H5" i="5"/>
  <c r="M12" i="4"/>
  <c r="L12" i="4"/>
  <c r="K12" i="4"/>
  <c r="L9" i="4"/>
  <c r="M9" i="4"/>
  <c r="L8" i="4"/>
  <c r="M8" i="4"/>
  <c r="K11" i="4"/>
  <c r="L11" i="4"/>
  <c r="M11" i="4"/>
  <c r="L10" i="4"/>
  <c r="M10" i="4"/>
  <c r="G7" i="5"/>
  <c r="I9" i="7"/>
  <c r="K6" i="5"/>
  <c r="G5" i="6"/>
  <c r="E6" i="7"/>
  <c r="J9" i="7"/>
  <c r="K9" i="7"/>
  <c r="I7" i="5"/>
  <c r="O8" i="5"/>
  <c r="M5" i="5"/>
  <c r="I8" i="5"/>
  <c r="Q8" i="5"/>
  <c r="E5" i="7"/>
  <c r="P6" i="5"/>
  <c r="E8" i="7"/>
  <c r="K5" i="6"/>
  <c r="L5" i="5"/>
  <c r="T5" i="6"/>
  <c r="P5" i="5"/>
  <c r="P8" i="5"/>
  <c r="K5" i="5"/>
  <c r="H7" i="5"/>
  <c r="K8" i="5"/>
  <c r="G8" i="5"/>
  <c r="O5" i="6"/>
  <c r="E7" i="7"/>
  <c r="I6" i="5"/>
  <c r="P7" i="5"/>
  <c r="J5" i="2" l="1"/>
  <c r="C7" i="5"/>
  <c r="B7" i="7"/>
  <c r="B5" i="7"/>
  <c r="C6" i="5"/>
  <c r="W5" i="5"/>
  <c r="B7" i="5"/>
  <c r="B6" i="5"/>
  <c r="T7" i="4"/>
  <c r="W8" i="5"/>
  <c r="AI8" i="5" s="1"/>
  <c r="T6" i="4"/>
  <c r="D5" i="2" s="1"/>
  <c r="W7" i="5"/>
  <c r="AI7" i="5" s="1"/>
  <c r="W6" i="5"/>
  <c r="AI6" i="5" s="1"/>
  <c r="R5" i="6"/>
  <c r="E7" i="4"/>
  <c r="D6" i="5"/>
  <c r="D5" i="5"/>
  <c r="D8" i="5"/>
  <c r="Q5" i="6"/>
  <c r="B8" i="7"/>
  <c r="C5" i="5"/>
  <c r="D5" i="8"/>
  <c r="B5" i="4"/>
  <c r="G5" i="5"/>
  <c r="O7" i="5"/>
  <c r="AB6" i="7"/>
  <c r="AE6" i="7"/>
  <c r="M6" i="4"/>
  <c r="AA8" i="5"/>
  <c r="M6" i="7"/>
  <c r="F5" i="6"/>
  <c r="I8" i="7"/>
  <c r="O5" i="7"/>
  <c r="W7" i="4"/>
  <c r="AB8" i="5"/>
  <c r="AE7" i="7"/>
  <c r="M6" i="5"/>
  <c r="Y5" i="4"/>
  <c r="AF7" i="7"/>
  <c r="M7" i="4"/>
  <c r="L7" i="5"/>
  <c r="AC8" i="7"/>
  <c r="I5" i="6"/>
  <c r="G5" i="7"/>
  <c r="K7" i="4"/>
  <c r="Q7" i="5"/>
  <c r="AA5" i="5"/>
  <c r="Z5" i="5"/>
  <c r="X5" i="4"/>
  <c r="M8" i="7"/>
  <c r="AB6" i="5"/>
  <c r="G6" i="5"/>
  <c r="Y6" i="4"/>
  <c r="G7" i="7"/>
  <c r="U5" i="6"/>
  <c r="M5" i="6"/>
  <c r="AA5" i="7"/>
  <c r="P5" i="8"/>
  <c r="G8" i="7"/>
  <c r="V5" i="6"/>
  <c r="Z8" i="5"/>
  <c r="K7" i="7"/>
  <c r="W5" i="4"/>
  <c r="J5" i="6"/>
  <c r="L6" i="4"/>
  <c r="H8" i="5"/>
  <c r="AD5" i="6"/>
  <c r="J7" i="7"/>
  <c r="AE8" i="7"/>
  <c r="H6" i="5"/>
  <c r="F7" i="7"/>
  <c r="I5" i="7"/>
  <c r="N5" i="6"/>
  <c r="AA7" i="5"/>
  <c r="X6" i="4"/>
  <c r="K5" i="8"/>
  <c r="AB8" i="7"/>
  <c r="O7" i="7"/>
  <c r="AA7" i="7"/>
  <c r="X7" i="4"/>
  <c r="AC5" i="6"/>
  <c r="G5" i="8"/>
  <c r="N5" i="7"/>
  <c r="Z7" i="5"/>
  <c r="I7" i="7"/>
  <c r="K8" i="7"/>
  <c r="F5" i="7"/>
  <c r="L5" i="8"/>
  <c r="G6" i="7"/>
  <c r="AC6" i="7"/>
  <c r="AB5" i="7"/>
  <c r="I6" i="7"/>
  <c r="AA8" i="7"/>
  <c r="AB5" i="6"/>
  <c r="AG5" i="7"/>
  <c r="F8" i="7"/>
  <c r="J5" i="8"/>
  <c r="K6" i="4"/>
  <c r="J6" i="7"/>
  <c r="AF5" i="7"/>
  <c r="AG7" i="7"/>
  <c r="E5" i="6"/>
  <c r="F6" i="7"/>
  <c r="Y7" i="4"/>
  <c r="M7" i="5"/>
  <c r="L8" i="5"/>
  <c r="O6" i="7"/>
  <c r="O5" i="5"/>
  <c r="AC7" i="7"/>
  <c r="AG6" i="7"/>
  <c r="K5" i="7"/>
  <c r="Q5" i="5"/>
  <c r="Z6" i="5"/>
  <c r="AB7" i="5"/>
  <c r="J5" i="7"/>
  <c r="N7" i="7"/>
  <c r="AC5" i="7"/>
  <c r="AE5" i="7"/>
  <c r="AB5" i="5"/>
  <c r="N8" i="7"/>
  <c r="L5" i="4"/>
  <c r="AA6" i="5"/>
  <c r="AB7" i="7"/>
  <c r="K7" i="5"/>
  <c r="F5" i="8"/>
  <c r="O6" i="5"/>
  <c r="N6" i="7"/>
  <c r="H5" i="8"/>
  <c r="O8" i="7"/>
  <c r="L6" i="5"/>
  <c r="W6" i="4"/>
  <c r="M5" i="4"/>
  <c r="M8" i="5"/>
  <c r="K6" i="7"/>
  <c r="L7" i="4"/>
  <c r="Q6" i="5"/>
  <c r="K5" i="4"/>
  <c r="M5" i="7"/>
  <c r="AF8" i="7"/>
  <c r="Q5" i="8"/>
  <c r="J8" i="7"/>
  <c r="AG8" i="7"/>
  <c r="O5" i="8"/>
  <c r="AF6" i="7"/>
  <c r="M7" i="7"/>
  <c r="AA6" i="7"/>
  <c r="C18" i="2" l="1"/>
  <c r="C19" i="2"/>
  <c r="C16" i="2"/>
  <c r="C17" i="2"/>
  <c r="C14" i="2"/>
  <c r="C15" i="2"/>
  <c r="C12" i="2"/>
  <c r="C13" i="2"/>
  <c r="C10" i="2"/>
  <c r="C11" i="2"/>
  <c r="B5" i="2"/>
  <c r="G10" i="2"/>
  <c r="B10" i="2"/>
  <c r="D10" i="2"/>
  <c r="F10" i="2"/>
  <c r="G11" i="2"/>
  <c r="G18" i="2"/>
  <c r="G14" i="2"/>
  <c r="G17" i="2"/>
  <c r="G12" i="2"/>
  <c r="G13" i="2"/>
  <c r="G15" i="2"/>
  <c r="G19" i="2"/>
  <c r="G16" i="2"/>
  <c r="AI5" i="5"/>
  <c r="F5" i="2"/>
  <c r="D11" i="2"/>
  <c r="D12" i="2"/>
  <c r="E13" i="2"/>
  <c r="E14" i="2"/>
  <c r="D15" i="2"/>
  <c r="E16" i="2"/>
  <c r="F17" i="2"/>
  <c r="F19" i="2"/>
  <c r="F11" i="2"/>
  <c r="D13" i="2"/>
  <c r="F14" i="2"/>
  <c r="D16" i="2"/>
  <c r="E17" i="2"/>
  <c r="F18" i="2"/>
  <c r="E19" i="2"/>
  <c r="E11" i="2"/>
  <c r="F12" i="2"/>
  <c r="D14" i="2"/>
  <c r="F15" i="2"/>
  <c r="D17" i="2"/>
  <c r="E12" i="2"/>
  <c r="F13" i="2"/>
  <c r="E15" i="2"/>
  <c r="F16" i="2"/>
  <c r="D18" i="2"/>
  <c r="E18" i="2"/>
  <c r="D19" i="2"/>
  <c r="B17" i="2"/>
  <c r="B19" i="2"/>
  <c r="B14" i="2"/>
  <c r="B18" i="2"/>
  <c r="B11" i="2"/>
  <c r="B15" i="2"/>
  <c r="B12" i="2"/>
  <c r="B13" i="2"/>
  <c r="B16" i="2"/>
  <c r="E10" i="2" l="1"/>
  <c r="H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参照：Smart Factory分科会_事務局説明資料_20260923、KDC_S4導入プロジェクト_課題ToDo表_v0.03、次期ERP移行プロジェクト-WBS_実行フェーズ (1)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Phạm Văn Thêm(Pham Van Them)</author>
  </authors>
  <commentList>
    <comment ref="U5" authorId="0" shapeId="0" xr:uid="{455405D8-34B6-441F-922F-A175302AB3E6}">
      <text>
        <r>
          <rPr>
            <b/>
            <sz val="9"/>
            <color indexed="81"/>
            <rFont val="Tahoma"/>
            <family val="2"/>
          </rPr>
          <t>Tạo công thức cảnh báo gần đến hạn</t>
        </r>
      </text>
    </comment>
  </commentList>
</comments>
</file>

<file path=xl/sharedStrings.xml><?xml version="1.0" encoding="utf-8"?>
<sst xmlns="http://schemas.openxmlformats.org/spreadsheetml/2006/main" count="1144" uniqueCount="994">
  <si>
    <t>スマートファクトリー分科会 管理ツール</t>
  </si>
  <si>
    <t>目的：9つのWGを横断して、計画・課題・判断・KPIを一つの管理サイクルで運用するための初版案</t>
  </si>
  <si>
    <t>1. 基本原則</t>
  </si>
  <si>
    <t>シート</t>
  </si>
  <si>
    <t>用途</t>
  </si>
  <si>
    <t>• 詳細な議論は議事録・関連資料に残す</t>
  </si>
  <si>
    <t>01_全体サマリー</t>
  </si>
  <si>
    <t>事務局・リーダー会用ダッシュボード</t>
  </si>
  <si>
    <t>• 本ファイルには結論、次アクション、担当、期限、リンクを残す</t>
  </si>
  <si>
    <t>02_マスタ</t>
  </si>
  <si>
    <t>入力候補とWG定義</t>
  </si>
  <si>
    <t>• 同じ内容を複数シートへ二重入力しない</t>
  </si>
  <si>
    <t>成果物・マイルストーンの計画管理</t>
  </si>
  <si>
    <t>• 行を物理削除せず、変更・取下理由を記録する</t>
  </si>
  <si>
    <t>04_課題ToDo</t>
  </si>
  <si>
    <t>障害・アクション・リスクの管理</t>
  </si>
  <si>
    <t>05_決定事項</t>
  </si>
  <si>
    <t>判断履歴と影響範囲の記録</t>
  </si>
  <si>
    <t>2. 更新責任</t>
  </si>
  <si>
    <t>06_KPI</t>
  </si>
  <si>
    <t>KPI定義・基準値・目標・実績</t>
  </si>
  <si>
    <t>• WG Leader：WG会議後にWBS・課題・KPIを更新</t>
  </si>
  <si>
    <t>07_更新履歴</t>
  </si>
  <si>
    <t>重要な変更内容の記録</t>
  </si>
  <si>
    <t>• 運営事務局：週次で未更新、期限超過、High、WG間依存を横断確認</t>
  </si>
  <si>
    <t>• 完了確認者：成果物または対応結果を確認して完了承認</t>
  </si>
  <si>
    <t>• 分科会Leader／拠点Sub Leader：重要事項を判断</t>
  </si>
  <si>
    <t>3. 週次サイクル</t>
  </si>
  <si>
    <t>• WG活動後：新規課題・決定・次アクションを登録</t>
  </si>
  <si>
    <t>• リーダー会前：事務局がアラートを抽出</t>
  </si>
  <si>
    <t>• 週次リーダー会：判断待ち、横断課題、遅延を中心に協議</t>
  </si>
  <si>
    <t>• 会議後：決定事項と担当期限を更新</t>
  </si>
  <si>
    <t>4. エスカレーション条件</t>
  </si>
  <si>
    <t>• High優先度</t>
  </si>
  <si>
    <t>• 期限超過または超過見込み</t>
  </si>
  <si>
    <t>• 複数WG・複数拠点に影響</t>
  </si>
  <si>
    <t>• スコープ変更、投資、人員、上位判断が必要</t>
  </si>
  <si>
    <t>全体サマリー</t>
  </si>
  <si>
    <t>運営事務局・週次WGリーダー会用。入力は不要。WBS／課題ToDo／KPIの情報を自動集計する。</t>
  </si>
  <si>
    <t>未完了WBS</t>
  </si>
  <si>
    <t>遅延WBS</t>
  </si>
  <si>
    <t>未完了課題ToDo</t>
  </si>
  <si>
    <t>High／期限超過</t>
  </si>
  <si>
    <t>KPI未達</t>
  </si>
  <si>
    <t>WG</t>
  </si>
  <si>
    <t>未完了課題</t>
  </si>
  <si>
    <t>High/超過</t>
  </si>
  <si>
    <t>判断/他WG待ち</t>
  </si>
  <si>
    <t>全体</t>
  </si>
  <si>
    <t>WG-1 部品受入</t>
  </si>
  <si>
    <t>WG-8 システム統合</t>
  </si>
  <si>
    <t>入力マスタ</t>
  </si>
  <si>
    <t>入力規則で使用する候補値。事務局のみが変更する。</t>
  </si>
  <si>
    <t>拠点</t>
  </si>
  <si>
    <t>ステータス</t>
  </si>
  <si>
    <t>優先度</t>
  </si>
  <si>
    <t>区分</t>
  </si>
  <si>
    <t>KPI階層</t>
  </si>
  <si>
    <t>判定</t>
  </si>
  <si>
    <t>共通</t>
  </si>
  <si>
    <t>未着手</t>
  </si>
  <si>
    <t>High</t>
  </si>
  <si>
    <t>課題</t>
  </si>
  <si>
    <t>基盤成立</t>
  </si>
  <si>
    <t>未設定</t>
  </si>
  <si>
    <t>KDC</t>
  </si>
  <si>
    <t>対応中</t>
  </si>
  <si>
    <t>Middle</t>
  </si>
  <si>
    <t>ToDo</t>
  </si>
  <si>
    <t>運用定着</t>
  </si>
  <si>
    <t>順調</t>
  </si>
  <si>
    <t>KDTCN</t>
  </si>
  <si>
    <t>判断待ち</t>
  </si>
  <si>
    <t>Low</t>
  </si>
  <si>
    <t>意思決定</t>
  </si>
  <si>
    <t>業務成果</t>
  </si>
  <si>
    <t>注意</t>
  </si>
  <si>
    <t>KDTVN</t>
  </si>
  <si>
    <t>他WG待ち</t>
  </si>
  <si>
    <t>リスク</t>
  </si>
  <si>
    <t>投資成果</t>
  </si>
  <si>
    <t>遅延</t>
  </si>
  <si>
    <t>完了確認待ち</t>
  </si>
  <si>
    <t>達成</t>
  </si>
  <si>
    <t>完了</t>
  </si>
  <si>
    <t>未達</t>
  </si>
  <si>
    <t>保留</t>
  </si>
  <si>
    <t>取下</t>
  </si>
  <si>
    <t>優先度の考え方</t>
  </si>
  <si>
    <t>WBS・マイルストーン</t>
  </si>
  <si>
    <t>青字セルが入力欄。進捗率・残日数・遅延判定は自動計算。3行は入力例。</t>
  </si>
  <si>
    <t>WBS ID</t>
  </si>
  <si>
    <t>大区分</t>
  </si>
  <si>
    <t>責任者</t>
  </si>
  <si>
    <t>開始予定</t>
  </si>
  <si>
    <t>終了予定</t>
  </si>
  <si>
    <t>開始実績</t>
  </si>
  <si>
    <t>終了実績</t>
  </si>
  <si>
    <t>進捗率</t>
  </si>
  <si>
    <t>残日数</t>
  </si>
  <si>
    <t>遅延判定</t>
  </si>
  <si>
    <t>関連リンク</t>
  </si>
  <si>
    <t>備考</t>
  </si>
  <si>
    <t>立上げ</t>
  </si>
  <si>
    <t>WG運用ルールの確定</t>
  </si>
  <si>
    <t>運営事務局</t>
  </si>
  <si>
    <t>入力例</t>
  </si>
  <si>
    <t>現状分析</t>
  </si>
  <si>
    <t>現状業務の棚卸し</t>
  </si>
  <si>
    <t>WG Leader</t>
  </si>
  <si>
    <t>方針策定</t>
  </si>
  <si>
    <t>既存システム役割整理</t>
  </si>
  <si>
    <t>課題・ToDo管理</t>
  </si>
  <si>
    <t>課題、ToDo、意思決定、リスクを一元管理。残日数とアラートは自動計算。4行は入力例。</t>
  </si>
  <si>
    <t>ID</t>
  </si>
  <si>
    <t>件名</t>
  </si>
  <si>
    <t>背景／問題</t>
  </si>
  <si>
    <t>次アクション</t>
  </si>
  <si>
    <t>オーナー</t>
  </si>
  <si>
    <t>協力者</t>
  </si>
  <si>
    <t>起票日</t>
  </si>
  <si>
    <t>期限</t>
  </si>
  <si>
    <t>関連WG／依存先</t>
  </si>
  <si>
    <t>完了条件</t>
  </si>
  <si>
    <t>対応状況／結論</t>
  </si>
  <si>
    <t>アラート</t>
  </si>
  <si>
    <t>最終更新日</t>
  </si>
  <si>
    <t>IT-001</t>
  </si>
  <si>
    <t>管理ルール確定</t>
  </si>
  <si>
    <t>WG開始前に共通ルールが必要</t>
  </si>
  <si>
    <t>事務局内で項目・責任・締切を合意</t>
  </si>
  <si>
    <t>運用ルール承認</t>
  </si>
  <si>
    <t>IS-001</t>
  </si>
  <si>
    <t>BOP運用・役割が不明確</t>
  </si>
  <si>
    <t>作成・承認・連携後の役割が未定義</t>
  </si>
  <si>
    <t>現状業務と責任分担を整理</t>
  </si>
  <si>
    <t>WG-8</t>
  </si>
  <si>
    <t>RACI合意</t>
  </si>
  <si>
    <t>対象スコープ未確定</t>
  </si>
  <si>
    <t>出荷物流の対象範囲が広い</t>
  </si>
  <si>
    <t>現状工数を棚卸しし優先テーマを合意</t>
  </si>
  <si>
    <t>対象範囲承認</t>
  </si>
  <si>
    <t>パートナー展開停滞</t>
  </si>
  <si>
    <t>仕様・費用負担・回収物流が未整理</t>
  </si>
  <si>
    <t>阻害要因と判断事項を整理</t>
  </si>
  <si>
    <t>資材</t>
  </si>
  <si>
    <t>展開方針合意</t>
  </si>
  <si>
    <t>決定事項ログ</t>
  </si>
  <si>
    <t>会議で決まった内容と影響範囲を記録。後から判断理由を追える状態にする。</t>
  </si>
  <si>
    <t>決定ID</t>
  </si>
  <si>
    <t>決定日</t>
  </si>
  <si>
    <t>会議／場</t>
  </si>
  <si>
    <t>決定内容</t>
  </si>
  <si>
    <t>判断理由</t>
  </si>
  <si>
    <t>判断者</t>
  </si>
  <si>
    <t>対象WG</t>
  </si>
  <si>
    <t>対象拠点</t>
  </si>
  <si>
    <t>影響範囲</t>
  </si>
  <si>
    <t>実施責任者</t>
  </si>
  <si>
    <t>反映期限</t>
  </si>
  <si>
    <t>関連課題ID</t>
  </si>
  <si>
    <t>関連資料リンク</t>
  </si>
  <si>
    <t>DC-001</t>
  </si>
  <si>
    <t>事務局打合せ</t>
  </si>
  <si>
    <t>管理ツール初版</t>
  </si>
  <si>
    <t>Excel一元管理案を事務局内レビューへ進める</t>
  </si>
  <si>
    <t>共通ルールを先に固めるため</t>
  </si>
  <si>
    <t>分科会Leader</t>
  </si>
  <si>
    <t>全WG</t>
  </si>
  <si>
    <t>KPI管理</t>
  </si>
  <si>
    <t>KPIは「基盤成立→運用定着→業務成果→投資成果」の順に管理。基準値・目標値は検証結果に基づき更新する。</t>
  </si>
  <si>
    <t>KPI ID</t>
  </si>
  <si>
    <t>階層</t>
  </si>
  <si>
    <t>KPI名</t>
  </si>
  <si>
    <t>目的</t>
  </si>
  <si>
    <t>定義／算式</t>
  </si>
  <si>
    <t>単位</t>
  </si>
  <si>
    <t>測定頻度</t>
  </si>
  <si>
    <t>データソース</t>
  </si>
  <si>
    <t>基準値</t>
  </si>
  <si>
    <t>目標値</t>
  </si>
  <si>
    <t>実績値</t>
  </si>
  <si>
    <t>達成率</t>
  </si>
  <si>
    <t>測定日</t>
  </si>
  <si>
    <t>KPI-001</t>
  </si>
  <si>
    <t>BOP整備率</t>
  </si>
  <si>
    <t>作業指示基盤の成立</t>
  </si>
  <si>
    <t>有効BOP数÷対象部品数</t>
  </si>
  <si>
    <t>%</t>
  </si>
  <si>
    <t>月次</t>
  </si>
  <si>
    <t>PLM</t>
  </si>
  <si>
    <t>定義と対象範囲を確定</t>
  </si>
  <si>
    <t>KPI-002</t>
  </si>
  <si>
    <t>手修正率</t>
  </si>
  <si>
    <t>運用安定性の確認</t>
  </si>
  <si>
    <t>手修正件数÷総実行件数</t>
  </si>
  <si>
    <t>MOM</t>
  </si>
  <si>
    <t>測定方法を確定</t>
  </si>
  <si>
    <t>KPI-003</t>
  </si>
  <si>
    <t>出荷LT</t>
  </si>
  <si>
    <t>出荷業務効率の改善</t>
  </si>
  <si>
    <t>完成から出荷完了までの中央値</t>
  </si>
  <si>
    <t>時間</t>
  </si>
  <si>
    <t>現場実績</t>
  </si>
  <si>
    <t>現状値を取得</t>
  </si>
  <si>
    <t>KPI-004</t>
  </si>
  <si>
    <t>年間純効果額</t>
  </si>
  <si>
    <t>投資判断</t>
  </si>
  <si>
    <t>工数＋品質＋在庫＋停止回避効果－年間維持費</t>
  </si>
  <si>
    <t>金額</t>
  </si>
  <si>
    <t>四半期</t>
  </si>
  <si>
    <t>各WG集計</t>
  </si>
  <si>
    <t>算定ルールを確定</t>
  </si>
  <si>
    <t>更新履歴</t>
  </si>
  <si>
    <t>重要なルール変更、マスタ変更、構造変更を記録する。</t>
  </si>
  <si>
    <t>更新No.</t>
  </si>
  <si>
    <t>更新日</t>
  </si>
  <si>
    <t>更新者</t>
  </si>
  <si>
    <t>対象シート</t>
  </si>
  <si>
    <t>変更内容</t>
  </si>
  <si>
    <t>変更理由</t>
  </si>
  <si>
    <t>承認者</t>
  </si>
  <si>
    <t>REV-001</t>
  </si>
  <si>
    <t>管理ツール初版作成</t>
  </si>
  <si>
    <t>事務局説明資料の運用案を具体化</t>
  </si>
  <si>
    <t>日本語</t>
  </si>
  <si>
    <t>キー</t>
  </si>
  <si>
    <t>中文</t>
  </si>
  <si>
    <t>Tiếng Việt</t>
  </si>
  <si>
    <t>TITLE</t>
  </si>
  <si>
    <t>智能工厂分科会 管理工具</t>
  </si>
  <si>
    <t>Công cụ quản lý Tiểu ban Nhà máy Thông minh</t>
  </si>
  <si>
    <t>PURPOSE</t>
  </si>
  <si>
    <t>目的：跨9个工作组，以统一的管理周期管理计划、课题、决策和KPI的初版方案</t>
  </si>
  <si>
    <t>Mục đích: Bản dự thảo đầu tiên nhằm quản lý kế hoạch, vấn đề, quyết định và KPI của 9 WG trong một chu trình quản lý thống nhất</t>
  </si>
  <si>
    <t>PRINCIPLE_HEADER</t>
  </si>
  <si>
    <t>1. 基本原则</t>
  </si>
  <si>
    <t>1. Nguyên tắc cơ bản</t>
  </si>
  <si>
    <t>P1</t>
  </si>
  <si>
    <t>• 详细讨论保留在会议纪要及相关资料中</t>
  </si>
  <si>
    <t>• Lưu các thảo luận chi tiết trong biên bản họp và tài liệu liên quan</t>
  </si>
  <si>
    <t>P2</t>
  </si>
  <si>
    <t>• 本文件记录结论、下一步行动、负责人、期限和链接</t>
  </si>
  <si>
    <t>• Trong tệp này, ghi lại kết luận, hành động tiếp theo, người phụ trách, thời hạn và liên kết</t>
  </si>
  <si>
    <t>P3</t>
  </si>
  <si>
    <t>• 不要在多个工作表中重复录入相同内容</t>
  </si>
  <si>
    <t>• Không nhập trùng cùng một nội dung trên nhiều trang tính</t>
  </si>
  <si>
    <t>P4</t>
  </si>
  <si>
    <t>• 不要直接删除行，应记录变更或撤回原因</t>
  </si>
  <si>
    <t>• Không xóa dòng; hãy ghi lại lý do thay đổi hoặc rút lại</t>
  </si>
  <si>
    <t>COL_SHEET</t>
  </si>
  <si>
    <t>工作表</t>
  </si>
  <si>
    <t>Trang tính</t>
  </si>
  <si>
    <t>COL_USAGE</t>
  </si>
  <si>
    <t>Mục đích sử dụng</t>
  </si>
  <si>
    <t>U1</t>
  </si>
  <si>
    <t>管理办公室及负责人会议用仪表板</t>
  </si>
  <si>
    <t>Bảng điều khiển cho ban điều hành và cuộc họp trưởng nhóm</t>
  </si>
  <si>
    <t>U2</t>
  </si>
  <si>
    <t>输入候选值和WG定义</t>
  </si>
  <si>
    <t>Danh sách lựa chọn nhập liệu và định nghĩa WG</t>
  </si>
  <si>
    <t>U3</t>
  </si>
  <si>
    <t>成果物及里程碑的计划管理</t>
  </si>
  <si>
    <t>Quản lý kế hoạch sản phẩm bàn giao và mốc tiến độ</t>
  </si>
  <si>
    <t>U4</t>
  </si>
  <si>
    <t>障碍、行动和风险管理</t>
  </si>
  <si>
    <t>Quản lý trở ngại, hành động và rủi ro</t>
  </si>
  <si>
    <t>U5</t>
  </si>
  <si>
    <t>记录决策历史及影响范围</t>
  </si>
  <si>
    <t>Ghi lại lịch sử quyết định và phạm vi ảnh hưởng</t>
  </si>
  <si>
    <t>U6</t>
  </si>
  <si>
    <t>KPI定义、基准值、目标和实际值</t>
  </si>
  <si>
    <t>Định nghĩa KPI, giá trị cơ sở, mục tiêu và thực tế</t>
  </si>
  <si>
    <t>U7</t>
  </si>
  <si>
    <t>记录重要变更内容</t>
  </si>
  <si>
    <t>Ghi lại các thay đổi quan trọng</t>
  </si>
  <si>
    <t>RESP_HEADER</t>
  </si>
  <si>
    <t>2. 更新责任</t>
  </si>
  <si>
    <t>2. Trách nhiệm cập nhật</t>
  </si>
  <si>
    <t>R1</t>
  </si>
  <si>
    <t>• WG负责人：WG会议后更新WBS、课题和KPI</t>
  </si>
  <si>
    <t>• Trưởng WG: Cập nhật WBS, vấn đề và KPI sau cuộc họp WG</t>
  </si>
  <si>
    <t>R2</t>
  </si>
  <si>
    <t>• 管理办公室：每周统筹确认未更新项、逾期项、High优先级及WG间依赖</t>
  </si>
  <si>
    <t>• Ban điều hành: Hàng tuần rà soát các mục chưa cập nhật, quá hạn, mức High và phụ thuộc giữa các WG</t>
  </si>
  <si>
    <t>R3</t>
  </si>
  <si>
    <t>• 完成确认者：确认成果物或处理结果并批准完成</t>
  </si>
  <si>
    <t>• Người xác nhận hoàn thành: Kiểm tra sản phẩm bàn giao hoặc kết quả xử lý và phê duyệt hoàn thành</t>
  </si>
  <si>
    <t>R4</t>
  </si>
  <si>
    <t>• 分科会负责人／据点副负责人：对重要事项作出判断</t>
  </si>
  <si>
    <t>• Trưởng tiểu ban / Phó trưởng đơn vị: Quyết định các vấn đề quan trọng</t>
  </si>
  <si>
    <t>CYCLE_HEADER</t>
  </si>
  <si>
    <t>3. 每周周期</t>
  </si>
  <si>
    <t>3. Chu trình hàng tuần</t>
  </si>
  <si>
    <t>C1</t>
  </si>
  <si>
    <t>• WG活动后：登记新课题、决策和下一步行动</t>
  </si>
  <si>
    <t>• Sau hoạt động WG: Đăng ký vấn đề mới, quyết định và hành động tiếp theo</t>
  </si>
  <si>
    <t>C2</t>
  </si>
  <si>
    <t>• 负责人会议前：管理办公室提取预警事项</t>
  </si>
  <si>
    <t>• Trước cuộc họp trưởng nhóm: Ban điều hành trích xuất các cảnh báo</t>
  </si>
  <si>
    <t>C3</t>
  </si>
  <si>
    <t>• 每周负责人会议：重点讨论待决策事项、跨WG课题和延误</t>
  </si>
  <si>
    <t>• Họp trưởng nhóm hàng tuần: Tập trung thảo luận các mục chờ quyết định, vấn đề liên WG và chậm tiến độ</t>
  </si>
  <si>
    <t>C4</t>
  </si>
  <si>
    <t>• 会后：更新决策事项、负责人和期限</t>
  </si>
  <si>
    <t>• Sau cuộc họp: Cập nhật quyết định, người phụ trách và thời hạn</t>
  </si>
  <si>
    <t>ESC_HEADER</t>
  </si>
  <si>
    <t>4. 升级条件</t>
  </si>
  <si>
    <t>4. Điều kiện báo cáo cấp trên</t>
  </si>
  <si>
    <t>E1</t>
  </si>
  <si>
    <t>• High优先级</t>
  </si>
  <si>
    <t>• Mức ưu tiên High</t>
  </si>
  <si>
    <t>E2</t>
  </si>
  <si>
    <t>• 已逾期或预计将逾期</t>
  </si>
  <si>
    <t>• Đã quá hạn hoặc có khả năng quá hạn</t>
  </si>
  <si>
    <t>E3</t>
  </si>
  <si>
    <t>• 影响多个WG或多个据点</t>
  </si>
  <si>
    <t>• Ảnh hưởng đến nhiều WG hoặc nhiều đơn vị</t>
  </si>
  <si>
    <t>E4</t>
  </si>
  <si>
    <t>• 需要变更范围、投资、人员配置或上级决策</t>
  </si>
  <si>
    <t>• Cần thay đổi phạm vi, đầu tư, nhân sự hoặc quyết định cấp cao hơn</t>
  </si>
  <si>
    <t>言語切替 / 语言切换 / Chuyển ngôn ngữ</t>
  </si>
  <si>
    <t>WG-1</t>
  </si>
  <si>
    <t>WG-1</t>
    <phoneticPr fontId="1"/>
  </si>
  <si>
    <t>WG-2</t>
  </si>
  <si>
    <t>WG-2</t>
    <phoneticPr fontId="1"/>
  </si>
  <si>
    <t>WG-3</t>
  </si>
  <si>
    <t>WG-3</t>
    <phoneticPr fontId="1"/>
  </si>
  <si>
    <t>WG-4</t>
  </si>
  <si>
    <t>WG-4</t>
    <phoneticPr fontId="1"/>
  </si>
  <si>
    <t>WG-5</t>
  </si>
  <si>
    <t>WG-5</t>
    <phoneticPr fontId="1"/>
  </si>
  <si>
    <t>WG-6</t>
  </si>
  <si>
    <t>WG-6</t>
    <phoneticPr fontId="1"/>
  </si>
  <si>
    <t>WG-7</t>
  </si>
  <si>
    <t>WG-7</t>
    <phoneticPr fontId="1"/>
  </si>
  <si>
    <t>WG-8</t>
    <phoneticPr fontId="1"/>
  </si>
  <si>
    <t>WG-9</t>
  </si>
  <si>
    <t>WG-9</t>
    <phoneticPr fontId="1"/>
  </si>
  <si>
    <t>DASH_TITLE</t>
  </si>
  <si>
    <t>整体摘要</t>
  </si>
  <si>
    <t>Tổng quan</t>
  </si>
  <si>
    <t>DASH_DESC</t>
  </si>
  <si>
    <t>供管理办公室及每周WG负责人会议使用。无需输入，自动汇总WBS、课题ToDo和KPI信息。</t>
  </si>
  <si>
    <t>Dùng cho ban điều hành và cuộc họp trưởng WG hàng tuần. Không cần nhập liệu; thông tin WBS, Vấn đề/ToDo và KPI được tự động tổng hợp.</t>
  </si>
  <si>
    <t>DASH_OPEN_WBS</t>
  </si>
  <si>
    <t>未完成WBS</t>
  </si>
  <si>
    <t>WBS chưa hoàn thành</t>
  </si>
  <si>
    <t>DASH_DELAY_WBS</t>
  </si>
  <si>
    <t>延期WBS</t>
  </si>
  <si>
    <t>WBS chậm tiến độ</t>
  </si>
  <si>
    <t>DASH_OPEN_ISSUES</t>
  </si>
  <si>
    <t>未完成课题ToDo</t>
  </si>
  <si>
    <t>Vấn đề/ToDo chưa hoàn thành</t>
  </si>
  <si>
    <t>DASH_HIGH_OVERDUE</t>
  </si>
  <si>
    <t>High／逾期</t>
  </si>
  <si>
    <t>High / Quá hạn</t>
  </si>
  <si>
    <t>DASH_KPI_MISS</t>
  </si>
  <si>
    <t>KPI未达标</t>
  </si>
  <si>
    <t>KPI chưa đạt</t>
  </si>
  <si>
    <t>DASH_WG</t>
  </si>
  <si>
    <t>DASH_OPEN_ISSUES_SHORT</t>
  </si>
  <si>
    <t>未完成课题</t>
  </si>
  <si>
    <t>Vấn đề chưa hoàn thành</t>
  </si>
  <si>
    <t>DASH_HIGH_OVERDUE_SHORT</t>
  </si>
  <si>
    <t>High/逾期</t>
  </si>
  <si>
    <t>High/Quá hạn</t>
  </si>
  <si>
    <t>DASH_WAITING</t>
  </si>
  <si>
    <t>待决策/等待其他WG</t>
  </si>
  <si>
    <t>Chờ quyết định/WG khác</t>
  </si>
  <si>
    <t>DASH_CHART_TITLE</t>
  </si>
  <si>
    <t>WG別 未完了課題</t>
  </si>
  <si>
    <t>各WG未完成课题</t>
  </si>
  <si>
    <t>Vấn đề chưa hoàn thành theo WG</t>
  </si>
  <si>
    <t>DASH_COUNT</t>
  </si>
  <si>
    <t>件数</t>
  </si>
  <si>
    <t>数量</t>
  </si>
  <si>
    <t>Số lượng</t>
  </si>
  <si>
    <t>DASH_ALL</t>
  </si>
  <si>
    <t>整体</t>
  </si>
  <si>
    <t>High：分科会全体の進捗・費用・品質へ直接影響。</t>
  </si>
  <si>
    <t>Middle：個別WGの進捗・費用・品質へ直接影響。</t>
  </si>
  <si>
    <t>Low：直接影響は小さいが成功に必要。</t>
  </si>
  <si>
    <t>M_TITLE</t>
  </si>
  <si>
    <t>输入主数据</t>
  </si>
  <si>
    <t>Danh mục nhập liệu</t>
  </si>
  <si>
    <t>M_DESC</t>
  </si>
  <si>
    <t>用于数据验证的候选值。仅限管理办公室修改。</t>
  </si>
  <si>
    <t>Các giá trị lựa chọn dùng cho xác thực dữ liệu. Chỉ ban điều hành được thay đổi.</t>
  </si>
  <si>
    <t>M_WG</t>
  </si>
  <si>
    <t>M_SITE</t>
  </si>
  <si>
    <t>据点</t>
  </si>
  <si>
    <t>Đơn vị</t>
  </si>
  <si>
    <t>M_STATUS</t>
  </si>
  <si>
    <t>状态</t>
  </si>
  <si>
    <t>Trạng thái</t>
  </si>
  <si>
    <t>M_PRIORITY</t>
  </si>
  <si>
    <t>优先级</t>
  </si>
  <si>
    <t>Mức ưu tiên</t>
  </si>
  <si>
    <t>M_TYPE</t>
  </si>
  <si>
    <t>分类</t>
  </si>
  <si>
    <t>Phân loại</t>
  </si>
  <si>
    <t>M_KPI_LEVEL</t>
  </si>
  <si>
    <t>KPI层级</t>
  </si>
  <si>
    <t>Cấp KPI</t>
  </si>
  <si>
    <t>M_JUDGMENT</t>
  </si>
  <si>
    <t>Đánh giá</t>
  </si>
  <si>
    <t>M_ALL</t>
  </si>
  <si>
    <t>M_WG1</t>
  </si>
  <si>
    <t>M_WG2</t>
  </si>
  <si>
    <t>M_WG3</t>
  </si>
  <si>
    <t>M_WG4</t>
  </si>
  <si>
    <t>M_WG5</t>
  </si>
  <si>
    <t>M_WG6</t>
  </si>
  <si>
    <t>M_WG7</t>
  </si>
  <si>
    <t>M_WG8</t>
  </si>
  <si>
    <t>M_WG9</t>
  </si>
  <si>
    <t>M_COMMON</t>
  </si>
  <si>
    <t>Chung</t>
  </si>
  <si>
    <t>M_KDC</t>
  </si>
  <si>
    <t>M_KDTCN</t>
  </si>
  <si>
    <t>M_KDTVN</t>
  </si>
  <si>
    <t>M_NOT_STARTED</t>
  </si>
  <si>
    <t>未开始</t>
  </si>
  <si>
    <t>Chưa bắt đầu</t>
  </si>
  <si>
    <t>M_IN_PROGRESS</t>
  </si>
  <si>
    <t>处理中</t>
  </si>
  <si>
    <t>Đang xử lý</t>
  </si>
  <si>
    <t>M_WAIT_DECISION</t>
  </si>
  <si>
    <t>待决策</t>
  </si>
  <si>
    <t>Chờ quyết định</t>
  </si>
  <si>
    <t>M_WAIT_WG</t>
  </si>
  <si>
    <t>等待其他WG</t>
  </si>
  <si>
    <t>Chờ WG khác</t>
  </si>
  <si>
    <t>M_WAIT_COMPLETE</t>
  </si>
  <si>
    <t>待确认完成</t>
  </si>
  <si>
    <t>Chờ xác nhận hoàn thành</t>
  </si>
  <si>
    <t>M_COMPLETE</t>
  </si>
  <si>
    <t>已完成</t>
  </si>
  <si>
    <t>Hoàn thành</t>
  </si>
  <si>
    <t>M_HOLD</t>
  </si>
  <si>
    <t>暂缓</t>
  </si>
  <si>
    <t>Tạm hoãn</t>
  </si>
  <si>
    <t>M_WITHDRAWN</t>
  </si>
  <si>
    <t>撤回</t>
  </si>
  <si>
    <t>Rút lại</t>
  </si>
  <si>
    <t>M_HIGH</t>
  </si>
  <si>
    <t>M_MIDDLE</t>
  </si>
  <si>
    <t>M_LOW</t>
  </si>
  <si>
    <t>M_ISSUE</t>
  </si>
  <si>
    <t>课题</t>
  </si>
  <si>
    <t>Vấn đề</t>
  </si>
  <si>
    <t>M_TODO</t>
  </si>
  <si>
    <t>M_DECISION</t>
  </si>
  <si>
    <t>决策</t>
  </si>
  <si>
    <t>Quyết định</t>
  </si>
  <si>
    <t>M_RISK</t>
  </si>
  <si>
    <t>风险</t>
  </si>
  <si>
    <t>Rủi ro</t>
  </si>
  <si>
    <t>M_FOUNDATION</t>
  </si>
  <si>
    <t>基础建立</t>
  </si>
  <si>
    <t>Thiết lập nền tảng</t>
  </si>
  <si>
    <t>M_ADOPTION</t>
  </si>
  <si>
    <t>运营固化</t>
  </si>
  <si>
    <t>Vận hành ổn định</t>
  </si>
  <si>
    <t>M_BUSINESS</t>
  </si>
  <si>
    <t>业务成果</t>
  </si>
  <si>
    <t>Kết quả nghiệp vụ</t>
  </si>
  <si>
    <t>M_INVESTMENT</t>
  </si>
  <si>
    <t>投资成果</t>
  </si>
  <si>
    <t>Kết quả đầu tư</t>
  </si>
  <si>
    <t>M_UNSET</t>
  </si>
  <si>
    <t>未设置</t>
  </si>
  <si>
    <t>Chưa thiết lập</t>
  </si>
  <si>
    <t>M_ON_TRACK</t>
  </si>
  <si>
    <t>顺利</t>
  </si>
  <si>
    <t>Đúng tiến độ</t>
  </si>
  <si>
    <t>M_CAUTION</t>
  </si>
  <si>
    <t>Cần chú ý</t>
  </si>
  <si>
    <t>M_DELAY</t>
  </si>
  <si>
    <t>延迟</t>
  </si>
  <si>
    <t>Chậm tiến độ</t>
  </si>
  <si>
    <t>M_ACHIEVED</t>
  </si>
  <si>
    <t>达成</t>
  </si>
  <si>
    <t>Đạt</t>
  </si>
  <si>
    <t>M_NOT_ACHIEVED</t>
  </si>
  <si>
    <t>未达成</t>
  </si>
  <si>
    <t>Chưa đạt</t>
  </si>
  <si>
    <t>M_PRIORITY_GUIDE</t>
  </si>
  <si>
    <t>优先级说明</t>
  </si>
  <si>
    <t>Nguyên tắc ưu tiên</t>
  </si>
  <si>
    <t>M_HIGH_DESC</t>
  </si>
  <si>
    <t>High：直接影响整个分科会的进度、成本和质量。</t>
  </si>
  <si>
    <t>High: Ảnh hưởng trực tiếp đến tiến độ, chi phí và chất lượng của toàn tiểu ban.</t>
  </si>
  <si>
    <t>M_MIDDLE_DESC</t>
  </si>
  <si>
    <t>Middle：直接影响单个WG的进度、成本和质量。</t>
  </si>
  <si>
    <t>Middle: Ảnh hưởng trực tiếp đến tiến độ, chi phí và chất lượng của từng WG.</t>
  </si>
  <si>
    <t>M_LOW_DESC</t>
  </si>
  <si>
    <t>Low：直接影响较小，但对成功仍有必要。</t>
  </si>
  <si>
    <t>Low: Ảnh hưởng trực tiếp nhỏ nhưng cần thiết để thành công.</t>
  </si>
  <si>
    <t>WBS_TITLE</t>
  </si>
  <si>
    <t>WBS・里程碑</t>
  </si>
  <si>
    <t>WBS &amp; Mốc tiến độ</t>
  </si>
  <si>
    <t>WBS_DESC</t>
  </si>
  <si>
    <t>蓝色字体单元格为输入栏。进度率、剩余天数和延误判定自动计算。3行为输入示例。</t>
  </si>
  <si>
    <t>Các ô chữ màu xanh là ô nhập liệu. Tỷ lệ tiến độ, số ngày còn lại và đánh giá chậm tiến độ được tính tự động. 3 dòng là ví dụ nhập liệu.</t>
  </si>
  <si>
    <t>WBS_ID</t>
  </si>
  <si>
    <t>WBS_WG</t>
  </si>
  <si>
    <t>WBS_SITE</t>
  </si>
  <si>
    <t>WBS_CATEGORY</t>
  </si>
  <si>
    <t>大类</t>
  </si>
  <si>
    <t>WBS_TASK</t>
  </si>
  <si>
    <t>WBS_OWNER</t>
  </si>
  <si>
    <t>负责人</t>
  </si>
  <si>
    <t>Người chịu trách nhiệm</t>
  </si>
  <si>
    <t>WBS_PLAN_START</t>
  </si>
  <si>
    <t>计划开始</t>
  </si>
  <si>
    <t>Ngày bắt đầu kế hoạch</t>
  </si>
  <si>
    <t>WBS_PLAN_END</t>
  </si>
  <si>
    <t>计划结束</t>
  </si>
  <si>
    <t>Ngày kết thúc kế hoạch</t>
  </si>
  <si>
    <t>WBS_ACTUAL_START</t>
  </si>
  <si>
    <t>实际开始</t>
  </si>
  <si>
    <t>Ngày bắt đầu thực tế</t>
  </si>
  <si>
    <t>WBS_ACTUAL_END</t>
  </si>
  <si>
    <t>实际结束</t>
  </si>
  <si>
    <t>Ngày kết thúc thực tế</t>
  </si>
  <si>
    <t>WBS_PROGRESS</t>
  </si>
  <si>
    <t>进度率</t>
  </si>
  <si>
    <t>Tỷ lệ tiến độ</t>
  </si>
  <si>
    <t>WBS_STATUS</t>
  </si>
  <si>
    <t>WBS_DAYS</t>
  </si>
  <si>
    <t>剩余天数</t>
  </si>
  <si>
    <t>Số ngày còn lại</t>
  </si>
  <si>
    <t>WBS_DELAY</t>
  </si>
  <si>
    <t>延误判定</t>
  </si>
  <si>
    <t>Đánh giá chậm tiến độ</t>
  </si>
  <si>
    <t>WBS_LINK</t>
  </si>
  <si>
    <t>相关链接</t>
  </si>
  <si>
    <t>Liên kết liên quan</t>
  </si>
  <si>
    <t>WBS_NOTE</t>
  </si>
  <si>
    <t>备注</t>
  </si>
  <si>
    <t>Ghi chú</t>
  </si>
  <si>
    <t>03_WBS</t>
    <phoneticPr fontId="1"/>
  </si>
  <si>
    <t>Toàn bộ</t>
    <phoneticPr fontId="1"/>
  </si>
  <si>
    <t>ALERT_OVERDUE</t>
  </si>
  <si>
    <t>期限超過</t>
  </si>
  <si>
    <t>逾期</t>
  </si>
  <si>
    <t>Quá hạn</t>
  </si>
  <si>
    <t>ALERT_APPROACHING</t>
  </si>
  <si>
    <t>期限接近</t>
  </si>
  <si>
    <t>临近期限</t>
  </si>
  <si>
    <t>Sắp đến hạn</t>
  </si>
  <si>
    <t>ALERT_CHECK</t>
  </si>
  <si>
    <t>要確認</t>
  </si>
  <si>
    <t>需确认</t>
  </si>
  <si>
    <t>Cần xác nhận</t>
  </si>
  <si>
    <t>COMMON_EXAMPLE</t>
  </si>
  <si>
    <t>输入示例</t>
  </si>
  <si>
    <t>Ví dụ nhập liệu</t>
  </si>
  <si>
    <t>COMMON_ALL_WG</t>
  </si>
  <si>
    <t>全体WG</t>
  </si>
  <si>
    <t>Tất cả WG</t>
  </si>
  <si>
    <t>ROLE_PMO</t>
  </si>
  <si>
    <t>运营事务局</t>
  </si>
  <si>
    <t>Ban điều hành</t>
  </si>
  <si>
    <t>ROLE_LEADER</t>
  </si>
  <si>
    <t>Trưởng nhóm WG</t>
  </si>
  <si>
    <t>ROLE_SUBLEADER</t>
  </si>
  <si>
    <t>Trưởng tiểu ban</t>
  </si>
  <si>
    <t>ROLE_MATERIALS</t>
  </si>
  <si>
    <t>采购／物料</t>
  </si>
  <si>
    <t>Vật tư</t>
  </si>
  <si>
    <t>ROLE_ALL_LEADERS</t>
  </si>
  <si>
    <t>全リーダー</t>
  </si>
  <si>
    <t>全体负责人</t>
  </si>
  <si>
    <t>Tất cả trưởng nhóm</t>
  </si>
  <si>
    <t>WBS_CAT_STARTUP</t>
  </si>
  <si>
    <t>启动</t>
  </si>
  <si>
    <t>Khởi động</t>
  </si>
  <si>
    <t>WBS_CAT_ANALYSIS</t>
  </si>
  <si>
    <t>现状分析</t>
  </si>
  <si>
    <t>Phân tích hiện trạng</t>
  </si>
  <si>
    <t>WBS_CAT_POLICY</t>
  </si>
  <si>
    <t>方针制定</t>
  </si>
  <si>
    <t>Xây dựng định hướng</t>
  </si>
  <si>
    <t>WBS_TASK_1</t>
  </si>
  <si>
    <t>确定WG运营规则</t>
  </si>
  <si>
    <t>Xác định quy tắc vận hành WG</t>
  </si>
  <si>
    <t>WBS_TASK_2</t>
  </si>
  <si>
    <t>盘点现状业务</t>
  </si>
  <si>
    <t>Rà soát nghiệp vụ hiện tại</t>
  </si>
  <si>
    <t>WBS_TASK_3</t>
  </si>
  <si>
    <t>梳理现有系统职责</t>
  </si>
  <si>
    <t>Sắp xếp vai trò hệ thống hiện hữu</t>
  </si>
  <si>
    <t>ISSUE_TITLE</t>
  </si>
  <si>
    <t>课题・ToDo管理</t>
  </si>
  <si>
    <t>Quản lý Vấn đề &amp; ToDo</t>
  </si>
  <si>
    <t>ISSUE_DESC</t>
  </si>
  <si>
    <t>统一管理课题、ToDo、决策与风险。剩余天数与预警自动计算。4行为输入示例。</t>
  </si>
  <si>
    <t>Quản lý tập trung vấn đề, ToDo, quyết định và rủi ro. Số ngày còn lại và cảnh báo được tính tự động. 4 dòng là ví dụ nhập liệu.</t>
  </si>
  <si>
    <t>ISSUE_COL_ID</t>
  </si>
  <si>
    <t>ISSUE_COL_TYPE</t>
  </si>
  <si>
    <t>类型</t>
  </si>
  <si>
    <t>ISSUE_COL_WG</t>
  </si>
  <si>
    <t>ISSUE_COL_SITE</t>
  </si>
  <si>
    <t>ISSUE_COL_TITLE</t>
  </si>
  <si>
    <t>主题</t>
  </si>
  <si>
    <t>Tiêu đề</t>
  </si>
  <si>
    <t>ISSUE_COL_BG</t>
  </si>
  <si>
    <t>背景／问题</t>
  </si>
  <si>
    <t>Bối cảnh / Vấn đề</t>
  </si>
  <si>
    <t>ISSUE_COL_ACTION</t>
  </si>
  <si>
    <t>下一步行动</t>
  </si>
  <si>
    <t>Hành động tiếp theo</t>
  </si>
  <si>
    <t>ISSUE_COL_OWNER</t>
  </si>
  <si>
    <t>Người phụ trách</t>
  </si>
  <si>
    <t>ISSUE_COL_COOP</t>
  </si>
  <si>
    <t>协同人</t>
  </si>
  <si>
    <t>Người phối hợp</t>
  </si>
  <si>
    <t>ISSUE_COL_START</t>
  </si>
  <si>
    <t>发起日期</t>
  </si>
  <si>
    <t>Ngày tạo</t>
  </si>
  <si>
    <t>ISSUE_COL_DUE</t>
  </si>
  <si>
    <t>截止期限</t>
  </si>
  <si>
    <t>Thời hạn</t>
  </si>
  <si>
    <t>ISSUE_COL_PRIORITY</t>
  </si>
  <si>
    <t>ISSUE_COL_STATUS</t>
  </si>
  <si>
    <t>ISSUE_COL_DEP</t>
  </si>
  <si>
    <t>关联WG／依赖方</t>
  </si>
  <si>
    <t>WG liên quan / Phụ thuộc</t>
  </si>
  <si>
    <t>ISSUE_COL_COND</t>
  </si>
  <si>
    <t>完成条件</t>
  </si>
  <si>
    <t>Điều kiện hoàn thành</t>
  </si>
  <si>
    <t>ISSUE_COL_RESULT</t>
  </si>
  <si>
    <t>处理情况／结论</t>
  </si>
  <si>
    <t>Tình trạng xử lý / Kết luận</t>
  </si>
  <si>
    <t>ISSUE_COL_LINK</t>
  </si>
  <si>
    <t>ISSUE_COL_DAYS</t>
  </si>
  <si>
    <t>ISSUE_COL_ALERT</t>
  </si>
  <si>
    <t>预警</t>
  </si>
  <si>
    <t>Cảnh báo</t>
  </si>
  <si>
    <t>ISSUE_COL_UPDATED</t>
  </si>
  <si>
    <t>最终更新日</t>
  </si>
  <si>
    <t>Ngày cập nhật cuối</t>
  </si>
  <si>
    <t>ISSUE_EX1_TITLE</t>
  </si>
  <si>
    <t>确定管理规则</t>
  </si>
  <si>
    <t>Xác định quy tắc quản lý</t>
  </si>
  <si>
    <t>ISSUE_EX1_BG</t>
  </si>
  <si>
    <t>WG启动前需要通用规则</t>
  </si>
  <si>
    <t>Cần quy tắc chung trước khi khởi động WG</t>
  </si>
  <si>
    <t>ISSUE_EX1_ACT</t>
  </si>
  <si>
    <t>事务局内部就项目、责任和截止日期达成一致</t>
  </si>
  <si>
    <t>Thống nhất các mục, trách nhiệm và thời hạn trong ban điều hành</t>
  </si>
  <si>
    <t>ISSUE_EX1_COND</t>
  </si>
  <si>
    <t>运营规则获得批准</t>
  </si>
  <si>
    <t>Quy tắc vận hành được phê duyệt</t>
  </si>
  <si>
    <t>ISSUE_EX2_TITLE</t>
  </si>
  <si>
    <t>BOP运营与职责不明确</t>
  </si>
  <si>
    <t>Vận hành và vai trò BOP chưa rõ ràng</t>
  </si>
  <si>
    <t>ISSUE_EX2_BG</t>
  </si>
  <si>
    <t>编制、审批、对接后的职责未定义</t>
  </si>
  <si>
    <t>Chưa định nghĩa vai trò sau khi tạo, phê duyệt và liên kết</t>
  </si>
  <si>
    <t>ISSUE_EX2_ACT</t>
  </si>
  <si>
    <t>梳理现状业务与职责分工</t>
  </si>
  <si>
    <t>Rà soát nghiệp vụ hiện tại và phân công trách nhiệm</t>
  </si>
  <si>
    <t>ISSUE_EX2_DEP</t>
  </si>
  <si>
    <t>WG-8 系统集成</t>
  </si>
  <si>
    <t>WG-8 Tích hợp hệ thống</t>
  </si>
  <si>
    <t>ISSUE_EX2_COND</t>
  </si>
  <si>
    <t>达成RACI共识</t>
  </si>
  <si>
    <t>Thống nhất bảng RACI</t>
  </si>
  <si>
    <t>ISSUE_EX3_TITLE</t>
  </si>
  <si>
    <t>目标范围未确定</t>
  </si>
  <si>
    <t>Phạm vi mục tiêu chưa xác định</t>
  </si>
  <si>
    <t>ISSUE_EX3_BG</t>
  </si>
  <si>
    <t>发货物流目标范围较广</t>
  </si>
  <si>
    <t>Phạm vi logistics giao hàng rộng</t>
  </si>
  <si>
    <t>ISSUE_EX3_ACT</t>
  </si>
  <si>
    <t>盘点现状工时并就优先主题达成共识</t>
  </si>
  <si>
    <t>Rà soát công chuẩn hiện tại và thống nhất chủ đề ưu tiên</t>
  </si>
  <si>
    <t>ISSUE_EX3_COND</t>
  </si>
  <si>
    <t>目标范围获批</t>
  </si>
  <si>
    <t>Phê duyệt phạm vi mục tiêu</t>
  </si>
  <si>
    <t>ISSUE_EX4_TITLE</t>
  </si>
  <si>
    <t>合作伙伴推广停滞</t>
  </si>
  <si>
    <t>Triển khai với đối tác bị đình trệ</t>
  </si>
  <si>
    <t>ISSUE_EX4_BG</t>
  </si>
  <si>
    <t>规格、费用分摊、回收物流未理顺</t>
  </si>
  <si>
    <t>Chưa sắp xếp quy cách, chia sẻ chi phí và logistics thu hồi</t>
  </si>
  <si>
    <t>ISSUE_EX4_ACT</t>
  </si>
  <si>
    <t>梳理阻碍因素与决策事项</t>
  </si>
  <si>
    <t>Sắp xếp các yếu tố cản trở và vấn đề cần quyết định</t>
  </si>
  <si>
    <t>ISSUE_EX4_DEP</t>
  </si>
  <si>
    <t>WG-1 零部件接收</t>
  </si>
  <si>
    <t>WG-1 Tiếp nhận linh kiện</t>
  </si>
  <si>
    <t>ISSUE_EX4_COND</t>
  </si>
  <si>
    <t>达成推广方针共识</t>
  </si>
  <si>
    <t>Thống nhất định hướng triển khai</t>
  </si>
  <si>
    <t>DEC_TITLE</t>
  </si>
  <si>
    <t>决议事项记录</t>
  </si>
  <si>
    <t>Nhật ký quyết định</t>
  </si>
  <si>
    <t>DEC_DESC</t>
  </si>
  <si>
    <t>记录会议决定内容及影响范围，确保事后可追溯决策原因。</t>
  </si>
  <si>
    <t>Ghi lại nội dung quyết định trong cuộc họp và phạm vi ảnh hưởng. Giúp theo dõi lại lý do đưa ra quyết định.</t>
  </si>
  <si>
    <t>DEC_COL_ID</t>
  </si>
  <si>
    <t>决议ID</t>
  </si>
  <si>
    <t>Mã quyết định</t>
  </si>
  <si>
    <t>DEC_COL_DATE</t>
  </si>
  <si>
    <t>决议日期</t>
  </si>
  <si>
    <t>Ngày quyết định</t>
  </si>
  <si>
    <t>DEC_COL_FORUM</t>
  </si>
  <si>
    <t>会议／场合</t>
  </si>
  <si>
    <t>Cuộc họp / Diễn đàn</t>
  </si>
  <si>
    <t>DEC_COL_TITLE</t>
  </si>
  <si>
    <t>DEC_COL_CONTENT</t>
  </si>
  <si>
    <t>决议内容</t>
  </si>
  <si>
    <t>Nội dung quyết định</t>
  </si>
  <si>
    <t>DEC_COL_REASON</t>
  </si>
  <si>
    <t>决策原因</t>
  </si>
  <si>
    <t>Lý do quyết định</t>
  </si>
  <si>
    <t>DEC_COL_DECIDER</t>
  </si>
  <si>
    <t>决策人</t>
  </si>
  <si>
    <t>Người quyết định</t>
  </si>
  <si>
    <t>DEC_COL_WG</t>
  </si>
  <si>
    <t>对象WG</t>
  </si>
  <si>
    <t>WG áp dụng</t>
  </si>
  <si>
    <t>DEC_COL_SITE</t>
  </si>
  <si>
    <t>对象据点</t>
  </si>
  <si>
    <t>Đơn vị áp dụng</t>
  </si>
  <si>
    <t>DEC_COL_SCOPE</t>
  </si>
  <si>
    <t>影响范围</t>
  </si>
  <si>
    <t>Phạm vi ảnh hưởng</t>
  </si>
  <si>
    <t>DEC_COL_LEAD</t>
  </si>
  <si>
    <t>实施负责人</t>
  </si>
  <si>
    <t>Người chịu trách nhiệm thực hiện</t>
  </si>
  <si>
    <t>DEC_COL_DUE</t>
  </si>
  <si>
    <t>生效期限</t>
  </si>
  <si>
    <t>Thời hạn áp dụng</t>
  </si>
  <si>
    <t>DEC_COL_ISSUE_ID</t>
  </si>
  <si>
    <t>关联课题ID</t>
  </si>
  <si>
    <t>Mã vấn đề liên quan</t>
  </si>
  <si>
    <t>DEC_COL_LINK</t>
  </si>
  <si>
    <t>相关资料链接</t>
  </si>
  <si>
    <t>Liên kết tài liệu liên quan</t>
  </si>
  <si>
    <t>DEC_COL_NOTE</t>
  </si>
  <si>
    <t>DEC_EX1_FORUM</t>
  </si>
  <si>
    <t>事务局例会</t>
  </si>
  <si>
    <t>Họp ban điều hành</t>
  </si>
  <si>
    <t>DEC_EX1_TITLE</t>
  </si>
  <si>
    <t>管理工具初版</t>
  </si>
  <si>
    <t>Bản đầu tiên công cụ quản lý</t>
  </si>
  <si>
    <t>DEC_EX1_CONTENT</t>
  </si>
  <si>
    <t>推进Excel统一管理方案至事务局内部评审</t>
  </si>
  <si>
    <t>Đưa phương án quản lý tập trung bằng Excel vào rà soát nội bộ ban điều hành</t>
  </si>
  <si>
    <t>DEC_EX1_REASON</t>
  </si>
  <si>
    <t>为优先确立通用规则</t>
  </si>
  <si>
    <t>Để củng cố các quy tắc chung trước tiên</t>
  </si>
  <si>
    <t>KPI_TITLE</t>
  </si>
  <si>
    <t>Quản lý KPI</t>
  </si>
  <si>
    <t>KPI_DESC</t>
  </si>
  <si>
    <t>KPI按“基础建立→运营固化→业务成果→投资成果”顺序管理。基准值与目标值根据验证结果更新。</t>
  </si>
  <si>
    <t>KPI được quản lý theo thứ tự: 'Thiết lập nền tảng → Vận hành ổn định → Kết quả nghiệp vụ → Kết quả đầu tư'. Cập nhật giá trị cơ sở và mục tiêu theo kết quả kiểm chứng.</t>
  </si>
  <si>
    <t>KPI_COL_ID</t>
  </si>
  <si>
    <t>Mã KPI</t>
  </si>
  <si>
    <t>KPI_COL_WG</t>
  </si>
  <si>
    <t>KPI_COL_LEVEL</t>
  </si>
  <si>
    <t>层级</t>
  </si>
  <si>
    <t>Cấp độ</t>
  </si>
  <si>
    <t>KPI_COL_NAME</t>
  </si>
  <si>
    <t>KPI名称</t>
  </si>
  <si>
    <t>Tên KPI</t>
  </si>
  <si>
    <t>KPI_COL_PURPOSE</t>
  </si>
  <si>
    <t>Mục đích</t>
  </si>
  <si>
    <t>KPI_COL_FORMULA</t>
  </si>
  <si>
    <t>定义／算式</t>
  </si>
  <si>
    <t>Định nghĩa / Công thức</t>
  </si>
  <si>
    <t>KPI_COL_UNIT</t>
  </si>
  <si>
    <t>单位</t>
  </si>
  <si>
    <t>Đơn vị tính</t>
  </si>
  <si>
    <t>KPI_COL_FREQ</t>
  </si>
  <si>
    <t>测量频次</t>
  </si>
  <si>
    <t>Tần suất đo lường</t>
  </si>
  <si>
    <t>KPI_COL_SOURCE</t>
  </si>
  <si>
    <t>数据来源</t>
  </si>
  <si>
    <t>Nguồn dữ liệu</t>
  </si>
  <si>
    <t>KPI_COL_OWNER</t>
  </si>
  <si>
    <t>KPI_COL_BASE</t>
  </si>
  <si>
    <t>基准值</t>
  </si>
  <si>
    <t>Giá trị cơ sở</t>
  </si>
  <si>
    <t>KPI_COL_TARGET</t>
  </si>
  <si>
    <t>目标值</t>
  </si>
  <si>
    <t>Giá trị mục tiêu</t>
  </si>
  <si>
    <t>KPI_COL_ACTUAL</t>
  </si>
  <si>
    <t>实际值</t>
  </si>
  <si>
    <t>Giá trị thực tế</t>
  </si>
  <si>
    <t>KPI_COL_RATE</t>
  </si>
  <si>
    <t>达成率</t>
  </si>
  <si>
    <t>Tỷ lệ đạt</t>
  </si>
  <si>
    <t>KPI_COL_JUDGE</t>
  </si>
  <si>
    <t>KPI_COL_DATE</t>
  </si>
  <si>
    <t>测量日期</t>
  </si>
  <si>
    <t>Ngày đo</t>
  </si>
  <si>
    <t>KPI_COL_ACTION</t>
  </si>
  <si>
    <t>KPI_COL_NOTE</t>
  </si>
  <si>
    <t>KPI_UNIT_TIME</t>
  </si>
  <si>
    <t>小时</t>
  </si>
  <si>
    <t>Giờ</t>
  </si>
  <si>
    <t>KPI_UNIT_MONEY</t>
  </si>
  <si>
    <t>金额</t>
  </si>
  <si>
    <t>Số tiền</t>
  </si>
  <si>
    <t>KPI_FREQ_MONTH</t>
  </si>
  <si>
    <t>月度</t>
  </si>
  <si>
    <t>Hàng tháng</t>
  </si>
  <si>
    <t>KPI_FREQ_QUARTER</t>
  </si>
  <si>
    <t>季度</t>
  </si>
  <si>
    <t>Hàng quý</t>
  </si>
  <si>
    <t>KPI_SRC_ACTUAL</t>
  </si>
  <si>
    <t>现场实际</t>
  </si>
  <si>
    <t>Thực tế hiện trường</t>
  </si>
  <si>
    <t>KPI_SRC_WG_SUM</t>
  </si>
  <si>
    <t>各WG汇总</t>
  </si>
  <si>
    <t>Tổng hợp từ các WG</t>
  </si>
  <si>
    <t>KPI_EX1_NAME</t>
  </si>
  <si>
    <t>BOP完善率</t>
  </si>
  <si>
    <t>Tỷ lệ hoàn thiện BOP</t>
  </si>
  <si>
    <t>KPI_EX1_PURPOSE</t>
  </si>
  <si>
    <t>建立作业指导基础</t>
  </si>
  <si>
    <t>Thiết lập nền tảng chỉ dẫn công việc</t>
  </si>
  <si>
    <t>KPI_EX1_FORMULA</t>
  </si>
  <si>
    <t>有效BOP数÷对象零部件数</t>
  </si>
  <si>
    <t>Số BOP hợp lệ ÷ Số linh kiện mục tiêu</t>
  </si>
  <si>
    <t>KPI_EX1_ACTION</t>
  </si>
  <si>
    <t>确定定义与目标范围</t>
  </si>
  <si>
    <t>Xác định định nghĩa và phạm vi mục tiêu</t>
  </si>
  <si>
    <t>KPI_EX2_NAME</t>
  </si>
  <si>
    <t>手动修正率</t>
  </si>
  <si>
    <t>Tỷ lệ chỉnh sửa thủ công</t>
  </si>
  <si>
    <t>KPI_EX2_PURPOSE</t>
  </si>
  <si>
    <t>确认运行稳定性</t>
  </si>
  <si>
    <t>Xác nhận độ ổn định vận hành</t>
  </si>
  <si>
    <t>KPI_EX2_FORMULA</t>
  </si>
  <si>
    <t>手动修正件数÷总执行件数</t>
  </si>
  <si>
    <t>Số lượt chỉnh sửa thủ công ÷ Tổng số lượt thực hiện</t>
  </si>
  <si>
    <t>KPI_EX2_ACTION</t>
  </si>
  <si>
    <t>确定测量方法</t>
  </si>
  <si>
    <t>Xác định phương pháp đo lường</t>
  </si>
  <si>
    <t>KPI_EX3_NAME</t>
  </si>
  <si>
    <t>发货LT</t>
  </si>
  <si>
    <t>Thời gian chuẩn bị giao hàng (LT)</t>
  </si>
  <si>
    <t>KPI_EX3_PURPOSE</t>
  </si>
  <si>
    <t>改善发货业务效率</t>
  </si>
  <si>
    <t>Cải thiện hiệu quả nghiệp vụ giao hàng</t>
  </si>
  <si>
    <t>KPI_EX3_FORMULA</t>
  </si>
  <si>
    <t>从完成到发货完成的中位数</t>
  </si>
  <si>
    <t>Trung vị thời gian từ khi hoàn thành đến khi xuất hàng</t>
  </si>
  <si>
    <t>KPI_EX3_ACTION</t>
  </si>
  <si>
    <t>获取当前值</t>
  </si>
  <si>
    <t>Thu thập giá trị hiện tại</t>
  </si>
  <si>
    <t>KPI_EX4_NAME</t>
  </si>
  <si>
    <t>年净效益额</t>
  </si>
  <si>
    <t>Giá trị hiệu quả ròng hàng năm</t>
  </si>
  <si>
    <t>KPI_EX4_PURPOSE</t>
  </si>
  <si>
    <t>投资决策</t>
  </si>
  <si>
    <t>Đánh giá quyết định đầu tư</t>
  </si>
  <si>
    <t>KPI_EX4_FORMULA</t>
  </si>
  <si>
    <t>工时＋质量＋库存＋停线避免效益－年维护费用</t>
  </si>
  <si>
    <t>Hiệu quả nhân công + chất lượng + tồn kho + tránh dừng máy - chi phí duy trì hàng năm</t>
  </si>
  <si>
    <t>KPI_EX4_ACTION</t>
  </si>
  <si>
    <t>确定测算规则</t>
  </si>
  <si>
    <t>Xác định quy tắc tính toán</t>
  </si>
  <si>
    <t>REV_TITLE</t>
  </si>
  <si>
    <t>更新历史</t>
  </si>
  <si>
    <t>Lịch sử cập nhật</t>
  </si>
  <si>
    <t>REV_DESC</t>
  </si>
  <si>
    <t>记录重要规则变更、主数据变更及结构变更。</t>
  </si>
  <si>
    <t>Ghi lại các thay đổi quan trọng về quy tắc, dữ liệu danh mục và thay đổi cấu trúc.</t>
  </si>
  <si>
    <t>REV_COL_NO</t>
  </si>
  <si>
    <t>更新序号</t>
  </si>
  <si>
    <t>Số cập nhật</t>
  </si>
  <si>
    <t>REV_COL_DATE</t>
  </si>
  <si>
    <t>更新日期</t>
  </si>
  <si>
    <t>Ngày cập nhật</t>
  </si>
  <si>
    <t>REV_COL_AUTHOR</t>
  </si>
  <si>
    <t>更新人</t>
  </si>
  <si>
    <t>Người cập nhật</t>
  </si>
  <si>
    <t>REV_COL_TARGET</t>
  </si>
  <si>
    <t>对象工作表</t>
  </si>
  <si>
    <t>Trang tính áp dụng</t>
  </si>
  <si>
    <t>REV_COL_CONTENT</t>
  </si>
  <si>
    <t>变更内容</t>
  </si>
  <si>
    <t>Nội dung thay đổi</t>
  </si>
  <si>
    <t>REV_COL_REASON</t>
  </si>
  <si>
    <t>变更原因</t>
  </si>
  <si>
    <t>Lý do thay đổi</t>
  </si>
  <si>
    <t>REV_COL_APPROVER</t>
  </si>
  <si>
    <t>审批人</t>
  </si>
  <si>
    <t>Người phê duyệt</t>
  </si>
  <si>
    <t>REV_COL_NOTE</t>
  </si>
  <si>
    <t>REV_EX1_CONTENT</t>
  </si>
  <si>
    <t>创建管理工具初版</t>
  </si>
  <si>
    <t>Tạo bản dự thảo đầu tiên của công cụ quản lý</t>
  </si>
  <si>
    <t>REV_EX1_REASON</t>
  </si>
  <si>
    <t>具体化事务局说明材料中的运营方案</t>
  </si>
  <si>
    <t>Cụ thể hóa phương án vận hành trong tài liệu giải trình của ban điều hành</t>
  </si>
  <si>
    <t>Toàn bộ</t>
    <phoneticPr fontId="1"/>
  </si>
  <si>
    <t>PARA_TITLE</t>
  </si>
  <si>
    <t>5. 並行翻訳ルール（新入力対応）</t>
  </si>
  <si>
    <t>5. 并行翻译规则（新输入）</t>
  </si>
  <si>
    <t>NEW_JP_SUFFIX</t>
  </si>
  <si>
    <t xml:space="preserve"> (JP)</t>
  </si>
  <si>
    <t>NEW_CN_SUFFIX</t>
  </si>
  <si>
    <t xml:space="preserve"> (CN)</t>
  </si>
  <si>
    <t>NEW_VI_SUFFIX</t>
  </si>
  <si>
    <t xml:space="preserve"> (VI)</t>
  </si>
  <si>
    <t>BACKUP_TITLE</t>
  </si>
  <si>
    <t>6. 削除防止・バックアップ</t>
  </si>
  <si>
    <t>6. 防删除与备份</t>
  </si>
  <si>
    <t>BACKUP_DESC</t>
  </si>
  <si>
    <t>行を物理削除禁止。取下に変更し_ゴミ箱へコピー。SharePointでバージョン履歴500件・週次別名保存。</t>
  </si>
  <si>
    <t>禁止物理删除。改为撤回并复制到回收站。SharePoint启用500版本・每周另存。</t>
  </si>
  <si>
    <t>GOMI_NO</t>
  </si>
  <si>
    <t>No.</t>
  </si>
  <si>
    <t>序号</t>
  </si>
  <si>
    <t>GOMI_DATE</t>
  </si>
  <si>
    <t>削除日</t>
  </si>
  <si>
    <t>删除日期</t>
  </si>
  <si>
    <t>GOMI_SHEET</t>
  </si>
  <si>
    <t>GOMI_ID</t>
  </si>
  <si>
    <t>対象ID</t>
  </si>
  <si>
    <t>对象ID</t>
  </si>
  <si>
    <t>GOMI_SNAP</t>
  </si>
  <si>
    <t>内容スナップショット</t>
  </si>
  <si>
    <t>内容快照</t>
  </si>
  <si>
    <t>GOMI_BY</t>
  </si>
  <si>
    <t>削除者</t>
  </si>
  <si>
    <t>删除人</t>
  </si>
  <si>
    <t>GOMI_REASON</t>
  </si>
  <si>
    <t>理由</t>
  </si>
  <si>
    <t>原因</t>
  </si>
  <si>
    <t>Language code / Ma ngon ngu (TRANSLATE, do not edit)</t>
  </si>
  <si>
    <t>ja</t>
  </si>
  <si>
    <t>zh-Hans</t>
  </si>
  <si>
    <t>vi</t>
  </si>
  <si>
    <t>DEL-001</t>
  </si>
  <si>
    <t>Do not delete physically, copy here then set Withdrawn</t>
  </si>
  <si>
    <t>PMO</t>
  </si>
  <si>
    <t>5. Quy tắc dịch song song (nội dung mới)</t>
    <phoneticPr fontId="1"/>
  </si>
  <si>
    <t>6. Chống xóa &amp; sao lưu</t>
    <phoneticPr fontId="1"/>
  </si>
  <si>
    <t>Cấm xóa dòng vật lý. Chuyển sang "Rút lại" và sao chép sang _ゴミ箱_Backup. Bật Version History 500 bản trên SharePoint, hàng tuần lưu riêng.</t>
    <phoneticPr fontId="1"/>
  </si>
  <si>
    <t>Số</t>
    <phoneticPr fontId="1"/>
  </si>
  <si>
    <t>Ngày xóa</t>
    <phoneticPr fontId="1"/>
  </si>
  <si>
    <t>Trang tính</t>
    <phoneticPr fontId="1"/>
  </si>
  <si>
    <t>Mã</t>
    <phoneticPr fontId="1"/>
  </si>
  <si>
    <t>Nội dung snapshot</t>
    <phoneticPr fontId="1"/>
  </si>
  <si>
    <t>Người xóa</t>
    <phoneticPr fontId="1"/>
  </si>
  <si>
    <t>Lý do</t>
    <phoneticPr fontId="1"/>
  </si>
  <si>
    <t>tôi tên là</t>
    <phoneticPr fontId="1"/>
  </si>
  <si>
    <t>PARA_DESC</t>
    <phoneticPr fontId="1"/>
  </si>
  <si>
    <t>[入力: VI/JP/CN] 列に母語（日・中・越）で入力すると、隣接するVI/JP/CN列がTRANSLATE関数で自動翻訳・表示されます。</t>
    <phoneticPr fontId="1"/>
  </si>
  <si>
    <t>在 [输入: VI/JP/CN] 列用母语（日/中/越）输入，相邻的VI/JP/CN列将通过TRANSLATE函数自动翻译并展示。</t>
    <phoneticPr fontId="1"/>
  </si>
  <si>
    <t>Gõ vào cột [Nhập: VI/JP/CN] bằng tiếng mẹ đẻ (Việt/Nhật/Trung), các cột VI/JP/CN kề cạnh sẽ tự động dịch và hiển thị bằng hàm TRANSLATE.</t>
    <phoneticPr fontId="1"/>
  </si>
  <si>
    <t>PARA_HOWTO</t>
    <phoneticPr fontId="1"/>
  </si>
  <si>
    <t>NEW_INPUT_SUFFIX</t>
  </si>
  <si>
    <t xml:space="preserve"> [入力: VI/JP/CN]</t>
  </si>
  <si>
    <t xml:space="preserve"> [输入: VI/JP/CN]</t>
  </si>
  <si>
    <t xml:space="preserve"> [Nhập: VI/JP/CN]</t>
  </si>
  <si>
    <t>入力ルール: 【黄色の見出し列】= 入力・選択可能（[入力]列に日/中/越で入力）
【青色の見出し列】= 入力不可（自動計算・3言語自動翻訳）。</t>
    <phoneticPr fontId="1"/>
  </si>
  <si>
    <t>输入规则: 【黄色表头列】= 允许输入/选择（在[输入]列用中/日/越输入）
【深蓝色表头列】= 禁止输入（公式自动计算与三语自动翻译）。</t>
    <phoneticPr fontId="1"/>
  </si>
  <si>
    <t>Quy tắc nhập: 【Tiêu đề VÀNG】= Được phép nhập / chọn dữ liệu (Gõ bất kỳ tiếng Việt/Nhật/Trung vào ô [Nhập])
【Tiêu đề XANH DƯƠNG】= Cấm nhập (Tự động tính toán &amp; dịch tự động 3 thứ tiếng).</t>
    <phoneticPr fontId="1"/>
  </si>
  <si>
    <t>表示言語選んでください
Chọn ngôn ngữ hiển thị</t>
  </si>
  <si>
    <t>Cứ điểm</t>
  </si>
  <si>
    <t>Giai đoạn hoạt động</t>
  </si>
  <si>
    <t>タスク／目標</t>
  </si>
  <si>
    <t>任务／目标</t>
  </si>
  <si>
    <t>Nhiệm vụ / Mục tiêu</t>
  </si>
  <si>
    <t>Link tài liệu liên quan</t>
  </si>
  <si>
    <t>Tự động hóa cấp phát</t>
  </si>
  <si>
    <t>Cơ chế cấp phát</t>
  </si>
  <si>
    <t>Xem xét cơ chế cấp phát theo phương thức Pull</t>
  </si>
  <si>
    <t>Phương pháp liên kết tín hiệu</t>
  </si>
  <si>
    <t>Xem xét phương pháp AMM lấy thùng HAN-CON</t>
  </si>
  <si>
    <t>Xe xét đường vận chuyển</t>
  </si>
  <si>
    <t>Xem xét lại diện tích layout line</t>
  </si>
  <si>
    <t>VN</t>
  </si>
  <si>
    <t>JP</t>
  </si>
  <si>
    <t>CN</t>
  </si>
  <si>
    <t>Lập list chọn</t>
  </si>
  <si>
    <t>WG1-001</t>
  </si>
  <si>
    <t>WG-8-001</t>
  </si>
  <si>
    <t>001</t>
  </si>
  <si>
    <t>002</t>
  </si>
  <si>
    <t>003</t>
  </si>
  <si>
    <t>Tiếng Việt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</si>
</sst>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8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6"/>
      <color rgb="FFFFFFFF"/>
      <name val="Meiryo UI"/>
      <family val="3"/>
      <charset val="128"/>
    </font>
    <font>
      <sz val="11"/>
      <color theme="1"/>
      <name val="Meiryo UI"/>
      <family val="3"/>
      <charset val="128"/>
    </font>
    <font>
      <i/>
      <sz val="10"/>
      <color rgb="FF808080"/>
      <name val="Meiryo UI"/>
      <family val="3"/>
      <charset val="128"/>
    </font>
    <font>
      <b/>
      <sz val="12"/>
      <color rgb="FF17365D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11"/>
      <color rgb="FF0070C0"/>
      <name val="Meiryo UI"/>
      <family val="3"/>
      <charset val="128"/>
    </font>
    <font>
      <b/>
      <sz val="16"/>
      <color rgb="FFFFFFFF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b/>
      <sz val="14"/>
      <color theme="1"/>
      <name val="ＭＳ Ｐゴシック"/>
      <family val="2"/>
      <scheme val="minor"/>
    </font>
    <font>
      <b/>
      <sz val="24"/>
      <color rgb="FFF06400"/>
      <name val="Meiryo UI"/>
      <family val="3"/>
      <charset val="128"/>
    </font>
    <font>
      <b/>
      <sz val="11"/>
      <color rgb="FFF06400"/>
      <name val="Meiryo UI"/>
      <family val="3"/>
      <charset val="128"/>
    </font>
    <font>
      <b/>
      <sz val="24"/>
      <color rgb="FFF5B400"/>
      <name val="Meiryo UI"/>
      <family val="3"/>
      <charset val="128"/>
    </font>
    <font>
      <b/>
      <sz val="11"/>
      <color rgb="FFF5B400"/>
      <name val="Meiryo UI"/>
      <family val="3"/>
      <charset val="128"/>
    </font>
    <font>
      <b/>
      <sz val="24"/>
      <color rgb="FF6E3CBE"/>
      <name val="Meiryo UI"/>
      <family val="3"/>
      <charset val="128"/>
    </font>
    <font>
      <b/>
      <sz val="11"/>
      <color rgb="FF6E3CBE"/>
      <name val="Meiryo UI"/>
      <family val="3"/>
      <charset val="128"/>
    </font>
    <font>
      <b/>
      <sz val="24"/>
      <color rgb="FF26AF72"/>
      <name val="Meiryo UI"/>
      <family val="3"/>
      <charset val="128"/>
    </font>
    <font>
      <b/>
      <sz val="11"/>
      <color rgb="FF26AF72"/>
      <name val="Meiryo UI"/>
      <family val="3"/>
      <charset val="128"/>
    </font>
    <font>
      <b/>
      <sz val="24"/>
      <color rgb="FF0A9BCD"/>
      <name val="Meiryo UI"/>
      <family val="3"/>
      <charset val="128"/>
    </font>
    <font>
      <b/>
      <sz val="11"/>
      <color rgb="FF0A9BCD"/>
      <name val="Meiryo UI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0.5"/>
      <color rgb="FF002060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i/>
      <sz val="10"/>
      <name val="Meiryo UI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9FB"/>
      </patternFill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C7D3DD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C7D3DD"/>
      </top>
      <bottom/>
      <diagonal/>
    </border>
    <border>
      <left/>
      <right/>
      <top style="thin">
        <color rgb="FFC7D3DD"/>
      </top>
      <bottom/>
      <diagonal/>
    </border>
    <border>
      <left/>
      <right style="thin">
        <color theme="4" tint="0.39997558519241921"/>
      </right>
      <top style="thin">
        <color rgb="FFC7D3DD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6" fillId="2" borderId="8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3" fillId="7" borderId="11" xfId="0" applyFont="1" applyFill="1" applyBorder="1" applyAlignment="1">
      <alignment vertical="center" wrapText="1"/>
    </xf>
    <xf numFmtId="0" fontId="3" fillId="7" borderId="12" xfId="0" applyFont="1" applyFill="1" applyBorder="1" applyAlignment="1">
      <alignment vertical="center" wrapText="1"/>
    </xf>
    <xf numFmtId="0" fontId="3" fillId="7" borderId="13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7" borderId="8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3" fillId="7" borderId="10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1" fillId="0" borderId="0" xfId="0" applyFont="1"/>
    <xf numFmtId="0" fontId="3" fillId="0" borderId="0" xfId="0" applyFont="1" applyAlignment="1">
      <alignment wrapText="1"/>
    </xf>
    <xf numFmtId="0" fontId="7" fillId="7" borderId="11" xfId="0" applyFont="1" applyFill="1" applyBorder="1" applyAlignment="1" applyProtection="1">
      <alignment vertical="center" wrapText="1"/>
      <protection locked="0"/>
    </xf>
    <xf numFmtId="0" fontId="7" fillId="7" borderId="12" xfId="0" applyFont="1" applyFill="1" applyBorder="1" applyAlignment="1" applyProtection="1">
      <alignment vertical="center" wrapText="1"/>
      <protection locked="0"/>
    </xf>
    <xf numFmtId="14" fontId="7" fillId="7" borderId="12" xfId="0" applyNumberFormat="1" applyFont="1" applyFill="1" applyBorder="1" applyAlignment="1" applyProtection="1">
      <alignment vertical="center" wrapText="1"/>
      <protection locked="0"/>
    </xf>
    <xf numFmtId="0" fontId="7" fillId="0" borderId="8" xfId="0" applyFont="1" applyBorder="1" applyAlignment="1" applyProtection="1">
      <alignment vertical="center" wrapText="1"/>
      <protection locked="0"/>
    </xf>
    <xf numFmtId="0" fontId="7" fillId="0" borderId="9" xfId="0" applyFont="1" applyBorder="1" applyAlignment="1" applyProtection="1">
      <alignment vertical="center" wrapText="1"/>
      <protection locked="0"/>
    </xf>
    <xf numFmtId="14" fontId="7" fillId="0" borderId="9" xfId="0" applyNumberFormat="1" applyFont="1" applyBorder="1" applyAlignment="1" applyProtection="1">
      <alignment vertical="center" wrapText="1"/>
      <protection locked="0"/>
    </xf>
    <xf numFmtId="0" fontId="7" fillId="7" borderId="8" xfId="0" applyFont="1" applyFill="1" applyBorder="1" applyAlignment="1" applyProtection="1">
      <alignment vertical="center" wrapText="1"/>
      <protection locked="0"/>
    </xf>
    <xf numFmtId="0" fontId="7" fillId="7" borderId="9" xfId="0" applyFont="1" applyFill="1" applyBorder="1" applyAlignment="1" applyProtection="1">
      <alignment vertical="center" wrapText="1"/>
      <protection locked="0"/>
    </xf>
    <xf numFmtId="14" fontId="7" fillId="7" borderId="9" xfId="0" applyNumberFormat="1" applyFont="1" applyFill="1" applyBorder="1" applyAlignment="1" applyProtection="1">
      <alignment vertical="center" wrapText="1"/>
      <protection locked="0"/>
    </xf>
    <xf numFmtId="0" fontId="7" fillId="0" borderId="2" xfId="0" applyFont="1" applyBorder="1" applyAlignment="1" applyProtection="1">
      <alignment vertical="center" wrapText="1"/>
      <protection locked="0"/>
    </xf>
    <xf numFmtId="0" fontId="7" fillId="0" borderId="3" xfId="0" applyFont="1" applyBorder="1" applyAlignment="1" applyProtection="1">
      <alignment vertical="center" wrapText="1"/>
      <protection locked="0"/>
    </xf>
    <xf numFmtId="14" fontId="7" fillId="0" borderId="3" xfId="0" applyNumberFormat="1" applyFont="1" applyBorder="1" applyAlignment="1" applyProtection="1">
      <alignment vertical="center" wrapText="1"/>
      <protection locked="0"/>
    </xf>
    <xf numFmtId="0" fontId="7" fillId="7" borderId="13" xfId="0" applyFont="1" applyFill="1" applyBorder="1" applyAlignment="1" applyProtection="1">
      <alignment vertical="center" wrapText="1"/>
      <protection locked="0"/>
    </xf>
    <xf numFmtId="0" fontId="7" fillId="0" borderId="10" xfId="0" applyFont="1" applyBorder="1" applyAlignment="1" applyProtection="1">
      <alignment vertical="center" wrapText="1"/>
      <protection locked="0"/>
    </xf>
    <xf numFmtId="0" fontId="7" fillId="7" borderId="10" xfId="0" applyFont="1" applyFill="1" applyBorder="1" applyAlignment="1" applyProtection="1">
      <alignment vertical="center" wrapText="1"/>
      <protection locked="0"/>
    </xf>
    <xf numFmtId="0" fontId="7" fillId="0" borderId="4" xfId="0" applyFont="1" applyBorder="1" applyAlignment="1" applyProtection="1">
      <alignment vertical="center" wrapText="1"/>
      <protection locked="0"/>
    </xf>
    <xf numFmtId="0" fontId="7" fillId="0" borderId="9" xfId="0" applyFont="1" applyBorder="1" applyAlignment="1">
      <alignment vertical="center" wrapText="1"/>
    </xf>
    <xf numFmtId="0" fontId="7" fillId="7" borderId="9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176" fontId="3" fillId="0" borderId="9" xfId="0" applyNumberFormat="1" applyFont="1" applyBorder="1" applyAlignment="1">
      <alignment vertical="center" wrapText="1"/>
    </xf>
    <xf numFmtId="176" fontId="3" fillId="7" borderId="9" xfId="0" applyNumberFormat="1" applyFont="1" applyFill="1" applyBorder="1" applyAlignment="1">
      <alignment vertical="center" wrapText="1"/>
    </xf>
    <xf numFmtId="176" fontId="3" fillId="0" borderId="3" xfId="0" applyNumberFormat="1" applyFont="1" applyBorder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7" borderId="0" xfId="0" applyFont="1" applyFill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23" fillId="13" borderId="8" xfId="0" applyFont="1" applyFill="1" applyBorder="1" applyAlignment="1">
      <alignment vertical="center" wrapText="1"/>
    </xf>
    <xf numFmtId="0" fontId="23" fillId="13" borderId="9" xfId="0" applyFont="1" applyFill="1" applyBorder="1" applyAlignment="1">
      <alignment vertical="center" wrapText="1"/>
    </xf>
    <xf numFmtId="0" fontId="23" fillId="13" borderId="10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7" fillId="7" borderId="12" xfId="0" applyFont="1" applyFill="1" applyBorder="1" applyAlignment="1">
      <alignment vertical="center" wrapText="1"/>
    </xf>
    <xf numFmtId="0" fontId="6" fillId="5" borderId="0" xfId="0" applyFont="1" applyFill="1" applyAlignment="1">
      <alignment vertical="center" wrapText="1"/>
    </xf>
    <xf numFmtId="176" fontId="3" fillId="7" borderId="12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vertical="center" wrapText="1"/>
    </xf>
    <xf numFmtId="0" fontId="23" fillId="13" borderId="9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9" fontId="3" fillId="7" borderId="12" xfId="0" applyNumberFormat="1" applyFont="1" applyFill="1" applyBorder="1" applyAlignment="1">
      <alignment horizontal="center" vertical="center" wrapText="1"/>
    </xf>
    <xf numFmtId="14" fontId="7" fillId="0" borderId="9" xfId="0" applyNumberFormat="1" applyFont="1" applyBorder="1" applyAlignment="1" applyProtection="1">
      <alignment horizontal="center" vertical="center" wrapText="1"/>
      <protection locked="0"/>
    </xf>
    <xf numFmtId="9" fontId="3" fillId="0" borderId="9" xfId="0" applyNumberFormat="1" applyFont="1" applyBorder="1" applyAlignment="1">
      <alignment horizontal="center" vertical="center" wrapText="1"/>
    </xf>
    <xf numFmtId="14" fontId="7" fillId="7" borderId="9" xfId="0" applyNumberFormat="1" applyFont="1" applyFill="1" applyBorder="1" applyAlignment="1" applyProtection="1">
      <alignment horizontal="center" vertical="center" wrapText="1"/>
      <protection locked="0"/>
    </xf>
    <xf numFmtId="9" fontId="3" fillId="7" borderId="9" xfId="0" applyNumberFormat="1" applyFont="1" applyFill="1" applyBorder="1" applyAlignment="1">
      <alignment horizontal="center" vertical="center" wrapText="1"/>
    </xf>
    <xf numFmtId="14" fontId="7" fillId="0" borderId="3" xfId="0" applyNumberFormat="1" applyFont="1" applyBorder="1" applyAlignment="1" applyProtection="1">
      <alignment horizontal="center" vertical="center" wrapText="1"/>
      <protection locked="0"/>
    </xf>
    <xf numFmtId="9" fontId="3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3" fillId="13" borderId="10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14" fontId="7" fillId="7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>
      <alignment horizontal="center" vertical="center" wrapText="1"/>
    </xf>
    <xf numFmtId="14" fontId="7" fillId="0" borderId="10" xfId="0" applyNumberFormat="1" applyFont="1" applyBorder="1" applyAlignment="1" applyProtection="1">
      <alignment horizontal="center" vertical="center" wrapText="1"/>
      <protection locked="0"/>
    </xf>
    <xf numFmtId="0" fontId="3" fillId="7" borderId="9" xfId="0" applyFont="1" applyFill="1" applyBorder="1" applyAlignment="1">
      <alignment horizontal="center" vertical="center" wrapText="1"/>
    </xf>
    <xf numFmtId="14" fontId="7" fillId="7" borderId="1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>
      <alignment horizontal="center" vertical="center" wrapText="1"/>
    </xf>
    <xf numFmtId="14" fontId="7" fillId="0" borderId="4" xfId="0" applyNumberFormat="1" applyFont="1" applyBorder="1" applyAlignment="1" applyProtection="1">
      <alignment horizontal="center" vertical="center" wrapText="1"/>
      <protection locked="0"/>
    </xf>
    <xf numFmtId="0" fontId="23" fillId="13" borderId="8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7" borderId="8" xfId="0" applyFont="1" applyFill="1" applyBorder="1" applyAlignment="1" applyProtection="1">
      <alignment horizontal="center" vertical="center" wrapText="1"/>
      <protection locked="0"/>
    </xf>
    <xf numFmtId="0" fontId="7" fillId="7" borderId="9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26" fillId="14" borderId="12" xfId="0" applyFont="1" applyFill="1" applyBorder="1" applyAlignment="1" applyProtection="1">
      <alignment vertical="center" wrapText="1"/>
      <protection locked="0"/>
    </xf>
    <xf numFmtId="0" fontId="3" fillId="14" borderId="12" xfId="0" applyFont="1" applyFill="1" applyBorder="1" applyAlignment="1">
      <alignment vertical="center" wrapText="1"/>
    </xf>
    <xf numFmtId="0" fontId="23" fillId="15" borderId="9" xfId="0" applyFont="1" applyFill="1" applyBorder="1" applyAlignment="1">
      <alignment vertical="center" wrapText="1"/>
    </xf>
    <xf numFmtId="0" fontId="7" fillId="0" borderId="9" xfId="0" quotePrefix="1" applyFont="1" applyBorder="1" applyAlignment="1" applyProtection="1">
      <alignment vertical="center" wrapText="1"/>
      <protection locked="0"/>
    </xf>
    <xf numFmtId="0" fontId="7" fillId="0" borderId="9" xfId="0" applyFont="1" applyBorder="1" applyAlignment="1">
      <alignment horizontal="left" vertical="center" wrapText="1"/>
    </xf>
    <xf numFmtId="0" fontId="7" fillId="7" borderId="9" xfId="0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3" fillId="0" borderId="0" xfId="0" applyFont="1"/>
    <xf numFmtId="0" fontId="2" fillId="2" borderId="0" xfId="0" applyFont="1" applyFill="1" applyAlignment="1">
      <alignment vertical="center"/>
    </xf>
    <xf numFmtId="0" fontId="22" fillId="0" borderId="14" xfId="0" applyFont="1" applyBorder="1" applyAlignment="1">
      <alignment horizontal="left" vertical="center" wrapText="1"/>
    </xf>
    <xf numFmtId="0" fontId="8" fillId="5" borderId="0" xfId="0" applyFont="1" applyFill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6" fillId="11" borderId="0" xfId="0" applyFont="1" applyFill="1" applyAlignment="1">
      <alignment vertical="center" wrapText="1"/>
    </xf>
    <xf numFmtId="0" fontId="3" fillId="11" borderId="0" xfId="0" applyFont="1" applyFill="1"/>
    <xf numFmtId="0" fontId="6" fillId="10" borderId="0" xfId="0" applyFont="1" applyFill="1" applyAlignment="1">
      <alignment vertical="center" wrapText="1"/>
    </xf>
    <xf numFmtId="0" fontId="3" fillId="10" borderId="0" xfId="0" applyFont="1" applyFill="1"/>
    <xf numFmtId="0" fontId="24" fillId="0" borderId="0" xfId="0" applyFont="1" applyAlignment="1">
      <alignment wrapText="1"/>
    </xf>
    <xf numFmtId="0" fontId="25" fillId="0" borderId="0" xfId="0" applyFont="1"/>
    <xf numFmtId="0" fontId="11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5" fillId="4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3" fillId="4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6" fillId="9" borderId="0" xfId="0" applyFont="1" applyFill="1" applyAlignment="1">
      <alignment vertical="center" wrapText="1"/>
    </xf>
    <xf numFmtId="0" fontId="3" fillId="9" borderId="0" xfId="0" applyFont="1" applyFill="1"/>
    <xf numFmtId="0" fontId="6" fillId="12" borderId="0" xfId="0" applyFont="1" applyFill="1" applyAlignment="1">
      <alignment vertical="center" wrapText="1"/>
    </xf>
    <xf numFmtId="0" fontId="3" fillId="12" borderId="0" xfId="0" applyFont="1" applyFill="1"/>
    <xf numFmtId="0" fontId="17" fillId="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9" fillId="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6" fillId="8" borderId="0" xfId="0" applyFont="1" applyFill="1" applyAlignment="1">
      <alignment vertical="center" wrapText="1"/>
    </xf>
    <xf numFmtId="0" fontId="3" fillId="8" borderId="0" xfId="0" applyFont="1" applyFill="1"/>
    <xf numFmtId="0" fontId="22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strRef>
          <c:f>_翻訳マスタ!$E$44</c:f>
          <c:strCache>
            <c:ptCount val="1"/>
            <c:pt idx="0">
              <c:v>Vấn đề chưa hoàn thành theo WG</c:v>
            </c:pt>
          </c:strCache>
        </c:strRef>
      </c:tx>
      <c:layout>
        <c:manualLayout>
          <c:xMode val="edge"/>
          <c:yMode val="edge"/>
          <c:x val="0.31701093188594143"/>
          <c:y val="1.9406337978921596E-2"/>
        </c:manualLayout>
      </c:layout>
      <c:overlay val="1"/>
      <c:txPr>
        <a:bodyPr/>
        <a:lstStyle/>
        <a:p>
          <a:pPr>
            <a:defRPr lang="ja-JP" sz="11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3800277392510402E-2"/>
          <c:y val="0.10146486500502484"/>
          <c:w val="0.77719964616073467"/>
          <c:h val="0.8259042422651885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'01_全体サマリー'!$D$9</c:f>
              <c:strCache>
                <c:ptCount val="1"/>
                <c:pt idx="0">
                  <c:v>Vấn đề chưa hoàn thành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'01_全体サマリー'!$A$10:$A$19</c:f>
              <c:strCache>
                <c:ptCount val="10"/>
                <c:pt idx="0">
                  <c:v>Toàn bộ</c:v>
                </c:pt>
                <c:pt idx="1">
                  <c:v>WG-1</c:v>
                </c:pt>
                <c:pt idx="2">
                  <c:v>WG-2</c:v>
                </c:pt>
                <c:pt idx="3">
                  <c:v>WG-3</c:v>
                </c:pt>
                <c:pt idx="4">
                  <c:v>WG-4</c:v>
                </c:pt>
                <c:pt idx="5">
                  <c:v>WG-5</c:v>
                </c:pt>
                <c:pt idx="6">
                  <c:v>WG-6</c:v>
                </c:pt>
                <c:pt idx="7">
                  <c:v>WG-7</c:v>
                </c:pt>
                <c:pt idx="8">
                  <c:v>WG-8</c:v>
                </c:pt>
                <c:pt idx="9">
                  <c:v>WG-9</c:v>
                </c:pt>
              </c:strCache>
            </c:strRef>
          </c:cat>
          <c:val>
            <c:numRef>
              <c:f>'01_全体サマリー'!$D$10:$D$19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6-4881-A978-ED89B51B5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strRef>
              <c:f>_翻訳マスタ!$E$40</c:f>
              <c:strCache>
                <c:ptCount val="1"/>
                <c:pt idx="0">
                  <c:v>WG</c:v>
                </c:pt>
              </c:strCache>
            </c:strRef>
          </c:tx>
          <c:overlay val="1"/>
          <c:txPr>
            <a:bodyPr/>
            <a:lstStyle/>
            <a:p>
              <a:pPr>
                <a:defRPr lang="ja-JP" sz="1000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strRef>
              <c:f>_翻訳マスタ!$E$45</c:f>
              <c:strCache>
                <c:ptCount val="1"/>
                <c:pt idx="0">
                  <c:v>Số lượng</c:v>
                </c:pt>
              </c:strCache>
            </c:strRef>
          </c:tx>
          <c:layout>
            <c:manualLayout>
              <c:xMode val="edge"/>
              <c:yMode val="edge"/>
              <c:x val="0.42267039435604531"/>
              <c:y val="0.93402175100202189"/>
            </c:manualLayout>
          </c:layout>
          <c:overlay val="1"/>
          <c:txPr>
            <a:bodyPr/>
            <a:lstStyle/>
            <a:p>
              <a:pPr>
                <a:defRPr lang="ja-JP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27268</xdr:colOff>
      <xdr:row>8</xdr:row>
      <xdr:rowOff>47998</xdr:rowOff>
    </xdr:from>
    <xdr:ext cx="4578350" cy="38180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KDCブランド配色">
      <a:dk1>
        <a:sysClr val="windowText" lastClr="000000"/>
      </a:dk1>
      <a:lt1>
        <a:sysClr val="window" lastClr="FFFFFF"/>
      </a:lt1>
      <a:dk2>
        <a:srgbClr val="282828"/>
      </a:dk2>
      <a:lt2>
        <a:srgbClr val="F2F2F2"/>
      </a:lt2>
      <a:accent1>
        <a:srgbClr val="6E3CBE"/>
      </a:accent1>
      <a:accent2>
        <a:srgbClr val="F5B400"/>
      </a:accent2>
      <a:accent3>
        <a:srgbClr val="0A9BCD"/>
      </a:accent3>
      <a:accent4>
        <a:srgbClr val="F06400"/>
      </a:accent4>
      <a:accent5>
        <a:srgbClr val="26AF72"/>
      </a:accent5>
      <a:accent6>
        <a:srgbClr val="A9A9A9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3BB8-584A-424A-98BA-7C5F78B78A5A}">
  <dimension ref="A1:D9"/>
  <sheetViews>
    <sheetView workbookViewId="0">
      <selection activeCell="B3" sqref="B3:D3"/>
    </sheetView>
  </sheetViews>
  <sheetFormatPr defaultRowHeight="13.5" x14ac:dyDescent="0.15"/>
  <cols>
    <col min="1" max="1" width="25.375" customWidth="1"/>
    <col min="2" max="2" width="12.75" customWidth="1"/>
    <col min="3" max="3" width="13.125" customWidth="1"/>
    <col min="4" max="4" width="10.875" customWidth="1"/>
  </cols>
  <sheetData>
    <row r="1" spans="1:4" ht="30" customHeight="1" x14ac:dyDescent="0.15">
      <c r="A1" s="97" t="s">
        <v>321</v>
      </c>
      <c r="B1" s="97"/>
      <c r="C1" s="97"/>
      <c r="D1" s="97"/>
    </row>
    <row r="2" spans="1:4" x14ac:dyDescent="0.15">
      <c r="A2" s="4"/>
      <c r="B2" s="4"/>
      <c r="C2" s="4"/>
      <c r="D2" s="4"/>
    </row>
    <row r="3" spans="1:4" ht="32.1" customHeight="1" x14ac:dyDescent="0.15">
      <c r="A3" s="56" t="s">
        <v>970</v>
      </c>
      <c r="B3" s="98" t="s">
        <v>993</v>
      </c>
      <c r="C3" s="99"/>
      <c r="D3" s="100"/>
    </row>
    <row r="4" spans="1:4" x14ac:dyDescent="0.15">
      <c r="A4" s="4"/>
      <c r="B4" s="4"/>
      <c r="C4" s="4"/>
      <c r="D4" s="4"/>
    </row>
    <row r="5" spans="1:4" x14ac:dyDescent="0.15">
      <c r="A5" s="4"/>
      <c r="B5" s="4"/>
      <c r="C5" s="4"/>
      <c r="D5" s="4"/>
    </row>
    <row r="6" spans="1:4" ht="56.1" customHeight="1" x14ac:dyDescent="0.15">
      <c r="A6" s="101" t="s">
        <v>940</v>
      </c>
      <c r="B6" s="101"/>
    </row>
    <row r="7" spans="1:4" x14ac:dyDescent="0.15">
      <c r="A7" t="s">
        <v>225</v>
      </c>
      <c r="B7" t="s">
        <v>941</v>
      </c>
    </row>
    <row r="8" spans="1:4" x14ac:dyDescent="0.15">
      <c r="A8" t="s">
        <v>227</v>
      </c>
      <c r="B8" t="s">
        <v>942</v>
      </c>
    </row>
    <row r="9" spans="1:4" x14ac:dyDescent="0.15">
      <c r="A9" t="s">
        <v>228</v>
      </c>
      <c r="B9" t="s">
        <v>943</v>
      </c>
    </row>
  </sheetData>
  <mergeCells count="3">
    <mergeCell ref="A1:D1"/>
    <mergeCell ref="B3:D3"/>
    <mergeCell ref="A6:B6"/>
  </mergeCells>
  <phoneticPr fontId="1"/>
  <dataValidations count="1">
    <dataValidation type="list" allowBlank="1" showInputMessage="1" showErrorMessage="1" sqref="B3" xr:uid="{17A9CC3F-4F28-4196-A6A0-5151A0A350A3}">
      <formula1>"日本語,中文,Tiếng Việt"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1"/>
  <sheetViews>
    <sheetView showGridLines="0" zoomScale="85" zoomScaleNormal="85" workbookViewId="0">
      <pane ySplit="3" topLeftCell="A6" activePane="bottomLeft" state="frozen"/>
      <selection pane="bottomLeft" activeCell="A34" sqref="A34"/>
    </sheetView>
  </sheetViews>
  <sheetFormatPr defaultColWidth="8.75" defaultRowHeight="15.75" x14ac:dyDescent="0.25"/>
  <cols>
    <col min="1" max="1" width="28" style="1" customWidth="1"/>
    <col min="2" max="8" width="18" style="1" customWidth="1"/>
    <col min="9" max="9" width="8.75" style="1"/>
    <col min="10" max="10" width="20" style="1" customWidth="1"/>
    <col min="11" max="11" width="42" style="1" customWidth="1"/>
    <col min="12" max="16384" width="8.75" style="1"/>
  </cols>
  <sheetData>
    <row r="1" spans="1:14" ht="21" x14ac:dyDescent="0.25">
      <c r="A1" s="95" t="str">
        <f>INDEX(_翻訳マスタ!$B$2:$D$32,MATCH("TITLE",_翻訳マスタ!$A$2:$A$32,0),MATCH(言語切替!$B$3,_翻訳マスタ!$B$1:$D$1,0))</f>
        <v>Công cụ quản lý Tiểu ban Nhà máy Thông minh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</row>
    <row r="2" spans="1:14" x14ac:dyDescent="0.25">
      <c r="A2" s="93" t="str">
        <f>INDEX(_翻訳マスタ!$B$2:$D$32,MATCH("PURPOSE",_翻訳マスタ!$A$2:$A$32,0),MATCH(言語切替!$B$3,_翻訳マスタ!$B$1:$D$1,0))</f>
        <v>Mục đích: Bản dự thảo đầu tiên nhằm quản lý kế hoạch, vấn đề, quyết định và KPI của 9 WG trong một chu trình quản lý thống nhất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4" spans="1:14" x14ac:dyDescent="0.25">
      <c r="A4" s="103" t="str">
        <f>INDEX(_翻訳マスタ!$B$2:$D$32,MATCH("PRINCIPLE_HEADER",_翻訳マスタ!$A$2:$A$32,0),MATCH(言語切替!$B$3,_翻訳マスタ!$B$1:$D$1,0))</f>
        <v>1. Nguyên tắc cơ bản</v>
      </c>
      <c r="B4" s="94"/>
      <c r="C4" s="94"/>
      <c r="D4" s="94"/>
      <c r="E4" s="94"/>
      <c r="F4" s="94"/>
      <c r="G4" s="94"/>
      <c r="H4" s="94"/>
      <c r="J4" s="2" t="str">
        <f>INDEX(_翻訳マスタ!$B$2:$D$32,MATCH("COL_SHEET",_翻訳マスタ!$A$2:$A$32,0),MATCH(言語切替!$B$3,_翻訳マスタ!$B$1:$D$1,0))</f>
        <v>Trang tính</v>
      </c>
      <c r="K4" s="2" t="str">
        <f>INDEX(_翻訳マスタ!$B$2:$D$32,MATCH("COL_USAGE",_翻訳マスタ!$A$2:$A$32,0),MATCH(言語切替!$B$3,_翻訳マスタ!$B$1:$D$1,0))</f>
        <v>Mục đích sử dụng</v>
      </c>
    </row>
    <row r="5" spans="1:14" ht="31.5" x14ac:dyDescent="0.25">
      <c r="A5" s="102" t="str">
        <f>INDEX(_翻訳マスタ!$B$2:$D$32,MATCH("P1",_翻訳マスタ!$A$2:$A$32,0),MATCH(言語切替!$B$3,_翻訳マスタ!$B$1:$D$1,0))</f>
        <v>• Lưu các thảo luận chi tiết trong biên bản họp và tài liệu liên quan</v>
      </c>
      <c r="B5" s="94"/>
      <c r="C5" s="94"/>
      <c r="D5" s="94"/>
      <c r="E5" s="94"/>
      <c r="F5" s="94"/>
      <c r="G5" s="94"/>
      <c r="H5" s="94"/>
      <c r="J5" s="3" t="s">
        <v>6</v>
      </c>
      <c r="K5" s="3" t="str">
        <f>INDEX(_翻訳マスタ!$B$2:$D$32,MATCH("U1",_翻訳マスタ!$A$2:$A$32,0),MATCH(言語切替!$B$3,_翻訳マスタ!$B$1:$D$1,0))</f>
        <v>Bảng điều khiển cho ban điều hành và cuộc họp trưởng nhóm</v>
      </c>
    </row>
    <row r="6" spans="1:14" ht="31.5" x14ac:dyDescent="0.25">
      <c r="A6" s="102" t="str">
        <f>INDEX(_翻訳マスタ!$B$2:$D$32,MATCH("P2",_翻訳マスタ!$A$2:$A$32,0),MATCH(言語切替!$B$3,_翻訳マスタ!$B$1:$D$1,0))</f>
        <v>• Trong tệp này, ghi lại kết luận, hành động tiếp theo, người phụ trách, thời hạn và liên kết</v>
      </c>
      <c r="B6" s="94"/>
      <c r="C6" s="94"/>
      <c r="D6" s="94"/>
      <c r="E6" s="94"/>
      <c r="F6" s="94"/>
      <c r="G6" s="94"/>
      <c r="H6" s="94"/>
      <c r="J6" s="3" t="s">
        <v>9</v>
      </c>
      <c r="K6" s="3" t="str">
        <f>INDEX(_翻訳マスタ!$B$2:$D$32,MATCH("U2",_翻訳マスタ!$A$2:$A$32,0),MATCH(言語切替!$B$3,_翻訳マスタ!$B$1:$D$1,0))</f>
        <v>Danh sách lựa chọn nhập liệu và định nghĩa WG</v>
      </c>
    </row>
    <row r="7" spans="1:14" ht="31.5" x14ac:dyDescent="0.25">
      <c r="A7" s="102" t="str">
        <f>INDEX(_翻訳マスタ!$B$2:$D$32,MATCH("P3",_翻訳マスタ!$A$2:$A$32,0),MATCH(言語切替!$B$3,_翻訳マスタ!$B$1:$D$1,0))</f>
        <v>• Không nhập trùng cùng một nội dung trên nhiều trang tính</v>
      </c>
      <c r="B7" s="94"/>
      <c r="C7" s="94"/>
      <c r="D7" s="94"/>
      <c r="E7" s="94"/>
      <c r="F7" s="94"/>
      <c r="G7" s="94"/>
      <c r="H7" s="94"/>
      <c r="J7" s="3" t="s">
        <v>543</v>
      </c>
      <c r="K7" s="3" t="str">
        <f>INDEX(_翻訳マスタ!$B$2:$D$32,MATCH("U3",_翻訳マスタ!$A$2:$A$32,0),MATCH(言語切替!$B$3,_翻訳マスタ!$B$1:$D$1,0))</f>
        <v>Quản lý kế hoạch sản phẩm bàn giao và mốc tiến độ</v>
      </c>
    </row>
    <row r="8" spans="1:14" x14ac:dyDescent="0.25">
      <c r="A8" s="102" t="str">
        <f>INDEX(_翻訳マスタ!$B$2:$D$32,MATCH("P4",_翻訳マスタ!$A$2:$A$32,0),MATCH(言語切替!$B$3,_翻訳マスタ!$B$1:$D$1,0))</f>
        <v>• Không xóa dòng; hãy ghi lại lý do thay đổi hoặc rút lại</v>
      </c>
      <c r="B8" s="94"/>
      <c r="C8" s="94"/>
      <c r="D8" s="94"/>
      <c r="E8" s="94"/>
      <c r="F8" s="94"/>
      <c r="G8" s="94"/>
      <c r="H8" s="94"/>
      <c r="J8" s="3" t="s">
        <v>14</v>
      </c>
      <c r="K8" s="3" t="str">
        <f>INDEX(_翻訳マスタ!$B$2:$D$32,MATCH("U4",_翻訳マスタ!$A$2:$A$32,0),MATCH(言語切替!$B$3,_翻訳マスタ!$B$1:$D$1,0))</f>
        <v>Quản lý trở ngại, hành động và rủi ro</v>
      </c>
    </row>
    <row r="9" spans="1:14" ht="31.5" x14ac:dyDescent="0.25">
      <c r="J9" s="3" t="s">
        <v>16</v>
      </c>
      <c r="K9" s="3" t="str">
        <f>INDEX(_翻訳マスタ!$B$2:$D$32,MATCH("U5",_翻訳マスタ!$A$2:$A$32,0),MATCH(言語切替!$B$3,_翻訳マスタ!$B$1:$D$1,0))</f>
        <v>Ghi lại lịch sử quyết định và phạm vi ảnh hưởng</v>
      </c>
    </row>
    <row r="10" spans="1:14" ht="31.5" x14ac:dyDescent="0.25">
      <c r="A10" s="103" t="str">
        <f>INDEX(_翻訳マスタ!$B$2:$D$32,MATCH("RESP_HEADER",_翻訳マスタ!$A$2:$A$32,0),MATCH(言語切替!$B$3,_翻訳マスタ!$B$1:$D$1,0))</f>
        <v>2. Trách nhiệm cập nhật</v>
      </c>
      <c r="B10" s="94"/>
      <c r="C10" s="94"/>
      <c r="D10" s="94"/>
      <c r="E10" s="94"/>
      <c r="F10" s="94"/>
      <c r="G10" s="94"/>
      <c r="H10" s="94"/>
      <c r="J10" s="3" t="s">
        <v>19</v>
      </c>
      <c r="K10" s="3" t="str">
        <f>INDEX(_翻訳マスタ!$B$2:$D$32,MATCH("U6",_翻訳マスタ!$A$2:$A$32,0),MATCH(言語切替!$B$3,_翻訳マスタ!$B$1:$D$1,0))</f>
        <v>Định nghĩa KPI, giá trị cơ sở, mục tiêu và thực tế</v>
      </c>
    </row>
    <row r="11" spans="1:14" x14ac:dyDescent="0.25">
      <c r="A11" s="102" t="str">
        <f>INDEX(_翻訳マスタ!$B$2:$D$32,MATCH("R1",_翻訳マスタ!$A$2:$A$32,0),MATCH(言語切替!$B$3,_翻訳マスタ!$B$1:$D$1,0))</f>
        <v>• Trưởng WG: Cập nhật WBS, vấn đề và KPI sau cuộc họp WG</v>
      </c>
      <c r="B11" s="94"/>
      <c r="C11" s="94"/>
      <c r="D11" s="94"/>
      <c r="E11" s="94"/>
      <c r="F11" s="94"/>
      <c r="G11" s="94"/>
      <c r="H11" s="94"/>
      <c r="J11" s="3" t="s">
        <v>22</v>
      </c>
      <c r="K11" s="3" t="str">
        <f>INDEX(_翻訳マスタ!$B$2:$D$32,MATCH("U7",_翻訳マスタ!$A$2:$A$32,0),MATCH(言語切替!$B$3,_翻訳マスタ!$B$1:$D$1,0))</f>
        <v>Ghi lại các thay đổi quan trọng</v>
      </c>
    </row>
    <row r="12" spans="1:14" x14ac:dyDescent="0.25">
      <c r="A12" s="102" t="str">
        <f>INDEX(_翻訳マスタ!$B$2:$D$32,MATCH("R2",_翻訳マスタ!$A$2:$A$32,0),MATCH(言語切替!$B$3,_翻訳マスタ!$B$1:$D$1,0))</f>
        <v>• Ban điều hành: Hàng tuần rà soát các mục chưa cập nhật, quá hạn, mức High và phụ thuộc giữa các WG</v>
      </c>
      <c r="B12" s="94"/>
      <c r="C12" s="94"/>
      <c r="D12" s="94"/>
      <c r="E12" s="94"/>
      <c r="F12" s="94"/>
      <c r="G12" s="94"/>
      <c r="H12" s="94"/>
    </row>
    <row r="13" spans="1:14" x14ac:dyDescent="0.25">
      <c r="A13" s="102" t="str">
        <f>INDEX(_翻訳マスタ!$B$2:$D$32,MATCH("R3",_翻訳マスタ!$A$2:$A$32,0),MATCH(言語切替!$B$3,_翻訳マスタ!$B$1:$D$1,0))</f>
        <v>• Người xác nhận hoàn thành: Kiểm tra sản phẩm bàn giao hoặc kết quả xử lý và phê duyệt hoàn thành</v>
      </c>
      <c r="B13" s="94"/>
      <c r="C13" s="94"/>
      <c r="D13" s="94"/>
      <c r="E13" s="94"/>
      <c r="F13" s="94"/>
      <c r="G13" s="94"/>
      <c r="H13" s="94"/>
    </row>
    <row r="14" spans="1:14" x14ac:dyDescent="0.25">
      <c r="A14" s="102" t="str">
        <f>INDEX(_翻訳マスタ!$B$2:$D$32,MATCH("R4",_翻訳マスタ!$A$2:$A$32,0),MATCH(言語切替!$B$3,_翻訳マスタ!$B$1:$D$1,0))</f>
        <v>• Trưởng tiểu ban / Phó trưởng đơn vị: Quyết định các vấn đề quan trọng</v>
      </c>
      <c r="B14" s="94"/>
      <c r="C14" s="94"/>
      <c r="D14" s="94"/>
      <c r="E14" s="94"/>
      <c r="F14" s="94"/>
      <c r="G14" s="94"/>
      <c r="H14" s="94"/>
    </row>
    <row r="16" spans="1:14" x14ac:dyDescent="0.25">
      <c r="A16" s="103" t="str">
        <f>INDEX(_翻訳マスタ!$B$2:$D$32,MATCH("CYCLE_HEADER",_翻訳マスタ!$A$2:$A$32,0),MATCH(言語切替!$B$3,_翻訳マスタ!$B$1:$D$1,0))</f>
        <v>3. Chu trình hàng tuần</v>
      </c>
      <c r="B16" s="94"/>
      <c r="C16" s="94"/>
      <c r="D16" s="94"/>
      <c r="E16" s="94"/>
      <c r="F16" s="94"/>
      <c r="G16" s="94"/>
      <c r="H16" s="94"/>
    </row>
    <row r="17" spans="1:8" x14ac:dyDescent="0.25">
      <c r="A17" s="102" t="str">
        <f>INDEX(_翻訳マスタ!$B$2:$D$32,MATCH("C1",_翻訳マスタ!$A$2:$A$32,0),MATCH(言語切替!$B$3,_翻訳マスタ!$B$1:$D$1,0))</f>
        <v>• Sau hoạt động WG: Đăng ký vấn đề mới, quyết định và hành động tiếp theo</v>
      </c>
      <c r="B17" s="94"/>
      <c r="C17" s="94"/>
      <c r="D17" s="94"/>
      <c r="E17" s="94"/>
      <c r="F17" s="94"/>
      <c r="G17" s="94"/>
      <c r="H17" s="94"/>
    </row>
    <row r="18" spans="1:8" x14ac:dyDescent="0.25">
      <c r="A18" s="102" t="str">
        <f>INDEX(_翻訳マスタ!$B$2:$D$32,MATCH("C2",_翻訳マスタ!$A$2:$A$32,0),MATCH(言語切替!$B$3,_翻訳マスタ!$B$1:$D$1,0))</f>
        <v>• Trước cuộc họp trưởng nhóm: Ban điều hành trích xuất các cảnh báo</v>
      </c>
      <c r="B18" s="94"/>
      <c r="C18" s="94"/>
      <c r="D18" s="94"/>
      <c r="E18" s="94"/>
      <c r="F18" s="94"/>
      <c r="G18" s="94"/>
      <c r="H18" s="94"/>
    </row>
    <row r="19" spans="1:8" x14ac:dyDescent="0.25">
      <c r="A19" s="102" t="str">
        <f>INDEX(_翻訳マスタ!$B$2:$D$32,MATCH("C3",_翻訳マスタ!$A$2:$A$32,0),MATCH(言語切替!$B$3,_翻訳マスタ!$B$1:$D$1,0))</f>
        <v>• Họp trưởng nhóm hàng tuần: Tập trung thảo luận các mục chờ quyết định, vấn đề liên WG và chậm tiến độ</v>
      </c>
      <c r="B19" s="94"/>
      <c r="C19" s="94"/>
      <c r="D19" s="94"/>
      <c r="E19" s="94"/>
      <c r="F19" s="94"/>
      <c r="G19" s="94"/>
      <c r="H19" s="94"/>
    </row>
    <row r="20" spans="1:8" x14ac:dyDescent="0.25">
      <c r="A20" s="102" t="str">
        <f>INDEX(_翻訳マスタ!$B$2:$D$32,MATCH("C4",_翻訳マスタ!$A$2:$A$32,0),MATCH(言語切替!$B$3,_翻訳マスタ!$B$1:$D$1,0))</f>
        <v>• Sau cuộc họp: Cập nhật quyết định, người phụ trách và thời hạn</v>
      </c>
      <c r="B20" s="94"/>
      <c r="C20" s="94"/>
      <c r="D20" s="94"/>
      <c r="E20" s="94"/>
      <c r="F20" s="94"/>
      <c r="G20" s="94"/>
      <c r="H20" s="94"/>
    </row>
    <row r="22" spans="1:8" x14ac:dyDescent="0.25">
      <c r="A22" s="103" t="str">
        <f>INDEX(_翻訳マスタ!$B$2:$D$32,MATCH("ESC_HEADER",_翻訳マスタ!$A$2:$A$32,0),MATCH(言語切替!$B$3,_翻訳マスタ!$B$1:$D$1,0))</f>
        <v>4. Điều kiện báo cáo cấp trên</v>
      </c>
      <c r="B22" s="94"/>
      <c r="C22" s="94"/>
      <c r="D22" s="94"/>
      <c r="E22" s="94"/>
      <c r="F22" s="94"/>
      <c r="G22" s="94"/>
      <c r="H22" s="94"/>
    </row>
    <row r="23" spans="1:8" x14ac:dyDescent="0.25">
      <c r="A23" s="102" t="str">
        <f>INDEX(_翻訳マスタ!$B$2:$D$32,MATCH("E1",_翻訳マスタ!$A$2:$A$32,0),MATCH(言語切替!$B$3,_翻訳マスタ!$B$1:$D$1,0))</f>
        <v>• Mức ưu tiên High</v>
      </c>
      <c r="B23" s="94"/>
      <c r="C23" s="94"/>
      <c r="D23" s="94"/>
      <c r="E23" s="94"/>
      <c r="F23" s="94"/>
      <c r="G23" s="94"/>
      <c r="H23" s="94"/>
    </row>
    <row r="24" spans="1:8" x14ac:dyDescent="0.25">
      <c r="A24" s="102" t="str">
        <f>INDEX(_翻訳マスタ!$B$2:$D$32,MATCH("E2",_翻訳マスタ!$A$2:$A$32,0),MATCH(言語切替!$B$3,_翻訳マスタ!$B$1:$D$1,0))</f>
        <v>• Đã quá hạn hoặc có khả năng quá hạn</v>
      </c>
      <c r="B24" s="94"/>
      <c r="C24" s="94"/>
      <c r="D24" s="94"/>
      <c r="E24" s="94"/>
      <c r="F24" s="94"/>
      <c r="G24" s="94"/>
      <c r="H24" s="94"/>
    </row>
    <row r="25" spans="1:8" x14ac:dyDescent="0.25">
      <c r="A25" s="102" t="str">
        <f>INDEX(_翻訳マスタ!$B$2:$D$32,MATCH("E3",_翻訳マスタ!$A$2:$A$32,0),MATCH(言語切替!$B$3,_翻訳マスタ!$B$1:$D$1,0))</f>
        <v>• Ảnh hưởng đến nhiều WG hoặc nhiều đơn vị</v>
      </c>
      <c r="B25" s="94"/>
      <c r="C25" s="94"/>
      <c r="D25" s="94"/>
      <c r="E25" s="94"/>
      <c r="F25" s="94"/>
      <c r="G25" s="94"/>
      <c r="H25" s="94"/>
    </row>
    <row r="26" spans="1:8" x14ac:dyDescent="0.25">
      <c r="A26" s="102" t="str">
        <f>INDEX(_翻訳マスタ!$B$2:$D$32,MATCH("E4",_翻訳マスタ!$A$2:$A$32,0),MATCH(言語切替!$B$3,_翻訳マスタ!$B$1:$D$1,0))</f>
        <v>• Cần thay đổi phạm vi, đầu tư, nhân sự hoặc quyết định cấp cao hơn</v>
      </c>
      <c r="B26" s="94"/>
      <c r="C26" s="94"/>
      <c r="D26" s="94"/>
      <c r="E26" s="94"/>
      <c r="F26" s="94"/>
      <c r="G26" s="94"/>
      <c r="H26" s="94"/>
    </row>
    <row r="27" spans="1:8" x14ac:dyDescent="0.25">
      <c r="A27" s="1" t="str">
        <f>INDEX(_翻訳マスタ!$B$2:$D$300,MATCH("PARA_TITLE",_翻訳マスタ!$A$2:$A$300,0),MATCH(言語切替!$B$3,_翻訳マスタ!$B$1:$D$1,0))</f>
        <v>5. Quy tắc dịch song song (nội dung mới)</v>
      </c>
    </row>
    <row r="28" spans="1:8" x14ac:dyDescent="0.25">
      <c r="A28" s="1" t="str">
        <f>INDEX(_翻訳マスタ!$B$2:$D$300,MATCH("PARA_DESC",_翻訳マスタ!$A$2:$A$300,0),MATCH(言語切替!$B$3,_翻訳マスタ!$B$1:$D$1,0))</f>
        <v>Gõ vào cột [Nhập: VI/JP/CN] bằng tiếng mẹ đẻ (Việt/Nhật/Trung), các cột VI/JP/CN kề cạnh sẽ tự động dịch và hiển thị bằng hàm TRANSLATE.</v>
      </c>
    </row>
    <row r="29" spans="1:8" x14ac:dyDescent="0.25">
      <c r="A29" s="1" t="str">
        <f>INDEX(_翻訳マスタ!$B$2:$D$300,MATCH("PARA_HOWTO",_翻訳マスタ!$A$2:$A$300,0),MATCH(言語切替!$B$3,_翻訳マスタ!$B$1:$D$1,0))</f>
        <v>Quy tắc nhập: 【Tiêu đề VÀNG】= Được phép nhập / chọn dữ liệu (Gõ bất kỳ tiếng Việt/Nhật/Trung vào ô [Nhập])
【Tiêu đề XANH DƯƠNG】= Cấm nhập (Tự động tính toán &amp; dịch tự động 3 thứ tiếng).</v>
      </c>
    </row>
    <row r="30" spans="1:8" x14ac:dyDescent="0.25">
      <c r="A30" s="1" t="str">
        <f>INDEX(_翻訳マスタ!$B$2:$D$300,MATCH("BACKUP_TITLE",_翻訳マスタ!$A$2:$A$300,0),MATCH(言語切替!$B$3,_翻訳マスタ!$B$1:$D$1,0))</f>
        <v>6. Chống xóa &amp; sao lưu</v>
      </c>
    </row>
    <row r="31" spans="1:8" x14ac:dyDescent="0.25">
      <c r="A31" s="1" t="str">
        <f>INDEX(_翻訳マスタ!$B$2:$D$300,MATCH("BACKUP_DESC",_翻訳マスタ!$A$2:$A$300,0),MATCH(言語切替!$B$3,_翻訳マスタ!$B$1:$D$1,0))</f>
        <v>Cấm xóa dòng vật lý. Chuyển sang "Rút lại" và sao chép sang _ゴミ箱_Backup. Bật Version History 500 bản trên SharePoint, hàng tuần lưu riêng.</v>
      </c>
    </row>
  </sheetData>
  <mergeCells count="22">
    <mergeCell ref="A11:H11"/>
    <mergeCell ref="A6:H6"/>
    <mergeCell ref="A1:N1"/>
    <mergeCell ref="A7:H7"/>
    <mergeCell ref="A2:N2"/>
    <mergeCell ref="A5:H5"/>
    <mergeCell ref="A8:H8"/>
    <mergeCell ref="A4:H4"/>
    <mergeCell ref="A10:H10"/>
    <mergeCell ref="A25:H25"/>
    <mergeCell ref="A16:H16"/>
    <mergeCell ref="A12:H12"/>
    <mergeCell ref="A18:H18"/>
    <mergeCell ref="A26:H26"/>
    <mergeCell ref="A14:H14"/>
    <mergeCell ref="A23:H23"/>
    <mergeCell ref="A22:H22"/>
    <mergeCell ref="A17:H17"/>
    <mergeCell ref="A20:H20"/>
    <mergeCell ref="A13:H13"/>
    <mergeCell ref="A19:H19"/>
    <mergeCell ref="A24:H24"/>
  </mergeCells>
  <phoneticPr fontId="1"/>
  <pageMargins left="0.75" right="0.75" top="1" bottom="1" header="0.5" footer="0.5"/>
  <pageSetup fitToHeight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9"/>
  <sheetViews>
    <sheetView showGridLines="0" zoomScale="85" workbookViewId="0">
      <pane ySplit="8" topLeftCell="A9" activePane="bottomLeft" state="frozen"/>
      <selection pane="bottomLeft" activeCell="E11" sqref="E11"/>
    </sheetView>
  </sheetViews>
  <sheetFormatPr defaultColWidth="8.75" defaultRowHeight="15.75" x14ac:dyDescent="0.25"/>
  <cols>
    <col min="1" max="1" width="16.125" style="1" customWidth="1"/>
    <col min="2" max="2" width="15.375" style="1" bestFit="1" customWidth="1"/>
    <col min="3" max="3" width="13.125" style="1" bestFit="1" customWidth="1"/>
    <col min="4" max="4" width="14.375" style="1" bestFit="1" customWidth="1"/>
    <col min="5" max="5" width="14.875" style="1" bestFit="1" customWidth="1"/>
    <col min="6" max="6" width="17.375" style="1" bestFit="1" customWidth="1"/>
    <col min="7" max="7" width="12.125" style="1" bestFit="1" customWidth="1"/>
    <col min="8" max="8" width="8.75" style="1"/>
    <col min="9" max="9" width="2" style="1" customWidth="1"/>
    <col min="10" max="13" width="14" style="1" customWidth="1"/>
    <col min="14" max="16384" width="8.75" style="1"/>
  </cols>
  <sheetData>
    <row r="1" spans="1:14" ht="21" x14ac:dyDescent="0.25">
      <c r="A1" s="95" t="str">
        <f>INDEX(_翻訳マスタ!$B$33:$D$45,MATCH("DASH_TITLE",_翻訳マスタ!$A$33:$A$45,0),MATCH(言語切替!$B$3,_翻訳マスタ!$B$1:$D$1,0))</f>
        <v>Tổng quan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</row>
    <row r="2" spans="1:14" x14ac:dyDescent="0.25">
      <c r="A2" s="108" t="str">
        <f>INDEX(_翻訳マスタ!$B$33:$D$45,MATCH("DASH_DESC",_翻訳マスタ!$A$33:$A$45,0),MATCH(言語切替!$B$3,_翻訳マスタ!$B$1:$D$1,0))</f>
        <v>Dùng cho ban điều hành và cuộc họp trưởng WG hàng tuần. Không cần nhập liệu; thông tin WBS, Vấn đề/ToDo và KPI được tự động tổng hợp.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</row>
    <row r="4" spans="1:14" x14ac:dyDescent="0.25">
      <c r="B4" s="124" t="str">
        <f>INDEX(_翻訳マスタ!$B$33:$D$45,MATCH("DASH_OPEN_WBS",_翻訳マスタ!$A$33:$A$45,0),MATCH(言語切替!$B$3,_翻訳マスタ!$B$1:$D$1,0))</f>
        <v>WBS chưa hoàn thành</v>
      </c>
      <c r="C4" s="125"/>
      <c r="D4" s="116" t="str">
        <f>INDEX(_翻訳マスタ!$B$33:$D$45,MATCH("DASH_DELAY_WBS",_翻訳マスタ!$A$33:$A$45,0),MATCH(言語切替!$B$3,_翻訳マスタ!$B$1:$D$1,0))</f>
        <v>WBS chậm tiến độ</v>
      </c>
      <c r="E4" s="117"/>
      <c r="F4" s="104" t="str">
        <f>INDEX(_翻訳マスタ!$B$33:$D$45,MATCH("DASH_OPEN_ISSUES",_翻訳マスタ!$A$33:$A$45,0),MATCH(言語切替!$B$3,_翻訳マスタ!$B$1:$D$1,0))</f>
        <v>Vấn đề/ToDo chưa hoàn thành</v>
      </c>
      <c r="G4" s="105"/>
      <c r="H4" s="118" t="str">
        <f>INDEX(_翻訳マスタ!$B$33:$D$45,MATCH("DASH_HIGH_OVERDUE",_翻訳マスタ!$A$33:$A$45,0),MATCH(言語切替!$B$3,_翻訳マスタ!$B$1:$D$1,0))</f>
        <v>High / Quá hạn</v>
      </c>
      <c r="I4" s="119"/>
      <c r="J4" s="106" t="str">
        <f>INDEX(_翻訳マスタ!$B$33:$D$45,MATCH("DASH_KPI_MISS",_翻訳マスタ!$A$33:$A$45,0),MATCH(言語切替!$B$3,_翻訳マスタ!$B$1:$D$1,0))</f>
        <v>KPI chưa đạt</v>
      </c>
      <c r="K4" s="107"/>
    </row>
    <row r="5" spans="1:14" x14ac:dyDescent="0.25">
      <c r="B5" s="110">
        <f>COUNTIFS('03_WBS'!$A$5:$A$205,"&lt;&gt;",'03_WBS'!$T$5:$T$205,"&lt;&gt;"&amp;INDEX(_翻訳マスタ!$B$75:$D$75,1,MATCH(言語切替!$B$3,_翻訳マスタ!$B$1:$D$1,0)))</f>
        <v>8</v>
      </c>
      <c r="C5" s="111"/>
      <c r="D5" s="114">
        <f>COUNTIF('03_WBS'!$T$5:$T$205,INDEX(_翻訳マスタ!$B$92:$D$92,1,MATCH(言語切替!$B$3,_翻訳マスタ!$B$1:$D$1,0)))</f>
        <v>0</v>
      </c>
      <c r="E5" s="115"/>
      <c r="F5" s="112">
        <f>COUNTIFS('04_課題ToDo'!$A$5:$A$304,"&lt;&gt;"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0</v>
      </c>
      <c r="G5" s="113"/>
      <c r="H5" s="120">
        <f>COUNTIFS('04_課題ToDo'!$A$5:$A$304,"&lt;&gt;",'04_課題ToDo'!$AI$5:$AI$304,"High")+COUNTIFS('04_課題ToDo'!$A$5:$A$304,"&lt;&gt;",'04_課題ToDo'!$AI$5:$AI$304,INDEX(_翻訳マスタ!$B$117:$D$247,MATCH("ALERT_OVERDUE",_翻訳マスタ!$A$117:$A$247,0),MATCH(言語切替!$B$3,_翻訳マスタ!$B$1:$D$1,0)))</f>
        <v>0</v>
      </c>
      <c r="I5" s="121"/>
      <c r="J5" s="122">
        <f>COUNTIFS('06_KPI'!$A$5:$A$204,"&lt;&gt;",'06_KPI'!$X$5:$X$204,INDEX(_翻訳マスタ!$B$94:$D$94,1,MATCH(言語切替!$B$3,_翻訳マスタ!$B$1:$D$1,0)))</f>
        <v>0</v>
      </c>
      <c r="K5" s="123"/>
    </row>
    <row r="6" spans="1:14" x14ac:dyDescent="0.25">
      <c r="B6" s="111"/>
      <c r="C6" s="111"/>
      <c r="D6" s="115"/>
      <c r="E6" s="115"/>
      <c r="F6" s="113"/>
      <c r="G6" s="113"/>
      <c r="H6" s="121"/>
      <c r="I6" s="121"/>
      <c r="J6" s="123"/>
      <c r="K6" s="123"/>
    </row>
    <row r="9" spans="1:14" ht="31.5" x14ac:dyDescent="0.25">
      <c r="A9" s="5" t="str">
        <f>INDEX(_翻訳マスタ!$B$33:$D$45,MATCH("DASH_WG",_翻訳マスタ!$A$33:$A$45,0),MATCH(言語切替!$B$3,_翻訳マスタ!$B$1:$D$1,0))</f>
        <v>WG</v>
      </c>
      <c r="B9" s="6" t="str">
        <f>INDEX(_翻訳マスタ!$B$33:$D$45,MATCH("DASH_OPEN_WBS",_翻訳マスタ!$A$33:$A$45,0),MATCH(言語切替!$B$3,_翻訳マスタ!$B$1:$D$1,0))</f>
        <v>WBS chưa hoàn thành</v>
      </c>
      <c r="C9" s="6" t="str">
        <f>INDEX(_翻訳マスタ!$B$33:$D$45,MATCH("DASH_DELAY_WBS",_翻訳マスタ!$A$33:$A$45,0),MATCH(言語切替!$B$3,_翻訳マスタ!$B$1:$D$1,0))</f>
        <v>WBS chậm tiến độ</v>
      </c>
      <c r="D9" s="6" t="str">
        <f>INDEX(_翻訳マスタ!$B$33:$D$45,MATCH("DASH_OPEN_ISSUES_SHORT",_翻訳マスタ!$A$33:$A$45,0),MATCH(言語切替!$B$3,_翻訳マスタ!$B$1:$D$1,0))</f>
        <v>Vấn đề chưa hoàn thành</v>
      </c>
      <c r="E9" s="6" t="str">
        <f>INDEX(_翻訳マスタ!$B$33:$D$45,MATCH("DASH_HIGH_OVERDUE_SHORT",_翻訳マスタ!$A$33:$A$45,0),MATCH(言語切替!$B$3,_翻訳マスタ!$B$1:$D$1,0))</f>
        <v>High/Quá hạn</v>
      </c>
      <c r="F9" s="6" t="str">
        <f>INDEX(_翻訳マスタ!$B$33:$D$45,MATCH("DASH_WAITING",_翻訳マスタ!$A$33:$A$45,0),MATCH(言語切替!$B$3,_翻訳マスタ!$B$1:$D$1,0))</f>
        <v>Chờ quyết định/WG khác</v>
      </c>
      <c r="G9" s="7" t="str">
        <f>INDEX(_翻訳マスタ!$B$33:$D$45,MATCH("DASH_KPI_MISS",_翻訳マスタ!$A$33:$A$45,0),MATCH(言語切替!$B$3,_翻訳マスタ!$B$1:$D$1,0))</f>
        <v>KPI chưa đạt</v>
      </c>
    </row>
    <row r="10" spans="1:14" x14ac:dyDescent="0.25">
      <c r="A10" s="8" t="str">
        <f>'02_マスタ'!$A$5</f>
        <v>Toàn bộ</v>
      </c>
      <c r="B10" s="9">
        <f>COUNTIFS('03_WBS'!$B$5:$B$205,$A10,'03_WBS'!$T$5:$T$205,"&lt;&gt;"&amp;INDEX(_翻訳マスタ!$B$75:$D$75,1,MATCH(言語切替!$B$3,_翻訳マスタ!$B$1:$D$1,0)))</f>
        <v>1</v>
      </c>
      <c r="C10" s="9">
        <f>COUNTIFS('03_WBS'!$B$5:$B$205,$A10,'03_WBS'!$T$5:$T$205,INDEX(_翻訳マスタ!$B$92:$D$92,1,MATCH(言語切替!$B$3,_翻訳マスタ!$B$1:$D$1,0)))</f>
        <v>0</v>
      </c>
      <c r="D10" s="9">
        <f>COUNTIFS('04_課題ToDo'!$C$5:$C$304,$A10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1</v>
      </c>
      <c r="E10" s="9">
        <f ca="1">COUNTIFS('04_課題ToDo'!$C$5:$C$304,$A10,'04_課題ToDo'!$AI$5:$AI$304,"High")+COUNTIFS('04_課題ToDo'!$C$5:$C$304,$A10,'04_課題ToDo'!$AI$5:$AI$304,INDEX(_翻訳マスタ!$B$117:$D$247,MATCH("ALERT_OVERDUE",_翻訳マスタ!$A$117:$A$247,0),MATCH(言語切替!$B$3,_翻訳マスタ!$B$1:$D$1,0)))</f>
        <v>0</v>
      </c>
      <c r="F10" s="9">
        <f>COUNTIFS('04_課題ToDo'!$C$5:$C$304,$A10,'04_課題ToDo'!$W$5:$W$304,INDEX(_翻訳マスタ!$B$72:$D$72,1,MATCH(言語切替!$B$3,_翻訳マスタ!$B$1:$D$1,0)))+COUNTIFS('04_課題ToDo'!$C$5:$C$304,$A10,'04_課題ToDo'!$W$5:$W$304,INDEX(_翻訳マスタ!$B$73:$D$73,1,MATCH(言語切替!$B$3,_翻訳マスタ!$B$1:$D$1,0)))</f>
        <v>0</v>
      </c>
      <c r="G10" s="10">
        <f>COUNTIFS('06_KPI'!$B$5:$B$204,$A10,'06_KPI'!$X$5:$X$204,INDEX(_翻訳マスタ!$B$94:$D$94,1,MATCH(言語切替!$B$3,_翻訳マスタ!$B$1:$D$1,0)))</f>
        <v>0</v>
      </c>
    </row>
    <row r="11" spans="1:14" x14ac:dyDescent="0.25">
      <c r="A11" s="11" t="s">
        <v>323</v>
      </c>
      <c r="B11" s="12">
        <f>COUNTIFS('03_WBS'!$B$5:$B$205,$A11,'03_WBS'!$T$5:$T$205,"&lt;&gt;"&amp;INDEX(_翻訳マスタ!$B$75:$D$75,1,MATCH(言語切替!$B$3,_翻訳マスタ!$B$1:$D$1,0)))</f>
        <v>1</v>
      </c>
      <c r="C11" s="12">
        <f>COUNTIFS('03_WBS'!$B$5:$B$205,$A11,'03_WBS'!$T$5:$T$205,INDEX(_翻訳マスタ!$B$92:$D$92,1,MATCH(言語切替!$B$3,_翻訳マスタ!$B$1:$D$1,0)))</f>
        <v>0</v>
      </c>
      <c r="D11" s="12">
        <f>COUNTIFS('04_課題ToDo'!$C$5:$C$304,$A11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0</v>
      </c>
      <c r="E11" s="12">
        <f>COUNTIFS('04_課題ToDo'!$C$5:$C$304,$A11,'04_課題ToDo'!$AI$5:$AI$304,"High")+COUNTIFS('04_課題ToDo'!$C$5:$C$304,$A11,'04_課題ToDo'!$AI$5:$AI$304,INDEX(_翻訳マスタ!$B$117:$D$247,MATCH("ALERT_OVERDUE",_翻訳マスタ!$A$117:$A$247,0),MATCH(言語切替!$B$3,_翻訳マスタ!$B$1:$D$1,0)))</f>
        <v>0</v>
      </c>
      <c r="F11" s="12">
        <f>COUNTIFS('04_課題ToDo'!$C$5:$C$304,$A11,'04_課題ToDo'!$W$5:$W$304,INDEX(_翻訳マスタ!$B$72:$D$72,1,MATCH(言語切替!$B$3,_翻訳マスタ!$B$1:$D$1,0)))+COUNTIFS('04_課題ToDo'!$C$5:$C$304,$A11,'04_課題ToDo'!$W$5:$W$304,INDEX(_翻訳マスタ!$B$73:$D$73,1,MATCH(言語切替!$B$3,_翻訳マスタ!$B$1:$D$1,0)))</f>
        <v>0</v>
      </c>
      <c r="G11" s="13">
        <f>COUNTIFS('06_KPI'!$B$5:$B$204,$A11,'06_KPI'!$X$5:$X$204,INDEX(_翻訳マスタ!$B$94:$D$94,1,MATCH(言語切替!$B$3,_翻訳マスタ!$B$1:$D$1,0)))</f>
        <v>0</v>
      </c>
    </row>
    <row r="12" spans="1:14" x14ac:dyDescent="0.25">
      <c r="A12" s="14" t="s">
        <v>325</v>
      </c>
      <c r="B12" s="15">
        <f>COUNTIFS('03_WBS'!$B$5:$B$205,$A12,'03_WBS'!$T$5:$T$205,"&lt;&gt;"&amp;INDEX(_翻訳マスタ!$B$75:$D$75,1,MATCH(言語切替!$B$3,_翻訳マスタ!$B$1:$D$1,0)))</f>
        <v>0</v>
      </c>
      <c r="C12" s="15">
        <f>COUNTIFS('03_WBS'!$B$5:$B$205,$A12,'03_WBS'!$T$5:$T$205,INDEX(_翻訳マスタ!$B$92:$D$92,1,MATCH(言語切替!$B$3,_翻訳マスタ!$B$1:$D$1,0)))</f>
        <v>0</v>
      </c>
      <c r="D12" s="15">
        <f>COUNTIFS('04_課題ToDo'!$C$5:$C$304,$A12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0</v>
      </c>
      <c r="E12" s="15">
        <f>COUNTIFS('04_課題ToDo'!$C$5:$C$304,$A12,'04_課題ToDo'!$AI$5:$AI$304,"High")+COUNTIFS('04_課題ToDo'!$C$5:$C$304,$A12,'04_課題ToDo'!$AI$5:$AI$304,INDEX(_翻訳マスタ!$B$117:$D$247,MATCH("ALERT_OVERDUE",_翻訳マスタ!$A$117:$A$247,0),MATCH(言語切替!$B$3,_翻訳マスタ!$B$1:$D$1,0)))</f>
        <v>0</v>
      </c>
      <c r="F12" s="15">
        <f>COUNTIFS('04_課題ToDo'!$C$5:$C$304,$A12,'04_課題ToDo'!$W$5:$W$304,INDEX(_翻訳マスタ!$B$72:$D$72,1,MATCH(言語切替!$B$3,_翻訳マスタ!$B$1:$D$1,0)))+COUNTIFS('04_課題ToDo'!$C$5:$C$304,$A12,'04_課題ToDo'!$W$5:$W$304,INDEX(_翻訳マスタ!$B$73:$D$73,1,MATCH(言語切替!$B$3,_翻訳マスタ!$B$1:$D$1,0)))</f>
        <v>0</v>
      </c>
      <c r="G12" s="16">
        <f>COUNTIFS('06_KPI'!$B$5:$B$204,$A12,'06_KPI'!$X$5:$X$204,INDEX(_翻訳マスタ!$B$94:$D$94,1,MATCH(言語切替!$B$3,_翻訳マスタ!$B$1:$D$1,0)))</f>
        <v>0</v>
      </c>
    </row>
    <row r="13" spans="1:14" x14ac:dyDescent="0.25">
      <c r="A13" s="11" t="s">
        <v>327</v>
      </c>
      <c r="B13" s="12">
        <f>COUNTIFS('03_WBS'!$B$5:$B$205,$A13,'03_WBS'!$T$5:$T$205,"&lt;&gt;"&amp;INDEX(_翻訳マスタ!$B$75:$D$75,1,MATCH(言語切替!$B$3,_翻訳マスタ!$B$1:$D$1,0)))</f>
        <v>0</v>
      </c>
      <c r="C13" s="12">
        <f>COUNTIFS('03_WBS'!$B$5:$B$205,$A13,'03_WBS'!$T$5:$T$205,INDEX(_翻訳マスタ!$B$92:$D$92,1,MATCH(言語切替!$B$3,_翻訳マスタ!$B$1:$D$1,0)))</f>
        <v>0</v>
      </c>
      <c r="D13" s="12">
        <f>COUNTIFS('04_課題ToDo'!$C$5:$C$304,$A13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0</v>
      </c>
      <c r="E13" s="12">
        <f>COUNTIFS('04_課題ToDo'!$C$5:$C$304,$A13,'04_課題ToDo'!$AI$5:$AI$304,"High")+COUNTIFS('04_課題ToDo'!$C$5:$C$304,$A13,'04_課題ToDo'!$AI$5:$AI$304,INDEX(_翻訳マスタ!$B$117:$D$247,MATCH("ALERT_OVERDUE",_翻訳マスタ!$A$117:$A$247,0),MATCH(言語切替!$B$3,_翻訳マスタ!$B$1:$D$1,0)))</f>
        <v>0</v>
      </c>
      <c r="F13" s="12">
        <f>COUNTIFS('04_課題ToDo'!$C$5:$C$304,$A13,'04_課題ToDo'!$W$5:$W$304,INDEX(_翻訳マスタ!$B$72:$D$72,1,MATCH(言語切替!$B$3,_翻訳マスタ!$B$1:$D$1,0)))+COUNTIFS('04_課題ToDo'!$C$5:$C$304,$A13,'04_課題ToDo'!$W$5:$W$304,INDEX(_翻訳マスタ!$B$73:$D$73,1,MATCH(言語切替!$B$3,_翻訳マスタ!$B$1:$D$1,0)))</f>
        <v>0</v>
      </c>
      <c r="G13" s="13">
        <f>COUNTIFS('06_KPI'!$B$5:$B$204,$A13,'06_KPI'!$X$5:$X$204,INDEX(_翻訳マスタ!$B$94:$D$94,1,MATCH(言語切替!$B$3,_翻訳マスタ!$B$1:$D$1,0)))</f>
        <v>0</v>
      </c>
    </row>
    <row r="14" spans="1:14" x14ac:dyDescent="0.25">
      <c r="A14" s="14" t="s">
        <v>329</v>
      </c>
      <c r="B14" s="15">
        <f>COUNTIFS('03_WBS'!$B$5:$B$205,$A14,'03_WBS'!$T$5:$T$205,"&lt;&gt;"&amp;INDEX(_翻訳マスタ!$B$75:$D$75,1,MATCH(言語切替!$B$3,_翻訳マスタ!$B$1:$D$1,0)))</f>
        <v>0</v>
      </c>
      <c r="C14" s="15">
        <f>COUNTIFS('03_WBS'!$B$5:$B$205,$A14,'03_WBS'!$T$5:$T$205,INDEX(_翻訳マスタ!$B$92:$D$92,1,MATCH(言語切替!$B$3,_翻訳マスタ!$B$1:$D$1,0)))</f>
        <v>0</v>
      </c>
      <c r="D14" s="15">
        <f>COUNTIFS('04_課題ToDo'!$C$5:$C$304,$A14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1</v>
      </c>
      <c r="E14" s="15">
        <f ca="1">COUNTIFS('04_課題ToDo'!$C$5:$C$304,$A14,'04_課題ToDo'!$AI$5:$AI$304,"High")+COUNTIFS('04_課題ToDo'!$C$5:$C$304,$A14,'04_課題ToDo'!$AI$5:$AI$304,INDEX(_翻訳マスタ!$B$117:$D$247,MATCH("ALERT_OVERDUE",_翻訳マスタ!$A$117:$A$247,0),MATCH(言語切替!$B$3,_翻訳マスタ!$B$1:$D$1,0)))</f>
        <v>0</v>
      </c>
      <c r="F14" s="15">
        <f>COUNTIFS('04_課題ToDo'!$C$5:$C$304,$A14,'04_課題ToDo'!$W$5:$W$304,INDEX(_翻訳マスタ!$B$72:$D$72,1,MATCH(言語切替!$B$3,_翻訳マスタ!$B$1:$D$1,0)))+COUNTIFS('04_課題ToDo'!$C$5:$C$304,$A14,'04_課題ToDo'!$W$5:$W$304,INDEX(_翻訳マスタ!$B$73:$D$73,1,MATCH(言語切替!$B$3,_翻訳マスタ!$B$1:$D$1,0)))</f>
        <v>0</v>
      </c>
      <c r="G14" s="16">
        <f>COUNTIFS('06_KPI'!$B$5:$B$204,$A14,'06_KPI'!$X$5:$X$204,INDEX(_翻訳マスタ!$B$94:$D$94,1,MATCH(言語切替!$B$3,_翻訳マスタ!$B$1:$D$1,0)))</f>
        <v>0</v>
      </c>
    </row>
    <row r="15" spans="1:14" x14ac:dyDescent="0.25">
      <c r="A15" s="11" t="s">
        <v>331</v>
      </c>
      <c r="B15" s="12">
        <f>COUNTIFS('03_WBS'!$B$5:$B$205,$A15,'03_WBS'!$T$5:$T$205,"&lt;&gt;"&amp;INDEX(_翻訳マスタ!$B$75:$D$75,1,MATCH(言語切替!$B$3,_翻訳マスタ!$B$1:$D$1,0)))</f>
        <v>4</v>
      </c>
      <c r="C15" s="12">
        <f>COUNTIFS('03_WBS'!$B$5:$B$205,$A15,'03_WBS'!$T$5:$T$205,INDEX(_翻訳マスタ!$B$92:$D$92,1,MATCH(言語切替!$B$3,_翻訳マスタ!$B$1:$D$1,0)))</f>
        <v>0</v>
      </c>
      <c r="D15" s="12">
        <f>COUNTIFS('04_課題ToDo'!$C$5:$C$304,$A15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1</v>
      </c>
      <c r="E15" s="12">
        <f ca="1">COUNTIFS('04_課題ToDo'!$C$5:$C$304,$A15,'04_課題ToDo'!$AI$5:$AI$304,"High")+COUNTIFS('04_課題ToDo'!$C$5:$C$304,$A15,'04_課題ToDo'!$AI$5:$AI$304,INDEX(_翻訳マスタ!$B$117:$D$247,MATCH("ALERT_OVERDUE",_翻訳マスタ!$A$117:$A$247,0),MATCH(言語切替!$B$3,_翻訳マスタ!$B$1:$D$1,0)))</f>
        <v>0</v>
      </c>
      <c r="F15" s="12">
        <f>COUNTIFS('04_課題ToDo'!$C$5:$C$304,$A15,'04_課題ToDo'!$W$5:$W$304,INDEX(_翻訳マスタ!$B$72:$D$72,1,MATCH(言語切替!$B$3,_翻訳マスタ!$B$1:$D$1,0)))+COUNTIFS('04_課題ToDo'!$C$5:$C$304,$A15,'04_課題ToDo'!$W$5:$W$304,INDEX(_翻訳マスタ!$B$73:$D$73,1,MATCH(言語切替!$B$3,_翻訳マスタ!$B$1:$D$1,0)))</f>
        <v>0</v>
      </c>
      <c r="G15" s="13">
        <f>COUNTIFS('06_KPI'!$B$5:$B$204,$A15,'06_KPI'!$X$5:$X$204,INDEX(_翻訳マスタ!$B$94:$D$94,1,MATCH(言語切替!$B$3,_翻訳マスタ!$B$1:$D$1,0)))</f>
        <v>0</v>
      </c>
    </row>
    <row r="16" spans="1:14" x14ac:dyDescent="0.25">
      <c r="A16" s="14" t="s">
        <v>333</v>
      </c>
      <c r="B16" s="15">
        <f>COUNTIFS('03_WBS'!$B$5:$B$205,$A16,'03_WBS'!$T$5:$T$205,"&lt;&gt;"&amp;INDEX(_翻訳マスタ!$B$75:$D$75,1,MATCH(言語切替!$B$3,_翻訳マスタ!$B$1:$D$1,0)))</f>
        <v>0</v>
      </c>
      <c r="C16" s="15">
        <f>COUNTIFS('03_WBS'!$B$5:$B$205,$A16,'03_WBS'!$T$5:$T$205,INDEX(_翻訳マスタ!$B$92:$D$92,1,MATCH(言語切替!$B$3,_翻訳マスタ!$B$1:$D$1,0)))</f>
        <v>0</v>
      </c>
      <c r="D16" s="15">
        <f>COUNTIFS('04_課題ToDo'!$C$5:$C$304,$A16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0</v>
      </c>
      <c r="E16" s="15">
        <f>COUNTIFS('04_課題ToDo'!$C$5:$C$304,$A16,'04_課題ToDo'!$AI$5:$AI$304,"High")+COUNTIFS('04_課題ToDo'!$C$5:$C$304,$A16,'04_課題ToDo'!$AI$5:$AI$304,INDEX(_翻訳マスタ!$B$117:$D$247,MATCH("ALERT_OVERDUE",_翻訳マスタ!$A$117:$A$247,0),MATCH(言語切替!$B$3,_翻訳マスタ!$B$1:$D$1,0)))</f>
        <v>0</v>
      </c>
      <c r="F16" s="15">
        <f>COUNTIFS('04_課題ToDo'!$C$5:$C$304,$A16,'04_課題ToDo'!$W$5:$W$304,INDEX(_翻訳マスタ!$B$72:$D$72,1,MATCH(言語切替!$B$3,_翻訳マスタ!$B$1:$D$1,0)))+COUNTIFS('04_課題ToDo'!$C$5:$C$304,$A16,'04_課題ToDo'!$W$5:$W$304,INDEX(_翻訳マスタ!$B$73:$D$73,1,MATCH(言語切替!$B$3,_翻訳マスタ!$B$1:$D$1,0)))</f>
        <v>0</v>
      </c>
      <c r="G16" s="16">
        <f>COUNTIFS('06_KPI'!$B$5:$B$204,$A16,'06_KPI'!$X$5:$X$204,INDEX(_翻訳マスタ!$B$94:$D$94,1,MATCH(言語切替!$B$3,_翻訳マスタ!$B$1:$D$1,0)))</f>
        <v>0</v>
      </c>
    </row>
    <row r="17" spans="1:7" x14ac:dyDescent="0.25">
      <c r="A17" s="11" t="s">
        <v>335</v>
      </c>
      <c r="B17" s="12">
        <f>COUNTIFS('03_WBS'!$B$5:$B$205,$A17,'03_WBS'!$T$5:$T$205,"&lt;&gt;"&amp;INDEX(_翻訳マスタ!$B$75:$D$75,1,MATCH(言語切替!$B$3,_翻訳マスタ!$B$1:$D$1,0)))</f>
        <v>0</v>
      </c>
      <c r="C17" s="12">
        <f>COUNTIFS('03_WBS'!$B$5:$B$205,$A17,'03_WBS'!$T$5:$T$205,INDEX(_翻訳マスタ!$B$92:$D$92,1,MATCH(言語切替!$B$3,_翻訳マスタ!$B$1:$D$1,0)))</f>
        <v>0</v>
      </c>
      <c r="D17" s="12">
        <f>COUNTIFS('04_課題ToDo'!$C$5:$C$304,$A17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1</v>
      </c>
      <c r="E17" s="12">
        <f ca="1">COUNTIFS('04_課題ToDo'!$C$5:$C$304,$A17,'04_課題ToDo'!$AI$5:$AI$304,"High")+COUNTIFS('04_課題ToDo'!$C$5:$C$304,$A17,'04_課題ToDo'!$AI$5:$AI$304,INDEX(_翻訳マスタ!$B$117:$D$247,MATCH("ALERT_OVERDUE",_翻訳マスタ!$A$117:$A$247,0),MATCH(言語切替!$B$3,_翻訳マスタ!$B$1:$D$1,0)))</f>
        <v>0</v>
      </c>
      <c r="F17" s="12">
        <f>COUNTIFS('04_課題ToDo'!$C$5:$C$304,$A17,'04_課題ToDo'!$W$5:$W$304,INDEX(_翻訳マスタ!$B$72:$D$72,1,MATCH(言語切替!$B$3,_翻訳マスタ!$B$1:$D$1,0)))+COUNTIFS('04_課題ToDo'!$C$5:$C$304,$A17,'04_課題ToDo'!$W$5:$W$304,INDEX(_翻訳マスタ!$B$73:$D$73,1,MATCH(言語切替!$B$3,_翻訳マスタ!$B$1:$D$1,0)))</f>
        <v>0</v>
      </c>
      <c r="G17" s="13">
        <f>COUNTIFS('06_KPI'!$B$5:$B$204,$A17,'06_KPI'!$X$5:$X$204,INDEX(_翻訳マスタ!$B$94:$D$94,1,MATCH(言語切替!$B$3,_翻訳マスタ!$B$1:$D$1,0)))</f>
        <v>0</v>
      </c>
    </row>
    <row r="18" spans="1:7" x14ac:dyDescent="0.25">
      <c r="A18" s="14" t="s">
        <v>336</v>
      </c>
      <c r="B18" s="15">
        <f>COUNTIFS('03_WBS'!$B$5:$B$205,$A18,'03_WBS'!$T$5:$T$205,"&lt;&gt;"&amp;INDEX(_翻訳マスタ!$B$75:$D$75,1,MATCH(言語切替!$B$3,_翻訳マスタ!$B$1:$D$1,0)))</f>
        <v>1</v>
      </c>
      <c r="C18" s="15">
        <f>COUNTIFS('03_WBS'!$B$5:$B$205,$A18,'03_WBS'!$T$5:$T$205,INDEX(_翻訳マスタ!$B$92:$D$92,1,MATCH(言語切替!$B$3,_翻訳マスタ!$B$1:$D$1,0)))</f>
        <v>0</v>
      </c>
      <c r="D18" s="15">
        <f>COUNTIFS('04_課題ToDo'!$C$5:$C$304,$A18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0</v>
      </c>
      <c r="E18" s="15">
        <f>COUNTIFS('04_課題ToDo'!$C$5:$C$304,$A18,'04_課題ToDo'!$AI$5:$AI$304,"High")+COUNTIFS('04_課題ToDo'!$C$5:$C$304,$A18,'04_課題ToDo'!$AI$5:$AI$304,INDEX(_翻訳マスタ!$B$117:$D$247,MATCH("ALERT_OVERDUE",_翻訳マスタ!$A$117:$A$247,0),MATCH(言語切替!$B$3,_翻訳マスタ!$B$1:$D$1,0)))</f>
        <v>0</v>
      </c>
      <c r="F18" s="15">
        <f>COUNTIFS('04_課題ToDo'!$C$5:$C$304,$A18,'04_課題ToDo'!$W$5:$W$304,INDEX(_翻訳マスタ!$B$72:$D$72,1,MATCH(言語切替!$B$3,_翻訳マスタ!$B$1:$D$1,0)))+COUNTIFS('04_課題ToDo'!$C$5:$C$304,$A18,'04_課題ToDo'!$W$5:$W$304,INDEX(_翻訳マスタ!$B$73:$D$73,1,MATCH(言語切替!$B$3,_翻訳マスタ!$B$1:$D$1,0)))</f>
        <v>0</v>
      </c>
      <c r="G18" s="16">
        <f>COUNTIFS('06_KPI'!$B$5:$B$204,$A18,'06_KPI'!$X$5:$X$204,INDEX(_翻訳マスタ!$B$94:$D$94,1,MATCH(言語切替!$B$3,_翻訳マスタ!$B$1:$D$1,0)))</f>
        <v>0</v>
      </c>
    </row>
    <row r="19" spans="1:7" x14ac:dyDescent="0.25">
      <c r="A19" s="17" t="s">
        <v>338</v>
      </c>
      <c r="B19" s="18">
        <f>COUNTIFS('03_WBS'!$B$5:$B$205,$A19,'03_WBS'!$T$5:$T$205,"&lt;&gt;"&amp;INDEX(_翻訳マスタ!$B$75:$D$75,1,MATCH(言語切替!$B$3,_翻訳マスタ!$B$1:$D$1,0)))</f>
        <v>0</v>
      </c>
      <c r="C19" s="18">
        <f>COUNTIFS('03_WBS'!$B$5:$B$205,$A19,'03_WBS'!$T$5:$T$205,INDEX(_翻訳マスタ!$B$92:$D$92,1,MATCH(言語切替!$B$3,_翻訳マスタ!$B$1:$D$1,0)))</f>
        <v>0</v>
      </c>
      <c r="D19" s="18">
        <f>COUNTIFS('04_課題ToDo'!$C$5:$C$304,$A19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1</v>
      </c>
      <c r="E19" s="18">
        <f ca="1">COUNTIFS('04_課題ToDo'!$C$5:$C$304,$A19,'04_課題ToDo'!$AI$5:$AI$304,"High")+COUNTIFS('04_課題ToDo'!$C$5:$C$304,$A19,'04_課題ToDo'!$AI$5:$AI$304,INDEX(_翻訳マスタ!$B$117:$D$247,MATCH("ALERT_OVERDUE",_翻訳マスタ!$A$117:$A$247,0),MATCH(言語切替!$B$3,_翻訳マスタ!$B$1:$D$1,0)))</f>
        <v>0</v>
      </c>
      <c r="F19" s="18">
        <f>COUNTIFS('04_課題ToDo'!$C$5:$C$304,$A19,'04_課題ToDo'!$W$5:$W$304,INDEX(_翻訳マスタ!$B$72:$D$72,1,MATCH(言語切替!$B$3,_翻訳マスタ!$B$1:$D$1,0)))+COUNTIFS('04_課題ToDo'!$C$5:$C$304,$A19,'04_課題ToDo'!$W$5:$W$304,INDEX(_翻訳マスタ!$B$73:$D$73,1,MATCH(言語切替!$B$3,_翻訳マスタ!$B$1:$D$1,0)))</f>
        <v>0</v>
      </c>
      <c r="G19" s="19">
        <f>COUNTIFS('06_KPI'!$B$5:$B$204,$A19,'06_KPI'!$X$5:$X$204,INDEX(_翻訳マスタ!$B$94:$D$94,1,MATCH(言語切替!$B$3,_翻訳マスタ!$B$1:$D$1,0)))</f>
        <v>0</v>
      </c>
    </row>
  </sheetData>
  <sheetProtection sheet="1" objects="1" scenarios="1" formatCells="0" formatColumns="0" formatRows="0" deleteRows="0" sort="0" autoFilter="0"/>
  <autoFilter ref="A9:G19" xr:uid="{00000000-0001-0000-0100-000000000000}"/>
  <mergeCells count="12">
    <mergeCell ref="A1:N1"/>
    <mergeCell ref="F4:G4"/>
    <mergeCell ref="J4:K4"/>
    <mergeCell ref="A2:N2"/>
    <mergeCell ref="B5:C6"/>
    <mergeCell ref="F5:G6"/>
    <mergeCell ref="D5:E6"/>
    <mergeCell ref="D4:E4"/>
    <mergeCell ref="H4:I4"/>
    <mergeCell ref="H5:I6"/>
    <mergeCell ref="J5:K6"/>
    <mergeCell ref="B4:C4"/>
  </mergeCells>
  <phoneticPr fontId="1"/>
  <pageMargins left="0.75" right="0.75" top="1" bottom="1" header="0.5" footer="0.5"/>
  <pageSetup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1"/>
  <sheetViews>
    <sheetView showGridLines="0" topLeftCell="A3" zoomScale="85" workbookViewId="0">
      <selection activeCell="A2" sqref="A2:N2"/>
    </sheetView>
  </sheetViews>
  <sheetFormatPr defaultColWidth="8.75" defaultRowHeight="15.75" x14ac:dyDescent="0.25"/>
  <cols>
    <col min="1" max="1" width="22.125" style="1" customWidth="1"/>
    <col min="2" max="2" width="8.75" style="1"/>
    <col min="3" max="3" width="24" style="1" customWidth="1"/>
    <col min="4" max="4" width="8.75" style="1"/>
    <col min="5" max="5" width="24" style="1" customWidth="1"/>
    <col min="6" max="6" width="8.75" style="1"/>
    <col min="7" max="7" width="24" style="1" customWidth="1"/>
    <col min="8" max="8" width="8.75" style="1"/>
    <col min="9" max="9" width="24" style="1" customWidth="1"/>
    <col min="10" max="10" width="8.75" style="1"/>
    <col min="11" max="11" width="24" style="1" customWidth="1"/>
    <col min="12" max="12" width="8.75" style="1"/>
    <col min="13" max="13" width="24" style="1" customWidth="1"/>
    <col min="14" max="16384" width="8.75" style="1"/>
  </cols>
  <sheetData>
    <row r="1" spans="1:14" ht="21" x14ac:dyDescent="0.25">
      <c r="A1" s="95" t="str">
        <f>INDEX(_翻訳マスタ!$B$47:$D$98,MATCH("M_TITLE",_翻訳マスタ!$A$47:$A$98,0),MATCH(言語切替!$B$3,_翻訳マスタ!$B$1:$D$1,0))</f>
        <v>Danh mục nhập liệu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</row>
    <row r="2" spans="1:14" x14ac:dyDescent="0.25">
      <c r="A2" s="108" t="str">
        <f>INDEX(_翻訳マスタ!$B$47:$D$98,MATCH("M_DESC",_翻訳マスタ!$A$47:$A$98,0),MATCH(言語切替!$B$3,_翻訳マスタ!$B$1:$D$1,0))</f>
        <v>Các giá trị lựa chọn dùng cho xác thực dữ liệu. Chỉ ban điều hành được thay đổi.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</row>
    <row r="4" spans="1:14" x14ac:dyDescent="0.25">
      <c r="A4" s="2" t="str">
        <f>INDEX(_翻訳マスタ!$B$47:$D$98,MATCH("M_WG",_翻訳マスタ!$A$47:$A$98,0),MATCH(言語切替!$B$3,_翻訳マスタ!$B$1:$D$1,0))</f>
        <v>WG</v>
      </c>
      <c r="C4" s="2" t="str">
        <f>INDEX(_翻訳マスタ!$B$47:$D$98,MATCH("M_SITE",_翻訳マスタ!$A$47:$A$98,0),MATCH(言語切替!$B$3,_翻訳マスタ!$B$1:$D$1,0))</f>
        <v>Đơn vị</v>
      </c>
      <c r="E4" s="2" t="str">
        <f>INDEX(_翻訳マスタ!$B$47:$D$98,MATCH("M_STATUS",_翻訳マスタ!$A$47:$A$98,0),MATCH(言語切替!$B$3,_翻訳マスタ!$B$1:$D$1,0))</f>
        <v>Trạng thái</v>
      </c>
      <c r="G4" s="2" t="str">
        <f>INDEX(_翻訳マスタ!$B$47:$D$98,MATCH("M_PRIORITY",_翻訳マスタ!$A$47:$A$98,0),MATCH(言語切替!$B$3,_翻訳マスタ!$B$1:$D$1,0))</f>
        <v>Mức ưu tiên</v>
      </c>
      <c r="I4" s="2" t="str">
        <f>INDEX(_翻訳マスタ!$B$47:$D$98,MATCH("M_TYPE",_翻訳マスタ!$A$47:$A$98,0),MATCH(言語切替!$B$3,_翻訳マスタ!$B$1:$D$1,0))</f>
        <v>Phân loại</v>
      </c>
      <c r="K4" s="2" t="str">
        <f>INDEX(_翻訳マスタ!$B$47:$D$98,MATCH("M_KPI_LEVEL",_翻訳マスタ!$A$47:$A$98,0),MATCH(言語切替!$B$3,_翻訳マスタ!$B$1:$D$1,0))</f>
        <v>Cấp KPI</v>
      </c>
      <c r="M4" s="2" t="str">
        <f>INDEX(_翻訳マスタ!$B$47:$D$98,MATCH("M_JUDGMENT",_翻訳マスタ!$A$47:$A$98,0),MATCH(言語切替!$B$3,_翻訳マスタ!$B$1:$D$1,0))</f>
        <v>Đánh giá</v>
      </c>
    </row>
    <row r="5" spans="1:14" x14ac:dyDescent="0.25">
      <c r="A5" s="3" t="str">
        <f>INDEX(_翻訳マスタ!$B$47:$D$98,MATCH("M_ALL",_翻訳マスタ!$A$47:$A$98,0),MATCH(言語切替!$B$3,_翻訳マスタ!$B$1:$D$1,0))</f>
        <v>Toàn bộ</v>
      </c>
      <c r="C5" s="3" t="str">
        <f>INDEX(_翻訳マスタ!$B$47:$D$98,MATCH("M_COMMON",_翻訳マスタ!$A$47:$A$98,0),MATCH(言語切替!$B$3,_翻訳マスタ!$B$1:$D$1,0))</f>
        <v>Chung</v>
      </c>
      <c r="E5" s="3" t="str">
        <f>INDEX(_翻訳マスタ!$B$47:$D$98,MATCH("M_NOT_STARTED",_翻訳マスタ!$A$47:$A$98,0),MATCH(言語切替!$B$3,_翻訳マスタ!$B$1:$D$1,0))</f>
        <v>Chưa bắt đầu</v>
      </c>
      <c r="G5" s="3" t="str">
        <f>INDEX(_翻訳マスタ!$B$47:$D$98,MATCH("M_HIGH",_翻訳マスタ!$A$47:$A$98,0),MATCH(言語切替!$B$3,_翻訳マスタ!$B$1:$D$1,0))</f>
        <v>High</v>
      </c>
      <c r="I5" s="3" t="str">
        <f>INDEX(_翻訳マスタ!$B$47:$D$98,MATCH("M_ISSUE",_翻訳マスタ!$A$47:$A$98,0),MATCH(言語切替!$B$3,_翻訳マスタ!$B$1:$D$1,0))</f>
        <v>Vấn đề</v>
      </c>
      <c r="K5" s="3" t="str">
        <f>INDEX(_翻訳マスタ!$B$47:$D$98,MATCH("M_FOUNDATION",_翻訳マスタ!$A$47:$A$98,0),MATCH(言語切替!$B$3,_翻訳マスタ!$B$1:$D$1,0))</f>
        <v>Thiết lập nền tảng</v>
      </c>
      <c r="M5" s="3" t="str">
        <f>INDEX(_翻訳マスタ!$B$47:$D$98,MATCH("M_UNSET",_翻訳マスタ!$A$47:$A$98,0),MATCH(言語切替!$B$3,_翻訳マスタ!$B$1:$D$1,0))</f>
        <v>Chưa thiết lập</v>
      </c>
    </row>
    <row r="6" spans="1:14" x14ac:dyDescent="0.25">
      <c r="A6" s="3" t="str">
        <f>INDEX(_翻訳マスタ!$B$47:$D$98,MATCH("M_WG1",_翻訳マスタ!$A$47:$A$98,0),MATCH(言語切替!$B$3,_翻訳マスタ!$B$1:$D$1,0))</f>
        <v>WG-1</v>
      </c>
      <c r="C6" s="3" t="str">
        <f>INDEX(_翻訳マスタ!$B$47:$D$98,MATCH("M_KDC",_翻訳マスタ!$A$47:$A$98,0),MATCH(言語切替!$B$3,_翻訳マスタ!$B$1:$D$1,0))</f>
        <v>KDC</v>
      </c>
      <c r="E6" s="3" t="str">
        <f>INDEX(_翻訳マスタ!$B$47:$D$98,MATCH("M_IN_PROGRESS",_翻訳マスタ!$A$47:$A$98,0),MATCH(言語切替!$B$3,_翻訳マスタ!$B$1:$D$1,0))</f>
        <v>Đang xử lý</v>
      </c>
      <c r="G6" s="3" t="str">
        <f>INDEX(_翻訳マスタ!$B$47:$D$98,MATCH("M_MIDDLE",_翻訳マスタ!$A$47:$A$98,0),MATCH(言語切替!$B$3,_翻訳マスタ!$B$1:$D$1,0))</f>
        <v>Middle</v>
      </c>
      <c r="I6" s="3" t="str">
        <f>INDEX(_翻訳マスタ!$B$47:$D$98,MATCH("M_TODO",_翻訳マスタ!$A$47:$A$98,0),MATCH(言語切替!$B$3,_翻訳マスタ!$B$1:$D$1,0))</f>
        <v>ToDo</v>
      </c>
      <c r="K6" s="3" t="str">
        <f>INDEX(_翻訳マスタ!$B$47:$D$98,MATCH("M_ADOPTION",_翻訳マスタ!$A$47:$A$98,0),MATCH(言語切替!$B$3,_翻訳マスタ!$B$1:$D$1,0))</f>
        <v>Vận hành ổn định</v>
      </c>
      <c r="M6" s="3" t="str">
        <f>INDEX(_翻訳マスタ!$B$47:$D$98,MATCH("M_ON_TRACK",_翻訳マスタ!$A$47:$A$98,0),MATCH(言語切替!$B$3,_翻訳マスタ!$B$1:$D$1,0))</f>
        <v>Đúng tiến độ</v>
      </c>
    </row>
    <row r="7" spans="1:14" x14ac:dyDescent="0.25">
      <c r="A7" s="3" t="str">
        <f>INDEX(_翻訳マスタ!$B$47:$D$98,MATCH("M_WG2",_翻訳マスタ!$A$47:$A$98,0),MATCH(言語切替!$B$3,_翻訳マスタ!$B$1:$D$1,0))</f>
        <v>WG-2</v>
      </c>
      <c r="C7" s="3" t="str">
        <f>INDEX(_翻訳マスタ!$B$47:$D$98,MATCH("M_KDTCN",_翻訳マスタ!$A$47:$A$98,0),MATCH(言語切替!$B$3,_翻訳マスタ!$B$1:$D$1,0))</f>
        <v>KDTCN</v>
      </c>
      <c r="E7" s="3" t="str">
        <f>INDEX(_翻訳マスタ!$B$47:$D$98,MATCH("M_WAIT_DECISION",_翻訳マスタ!$A$47:$A$98,0),MATCH(言語切替!$B$3,_翻訳マスタ!$B$1:$D$1,0))</f>
        <v>Chờ quyết định</v>
      </c>
      <c r="G7" s="3" t="str">
        <f>INDEX(_翻訳マスタ!$B$47:$D$98,MATCH("M_LOW",_翻訳マスタ!$A$47:$A$98,0),MATCH(言語切替!$B$3,_翻訳マスタ!$B$1:$D$1,0))</f>
        <v>Low</v>
      </c>
      <c r="I7" s="3" t="str">
        <f>INDEX(_翻訳マスタ!$B$47:$D$98,MATCH("M_DECISION",_翻訳マスタ!$A$47:$A$98,0),MATCH(言語切替!$B$3,_翻訳マスタ!$B$1:$D$1,0))</f>
        <v>Quyết định</v>
      </c>
      <c r="K7" s="3" t="str">
        <f>INDEX(_翻訳マスタ!$B$47:$D$98,MATCH("M_BUSINESS",_翻訳マスタ!$A$47:$A$98,0),MATCH(言語切替!$B$3,_翻訳マスタ!$B$1:$D$1,0))</f>
        <v>Kết quả nghiệp vụ</v>
      </c>
      <c r="M7" s="3" t="str">
        <f>INDEX(_翻訳マスタ!$B$47:$D$98,MATCH("M_CAUTION",_翻訳マスタ!$A$47:$A$98,0),MATCH(言語切替!$B$3,_翻訳マスタ!$B$1:$D$1,0))</f>
        <v>Cần chú ý</v>
      </c>
    </row>
    <row r="8" spans="1:14" x14ac:dyDescent="0.25">
      <c r="A8" s="3" t="str">
        <f>INDEX(_翻訳マスタ!$B$47:$D$98,MATCH("M_WG3",_翻訳マスタ!$A$47:$A$98,0),MATCH(言語切替!$B$3,_翻訳マスタ!$B$1:$D$1,0))</f>
        <v>WG-3</v>
      </c>
      <c r="C8" s="3" t="str">
        <f>INDEX(_翻訳マスタ!$B$47:$D$98,MATCH("M_KDTVN",_翻訳マスタ!$A$47:$A$98,0),MATCH(言語切替!$B$3,_翻訳マスタ!$B$1:$D$1,0))</f>
        <v>KDTVN</v>
      </c>
      <c r="E8" s="3" t="str">
        <f>INDEX(_翻訳マスタ!$B$47:$D$98,MATCH("M_WAIT_WG",_翻訳マスタ!$A$47:$A$98,0),MATCH(言語切替!$B$3,_翻訳マスタ!$B$1:$D$1,0))</f>
        <v>Chờ WG khác</v>
      </c>
      <c r="I8" s="3" t="str">
        <f>INDEX(_翻訳マスタ!$B$47:$D$98,MATCH("M_RISK",_翻訳マスタ!$A$47:$A$98,0),MATCH(言語切替!$B$3,_翻訳マスタ!$B$1:$D$1,0))</f>
        <v>Rủi ro</v>
      </c>
      <c r="K8" s="3" t="str">
        <f>INDEX(_翻訳マスタ!$B$47:$D$98,MATCH("M_INVESTMENT",_翻訳マスタ!$A$47:$A$98,0),MATCH(言語切替!$B$3,_翻訳マスタ!$B$1:$D$1,0))</f>
        <v>Kết quả đầu tư</v>
      </c>
      <c r="M8" s="3" t="str">
        <f>INDEX(_翻訳マスタ!$B$47:$D$98,MATCH("M_DELAY",_翻訳マスタ!$A$47:$A$98,0),MATCH(言語切替!$B$3,_翻訳マスタ!$B$1:$D$1,0))</f>
        <v>Chậm tiến độ</v>
      </c>
    </row>
    <row r="9" spans="1:14" x14ac:dyDescent="0.25">
      <c r="A9" s="3" t="str">
        <f>INDEX(_翻訳マスタ!$B$47:$D$98,MATCH("M_WG4",_翻訳マスタ!$A$47:$A$98,0),MATCH(言語切替!$B$3,_翻訳マスタ!$B$1:$D$1,0))</f>
        <v>WG-4</v>
      </c>
      <c r="E9" s="3" t="str">
        <f>INDEX(_翻訳マスタ!$B$47:$D$98,MATCH("M_WAIT_COMPLETE",_翻訳マスタ!$A$47:$A$98,0),MATCH(言語切替!$B$3,_翻訳マスタ!$B$1:$D$1,0))</f>
        <v>Chờ xác nhận hoàn thành</v>
      </c>
      <c r="M9" s="3" t="str">
        <f>INDEX(_翻訳マスタ!$B$47:$D$98,MATCH("M_ACHIEVED",_翻訳マスタ!$A$47:$A$98,0),MATCH(言語切替!$B$3,_翻訳マスタ!$B$1:$D$1,0))</f>
        <v>Đạt</v>
      </c>
    </row>
    <row r="10" spans="1:14" x14ac:dyDescent="0.25">
      <c r="A10" s="3" t="str">
        <f>INDEX(_翻訳マスタ!$B$47:$D$98,MATCH("M_WG5",_翻訳マスタ!$A$47:$A$98,0),MATCH(言語切替!$B$3,_翻訳マスタ!$B$1:$D$1,0))</f>
        <v>WG-5</v>
      </c>
      <c r="E10" s="3" t="str">
        <f>INDEX(_翻訳マスタ!$B$47:$D$98,MATCH("M_COMPLETE",_翻訳マスタ!$A$47:$A$98,0),MATCH(言語切替!$B$3,_翻訳マスタ!$B$1:$D$1,0))</f>
        <v>Hoàn thành</v>
      </c>
      <c r="M10" s="3" t="str">
        <f>INDEX(_翻訳マスタ!$B$47:$D$98,MATCH("M_NOT_ACHIEVED",_翻訳マスタ!$A$47:$A$98,0),MATCH(言語切替!$B$3,_翻訳マスタ!$B$1:$D$1,0))</f>
        <v>Chưa đạt</v>
      </c>
    </row>
    <row r="11" spans="1:14" x14ac:dyDescent="0.25">
      <c r="A11" s="3" t="str">
        <f>INDEX(_翻訳マスタ!$B$47:$D$98,MATCH("M_WG6",_翻訳マスタ!$A$47:$A$98,0),MATCH(言語切替!$B$3,_翻訳マスタ!$B$1:$D$1,0))</f>
        <v>WG-6</v>
      </c>
      <c r="E11" s="3" t="str">
        <f>INDEX(_翻訳マスタ!$B$47:$D$98,MATCH("M_HOLD",_翻訳マスタ!$A$47:$A$98,0),MATCH(言語切替!$B$3,_翻訳マスタ!$B$1:$D$1,0))</f>
        <v>Tạm hoãn</v>
      </c>
    </row>
    <row r="12" spans="1:14" x14ac:dyDescent="0.25">
      <c r="A12" s="3" t="str">
        <f>INDEX(_翻訳マスタ!$B$47:$D$98,MATCH("M_WG7",_翻訳マスタ!$A$47:$A$98,0),MATCH(言語切替!$B$3,_翻訳マスタ!$B$1:$D$1,0))</f>
        <v>WG-7</v>
      </c>
      <c r="E12" s="3" t="str">
        <f>INDEX(_翻訳マスタ!$B$47:$D$98,MATCH("M_WITHDRAWN",_翻訳マスタ!$A$47:$A$98,0),MATCH(言語切替!$B$3,_翻訳マスタ!$B$1:$D$1,0))</f>
        <v>Rút lại</v>
      </c>
    </row>
    <row r="13" spans="1:14" x14ac:dyDescent="0.25">
      <c r="A13" s="3" t="str">
        <f>INDEX(_翻訳マスタ!$B$47:$D$98,MATCH("M_WG8",_翻訳マスタ!$A$47:$A$98,0),MATCH(言語切替!$B$3,_翻訳マスタ!$B$1:$D$1,0))</f>
        <v>WG-8</v>
      </c>
    </row>
    <row r="14" spans="1:14" x14ac:dyDescent="0.25">
      <c r="A14" s="3" t="str">
        <f>INDEX(_翻訳マスタ!$B$47:$D$98,MATCH("M_WG9",_翻訳マスタ!$A$47:$A$98,0),MATCH(言語切替!$B$3,_翻訳マスタ!$B$1:$D$1,0))</f>
        <v>WG-9</v>
      </c>
    </row>
    <row r="18" spans="1:8" x14ac:dyDescent="0.25">
      <c r="A18" s="2" t="str">
        <f>INDEX(_翻訳マスタ!$B$47:$D$98,MATCH("M_PRIORITY_GUIDE",_翻訳マスタ!$A$47:$A$98,0),MATCH(言語切替!$B$3,_翻訳マスタ!$B$1:$D$1,0))</f>
        <v>Nguyên tắc ưu tiên</v>
      </c>
    </row>
    <row r="19" spans="1:8" x14ac:dyDescent="0.25">
      <c r="A19" s="102" t="str">
        <f>INDEX(_翻訳マスタ!$B$47:$D$98,MATCH("M_HIGH_DESC",_翻訳マスタ!$A$47:$A$98,0),MATCH(言語切替!$B$3,_翻訳マスタ!$B$1:$D$1,0))</f>
        <v>High: Ảnh hưởng trực tiếp đến tiến độ, chi phí và chất lượng của toàn tiểu ban.</v>
      </c>
      <c r="B19" s="94"/>
      <c r="C19" s="94"/>
      <c r="D19" s="94"/>
      <c r="E19" s="94"/>
      <c r="F19" s="94"/>
      <c r="G19" s="94"/>
      <c r="H19" s="94"/>
    </row>
    <row r="20" spans="1:8" x14ac:dyDescent="0.25">
      <c r="A20" s="1" t="str">
        <f>INDEX(_翻訳マスタ!$B$47:$D$98,MATCH("M_MIDDLE_DESC",_翻訳マスタ!$A$47:$A$98,0),MATCH(言語切替!$B$3,_翻訳マスタ!$B$1:$D$1,0))</f>
        <v>Middle: Ảnh hưởng trực tiếp đến tiến độ, chi phí và chất lượng của từng WG.</v>
      </c>
    </row>
    <row r="21" spans="1:8" x14ac:dyDescent="0.25">
      <c r="A21" s="1" t="str">
        <f>INDEX(_翻訳マスタ!$B$47:$D$98,MATCH("M_LOW_DESC",_翻訳マスタ!$A$47:$A$98,0),MATCH(言語切替!$B$3,_翻訳マスタ!$B$1:$D$1,0))</f>
        <v>Low: Ảnh hưởng trực tiếp nhỏ nhưng cần thiết để thành công.</v>
      </c>
    </row>
  </sheetData>
  <mergeCells count="3">
    <mergeCell ref="A19:H19"/>
    <mergeCell ref="A2:N2"/>
    <mergeCell ref="A1:N1"/>
  </mergeCells>
  <phoneticPr fontId="1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Y209"/>
  <sheetViews>
    <sheetView showGridLines="0" zoomScale="70" zoomScaleNormal="70" workbookViewId="0">
      <pane xSplit="6" ySplit="4" topLeftCell="G5" activePane="bottomRight" state="frozen"/>
      <selection pane="topRight" activeCell="E1" sqref="E1"/>
      <selection pane="bottomLeft" activeCell="A5" sqref="A5"/>
      <selection pane="bottomRight" activeCell="A7" sqref="A7:A12"/>
    </sheetView>
  </sheetViews>
  <sheetFormatPr defaultColWidth="8.75" defaultRowHeight="15.75" x14ac:dyDescent="0.25"/>
  <cols>
    <col min="1" max="1" width="17.375" style="1" customWidth="1"/>
    <col min="2" max="2" width="33.5" style="1" customWidth="1"/>
    <col min="3" max="4" width="17.625" style="1" customWidth="1"/>
    <col min="5" max="5" width="12" style="1" customWidth="1"/>
    <col min="6" max="6" width="22.625" style="1" customWidth="1"/>
    <col min="7" max="9" width="18.625" style="1" customWidth="1"/>
    <col min="10" max="10" width="34" style="1" customWidth="1"/>
    <col min="11" max="13" width="18.625" style="1" customWidth="1"/>
    <col min="14" max="14" width="18" style="1" customWidth="1"/>
    <col min="15" max="16" width="12" style="1" customWidth="1"/>
    <col min="17" max="18" width="12" style="66" customWidth="1"/>
    <col min="19" max="19" width="10" style="66" customWidth="1"/>
    <col min="20" max="20" width="15" style="1" customWidth="1"/>
    <col min="21" max="21" width="14.875" style="1" customWidth="1"/>
    <col min="22" max="25" width="24" style="1" customWidth="1"/>
    <col min="26" max="16384" width="8.75" style="1"/>
  </cols>
  <sheetData>
    <row r="1" spans="1:25" ht="21" x14ac:dyDescent="0.25">
      <c r="A1" s="95" t="str">
        <f>INDEX(_翻訳マスタ!$B$99:$D$116,MATCH("WBS_TITLE",_翻訳マスタ!$A$99:$A$116,0),MATCH(言語切替!$B$3,_翻訳マスタ!$B$1:$D$1,0))</f>
        <v>WBS &amp; Mốc tiến độ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</row>
    <row r="2" spans="1:25" x14ac:dyDescent="0.25">
      <c r="A2" s="108" t="str">
        <f>INDEX(_翻訳マスタ!$B$99:$D$116,MATCH("WBS_DESC",_翻訳マスタ!$A$99:$A$116,0),MATCH(言語切替!$B$3,_翻訳マスタ!$B$1:$D$1,0))</f>
        <v>Các ô chữ màu xanh là ô nhập liệu. Tỷ lệ tiến độ, số ngày còn lại và đánh giá chậm tiến độ được tính tự động. 3 dòng là ví dụ nhập liệu.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</row>
    <row r="3" spans="1:25" s="3" customFormat="1" ht="38.1" customHeight="1" x14ac:dyDescent="0.15">
      <c r="A3" s="96" t="str">
        <f>INDEX(_翻訳マスタ!$B$2:$D$300,MATCH("PARA_HOWTO",_翻訳マスタ!$A$2:$A$300,0),MATCH(言語切替!$B$3,_翻訳マスタ!$B$1:$D$1,0))</f>
        <v>Quy tắc nhập: 【Tiêu đề VÀNG】= Được phép nhập / chọn dữ liệu (Gõ bất kỳ tiếng Việt/Nhật/Trung vào ô [Nhập])
【Tiêu đề XANH DƯƠNG】= Cấm nhập (Tự động tính toán &amp; dịch tự động 3 thứ tiếng).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</row>
    <row r="4" spans="1:25" ht="41.45" customHeight="1" x14ac:dyDescent="0.25">
      <c r="A4" s="48" t="str">
        <f>INDEX(_翻訳マスタ!$B$99:$D$116,MATCH("WBS_ID",_翻訳マスタ!$A$99:$A$116,0),MATCH(言語切替!$B$3,_翻訳マスタ!$B$1:$D$1,0))</f>
        <v>WBS ID</v>
      </c>
      <c r="B4" s="49" t="str">
        <f>INDEX(_翻訳マスタ!$B$99:$D$116,MATCH("WBS_WG",_翻訳マスタ!$A$99:$A$116,0),MATCH(言語切替!$B$3,_翻訳マスタ!$B$1:$D$1,0))</f>
        <v>WG</v>
      </c>
      <c r="C4" s="48" t="str">
        <f>INDEX(_翻訳マスタ!$B$99:$D$116,MATCH("WBS_ID",_翻訳マスタ!$A$99:$A$116,0),MATCH(言語切替!$B$3,_翻訳マスタ!$B$1:$D$1,0))</f>
        <v>WBS ID</v>
      </c>
      <c r="D4" s="49"/>
      <c r="E4" s="49" t="str">
        <f>INDEX(_翻訳マスタ!$B$99:$D$116,MATCH("WBS_SITE",_翻訳マスタ!$A$99:$A$116,0),MATCH(言語切替!$B$3,_翻訳マスタ!$B$1:$D$1,0))</f>
        <v>Cứ điểm</v>
      </c>
      <c r="F4" s="49" t="str">
        <f>INDEX(_翻訳マスタ!$B$2:$D$300,MATCH("WBS_CATEGORY",_翻訳マスタ!$A$2:$A$300,0),MATCH(言語切替!$B$3,_翻訳マスタ!$B$1:$D$1,0))&amp;INDEX(_翻訳マスタ!$B$2:$D$300,MATCH("NEW_INPUT_SUFFIX",_翻訳マスタ!$A$2:$A$300,0),MATCH(言語切替!$B$3,_翻訳マスタ!$B$1:$D$1,0))</f>
        <v>Giai đoạn hoạt động [Nhập: VI/JP/CN]</v>
      </c>
      <c r="G4" s="51" t="str">
        <f>INDEX(_翻訳マスタ!$B$2:$D$300,MATCH("WBS_CATEGORY",_翻訳マスタ!$A$2:$A$300,0),MATCH(言語切替!$B$3,_翻訳マスタ!$B$1:$D$1,0))&amp;INDEX(_翻訳マスタ!$B$2:$D$300,MATCH("NEW_VI_SUFFIX",_翻訳マスタ!$A$2:$A$300,0),MATCH(言語切替!$B$3,_翻訳マスタ!$B$1:$D$1,0))</f>
        <v>Giai đoạn hoạt động (VI)</v>
      </c>
      <c r="H4" s="51" t="str">
        <f>INDEX(_翻訳マスタ!$B$2:$D$300,MATCH("WBS_CATEGORY",_翻訳マスタ!$A$2:$A$300,0),MATCH(言語切替!$B$3,_翻訳マスタ!$B$1:$D$1,0))&amp;INDEX(_翻訳マスタ!$B$2:$D$300,MATCH("NEW_JP_SUFFIX",_翻訳マスタ!$A$2:$A$300,0),MATCH(言語切替!$B$3,_翻訳マスタ!$B$1:$D$1,0))</f>
        <v>Giai đoạn hoạt động (JP)</v>
      </c>
      <c r="I4" s="51" t="str">
        <f>INDEX(_翻訳マスタ!$B$2:$D$300,MATCH("WBS_CATEGORY",_翻訳マスタ!$A$2:$A$300,0),MATCH(言語切替!$B$3,_翻訳マスタ!$B$1:$D$1,0))&amp;INDEX(_翻訳マスタ!$B$2:$D$300,MATCH("NEW_CN_SUFFIX",_翻訳マスタ!$A$2:$A$300,0),MATCH(言語切替!$B$3,_翻訳マスタ!$B$1:$D$1,0))</f>
        <v>Giai đoạn hoạt động (CN)</v>
      </c>
      <c r="J4" s="49" t="str">
        <f>INDEX(_翻訳マスタ!$B$2:$D$300,MATCH("WBS_TASK",_翻訳マスタ!$A$2:$A$300,0),MATCH(言語切替!$B$3,_翻訳マスタ!$B$1:$D$1,0))&amp;INDEX(_翻訳マスタ!$B$2:$D$300,MATCH("NEW_INPUT_SUFFIX",_翻訳マスタ!$A$2:$A$300,0),MATCH(言語切替!$B$3,_翻訳マスタ!$B$1:$D$1,0))</f>
        <v>Nhiệm vụ / Mục tiêu [Nhập: VI/JP/CN]</v>
      </c>
      <c r="K4" s="51" t="str">
        <f>INDEX(_翻訳マスタ!$B$2:$D$300,MATCH("WBS_TASK",_翻訳マスタ!$A$2:$A$300,0),MATCH(言語切替!$B$3,_翻訳マスタ!$B$1:$D$1,0))&amp;INDEX(_翻訳マスタ!$B$2:$D$300,MATCH("NEW_VI_SUFFIX",_翻訳マスタ!$A$2:$A$300,0),MATCH(言語切替!$B$3,_翻訳マスタ!$B$1:$D$1,0))</f>
        <v>Nhiệm vụ / Mục tiêu (VI)</v>
      </c>
      <c r="L4" s="51" t="str">
        <f>INDEX(_翻訳マスタ!$B$2:$D$300,MATCH("WBS_TASK",_翻訳マスタ!$A$2:$A$300,0),MATCH(言語切替!$B$3,_翻訳マスタ!$B$1:$D$1,0))&amp;INDEX(_翻訳マスタ!$B$2:$D$300,MATCH("NEW_JP_SUFFIX",_翻訳マスタ!$A$2:$A$300,0),MATCH(言語切替!$B$3,_翻訳マスタ!$B$1:$D$1,0))</f>
        <v>Nhiệm vụ / Mục tiêu (JP)</v>
      </c>
      <c r="M4" s="51" t="str">
        <f>INDEX(_翻訳マスタ!$B$2:$D$300,MATCH("WBS_TASK",_翻訳マスタ!$A$2:$A$300,0),MATCH(言語切替!$B$3,_翻訳マスタ!$B$1:$D$1,0))&amp;INDEX(_翻訳マスタ!$B$2:$D$300,MATCH("NEW_CN_SUFFIX",_翻訳マスタ!$A$2:$A$300,0),MATCH(言語切替!$B$3,_翻訳マスタ!$B$1:$D$1,0))</f>
        <v>Nhiệm vụ / Mục tiêu (CN)</v>
      </c>
      <c r="N4" s="49" t="str">
        <f>INDEX(_翻訳マスタ!$B$99:$D$116,MATCH("WBS_OWNER",_翻訳マスタ!$A$99:$A$116,0),MATCH(言語切替!$B$3,_翻訳マスタ!$B$1:$D$1,0))</f>
        <v>Người chịu trách nhiệm</v>
      </c>
      <c r="O4" s="49" t="str">
        <f>INDEX(_翻訳マスタ!$B$99:$D$116,MATCH("WBS_PLAN_START",_翻訳マスタ!$A$99:$A$116,0),MATCH(言語切替!$B$3,_翻訳マスタ!$B$1:$D$1,0))</f>
        <v>Ngày bắt đầu kế hoạch</v>
      </c>
      <c r="P4" s="49" t="str">
        <f>INDEX(_翻訳マスタ!$B$99:$D$116,MATCH("WBS_PLAN_END",_翻訳マスタ!$A$99:$A$116,0),MATCH(言語切替!$B$3,_翻訳マスタ!$B$1:$D$1,0))</f>
        <v>Ngày kết thúc kế hoạch</v>
      </c>
      <c r="Q4" s="57" t="str">
        <f>INDEX(_翻訳マスタ!$B$99:$D$116,MATCH("WBS_ACTUAL_START",_翻訳マスタ!$A$99:$A$116,0),MATCH(言語切替!$B$3,_翻訳マスタ!$B$1:$D$1,0))</f>
        <v>Ngày bắt đầu thực tế</v>
      </c>
      <c r="R4" s="57" t="str">
        <f>INDEX(_翻訳マスタ!$B$99:$D$116,MATCH("WBS_ACTUAL_END",_翻訳マスタ!$A$99:$A$116,0),MATCH(言語切替!$B$3,_翻訳マスタ!$B$1:$D$1,0))</f>
        <v>Ngày kết thúc thực tế</v>
      </c>
      <c r="S4" s="58" t="str">
        <f>INDEX(_翻訳マスタ!$B$99:$D$116,MATCH("WBS_PROGRESS",_翻訳マスタ!$A$99:$A$116,0),MATCH(言語切替!$B$3,_翻訳マスタ!$B$1:$D$1,0))</f>
        <v>Tỷ lệ tiến độ</v>
      </c>
      <c r="T4" s="49" t="str">
        <f>INDEX(_翻訳マスタ!$B$99:$D$116,MATCH("WBS_STATUS",_翻訳マスタ!$A$99:$A$116,0),MATCH(言語切替!$B$3,_翻訳マスタ!$B$1:$D$1,0))</f>
        <v>Trạng thái</v>
      </c>
      <c r="U4" s="51" t="str">
        <f>INDEX(_翻訳マスタ!$B$99:$D$116,MATCH("WBS_DAYS",_翻訳マスタ!$A$99:$A$116,0),MATCH(言語切替!$B$3,_翻訳マスタ!$B$1:$D$1,0))</f>
        <v>Số ngày còn lại</v>
      </c>
      <c r="V4" s="50" t="str">
        <f>INDEX(_翻訳マスタ!$B$2:$D$300,MATCH("WBS_NOTE",_翻訳マスタ!$A$2:$A$300,0),MATCH(言語切替!$B$3,_翻訳マスタ!$B$1:$D$1,0))&amp;INDEX(_翻訳マスタ!$B$2:$D$300,MATCH("NEW_INPUT_SUFFIX",_翻訳マスタ!$A$2:$A$300,0),MATCH(言語切替!$B$3,_翻訳マスタ!$B$1:$D$1,0))</f>
        <v>Ghi chú [Nhập: VI/JP/CN]</v>
      </c>
      <c r="W4" s="53" t="str">
        <f>INDEX(_翻訳マスタ!$B$2:$D$300,MATCH("WBS_NOTE",_翻訳マスタ!$A$2:$A$300,0),MATCH(言語切替!$B$3,_翻訳マスタ!$B$1:$D$1,0))&amp;INDEX(_翻訳マスタ!$B$2:$D$300,MATCH("NEW_VI_SUFFIX",_翻訳マスタ!$A$2:$A$300,0),MATCH(言語切替!$B$3,_翻訳マスタ!$B$1:$D$1,0))</f>
        <v>Ghi chú (VI)</v>
      </c>
      <c r="X4" s="53" t="str">
        <f>INDEX(_翻訳マスタ!$B$2:$D$300,MATCH("WBS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Y4" s="53" t="str">
        <f>INDEX(_翻訳マスタ!$B$2:$D$300,MATCH("WBS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</row>
    <row r="5" spans="1:25" s="21" customFormat="1" ht="31.5" customHeight="1" x14ac:dyDescent="0.25">
      <c r="A5" s="22">
        <v>1</v>
      </c>
      <c r="B5" s="23" t="str">
        <f>'02_マスタ'!$A$5</f>
        <v>Toàn bộ</v>
      </c>
      <c r="C5" s="22">
        <v>1</v>
      </c>
      <c r="D5" s="23"/>
      <c r="E5" s="23" t="s">
        <v>65</v>
      </c>
      <c r="F5" s="23" t="str">
        <f>INDEX(_翻訳マスタ!$B$117:$D$247,MATCH("WBS_CAT_STARTUP",_翻訳マスタ!$A$117:$A$247,0),MATCH(言語切替!$B$3,_翻訳マスタ!$B$1:$D$1,0))</f>
        <v>Khởi động</v>
      </c>
      <c r="G5" s="38" t="s">
        <v>984</v>
      </c>
      <c r="H5" s="38" t="s">
        <v>985</v>
      </c>
      <c r="I5" s="38" t="s">
        <v>986</v>
      </c>
      <c r="J5" s="23" t="str">
        <f>INDEX(_翻訳マスタ!$D$2:$D$300,MATCH("WBS_TASK_1",_翻訳マスタ!$A$2:$A$300,0))</f>
        <v>Xác định quy tắc vận hành WG</v>
      </c>
      <c r="K5" s="52" t="str">
        <f t="shared" ref="K5:K31" si="0">IF(J5="","",_xlfn.TRANSLATE(J5,"","vi"))</f>
        <v>Xác định quy tắc vận hành WG</v>
      </c>
      <c r="L5" s="52" t="str">
        <f t="shared" ref="L5:L31" si="1">IF(J5="","",_xlfn.TRANSLATE(J5,"","ja"))</f>
        <v>WGの運用規則の決定</v>
      </c>
      <c r="M5" s="52" t="str">
        <f t="shared" ref="M5:M31" si="2">IF(J5="","",_xlfn.TRANSLATE(J5,"","zh-Hans"))</f>
        <v>制定工作组的操作规则</v>
      </c>
      <c r="N5" s="87" t="s">
        <v>987</v>
      </c>
      <c r="O5" s="24">
        <v>46288</v>
      </c>
      <c r="P5" s="24">
        <v>46295</v>
      </c>
      <c r="Q5" s="24">
        <v>46293</v>
      </c>
      <c r="R5" s="24">
        <v>46293</v>
      </c>
      <c r="S5" s="59">
        <f t="shared" ref="S5:S37" ca="1" si="3">IF(OR(O5="",P5=""),"",IF(R5&lt;&gt;"",1,IF(Q5="",0,MAX(0,MIN(1,(TODAY()-O5)/(P5-O5+1))))))</f>
        <v>1</v>
      </c>
      <c r="T5" s="23" t="s">
        <v>84</v>
      </c>
      <c r="U5" s="88">
        <f t="shared" ref="U5:U37" ca="1" si="4">IF(P5="","",P5-TODAY())</f>
        <v>-9</v>
      </c>
      <c r="V5" s="34" t="str">
        <f>INDEX(_翻訳マスタ!$D$2:$D$300,MATCH("COMMON_EXAMPLE",_翻訳マスタ!$A$2:$A$300,0))</f>
        <v>Ví dụ nhập liệu</v>
      </c>
      <c r="W5" s="44" t="str">
        <f t="shared" ref="W5:W31" si="5">IF(V5="","",_xlfn.TRANSLATE(V5,"","vi"))</f>
        <v>Ví dụ nhập liệu</v>
      </c>
      <c r="X5" s="44" t="str">
        <f t="shared" ref="X5:X31" si="6">IF(V5="","",_xlfn.TRANSLATE(V5,"","ja"))</f>
        <v>データ入力の例</v>
      </c>
      <c r="Y5" s="44" t="str">
        <f t="shared" ref="Y5:Y31" si="7">IF(V5="","",_xlfn.TRANSLATE(V5,"","zh-Hans"))</f>
        <v>数据录入示例</v>
      </c>
    </row>
    <row r="6" spans="1:25" s="21" customFormat="1" ht="31.5" customHeight="1" x14ac:dyDescent="0.25">
      <c r="A6" s="26" t="s">
        <v>988</v>
      </c>
      <c r="B6" s="26" t="s">
        <v>322</v>
      </c>
      <c r="C6" s="26" t="s">
        <v>322</v>
      </c>
      <c r="D6" s="90" t="s">
        <v>990</v>
      </c>
      <c r="E6" s="26" t="s">
        <v>77</v>
      </c>
      <c r="F6" s="26" t="str">
        <f>INDEX(_翻訳マスタ!$B$117:$D$247,MATCH("WBS_CAT_ANALYSIS",_翻訳マスタ!$A$117:$A$247,0),MATCH(言語切替!$B$3,_翻訳マスタ!$B$1:$D$1,0))</f>
        <v>Phân tích hiện trạng</v>
      </c>
      <c r="G6" s="38"/>
      <c r="H6" s="38"/>
      <c r="I6" s="38"/>
      <c r="J6" s="26" t="str">
        <f>INDEX(_翻訳マスタ!$D$2:$D$300,MATCH("WBS_TASK_2",_翻訳マスタ!$A$2:$A$300,0))</f>
        <v>Rà soát nghiệp vụ hiện tại</v>
      </c>
      <c r="K6" s="38" t="str">
        <f t="shared" si="0"/>
        <v>Rà soát nghiệp vụ hiện tại</v>
      </c>
      <c r="L6" s="38" t="str">
        <f t="shared" si="1"/>
        <v>現在の作戦のレビュー</v>
      </c>
      <c r="M6" s="38" t="str">
        <f t="shared" si="2"/>
        <v>当前行动回顾</v>
      </c>
      <c r="N6" s="26"/>
      <c r="O6" s="27">
        <v>46294</v>
      </c>
      <c r="P6" s="27">
        <v>46311</v>
      </c>
      <c r="Q6" s="60"/>
      <c r="R6" s="60"/>
      <c r="S6" s="61">
        <f t="shared" ca="1" si="3"/>
        <v>0</v>
      </c>
      <c r="T6" s="26" t="str">
        <f>'02_マスタ'!$E$5</f>
        <v>Chưa bắt đầu</v>
      </c>
      <c r="U6" s="12">
        <f t="shared" ca="1" si="4"/>
        <v>7</v>
      </c>
      <c r="V6" s="35" t="str">
        <f>INDEX(_翻訳マスタ!$D$2:$D$300,MATCH("COMMON_EXAMPLE",_翻訳マスタ!$A$2:$A$300,0))</f>
        <v>Ví dụ nhập liệu</v>
      </c>
      <c r="W6" s="45" t="str">
        <f t="shared" si="5"/>
        <v>Ví dụ nhập liệu</v>
      </c>
      <c r="X6" s="45" t="str">
        <f t="shared" si="6"/>
        <v>データ入力の例</v>
      </c>
      <c r="Y6" s="45" t="str">
        <f t="shared" si="7"/>
        <v>数据录入示例</v>
      </c>
    </row>
    <row r="7" spans="1:25" s="21" customFormat="1" ht="31.5" customHeight="1" x14ac:dyDescent="0.25">
      <c r="A7" s="22">
        <v>3</v>
      </c>
      <c r="B7" s="29" t="s">
        <v>136</v>
      </c>
      <c r="C7" s="26" t="s">
        <v>989</v>
      </c>
      <c r="D7" s="26"/>
      <c r="E7" s="29" t="str">
        <f>'02_マスタ'!$C$5</f>
        <v>Chung</v>
      </c>
      <c r="F7" s="29" t="str">
        <f>INDEX(_翻訳マスタ!$B$117:$D$247,MATCH("WBS_CAT_POLICY",_翻訳マスタ!$A$117:$A$247,0),MATCH(言語切替!$B$3,_翻訳マスタ!$B$1:$D$1,0))</f>
        <v>Xây dựng định hướng</v>
      </c>
      <c r="G7" s="39"/>
      <c r="H7" s="39"/>
      <c r="I7" s="39"/>
      <c r="J7" s="29" t="str">
        <f>INDEX(_翻訳マスタ!$D$2:$D$300,MATCH("WBS_TASK_3",_翻訳マスタ!$A$2:$A$300,0))</f>
        <v>Sắp xếp vai trò hệ thống hiện hữu</v>
      </c>
      <c r="K7" s="39" t="str">
        <f t="shared" si="0"/>
        <v>Sắp xếp vai trò hệ thống hiện hữu</v>
      </c>
      <c r="L7" s="39" t="str">
        <f t="shared" si="1"/>
        <v>既存のシステム役割の組織化</v>
      </c>
      <c r="M7" s="39" t="str">
        <f t="shared" si="2"/>
        <v>组织现有系统角色</v>
      </c>
      <c r="N7" s="29"/>
      <c r="O7" s="30">
        <v>46296</v>
      </c>
      <c r="P7" s="30">
        <v>46325</v>
      </c>
      <c r="Q7" s="62"/>
      <c r="R7" s="62"/>
      <c r="S7" s="63">
        <f t="shared" ca="1" si="3"/>
        <v>0</v>
      </c>
      <c r="T7" s="29" t="str">
        <f>'02_マスタ'!$E$5</f>
        <v>Chưa bắt đầu</v>
      </c>
      <c r="U7" s="15">
        <f t="shared" ca="1" si="4"/>
        <v>21</v>
      </c>
      <c r="V7" s="36" t="str">
        <f>INDEX(_翻訳マスタ!$D$2:$D$300,MATCH("COMMON_EXAMPLE",_翻訳マスタ!$A$2:$A$300,0))</f>
        <v>Ví dụ nhập liệu</v>
      </c>
      <c r="W7" s="44" t="str">
        <f t="shared" si="5"/>
        <v>Ví dụ nhập liệu</v>
      </c>
      <c r="X7" s="44" t="str">
        <f t="shared" si="6"/>
        <v>データ入力の例</v>
      </c>
      <c r="Y7" s="44" t="str">
        <f t="shared" si="7"/>
        <v>数据录入示例</v>
      </c>
    </row>
    <row r="8" spans="1:25" s="21" customFormat="1" ht="30" customHeight="1" x14ac:dyDescent="0.25">
      <c r="A8" s="22">
        <v>4</v>
      </c>
      <c r="B8" s="26" t="s">
        <v>330</v>
      </c>
      <c r="C8" s="26" t="s">
        <v>330</v>
      </c>
      <c r="D8" s="90" t="s">
        <v>990</v>
      </c>
      <c r="E8" s="26" t="s">
        <v>418</v>
      </c>
      <c r="F8" s="26" t="s">
        <v>977</v>
      </c>
      <c r="G8" s="91" t="str">
        <f t="shared" ref="G8:G10" si="8">IF(F8="","",_xlfn.TRANSLATE(F8,"","vi"))</f>
        <v>Tự động hóa cấp phát</v>
      </c>
      <c r="H8" s="91" t="str">
        <f t="shared" ref="H8:H10" si="9">IF(F8="","",_xlfn.TRANSLATE(F8,"","ja"))</f>
        <v>プロビジョニング自動化</v>
      </c>
      <c r="I8" s="91" t="str">
        <f t="shared" ref="I8:I10" si="10">IF(F8="","",_xlfn.TRANSLATE(F8,"","zh-Hans"))</f>
        <v>配置自动化</v>
      </c>
      <c r="J8" s="26" t="s">
        <v>981</v>
      </c>
      <c r="K8" s="38" t="str">
        <f t="shared" ref="K8:K10" si="11">IF(J8="","",_xlfn.TRANSLATE(J8,"","vi"))</f>
        <v>Xem xét phương pháp AMM lấy thùng HAN-CON</v>
      </c>
      <c r="L8" s="38" t="str">
        <f t="shared" si="1"/>
        <v>HAN-CONバレル取得AMM法を考えてみましょう</v>
      </c>
      <c r="M8" s="38" t="str">
        <f t="shared" si="2"/>
        <v>考虑汉康枪管采集反导法</v>
      </c>
      <c r="N8" s="26"/>
      <c r="O8" s="27"/>
      <c r="P8" s="27"/>
      <c r="Q8" s="60"/>
      <c r="R8" s="60"/>
      <c r="S8" s="61" t="str">
        <f t="shared" ca="1" si="3"/>
        <v/>
      </c>
      <c r="T8" s="26"/>
      <c r="U8" s="12" t="str">
        <f t="shared" ca="1" si="4"/>
        <v/>
      </c>
      <c r="V8" s="35"/>
      <c r="W8" s="45" t="str">
        <f t="shared" ref="W8:W10" si="12">IF(V8="","",_xlfn.TRANSLATE(V8,"","vi"))</f>
        <v/>
      </c>
      <c r="X8" s="45" t="str">
        <f t="shared" si="6"/>
        <v/>
      </c>
      <c r="Y8" s="45" t="str">
        <f t="shared" si="7"/>
        <v/>
      </c>
    </row>
    <row r="9" spans="1:25" s="21" customFormat="1" ht="30" customHeight="1" x14ac:dyDescent="0.25">
      <c r="A9" s="22">
        <v>5</v>
      </c>
      <c r="B9" s="26" t="s">
        <v>330</v>
      </c>
      <c r="C9" s="26" t="s">
        <v>330</v>
      </c>
      <c r="D9" s="90" t="s">
        <v>991</v>
      </c>
      <c r="E9" s="26" t="s">
        <v>418</v>
      </c>
      <c r="F9" s="26" t="s">
        <v>977</v>
      </c>
      <c r="G9" s="91" t="str">
        <f t="shared" si="8"/>
        <v>Tự động hóa cấp phát</v>
      </c>
      <c r="H9" s="91" t="str">
        <f t="shared" si="9"/>
        <v>プロビジョニング自動化</v>
      </c>
      <c r="I9" s="91" t="str">
        <f t="shared" si="10"/>
        <v>配置自动化</v>
      </c>
      <c r="J9" s="26" t="s">
        <v>982</v>
      </c>
      <c r="K9" s="38" t="str">
        <f t="shared" si="11"/>
        <v>Xe xét đường vận chuyển</v>
      </c>
      <c r="L9" s="38" t="str">
        <f t="shared" ref="L9" si="13">IF(J9="","",_xlfn.TRANSLATE(J9,"","ja"))</f>
        <v>交通道路車両</v>
      </c>
      <c r="M9" s="38" t="str">
        <f t="shared" ref="M9" si="14">IF(J9="","",_xlfn.TRANSLATE(J9,"","zh-Hans"))</f>
        <v>交通道路车辆</v>
      </c>
      <c r="N9" s="26"/>
      <c r="O9" s="27"/>
      <c r="P9" s="27"/>
      <c r="Q9" s="60"/>
      <c r="R9" s="60"/>
      <c r="S9" s="61" t="str">
        <f t="shared" ref="S9" ca="1" si="15">IF(OR(O9="",P9=""),"",IF(R9&lt;&gt;"",1,IF(Q9="",0,MAX(0,MIN(1,(TODAY()-O9)/(P9-O9+1))))))</f>
        <v/>
      </c>
      <c r="T9" s="26"/>
      <c r="U9" s="12" t="str">
        <f t="shared" ref="U9" ca="1" si="16">IF(P9="","",P9-TODAY())</f>
        <v/>
      </c>
      <c r="V9" s="35"/>
      <c r="W9" s="45" t="str">
        <f t="shared" si="12"/>
        <v/>
      </c>
      <c r="X9" s="45" t="str">
        <f t="shared" ref="X9" si="17">IF(V9="","",_xlfn.TRANSLATE(V9,"","ja"))</f>
        <v/>
      </c>
      <c r="Y9" s="45" t="str">
        <f t="shared" ref="Y9" si="18">IF(V9="","",_xlfn.TRANSLATE(V9,"","zh-Hans"))</f>
        <v/>
      </c>
    </row>
    <row r="10" spans="1:25" s="21" customFormat="1" ht="28.5" customHeight="1" x14ac:dyDescent="0.25">
      <c r="A10" s="22">
        <v>6</v>
      </c>
      <c r="B10" s="26" t="s">
        <v>330</v>
      </c>
      <c r="C10" s="26" t="s">
        <v>330</v>
      </c>
      <c r="D10" s="90" t="s">
        <v>992</v>
      </c>
      <c r="E10" s="29"/>
      <c r="F10" s="29" t="s">
        <v>978</v>
      </c>
      <c r="G10" s="92" t="str">
        <f t="shared" si="8"/>
        <v>Cơ chế cấp phát</v>
      </c>
      <c r="H10" s="92" t="str">
        <f t="shared" si="9"/>
        <v>配分メカニズム</v>
      </c>
      <c r="I10" s="92" t="str">
        <f t="shared" si="10"/>
        <v>分配机制</v>
      </c>
      <c r="J10" s="29" t="s">
        <v>979</v>
      </c>
      <c r="K10" s="39" t="str">
        <f t="shared" si="11"/>
        <v>Xem xét cơ chế cấp phát theo phương thức Pull</v>
      </c>
      <c r="L10" s="39" t="str">
        <f t="shared" si="1"/>
        <v>プル割り当てメカニズムを考えてみましょう</v>
      </c>
      <c r="M10" s="39" t="str">
        <f t="shared" si="2"/>
        <v>考虑拉动分配机制</v>
      </c>
      <c r="N10" s="29"/>
      <c r="O10" s="30"/>
      <c r="P10" s="30"/>
      <c r="Q10" s="62"/>
      <c r="R10" s="62"/>
      <c r="S10" s="63" t="str">
        <f t="shared" ca="1" si="3"/>
        <v/>
      </c>
      <c r="T10" s="29"/>
      <c r="U10" s="15" t="str">
        <f t="shared" ca="1" si="4"/>
        <v/>
      </c>
      <c r="V10" s="36"/>
      <c r="W10" s="44" t="str">
        <f t="shared" si="12"/>
        <v/>
      </c>
      <c r="X10" s="44" t="str">
        <f t="shared" si="6"/>
        <v/>
      </c>
      <c r="Y10" s="44" t="str">
        <f t="shared" si="7"/>
        <v/>
      </c>
    </row>
    <row r="11" spans="1:25" s="21" customFormat="1" ht="15" customHeight="1" x14ac:dyDescent="0.25">
      <c r="A11" s="22">
        <v>7</v>
      </c>
      <c r="B11" s="26"/>
      <c r="C11" s="22">
        <v>7</v>
      </c>
      <c r="D11" s="46"/>
      <c r="E11" s="26"/>
      <c r="F11" s="26"/>
      <c r="G11" s="38"/>
      <c r="H11" s="38"/>
      <c r="I11" s="38"/>
      <c r="J11" s="26" t="s">
        <v>980</v>
      </c>
      <c r="K11" s="38" t="str">
        <f t="shared" si="0"/>
        <v>Phương pháp liên kết tín hiệu</v>
      </c>
      <c r="L11" s="38" t="str">
        <f t="shared" si="1"/>
        <v>信号ボンディング法</v>
      </c>
      <c r="M11" s="38" t="str">
        <f t="shared" si="2"/>
        <v>信号绑定方法</v>
      </c>
      <c r="N11" s="26"/>
      <c r="O11" s="27"/>
      <c r="P11" s="27"/>
      <c r="Q11" s="60"/>
      <c r="R11" s="60"/>
      <c r="S11" s="61" t="str">
        <f t="shared" ca="1" si="3"/>
        <v/>
      </c>
      <c r="T11" s="26"/>
      <c r="U11" s="12" t="str">
        <f t="shared" ca="1" si="4"/>
        <v/>
      </c>
      <c r="V11" s="35"/>
      <c r="W11" s="45" t="str">
        <f t="shared" si="5"/>
        <v/>
      </c>
      <c r="X11" s="45" t="str">
        <f t="shared" si="6"/>
        <v/>
      </c>
      <c r="Y11" s="45" t="str">
        <f t="shared" si="7"/>
        <v/>
      </c>
    </row>
    <row r="12" spans="1:25" s="21" customFormat="1" ht="30" customHeight="1" x14ac:dyDescent="0.25">
      <c r="A12" s="22">
        <v>8</v>
      </c>
      <c r="B12" s="26" t="s">
        <v>330</v>
      </c>
      <c r="C12" s="22">
        <v>8</v>
      </c>
      <c r="D12" s="46"/>
      <c r="E12" s="26" t="s">
        <v>418</v>
      </c>
      <c r="F12" s="26" t="s">
        <v>977</v>
      </c>
      <c r="G12" s="38"/>
      <c r="H12" s="38"/>
      <c r="I12" s="38"/>
      <c r="J12" s="26" t="s">
        <v>983</v>
      </c>
      <c r="K12" s="38" t="str">
        <f t="shared" si="0"/>
        <v>Xem xét lại diện tích layout line</v>
      </c>
      <c r="L12" s="38" t="str">
        <f t="shared" si="1"/>
        <v>レイアウトラインのエリアを見直してください</v>
      </c>
      <c r="M12" s="38" t="str">
        <f t="shared" si="2"/>
        <v>检查布局线区域</v>
      </c>
      <c r="N12" s="26"/>
      <c r="O12" s="27"/>
      <c r="P12" s="27"/>
      <c r="Q12" s="60"/>
      <c r="R12" s="60"/>
      <c r="S12" s="61" t="str">
        <f t="shared" ca="1" si="3"/>
        <v/>
      </c>
      <c r="T12" s="26"/>
      <c r="U12" s="12" t="str">
        <f t="shared" ca="1" si="4"/>
        <v/>
      </c>
      <c r="V12" s="35"/>
      <c r="W12" s="45" t="str">
        <f t="shared" si="5"/>
        <v/>
      </c>
      <c r="X12" s="45" t="str">
        <f t="shared" si="6"/>
        <v/>
      </c>
      <c r="Y12" s="45" t="str">
        <f t="shared" si="7"/>
        <v/>
      </c>
    </row>
    <row r="13" spans="1:25" s="21" customFormat="1" ht="15" customHeight="1" x14ac:dyDescent="0.25">
      <c r="A13" s="25"/>
      <c r="B13" s="26"/>
      <c r="C13" s="25"/>
      <c r="D13" s="26"/>
      <c r="E13" s="26"/>
      <c r="F13" s="26"/>
      <c r="G13" s="39"/>
      <c r="H13" s="39"/>
      <c r="I13" s="39"/>
      <c r="J13" s="26"/>
      <c r="K13" s="38" t="str">
        <f t="shared" si="0"/>
        <v/>
      </c>
      <c r="L13" s="38" t="str">
        <f t="shared" si="1"/>
        <v/>
      </c>
      <c r="M13" s="38" t="str">
        <f t="shared" si="2"/>
        <v/>
      </c>
      <c r="N13" s="26"/>
      <c r="O13" s="27"/>
      <c r="P13" s="27"/>
      <c r="Q13" s="60"/>
      <c r="R13" s="60"/>
      <c r="S13" s="61" t="str">
        <f t="shared" ca="1" si="3"/>
        <v/>
      </c>
      <c r="T13" s="26"/>
      <c r="U13" s="12" t="str">
        <f t="shared" ca="1" si="4"/>
        <v/>
      </c>
      <c r="V13" s="35"/>
      <c r="W13" s="45" t="str">
        <f t="shared" si="5"/>
        <v/>
      </c>
      <c r="X13" s="45" t="str">
        <f t="shared" si="6"/>
        <v/>
      </c>
      <c r="Y13" s="45" t="str">
        <f t="shared" si="7"/>
        <v/>
      </c>
    </row>
    <row r="14" spans="1:25" s="21" customFormat="1" ht="15" customHeight="1" x14ac:dyDescent="0.25">
      <c r="A14" s="28"/>
      <c r="B14" s="29"/>
      <c r="C14" s="28"/>
      <c r="D14" s="29"/>
      <c r="E14" s="29"/>
      <c r="F14" s="29"/>
      <c r="G14" s="38"/>
      <c r="H14" s="38"/>
      <c r="I14" s="38"/>
      <c r="J14" s="29"/>
      <c r="K14" s="39" t="str">
        <f t="shared" si="0"/>
        <v/>
      </c>
      <c r="L14" s="39" t="str">
        <f t="shared" si="1"/>
        <v/>
      </c>
      <c r="M14" s="39" t="str">
        <f t="shared" si="2"/>
        <v/>
      </c>
      <c r="N14" s="29"/>
      <c r="O14" s="30"/>
      <c r="P14" s="30"/>
      <c r="Q14" s="62"/>
      <c r="R14" s="62"/>
      <c r="S14" s="63" t="str">
        <f t="shared" ca="1" si="3"/>
        <v/>
      </c>
      <c r="T14" s="29"/>
      <c r="U14" s="15" t="str">
        <f t="shared" ca="1" si="4"/>
        <v/>
      </c>
      <c r="V14" s="36"/>
      <c r="W14" s="44" t="str">
        <f t="shared" si="5"/>
        <v/>
      </c>
      <c r="X14" s="44" t="str">
        <f t="shared" si="6"/>
        <v/>
      </c>
      <c r="Y14" s="44" t="str">
        <f t="shared" si="7"/>
        <v/>
      </c>
    </row>
    <row r="15" spans="1:25" s="21" customFormat="1" ht="15" customHeight="1" x14ac:dyDescent="0.25">
      <c r="A15" s="25"/>
      <c r="B15" s="26"/>
      <c r="C15" s="25"/>
      <c r="D15" s="26"/>
      <c r="E15" s="26"/>
      <c r="F15" s="26"/>
      <c r="G15" s="38"/>
      <c r="H15" s="38"/>
      <c r="I15" s="38"/>
      <c r="J15" s="26"/>
      <c r="K15" s="38" t="str">
        <f t="shared" si="0"/>
        <v/>
      </c>
      <c r="L15" s="38" t="str">
        <f t="shared" si="1"/>
        <v/>
      </c>
      <c r="M15" s="38" t="str">
        <f t="shared" si="2"/>
        <v/>
      </c>
      <c r="N15" s="26"/>
      <c r="O15" s="27"/>
      <c r="P15" s="27"/>
      <c r="Q15" s="60"/>
      <c r="R15" s="60"/>
      <c r="S15" s="61" t="str">
        <f t="shared" ca="1" si="3"/>
        <v/>
      </c>
      <c r="T15" s="26"/>
      <c r="U15" s="12" t="str">
        <f t="shared" ca="1" si="4"/>
        <v/>
      </c>
      <c r="V15" s="35"/>
      <c r="W15" s="45" t="str">
        <f t="shared" si="5"/>
        <v/>
      </c>
      <c r="X15" s="45" t="str">
        <f t="shared" si="6"/>
        <v/>
      </c>
      <c r="Y15" s="45" t="str">
        <f t="shared" si="7"/>
        <v/>
      </c>
    </row>
    <row r="16" spans="1:25" s="21" customFormat="1" ht="15" customHeight="1" x14ac:dyDescent="0.25">
      <c r="A16" s="28"/>
      <c r="B16" s="29"/>
      <c r="C16" s="28"/>
      <c r="D16" s="29"/>
      <c r="E16" s="29"/>
      <c r="F16" s="29"/>
      <c r="G16" s="39"/>
      <c r="H16" s="39"/>
      <c r="I16" s="39"/>
      <c r="J16" s="29"/>
      <c r="K16" s="39" t="str">
        <f t="shared" si="0"/>
        <v/>
      </c>
      <c r="L16" s="39" t="str">
        <f t="shared" si="1"/>
        <v/>
      </c>
      <c r="M16" s="39" t="str">
        <f t="shared" si="2"/>
        <v/>
      </c>
      <c r="N16" s="29"/>
      <c r="O16" s="30"/>
      <c r="P16" s="30"/>
      <c r="Q16" s="62"/>
      <c r="R16" s="62"/>
      <c r="S16" s="63" t="str">
        <f t="shared" ca="1" si="3"/>
        <v/>
      </c>
      <c r="T16" s="29"/>
      <c r="U16" s="15" t="str">
        <f t="shared" ca="1" si="4"/>
        <v/>
      </c>
      <c r="V16" s="36"/>
      <c r="W16" s="44" t="str">
        <f t="shared" si="5"/>
        <v/>
      </c>
      <c r="X16" s="44" t="str">
        <f t="shared" si="6"/>
        <v/>
      </c>
      <c r="Y16" s="44" t="str">
        <f t="shared" si="7"/>
        <v/>
      </c>
    </row>
    <row r="17" spans="1:25" s="21" customFormat="1" ht="15" customHeight="1" x14ac:dyDescent="0.25">
      <c r="A17" s="25"/>
      <c r="B17" s="26"/>
      <c r="C17" s="25"/>
      <c r="D17" s="26"/>
      <c r="E17" s="26"/>
      <c r="F17" s="26"/>
      <c r="G17" s="38"/>
      <c r="H17" s="38"/>
      <c r="I17" s="38"/>
      <c r="J17" s="26"/>
      <c r="K17" s="38" t="str">
        <f t="shared" si="0"/>
        <v/>
      </c>
      <c r="L17" s="38" t="str">
        <f t="shared" si="1"/>
        <v/>
      </c>
      <c r="M17" s="38" t="str">
        <f t="shared" si="2"/>
        <v/>
      </c>
      <c r="N17" s="26"/>
      <c r="O17" s="27"/>
      <c r="P17" s="27"/>
      <c r="Q17" s="60"/>
      <c r="R17" s="60"/>
      <c r="S17" s="61" t="str">
        <f t="shared" ca="1" si="3"/>
        <v/>
      </c>
      <c r="T17" s="26"/>
      <c r="U17" s="12" t="str">
        <f t="shared" ca="1" si="4"/>
        <v/>
      </c>
      <c r="V17" s="35"/>
      <c r="W17" s="45" t="str">
        <f t="shared" si="5"/>
        <v/>
      </c>
      <c r="X17" s="45" t="str">
        <f t="shared" si="6"/>
        <v/>
      </c>
      <c r="Y17" s="45" t="str">
        <f t="shared" si="7"/>
        <v/>
      </c>
    </row>
    <row r="18" spans="1:25" s="21" customFormat="1" ht="15" customHeight="1" x14ac:dyDescent="0.25">
      <c r="A18" s="28"/>
      <c r="B18" s="29"/>
      <c r="C18" s="28"/>
      <c r="D18" s="29"/>
      <c r="E18" s="29"/>
      <c r="F18" s="29"/>
      <c r="G18" s="38"/>
      <c r="H18" s="38"/>
      <c r="I18" s="38"/>
      <c r="J18" s="29"/>
      <c r="K18" s="39" t="str">
        <f t="shared" si="0"/>
        <v/>
      </c>
      <c r="L18" s="39" t="str">
        <f t="shared" si="1"/>
        <v/>
      </c>
      <c r="M18" s="39" t="str">
        <f t="shared" si="2"/>
        <v/>
      </c>
      <c r="N18" s="29"/>
      <c r="O18" s="30"/>
      <c r="P18" s="30"/>
      <c r="Q18" s="62"/>
      <c r="R18" s="62"/>
      <c r="S18" s="63" t="str">
        <f t="shared" ca="1" si="3"/>
        <v/>
      </c>
      <c r="T18" s="29"/>
      <c r="U18" s="15" t="str">
        <f t="shared" ca="1" si="4"/>
        <v/>
      </c>
      <c r="V18" s="36"/>
      <c r="W18" s="44" t="str">
        <f t="shared" si="5"/>
        <v/>
      </c>
      <c r="X18" s="44" t="str">
        <f t="shared" si="6"/>
        <v/>
      </c>
      <c r="Y18" s="44" t="str">
        <f t="shared" si="7"/>
        <v/>
      </c>
    </row>
    <row r="19" spans="1:25" s="21" customFormat="1" ht="15" customHeight="1" x14ac:dyDescent="0.25">
      <c r="A19" s="25"/>
      <c r="B19" s="26"/>
      <c r="C19" s="25"/>
      <c r="D19" s="26"/>
      <c r="E19" s="26"/>
      <c r="F19" s="26"/>
      <c r="G19" s="39"/>
      <c r="H19" s="39"/>
      <c r="I19" s="39"/>
      <c r="J19" s="26"/>
      <c r="K19" s="38" t="str">
        <f t="shared" si="0"/>
        <v/>
      </c>
      <c r="L19" s="38" t="str">
        <f t="shared" si="1"/>
        <v/>
      </c>
      <c r="M19" s="38" t="str">
        <f t="shared" si="2"/>
        <v/>
      </c>
      <c r="N19" s="26"/>
      <c r="O19" s="27"/>
      <c r="P19" s="27"/>
      <c r="Q19" s="60"/>
      <c r="R19" s="60"/>
      <c r="S19" s="61" t="str">
        <f t="shared" ca="1" si="3"/>
        <v/>
      </c>
      <c r="T19" s="26"/>
      <c r="U19" s="12" t="str">
        <f t="shared" ca="1" si="4"/>
        <v/>
      </c>
      <c r="V19" s="35"/>
      <c r="W19" s="45" t="str">
        <f t="shared" si="5"/>
        <v/>
      </c>
      <c r="X19" s="45" t="str">
        <f t="shared" si="6"/>
        <v/>
      </c>
      <c r="Y19" s="45" t="str">
        <f t="shared" si="7"/>
        <v/>
      </c>
    </row>
    <row r="20" spans="1:25" s="21" customFormat="1" ht="15" customHeight="1" x14ac:dyDescent="0.25">
      <c r="A20" s="28"/>
      <c r="B20" s="29"/>
      <c r="C20" s="28"/>
      <c r="D20" s="29"/>
      <c r="E20" s="29"/>
      <c r="F20" s="29"/>
      <c r="G20" s="38"/>
      <c r="H20" s="38"/>
      <c r="I20" s="38"/>
      <c r="J20" s="29"/>
      <c r="K20" s="39" t="str">
        <f t="shared" si="0"/>
        <v/>
      </c>
      <c r="L20" s="39" t="str">
        <f t="shared" si="1"/>
        <v/>
      </c>
      <c r="M20" s="39" t="str">
        <f t="shared" si="2"/>
        <v/>
      </c>
      <c r="N20" s="29"/>
      <c r="O20" s="30"/>
      <c r="P20" s="30"/>
      <c r="Q20" s="62"/>
      <c r="R20" s="62"/>
      <c r="S20" s="63" t="str">
        <f t="shared" ca="1" si="3"/>
        <v/>
      </c>
      <c r="T20" s="29"/>
      <c r="U20" s="15" t="str">
        <f t="shared" ca="1" si="4"/>
        <v/>
      </c>
      <c r="V20" s="36"/>
      <c r="W20" s="44" t="str">
        <f t="shared" si="5"/>
        <v/>
      </c>
      <c r="X20" s="44" t="str">
        <f t="shared" si="6"/>
        <v/>
      </c>
      <c r="Y20" s="44" t="str">
        <f t="shared" si="7"/>
        <v/>
      </c>
    </row>
    <row r="21" spans="1:25" s="21" customFormat="1" ht="15" customHeight="1" x14ac:dyDescent="0.25">
      <c r="A21" s="25"/>
      <c r="B21" s="26"/>
      <c r="C21" s="25"/>
      <c r="D21" s="26"/>
      <c r="E21" s="26"/>
      <c r="F21" s="26"/>
      <c r="G21" s="38"/>
      <c r="H21" s="38"/>
      <c r="I21" s="38"/>
      <c r="J21" s="26"/>
      <c r="K21" s="38" t="str">
        <f t="shared" si="0"/>
        <v/>
      </c>
      <c r="L21" s="38" t="str">
        <f t="shared" si="1"/>
        <v/>
      </c>
      <c r="M21" s="38" t="str">
        <f t="shared" si="2"/>
        <v/>
      </c>
      <c r="N21" s="26"/>
      <c r="O21" s="27"/>
      <c r="P21" s="27"/>
      <c r="Q21" s="60"/>
      <c r="R21" s="60"/>
      <c r="S21" s="61" t="str">
        <f t="shared" ca="1" si="3"/>
        <v/>
      </c>
      <c r="T21" s="26"/>
      <c r="U21" s="12" t="str">
        <f t="shared" ca="1" si="4"/>
        <v/>
      </c>
      <c r="V21" s="35"/>
      <c r="W21" s="45" t="str">
        <f t="shared" si="5"/>
        <v/>
      </c>
      <c r="X21" s="45" t="str">
        <f t="shared" si="6"/>
        <v/>
      </c>
      <c r="Y21" s="45" t="str">
        <f t="shared" si="7"/>
        <v/>
      </c>
    </row>
    <row r="22" spans="1:25" s="21" customFormat="1" ht="15" customHeight="1" x14ac:dyDescent="0.25">
      <c r="A22" s="28"/>
      <c r="B22" s="29"/>
      <c r="C22" s="28"/>
      <c r="D22" s="29"/>
      <c r="E22" s="29"/>
      <c r="F22" s="29"/>
      <c r="G22" s="39"/>
      <c r="H22" s="39"/>
      <c r="I22" s="39"/>
      <c r="J22" s="29"/>
      <c r="K22" s="39" t="str">
        <f t="shared" si="0"/>
        <v/>
      </c>
      <c r="L22" s="39" t="str">
        <f t="shared" si="1"/>
        <v/>
      </c>
      <c r="M22" s="39" t="str">
        <f t="shared" si="2"/>
        <v/>
      </c>
      <c r="N22" s="29"/>
      <c r="O22" s="30"/>
      <c r="P22" s="30"/>
      <c r="Q22" s="62"/>
      <c r="R22" s="62"/>
      <c r="S22" s="63" t="str">
        <f t="shared" ca="1" si="3"/>
        <v/>
      </c>
      <c r="T22" s="29"/>
      <c r="U22" s="15" t="str">
        <f t="shared" ca="1" si="4"/>
        <v/>
      </c>
      <c r="V22" s="36"/>
      <c r="W22" s="44" t="str">
        <f t="shared" si="5"/>
        <v/>
      </c>
      <c r="X22" s="44" t="str">
        <f t="shared" si="6"/>
        <v/>
      </c>
      <c r="Y22" s="44" t="str">
        <f t="shared" si="7"/>
        <v/>
      </c>
    </row>
    <row r="23" spans="1:25" s="21" customFormat="1" ht="15" customHeight="1" x14ac:dyDescent="0.25">
      <c r="A23" s="25"/>
      <c r="B23" s="26"/>
      <c r="C23" s="25"/>
      <c r="D23" s="26"/>
      <c r="E23" s="26"/>
      <c r="F23" s="26"/>
      <c r="G23" s="38"/>
      <c r="H23" s="38"/>
      <c r="I23" s="38"/>
      <c r="J23" s="26"/>
      <c r="K23" s="38" t="str">
        <f t="shared" si="0"/>
        <v/>
      </c>
      <c r="L23" s="38" t="str">
        <f t="shared" si="1"/>
        <v/>
      </c>
      <c r="M23" s="38" t="str">
        <f t="shared" si="2"/>
        <v/>
      </c>
      <c r="N23" s="26"/>
      <c r="O23" s="27"/>
      <c r="P23" s="27"/>
      <c r="Q23" s="60"/>
      <c r="R23" s="60"/>
      <c r="S23" s="61" t="str">
        <f t="shared" ca="1" si="3"/>
        <v/>
      </c>
      <c r="T23" s="26"/>
      <c r="U23" s="12" t="str">
        <f t="shared" ca="1" si="4"/>
        <v/>
      </c>
      <c r="V23" s="35"/>
      <c r="W23" s="45" t="str">
        <f t="shared" si="5"/>
        <v/>
      </c>
      <c r="X23" s="45" t="str">
        <f t="shared" si="6"/>
        <v/>
      </c>
      <c r="Y23" s="45" t="str">
        <f t="shared" si="7"/>
        <v/>
      </c>
    </row>
    <row r="24" spans="1:25" s="21" customFormat="1" ht="15" customHeight="1" x14ac:dyDescent="0.25">
      <c r="A24" s="28"/>
      <c r="B24" s="29"/>
      <c r="C24" s="28"/>
      <c r="D24" s="29"/>
      <c r="E24" s="29"/>
      <c r="F24" s="29"/>
      <c r="G24" s="38"/>
      <c r="H24" s="38"/>
      <c r="I24" s="38"/>
      <c r="J24" s="29"/>
      <c r="K24" s="39" t="str">
        <f t="shared" si="0"/>
        <v/>
      </c>
      <c r="L24" s="39" t="str">
        <f t="shared" si="1"/>
        <v/>
      </c>
      <c r="M24" s="39" t="str">
        <f t="shared" si="2"/>
        <v/>
      </c>
      <c r="N24" s="29"/>
      <c r="O24" s="30"/>
      <c r="P24" s="30"/>
      <c r="Q24" s="62"/>
      <c r="R24" s="62"/>
      <c r="S24" s="63" t="str">
        <f t="shared" ca="1" si="3"/>
        <v/>
      </c>
      <c r="T24" s="29"/>
      <c r="U24" s="15" t="str">
        <f t="shared" ca="1" si="4"/>
        <v/>
      </c>
      <c r="V24" s="36"/>
      <c r="W24" s="44" t="str">
        <f t="shared" si="5"/>
        <v/>
      </c>
      <c r="X24" s="44" t="str">
        <f t="shared" si="6"/>
        <v/>
      </c>
      <c r="Y24" s="44" t="str">
        <f t="shared" si="7"/>
        <v/>
      </c>
    </row>
    <row r="25" spans="1:25" s="21" customFormat="1" ht="15" customHeight="1" x14ac:dyDescent="0.25">
      <c r="A25" s="25"/>
      <c r="B25" s="26"/>
      <c r="C25" s="25"/>
      <c r="D25" s="26"/>
      <c r="E25" s="26"/>
      <c r="F25" s="26"/>
      <c r="G25" s="39"/>
      <c r="H25" s="39"/>
      <c r="I25" s="39"/>
      <c r="J25" s="26"/>
      <c r="K25" s="38" t="str">
        <f t="shared" si="0"/>
        <v/>
      </c>
      <c r="L25" s="38" t="str">
        <f t="shared" si="1"/>
        <v/>
      </c>
      <c r="M25" s="38" t="str">
        <f t="shared" si="2"/>
        <v/>
      </c>
      <c r="N25" s="26"/>
      <c r="O25" s="27"/>
      <c r="P25" s="27"/>
      <c r="Q25" s="60"/>
      <c r="R25" s="60"/>
      <c r="S25" s="61" t="str">
        <f t="shared" ca="1" si="3"/>
        <v/>
      </c>
      <c r="T25" s="26"/>
      <c r="U25" s="12" t="str">
        <f t="shared" ca="1" si="4"/>
        <v/>
      </c>
      <c r="V25" s="35"/>
      <c r="W25" s="45" t="str">
        <f t="shared" si="5"/>
        <v/>
      </c>
      <c r="X25" s="45" t="str">
        <f t="shared" si="6"/>
        <v/>
      </c>
      <c r="Y25" s="45" t="str">
        <f t="shared" si="7"/>
        <v/>
      </c>
    </row>
    <row r="26" spans="1:25" s="21" customFormat="1" ht="15" customHeight="1" x14ac:dyDescent="0.25">
      <c r="A26" s="28"/>
      <c r="B26" s="29"/>
      <c r="C26" s="28"/>
      <c r="D26" s="29"/>
      <c r="E26" s="29"/>
      <c r="F26" s="29"/>
      <c r="G26" s="38"/>
      <c r="H26" s="38"/>
      <c r="I26" s="38"/>
      <c r="J26" s="29"/>
      <c r="K26" s="39" t="str">
        <f t="shared" si="0"/>
        <v/>
      </c>
      <c r="L26" s="39" t="str">
        <f t="shared" si="1"/>
        <v/>
      </c>
      <c r="M26" s="39" t="str">
        <f t="shared" si="2"/>
        <v/>
      </c>
      <c r="N26" s="29"/>
      <c r="O26" s="30"/>
      <c r="P26" s="30"/>
      <c r="Q26" s="62"/>
      <c r="R26" s="62"/>
      <c r="S26" s="63" t="str">
        <f t="shared" ca="1" si="3"/>
        <v/>
      </c>
      <c r="T26" s="29"/>
      <c r="U26" s="15" t="str">
        <f t="shared" ca="1" si="4"/>
        <v/>
      </c>
      <c r="V26" s="36"/>
      <c r="W26" s="44" t="str">
        <f t="shared" si="5"/>
        <v/>
      </c>
      <c r="X26" s="44" t="str">
        <f t="shared" si="6"/>
        <v/>
      </c>
      <c r="Y26" s="44" t="str">
        <f t="shared" si="7"/>
        <v/>
      </c>
    </row>
    <row r="27" spans="1:25" s="21" customFormat="1" ht="15" customHeight="1" x14ac:dyDescent="0.25">
      <c r="A27" s="25"/>
      <c r="B27" s="26"/>
      <c r="C27" s="25"/>
      <c r="D27" s="26"/>
      <c r="E27" s="26"/>
      <c r="F27" s="26"/>
      <c r="G27" s="38"/>
      <c r="H27" s="38"/>
      <c r="I27" s="38"/>
      <c r="J27" s="26"/>
      <c r="K27" s="38" t="str">
        <f t="shared" si="0"/>
        <v/>
      </c>
      <c r="L27" s="38" t="str">
        <f t="shared" si="1"/>
        <v/>
      </c>
      <c r="M27" s="38" t="str">
        <f t="shared" si="2"/>
        <v/>
      </c>
      <c r="N27" s="26"/>
      <c r="O27" s="27"/>
      <c r="P27" s="27"/>
      <c r="Q27" s="60"/>
      <c r="R27" s="60"/>
      <c r="S27" s="61" t="str">
        <f t="shared" ca="1" si="3"/>
        <v/>
      </c>
      <c r="T27" s="26"/>
      <c r="U27" s="12" t="str">
        <f t="shared" ca="1" si="4"/>
        <v/>
      </c>
      <c r="V27" s="35"/>
      <c r="W27" s="45" t="str">
        <f t="shared" si="5"/>
        <v/>
      </c>
      <c r="X27" s="45" t="str">
        <f t="shared" si="6"/>
        <v/>
      </c>
      <c r="Y27" s="45" t="str">
        <f t="shared" si="7"/>
        <v/>
      </c>
    </row>
    <row r="28" spans="1:25" s="21" customFormat="1" ht="15" customHeight="1" x14ac:dyDescent="0.25">
      <c r="A28" s="28"/>
      <c r="B28" s="29"/>
      <c r="C28" s="28"/>
      <c r="D28" s="29"/>
      <c r="E28" s="29"/>
      <c r="F28" s="29"/>
      <c r="G28" s="39"/>
      <c r="H28" s="39"/>
      <c r="I28" s="39"/>
      <c r="J28" s="29"/>
      <c r="K28" s="39" t="str">
        <f t="shared" si="0"/>
        <v/>
      </c>
      <c r="L28" s="39" t="str">
        <f t="shared" si="1"/>
        <v/>
      </c>
      <c r="M28" s="39" t="str">
        <f t="shared" si="2"/>
        <v/>
      </c>
      <c r="N28" s="29"/>
      <c r="O28" s="30"/>
      <c r="P28" s="30"/>
      <c r="Q28" s="62"/>
      <c r="R28" s="62"/>
      <c r="S28" s="63" t="str">
        <f t="shared" ca="1" si="3"/>
        <v/>
      </c>
      <c r="T28" s="29"/>
      <c r="U28" s="15" t="str">
        <f t="shared" ca="1" si="4"/>
        <v/>
      </c>
      <c r="V28" s="36"/>
      <c r="W28" s="44" t="str">
        <f t="shared" si="5"/>
        <v/>
      </c>
      <c r="X28" s="44" t="str">
        <f t="shared" si="6"/>
        <v/>
      </c>
      <c r="Y28" s="44" t="str">
        <f t="shared" si="7"/>
        <v/>
      </c>
    </row>
    <row r="29" spans="1:25" s="21" customFormat="1" ht="15" customHeight="1" x14ac:dyDescent="0.25">
      <c r="A29" s="25"/>
      <c r="B29" s="26"/>
      <c r="C29" s="25"/>
      <c r="D29" s="26"/>
      <c r="E29" s="26"/>
      <c r="F29" s="26"/>
      <c r="G29" s="38"/>
      <c r="H29" s="38"/>
      <c r="I29" s="38"/>
      <c r="J29" s="26"/>
      <c r="K29" s="38" t="str">
        <f t="shared" si="0"/>
        <v/>
      </c>
      <c r="L29" s="38" t="str">
        <f t="shared" si="1"/>
        <v/>
      </c>
      <c r="M29" s="38" t="str">
        <f t="shared" si="2"/>
        <v/>
      </c>
      <c r="N29" s="26"/>
      <c r="O29" s="27"/>
      <c r="P29" s="27"/>
      <c r="Q29" s="60"/>
      <c r="R29" s="60"/>
      <c r="S29" s="61" t="str">
        <f t="shared" ca="1" si="3"/>
        <v/>
      </c>
      <c r="T29" s="26"/>
      <c r="U29" s="12" t="str">
        <f t="shared" ca="1" si="4"/>
        <v/>
      </c>
      <c r="V29" s="35"/>
      <c r="W29" s="45" t="str">
        <f t="shared" si="5"/>
        <v/>
      </c>
      <c r="X29" s="45" t="str">
        <f t="shared" si="6"/>
        <v/>
      </c>
      <c r="Y29" s="45" t="str">
        <f t="shared" si="7"/>
        <v/>
      </c>
    </row>
    <row r="30" spans="1:25" s="21" customFormat="1" ht="15" customHeight="1" x14ac:dyDescent="0.25">
      <c r="A30" s="28"/>
      <c r="B30" s="29"/>
      <c r="C30" s="28"/>
      <c r="D30" s="29"/>
      <c r="E30" s="29"/>
      <c r="F30" s="29"/>
      <c r="G30" s="38"/>
      <c r="H30" s="38"/>
      <c r="I30" s="38"/>
      <c r="J30" s="29"/>
      <c r="K30" s="39" t="str">
        <f t="shared" si="0"/>
        <v/>
      </c>
      <c r="L30" s="39" t="str">
        <f t="shared" si="1"/>
        <v/>
      </c>
      <c r="M30" s="39" t="str">
        <f t="shared" si="2"/>
        <v/>
      </c>
      <c r="N30" s="29"/>
      <c r="O30" s="30"/>
      <c r="P30" s="30"/>
      <c r="Q30" s="62"/>
      <c r="R30" s="62"/>
      <c r="S30" s="63" t="str">
        <f t="shared" ca="1" si="3"/>
        <v/>
      </c>
      <c r="T30" s="29"/>
      <c r="U30" s="15" t="str">
        <f t="shared" ca="1" si="4"/>
        <v/>
      </c>
      <c r="V30" s="36"/>
      <c r="W30" s="44" t="str">
        <f t="shared" si="5"/>
        <v/>
      </c>
      <c r="X30" s="44" t="str">
        <f t="shared" si="6"/>
        <v/>
      </c>
      <c r="Y30" s="44" t="str">
        <f t="shared" si="7"/>
        <v/>
      </c>
    </row>
    <row r="31" spans="1:25" s="21" customFormat="1" ht="15" customHeight="1" x14ac:dyDescent="0.25">
      <c r="A31" s="25"/>
      <c r="B31" s="26"/>
      <c r="C31" s="25"/>
      <c r="D31" s="26"/>
      <c r="E31" s="26"/>
      <c r="F31" s="26"/>
      <c r="G31" s="39"/>
      <c r="H31" s="39"/>
      <c r="I31" s="39"/>
      <c r="J31" s="26"/>
      <c r="K31" s="38" t="str">
        <f t="shared" si="0"/>
        <v/>
      </c>
      <c r="L31" s="38" t="str">
        <f t="shared" si="1"/>
        <v/>
      </c>
      <c r="M31" s="38" t="str">
        <f t="shared" si="2"/>
        <v/>
      </c>
      <c r="N31" s="26"/>
      <c r="O31" s="27"/>
      <c r="P31" s="27"/>
      <c r="Q31" s="60"/>
      <c r="R31" s="60"/>
      <c r="S31" s="61" t="str">
        <f t="shared" ca="1" si="3"/>
        <v/>
      </c>
      <c r="T31" s="26"/>
      <c r="U31" s="12" t="str">
        <f t="shared" ca="1" si="4"/>
        <v/>
      </c>
      <c r="V31" s="35"/>
      <c r="W31" s="45" t="str">
        <f t="shared" si="5"/>
        <v/>
      </c>
      <c r="X31" s="45" t="str">
        <f t="shared" si="6"/>
        <v/>
      </c>
      <c r="Y31" s="45" t="str">
        <f t="shared" si="7"/>
        <v/>
      </c>
    </row>
    <row r="32" spans="1:25" s="21" customFormat="1" ht="15" customHeight="1" x14ac:dyDescent="0.25">
      <c r="A32" s="28"/>
      <c r="B32" s="29"/>
      <c r="C32" s="28"/>
      <c r="D32" s="29"/>
      <c r="E32" s="29"/>
      <c r="F32" s="29"/>
      <c r="G32" s="38"/>
      <c r="H32" s="38"/>
      <c r="I32" s="38"/>
      <c r="J32" s="29"/>
      <c r="K32" s="39"/>
      <c r="L32" s="39" t="str">
        <f t="shared" ref="L32:L40" si="19">IF(J32="","",_xlfn.TRANSLATE(J32,"vi","ja"))</f>
        <v/>
      </c>
      <c r="M32" s="39" t="str">
        <f t="shared" ref="M32:M40" si="20">IF(J32="","",_xlfn.TRANSLATE(J32,"vi","zh-Hans"))</f>
        <v/>
      </c>
      <c r="N32" s="29"/>
      <c r="O32" s="30"/>
      <c r="P32" s="30"/>
      <c r="Q32" s="62"/>
      <c r="R32" s="62"/>
      <c r="S32" s="63" t="str">
        <f t="shared" ca="1" si="3"/>
        <v/>
      </c>
      <c r="T32" s="29"/>
      <c r="U32" s="15" t="str">
        <f t="shared" ca="1" si="4"/>
        <v/>
      </c>
      <c r="V32" s="36"/>
      <c r="W32" s="44"/>
      <c r="X32" s="44" t="str">
        <f t="shared" ref="X32:X40" si="21">IF(V32="","",_xlfn.TRANSLATE(V32,"vi","ja"))</f>
        <v/>
      </c>
      <c r="Y32" s="44" t="str">
        <f t="shared" ref="Y32:Y40" si="22">IF(V32="","",_xlfn.TRANSLATE(V32,"vi","zh-Hans"))</f>
        <v/>
      </c>
    </row>
    <row r="33" spans="1:25" s="21" customFormat="1" ht="15" customHeight="1" x14ac:dyDescent="0.25">
      <c r="A33" s="25"/>
      <c r="B33" s="26"/>
      <c r="C33" s="25"/>
      <c r="D33" s="26"/>
      <c r="E33" s="26"/>
      <c r="F33" s="26"/>
      <c r="G33" s="38"/>
      <c r="H33" s="38"/>
      <c r="I33" s="38"/>
      <c r="J33" s="26"/>
      <c r="K33" s="38"/>
      <c r="L33" s="38" t="str">
        <f t="shared" si="19"/>
        <v/>
      </c>
      <c r="M33" s="38" t="str">
        <f t="shared" si="20"/>
        <v/>
      </c>
      <c r="N33" s="26"/>
      <c r="O33" s="27"/>
      <c r="P33" s="27"/>
      <c r="Q33" s="60"/>
      <c r="R33" s="60"/>
      <c r="S33" s="61" t="str">
        <f t="shared" ca="1" si="3"/>
        <v/>
      </c>
      <c r="T33" s="26"/>
      <c r="U33" s="12" t="str">
        <f t="shared" ca="1" si="4"/>
        <v/>
      </c>
      <c r="V33" s="35"/>
      <c r="W33" s="45"/>
      <c r="X33" s="45" t="str">
        <f t="shared" si="21"/>
        <v/>
      </c>
      <c r="Y33" s="45" t="str">
        <f t="shared" si="22"/>
        <v/>
      </c>
    </row>
    <row r="34" spans="1:25" s="21" customFormat="1" ht="15" customHeight="1" x14ac:dyDescent="0.25">
      <c r="A34" s="28"/>
      <c r="B34" s="29"/>
      <c r="C34" s="28"/>
      <c r="D34" s="29"/>
      <c r="E34" s="29"/>
      <c r="F34" s="29"/>
      <c r="G34" s="39"/>
      <c r="H34" s="39"/>
      <c r="I34" s="39"/>
      <c r="J34" s="29"/>
      <c r="K34" s="39"/>
      <c r="L34" s="39" t="str">
        <f t="shared" si="19"/>
        <v/>
      </c>
      <c r="M34" s="39" t="str">
        <f t="shared" si="20"/>
        <v/>
      </c>
      <c r="N34" s="29"/>
      <c r="O34" s="30"/>
      <c r="P34" s="30"/>
      <c r="Q34" s="62"/>
      <c r="R34" s="62"/>
      <c r="S34" s="63" t="str">
        <f t="shared" ca="1" si="3"/>
        <v/>
      </c>
      <c r="T34" s="29"/>
      <c r="U34" s="15" t="str">
        <f t="shared" ca="1" si="4"/>
        <v/>
      </c>
      <c r="V34" s="36"/>
      <c r="W34" s="44"/>
      <c r="X34" s="44" t="str">
        <f t="shared" si="21"/>
        <v/>
      </c>
      <c r="Y34" s="44" t="str">
        <f t="shared" si="22"/>
        <v/>
      </c>
    </row>
    <row r="35" spans="1:25" s="21" customFormat="1" ht="15" customHeight="1" x14ac:dyDescent="0.25">
      <c r="A35" s="25"/>
      <c r="B35" s="26"/>
      <c r="C35" s="25"/>
      <c r="D35" s="26"/>
      <c r="E35" s="26"/>
      <c r="F35" s="26"/>
      <c r="G35" s="38"/>
      <c r="H35" s="38"/>
      <c r="I35" s="38"/>
      <c r="J35" s="26"/>
      <c r="K35" s="38"/>
      <c r="L35" s="38" t="str">
        <f t="shared" si="19"/>
        <v/>
      </c>
      <c r="M35" s="38" t="str">
        <f t="shared" si="20"/>
        <v/>
      </c>
      <c r="N35" s="26"/>
      <c r="O35" s="27"/>
      <c r="P35" s="27"/>
      <c r="Q35" s="60"/>
      <c r="R35" s="60"/>
      <c r="S35" s="61" t="str">
        <f t="shared" ca="1" si="3"/>
        <v/>
      </c>
      <c r="T35" s="26"/>
      <c r="U35" s="12" t="str">
        <f t="shared" ca="1" si="4"/>
        <v/>
      </c>
      <c r="V35" s="35"/>
      <c r="W35" s="45"/>
      <c r="X35" s="45" t="str">
        <f t="shared" si="21"/>
        <v/>
      </c>
      <c r="Y35" s="45" t="str">
        <f t="shared" si="22"/>
        <v/>
      </c>
    </row>
    <row r="36" spans="1:25" s="21" customFormat="1" ht="15" customHeight="1" x14ac:dyDescent="0.25">
      <c r="A36" s="28"/>
      <c r="B36" s="29"/>
      <c r="C36" s="28"/>
      <c r="D36" s="29"/>
      <c r="E36" s="29"/>
      <c r="F36" s="29"/>
      <c r="G36" s="38"/>
      <c r="H36" s="38"/>
      <c r="I36" s="38"/>
      <c r="J36" s="29"/>
      <c r="K36" s="39"/>
      <c r="L36" s="39" t="str">
        <f t="shared" si="19"/>
        <v/>
      </c>
      <c r="M36" s="39" t="str">
        <f t="shared" si="20"/>
        <v/>
      </c>
      <c r="N36" s="29"/>
      <c r="O36" s="30"/>
      <c r="P36" s="30"/>
      <c r="Q36" s="62"/>
      <c r="R36" s="62"/>
      <c r="S36" s="63" t="str">
        <f t="shared" ca="1" si="3"/>
        <v/>
      </c>
      <c r="T36" s="29"/>
      <c r="U36" s="15" t="str">
        <f t="shared" ca="1" si="4"/>
        <v/>
      </c>
      <c r="V36" s="36"/>
      <c r="W36" s="44"/>
      <c r="X36" s="44" t="str">
        <f t="shared" si="21"/>
        <v/>
      </c>
      <c r="Y36" s="44" t="str">
        <f t="shared" si="22"/>
        <v/>
      </c>
    </row>
    <row r="37" spans="1:25" s="21" customFormat="1" ht="15" customHeight="1" x14ac:dyDescent="0.25">
      <c r="A37" s="25"/>
      <c r="B37" s="26"/>
      <c r="C37" s="25"/>
      <c r="D37" s="26"/>
      <c r="E37" s="26"/>
      <c r="F37" s="26"/>
      <c r="G37" s="39"/>
      <c r="H37" s="39"/>
      <c r="I37" s="39"/>
      <c r="J37" s="26"/>
      <c r="K37" s="38"/>
      <c r="L37" s="38" t="str">
        <f t="shared" si="19"/>
        <v/>
      </c>
      <c r="M37" s="38" t="str">
        <f t="shared" si="20"/>
        <v/>
      </c>
      <c r="N37" s="26"/>
      <c r="O37" s="27"/>
      <c r="P37" s="27"/>
      <c r="Q37" s="60"/>
      <c r="R37" s="60"/>
      <c r="S37" s="61" t="str">
        <f t="shared" ca="1" si="3"/>
        <v/>
      </c>
      <c r="T37" s="26"/>
      <c r="U37" s="12" t="str">
        <f t="shared" ca="1" si="4"/>
        <v/>
      </c>
      <c r="V37" s="35"/>
      <c r="W37" s="45"/>
      <c r="X37" s="45" t="str">
        <f t="shared" si="21"/>
        <v/>
      </c>
      <c r="Y37" s="45" t="str">
        <f t="shared" si="22"/>
        <v/>
      </c>
    </row>
    <row r="38" spans="1:25" s="21" customFormat="1" ht="15" customHeight="1" x14ac:dyDescent="0.25">
      <c r="A38" s="28"/>
      <c r="B38" s="29"/>
      <c r="C38" s="28"/>
      <c r="D38" s="29"/>
      <c r="E38" s="29"/>
      <c r="F38" s="29"/>
      <c r="G38" s="38"/>
      <c r="H38" s="38"/>
      <c r="I38" s="38"/>
      <c r="J38" s="29"/>
      <c r="K38" s="39"/>
      <c r="L38" s="39" t="str">
        <f t="shared" si="19"/>
        <v/>
      </c>
      <c r="M38" s="39" t="str">
        <f t="shared" si="20"/>
        <v/>
      </c>
      <c r="N38" s="29"/>
      <c r="O38" s="30"/>
      <c r="P38" s="30"/>
      <c r="Q38" s="62"/>
      <c r="R38" s="62"/>
      <c r="S38" s="63" t="str">
        <f t="shared" ref="S38:S69" ca="1" si="23">IF(OR(O38="",P38=""),"",IF(R38&lt;&gt;"",1,IF(Q38="",0,MAX(0,MIN(1,(TODAY()-O38)/(P38-O38+1))))))</f>
        <v/>
      </c>
      <c r="T38" s="29"/>
      <c r="U38" s="15" t="str">
        <f t="shared" ref="U38:U69" ca="1" si="24">IF(P38="","",P38-TODAY())</f>
        <v/>
      </c>
      <c r="V38" s="36"/>
      <c r="W38" s="44"/>
      <c r="X38" s="44" t="str">
        <f t="shared" si="21"/>
        <v/>
      </c>
      <c r="Y38" s="44" t="str">
        <f t="shared" si="22"/>
        <v/>
      </c>
    </row>
    <row r="39" spans="1:25" s="21" customFormat="1" ht="15" customHeight="1" x14ac:dyDescent="0.25">
      <c r="A39" s="25"/>
      <c r="B39" s="26"/>
      <c r="C39" s="25"/>
      <c r="D39" s="26"/>
      <c r="E39" s="26"/>
      <c r="F39" s="26"/>
      <c r="G39" s="38"/>
      <c r="H39" s="38"/>
      <c r="I39" s="38"/>
      <c r="J39" s="26"/>
      <c r="K39" s="38"/>
      <c r="L39" s="38" t="str">
        <f t="shared" si="19"/>
        <v/>
      </c>
      <c r="M39" s="38" t="str">
        <f t="shared" si="20"/>
        <v/>
      </c>
      <c r="N39" s="26"/>
      <c r="O39" s="27"/>
      <c r="P39" s="27"/>
      <c r="Q39" s="60"/>
      <c r="R39" s="60"/>
      <c r="S39" s="61" t="str">
        <f t="shared" ca="1" si="23"/>
        <v/>
      </c>
      <c r="T39" s="26"/>
      <c r="U39" s="12" t="str">
        <f t="shared" ca="1" si="24"/>
        <v/>
      </c>
      <c r="V39" s="35"/>
      <c r="W39" s="45"/>
      <c r="X39" s="45" t="str">
        <f t="shared" si="21"/>
        <v/>
      </c>
      <c r="Y39" s="45" t="str">
        <f t="shared" si="22"/>
        <v/>
      </c>
    </row>
    <row r="40" spans="1:25" s="21" customFormat="1" ht="15" customHeight="1" x14ac:dyDescent="0.25">
      <c r="A40" s="28"/>
      <c r="B40" s="29"/>
      <c r="C40" s="28"/>
      <c r="D40" s="29"/>
      <c r="E40" s="29"/>
      <c r="F40" s="29"/>
      <c r="G40" s="39"/>
      <c r="H40" s="39"/>
      <c r="I40" s="39"/>
      <c r="J40" s="29"/>
      <c r="K40" s="39"/>
      <c r="L40" s="39" t="str">
        <f t="shared" si="19"/>
        <v/>
      </c>
      <c r="M40" s="39" t="str">
        <f t="shared" si="20"/>
        <v/>
      </c>
      <c r="N40" s="29"/>
      <c r="O40" s="30"/>
      <c r="P40" s="30"/>
      <c r="Q40" s="62"/>
      <c r="R40" s="62"/>
      <c r="S40" s="63" t="str">
        <f t="shared" ca="1" si="23"/>
        <v/>
      </c>
      <c r="T40" s="29"/>
      <c r="U40" s="15" t="str">
        <f t="shared" ca="1" si="24"/>
        <v/>
      </c>
      <c r="V40" s="36"/>
      <c r="W40" s="44"/>
      <c r="X40" s="44" t="str">
        <f t="shared" si="21"/>
        <v/>
      </c>
      <c r="Y40" s="44" t="str">
        <f t="shared" si="22"/>
        <v/>
      </c>
    </row>
    <row r="41" spans="1:25" s="21" customFormat="1" ht="15" customHeight="1" x14ac:dyDescent="0.25">
      <c r="A41" s="25"/>
      <c r="B41" s="26"/>
      <c r="C41" s="25"/>
      <c r="D41" s="26"/>
      <c r="E41" s="26"/>
      <c r="F41" s="26"/>
      <c r="G41" s="38"/>
      <c r="H41" s="38"/>
      <c r="I41" s="38"/>
      <c r="J41" s="26"/>
      <c r="K41" s="38"/>
      <c r="L41" s="38" t="str">
        <f t="shared" ref="L41:L72" si="25">IF(J41="","",_xlfn.TRANSLATE(J41,"vi","ja"))</f>
        <v/>
      </c>
      <c r="M41" s="38" t="str">
        <f t="shared" ref="M41:M72" si="26">IF(J41="","",_xlfn.TRANSLATE(J41,"vi","zh-Hans"))</f>
        <v/>
      </c>
      <c r="N41" s="26"/>
      <c r="O41" s="27"/>
      <c r="P41" s="27"/>
      <c r="Q41" s="60"/>
      <c r="R41" s="60"/>
      <c r="S41" s="61" t="str">
        <f t="shared" ca="1" si="23"/>
        <v/>
      </c>
      <c r="T41" s="26"/>
      <c r="U41" s="12" t="str">
        <f t="shared" ca="1" si="24"/>
        <v/>
      </c>
      <c r="V41" s="35"/>
      <c r="W41" s="45"/>
      <c r="X41" s="45" t="str">
        <f t="shared" ref="X41:X72" si="27">IF(V41="","",_xlfn.TRANSLATE(V41,"vi","ja"))</f>
        <v/>
      </c>
      <c r="Y41" s="45" t="str">
        <f t="shared" ref="Y41:Y72" si="28">IF(V41="","",_xlfn.TRANSLATE(V41,"vi","zh-Hans"))</f>
        <v/>
      </c>
    </row>
    <row r="42" spans="1:25" s="21" customFormat="1" ht="15" customHeight="1" x14ac:dyDescent="0.25">
      <c r="A42" s="28"/>
      <c r="B42" s="29"/>
      <c r="C42" s="28"/>
      <c r="D42" s="29"/>
      <c r="E42" s="29"/>
      <c r="F42" s="29"/>
      <c r="G42" s="38"/>
      <c r="H42" s="38"/>
      <c r="I42" s="38"/>
      <c r="J42" s="29"/>
      <c r="K42" s="39"/>
      <c r="L42" s="39" t="str">
        <f t="shared" si="25"/>
        <v/>
      </c>
      <c r="M42" s="39" t="str">
        <f t="shared" si="26"/>
        <v/>
      </c>
      <c r="N42" s="29"/>
      <c r="O42" s="30"/>
      <c r="P42" s="30"/>
      <c r="Q42" s="62"/>
      <c r="R42" s="62"/>
      <c r="S42" s="63" t="str">
        <f t="shared" ca="1" si="23"/>
        <v/>
      </c>
      <c r="T42" s="29"/>
      <c r="U42" s="15" t="str">
        <f t="shared" ca="1" si="24"/>
        <v/>
      </c>
      <c r="V42" s="36"/>
      <c r="W42" s="44"/>
      <c r="X42" s="44" t="str">
        <f t="shared" si="27"/>
        <v/>
      </c>
      <c r="Y42" s="44" t="str">
        <f t="shared" si="28"/>
        <v/>
      </c>
    </row>
    <row r="43" spans="1:25" s="21" customFormat="1" ht="15" customHeight="1" x14ac:dyDescent="0.25">
      <c r="A43" s="25"/>
      <c r="B43" s="26"/>
      <c r="C43" s="25"/>
      <c r="D43" s="26"/>
      <c r="E43" s="26"/>
      <c r="F43" s="26"/>
      <c r="G43" s="39"/>
      <c r="H43" s="39"/>
      <c r="I43" s="39"/>
      <c r="J43" s="26"/>
      <c r="K43" s="38"/>
      <c r="L43" s="38" t="str">
        <f t="shared" si="25"/>
        <v/>
      </c>
      <c r="M43" s="38" t="str">
        <f t="shared" si="26"/>
        <v/>
      </c>
      <c r="N43" s="26"/>
      <c r="O43" s="27"/>
      <c r="P43" s="27"/>
      <c r="Q43" s="60"/>
      <c r="R43" s="60"/>
      <c r="S43" s="61" t="str">
        <f t="shared" ca="1" si="23"/>
        <v/>
      </c>
      <c r="T43" s="26"/>
      <c r="U43" s="12" t="str">
        <f t="shared" ca="1" si="24"/>
        <v/>
      </c>
      <c r="V43" s="35"/>
      <c r="W43" s="45"/>
      <c r="X43" s="45" t="str">
        <f t="shared" si="27"/>
        <v/>
      </c>
      <c r="Y43" s="45" t="str">
        <f t="shared" si="28"/>
        <v/>
      </c>
    </row>
    <row r="44" spans="1:25" s="21" customFormat="1" ht="15" customHeight="1" x14ac:dyDescent="0.25">
      <c r="A44" s="28"/>
      <c r="B44" s="29"/>
      <c r="C44" s="28"/>
      <c r="D44" s="29"/>
      <c r="E44" s="29"/>
      <c r="F44" s="29"/>
      <c r="G44" s="38"/>
      <c r="H44" s="38"/>
      <c r="I44" s="38"/>
      <c r="J44" s="29"/>
      <c r="K44" s="39"/>
      <c r="L44" s="39" t="str">
        <f t="shared" si="25"/>
        <v/>
      </c>
      <c r="M44" s="39" t="str">
        <f t="shared" si="26"/>
        <v/>
      </c>
      <c r="N44" s="29"/>
      <c r="O44" s="30"/>
      <c r="P44" s="30"/>
      <c r="Q44" s="62"/>
      <c r="R44" s="62"/>
      <c r="S44" s="63" t="str">
        <f t="shared" ca="1" si="23"/>
        <v/>
      </c>
      <c r="T44" s="29"/>
      <c r="U44" s="15" t="str">
        <f t="shared" ca="1" si="24"/>
        <v/>
      </c>
      <c r="V44" s="36"/>
      <c r="W44" s="44"/>
      <c r="X44" s="44" t="str">
        <f t="shared" si="27"/>
        <v/>
      </c>
      <c r="Y44" s="44" t="str">
        <f t="shared" si="28"/>
        <v/>
      </c>
    </row>
    <row r="45" spans="1:25" s="21" customFormat="1" ht="15" customHeight="1" x14ac:dyDescent="0.25">
      <c r="A45" s="25"/>
      <c r="B45" s="26"/>
      <c r="C45" s="25"/>
      <c r="D45" s="26"/>
      <c r="E45" s="26"/>
      <c r="F45" s="26"/>
      <c r="G45" s="38"/>
      <c r="H45" s="38"/>
      <c r="I45" s="38"/>
      <c r="J45" s="26"/>
      <c r="K45" s="38"/>
      <c r="L45" s="38" t="str">
        <f t="shared" si="25"/>
        <v/>
      </c>
      <c r="M45" s="38" t="str">
        <f t="shared" si="26"/>
        <v/>
      </c>
      <c r="N45" s="26"/>
      <c r="O45" s="27"/>
      <c r="P45" s="27"/>
      <c r="Q45" s="60"/>
      <c r="R45" s="60"/>
      <c r="S45" s="61" t="str">
        <f t="shared" ca="1" si="23"/>
        <v/>
      </c>
      <c r="T45" s="26"/>
      <c r="U45" s="12" t="str">
        <f t="shared" ca="1" si="24"/>
        <v/>
      </c>
      <c r="V45" s="35"/>
      <c r="W45" s="45"/>
      <c r="X45" s="45" t="str">
        <f t="shared" si="27"/>
        <v/>
      </c>
      <c r="Y45" s="45" t="str">
        <f t="shared" si="28"/>
        <v/>
      </c>
    </row>
    <row r="46" spans="1:25" s="21" customFormat="1" ht="15" customHeight="1" x14ac:dyDescent="0.25">
      <c r="A46" s="28"/>
      <c r="B46" s="29"/>
      <c r="C46" s="28"/>
      <c r="D46" s="29"/>
      <c r="E46" s="29"/>
      <c r="F46" s="29"/>
      <c r="G46" s="39"/>
      <c r="H46" s="39"/>
      <c r="I46" s="39"/>
      <c r="J46" s="29"/>
      <c r="K46" s="39"/>
      <c r="L46" s="39" t="str">
        <f t="shared" si="25"/>
        <v/>
      </c>
      <c r="M46" s="39" t="str">
        <f t="shared" si="26"/>
        <v/>
      </c>
      <c r="N46" s="29"/>
      <c r="O46" s="30"/>
      <c r="P46" s="30"/>
      <c r="Q46" s="62"/>
      <c r="R46" s="62"/>
      <c r="S46" s="63" t="str">
        <f t="shared" ca="1" si="23"/>
        <v/>
      </c>
      <c r="T46" s="29"/>
      <c r="U46" s="15" t="str">
        <f t="shared" ca="1" si="24"/>
        <v/>
      </c>
      <c r="V46" s="36"/>
      <c r="W46" s="44"/>
      <c r="X46" s="44" t="str">
        <f t="shared" si="27"/>
        <v/>
      </c>
      <c r="Y46" s="44" t="str">
        <f t="shared" si="28"/>
        <v/>
      </c>
    </row>
    <row r="47" spans="1:25" s="21" customFormat="1" ht="15" customHeight="1" x14ac:dyDescent="0.25">
      <c r="A47" s="25"/>
      <c r="B47" s="26"/>
      <c r="C47" s="25"/>
      <c r="D47" s="26"/>
      <c r="E47" s="26"/>
      <c r="F47" s="26"/>
      <c r="G47" s="38"/>
      <c r="H47" s="38"/>
      <c r="I47" s="38"/>
      <c r="J47" s="26"/>
      <c r="K47" s="38"/>
      <c r="L47" s="38" t="str">
        <f t="shared" si="25"/>
        <v/>
      </c>
      <c r="M47" s="38" t="str">
        <f t="shared" si="26"/>
        <v/>
      </c>
      <c r="N47" s="26"/>
      <c r="O47" s="27"/>
      <c r="P47" s="27"/>
      <c r="Q47" s="60"/>
      <c r="R47" s="60"/>
      <c r="S47" s="61" t="str">
        <f t="shared" ca="1" si="23"/>
        <v/>
      </c>
      <c r="T47" s="26"/>
      <c r="U47" s="12" t="str">
        <f t="shared" ca="1" si="24"/>
        <v/>
      </c>
      <c r="V47" s="35"/>
      <c r="W47" s="45"/>
      <c r="X47" s="45" t="str">
        <f t="shared" si="27"/>
        <v/>
      </c>
      <c r="Y47" s="45" t="str">
        <f t="shared" si="28"/>
        <v/>
      </c>
    </row>
    <row r="48" spans="1:25" s="21" customFormat="1" ht="15" customHeight="1" x14ac:dyDescent="0.25">
      <c r="A48" s="28"/>
      <c r="B48" s="29"/>
      <c r="C48" s="28"/>
      <c r="D48" s="29"/>
      <c r="E48" s="29"/>
      <c r="F48" s="29"/>
      <c r="G48" s="38"/>
      <c r="H48" s="38"/>
      <c r="I48" s="38"/>
      <c r="J48" s="29"/>
      <c r="K48" s="39"/>
      <c r="L48" s="39" t="str">
        <f t="shared" si="25"/>
        <v/>
      </c>
      <c r="M48" s="39" t="str">
        <f t="shared" si="26"/>
        <v/>
      </c>
      <c r="N48" s="29"/>
      <c r="O48" s="30"/>
      <c r="P48" s="30"/>
      <c r="Q48" s="62"/>
      <c r="R48" s="62"/>
      <c r="S48" s="63" t="str">
        <f t="shared" ca="1" si="23"/>
        <v/>
      </c>
      <c r="T48" s="29"/>
      <c r="U48" s="15" t="str">
        <f t="shared" ca="1" si="24"/>
        <v/>
      </c>
      <c r="V48" s="36"/>
      <c r="W48" s="44"/>
      <c r="X48" s="44" t="str">
        <f t="shared" si="27"/>
        <v/>
      </c>
      <c r="Y48" s="44" t="str">
        <f t="shared" si="28"/>
        <v/>
      </c>
    </row>
    <row r="49" spans="1:25" s="21" customFormat="1" ht="15" customHeight="1" x14ac:dyDescent="0.25">
      <c r="A49" s="25"/>
      <c r="B49" s="26"/>
      <c r="C49" s="25"/>
      <c r="D49" s="26"/>
      <c r="E49" s="26"/>
      <c r="F49" s="26"/>
      <c r="G49" s="39"/>
      <c r="H49" s="39"/>
      <c r="I49" s="39"/>
      <c r="J49" s="26"/>
      <c r="K49" s="38"/>
      <c r="L49" s="38" t="str">
        <f t="shared" si="25"/>
        <v/>
      </c>
      <c r="M49" s="38" t="str">
        <f t="shared" si="26"/>
        <v/>
      </c>
      <c r="N49" s="26"/>
      <c r="O49" s="27"/>
      <c r="P49" s="27"/>
      <c r="Q49" s="60"/>
      <c r="R49" s="60"/>
      <c r="S49" s="61" t="str">
        <f t="shared" ca="1" si="23"/>
        <v/>
      </c>
      <c r="T49" s="26"/>
      <c r="U49" s="12" t="str">
        <f t="shared" ca="1" si="24"/>
        <v/>
      </c>
      <c r="V49" s="35"/>
      <c r="W49" s="45"/>
      <c r="X49" s="45" t="str">
        <f t="shared" si="27"/>
        <v/>
      </c>
      <c r="Y49" s="45" t="str">
        <f t="shared" si="28"/>
        <v/>
      </c>
    </row>
    <row r="50" spans="1:25" s="21" customFormat="1" ht="15" customHeight="1" x14ac:dyDescent="0.25">
      <c r="A50" s="28"/>
      <c r="B50" s="29"/>
      <c r="C50" s="28"/>
      <c r="D50" s="29"/>
      <c r="E50" s="29"/>
      <c r="F50" s="29"/>
      <c r="G50" s="38"/>
      <c r="H50" s="38"/>
      <c r="I50" s="38"/>
      <c r="J50" s="29"/>
      <c r="K50" s="39"/>
      <c r="L50" s="39" t="str">
        <f t="shared" si="25"/>
        <v/>
      </c>
      <c r="M50" s="39" t="str">
        <f t="shared" si="26"/>
        <v/>
      </c>
      <c r="N50" s="29"/>
      <c r="O50" s="30"/>
      <c r="P50" s="30"/>
      <c r="Q50" s="62"/>
      <c r="R50" s="62"/>
      <c r="S50" s="63" t="str">
        <f t="shared" ca="1" si="23"/>
        <v/>
      </c>
      <c r="T50" s="29"/>
      <c r="U50" s="15" t="str">
        <f t="shared" ca="1" si="24"/>
        <v/>
      </c>
      <c r="V50" s="36"/>
      <c r="W50" s="44"/>
      <c r="X50" s="44" t="str">
        <f t="shared" si="27"/>
        <v/>
      </c>
      <c r="Y50" s="44" t="str">
        <f t="shared" si="28"/>
        <v/>
      </c>
    </row>
    <row r="51" spans="1:25" s="21" customFormat="1" ht="15" customHeight="1" x14ac:dyDescent="0.25">
      <c r="A51" s="25"/>
      <c r="B51" s="26"/>
      <c r="C51" s="25"/>
      <c r="D51" s="26"/>
      <c r="E51" s="26"/>
      <c r="F51" s="26"/>
      <c r="G51" s="38"/>
      <c r="H51" s="38"/>
      <c r="I51" s="38"/>
      <c r="J51" s="26"/>
      <c r="K51" s="38"/>
      <c r="L51" s="38" t="str">
        <f t="shared" si="25"/>
        <v/>
      </c>
      <c r="M51" s="38" t="str">
        <f t="shared" si="26"/>
        <v/>
      </c>
      <c r="N51" s="26"/>
      <c r="O51" s="27"/>
      <c r="P51" s="27"/>
      <c r="Q51" s="60"/>
      <c r="R51" s="60"/>
      <c r="S51" s="61" t="str">
        <f t="shared" ca="1" si="23"/>
        <v/>
      </c>
      <c r="T51" s="26"/>
      <c r="U51" s="12" t="str">
        <f t="shared" ca="1" si="24"/>
        <v/>
      </c>
      <c r="V51" s="35"/>
      <c r="W51" s="45"/>
      <c r="X51" s="45" t="str">
        <f t="shared" si="27"/>
        <v/>
      </c>
      <c r="Y51" s="45" t="str">
        <f t="shared" si="28"/>
        <v/>
      </c>
    </row>
    <row r="52" spans="1:25" s="21" customFormat="1" ht="15" customHeight="1" x14ac:dyDescent="0.25">
      <c r="A52" s="28"/>
      <c r="B52" s="29"/>
      <c r="C52" s="28"/>
      <c r="D52" s="29"/>
      <c r="E52" s="29"/>
      <c r="F52" s="29"/>
      <c r="G52" s="39"/>
      <c r="H52" s="39"/>
      <c r="I52" s="39"/>
      <c r="J52" s="29"/>
      <c r="K52" s="39"/>
      <c r="L52" s="39" t="str">
        <f t="shared" si="25"/>
        <v/>
      </c>
      <c r="M52" s="39" t="str">
        <f t="shared" si="26"/>
        <v/>
      </c>
      <c r="N52" s="29"/>
      <c r="O52" s="30"/>
      <c r="P52" s="30"/>
      <c r="Q52" s="62"/>
      <c r="R52" s="62"/>
      <c r="S52" s="63" t="str">
        <f t="shared" ca="1" si="23"/>
        <v/>
      </c>
      <c r="T52" s="29"/>
      <c r="U52" s="15" t="str">
        <f t="shared" ca="1" si="24"/>
        <v/>
      </c>
      <c r="V52" s="36"/>
      <c r="W52" s="44"/>
      <c r="X52" s="44" t="str">
        <f t="shared" si="27"/>
        <v/>
      </c>
      <c r="Y52" s="44" t="str">
        <f t="shared" si="28"/>
        <v/>
      </c>
    </row>
    <row r="53" spans="1:25" s="21" customFormat="1" ht="15" customHeight="1" x14ac:dyDescent="0.25">
      <c r="A53" s="25"/>
      <c r="B53" s="26"/>
      <c r="C53" s="25"/>
      <c r="D53" s="26"/>
      <c r="E53" s="26"/>
      <c r="F53" s="26"/>
      <c r="G53" s="38"/>
      <c r="H53" s="38"/>
      <c r="I53" s="38"/>
      <c r="J53" s="26"/>
      <c r="K53" s="38"/>
      <c r="L53" s="38" t="str">
        <f t="shared" si="25"/>
        <v/>
      </c>
      <c r="M53" s="38" t="str">
        <f t="shared" si="26"/>
        <v/>
      </c>
      <c r="N53" s="26"/>
      <c r="O53" s="27"/>
      <c r="P53" s="27"/>
      <c r="Q53" s="60"/>
      <c r="R53" s="60"/>
      <c r="S53" s="61" t="str">
        <f t="shared" ca="1" si="23"/>
        <v/>
      </c>
      <c r="T53" s="26"/>
      <c r="U53" s="12" t="str">
        <f t="shared" ca="1" si="24"/>
        <v/>
      </c>
      <c r="V53" s="35"/>
      <c r="W53" s="45"/>
      <c r="X53" s="45" t="str">
        <f t="shared" si="27"/>
        <v/>
      </c>
      <c r="Y53" s="45" t="str">
        <f t="shared" si="28"/>
        <v/>
      </c>
    </row>
    <row r="54" spans="1:25" s="21" customFormat="1" ht="15" customHeight="1" x14ac:dyDescent="0.25">
      <c r="A54" s="28"/>
      <c r="B54" s="29"/>
      <c r="C54" s="28"/>
      <c r="D54" s="29"/>
      <c r="E54" s="29"/>
      <c r="F54" s="29"/>
      <c r="G54" s="38"/>
      <c r="H54" s="38"/>
      <c r="I54" s="38"/>
      <c r="J54" s="29"/>
      <c r="K54" s="39"/>
      <c r="L54" s="39" t="str">
        <f t="shared" si="25"/>
        <v/>
      </c>
      <c r="M54" s="39" t="str">
        <f t="shared" si="26"/>
        <v/>
      </c>
      <c r="N54" s="29"/>
      <c r="O54" s="30"/>
      <c r="P54" s="30"/>
      <c r="Q54" s="62"/>
      <c r="R54" s="62"/>
      <c r="S54" s="63" t="str">
        <f t="shared" ca="1" si="23"/>
        <v/>
      </c>
      <c r="T54" s="29"/>
      <c r="U54" s="15" t="str">
        <f t="shared" ca="1" si="24"/>
        <v/>
      </c>
      <c r="V54" s="36"/>
      <c r="W54" s="44"/>
      <c r="X54" s="44" t="str">
        <f t="shared" si="27"/>
        <v/>
      </c>
      <c r="Y54" s="44" t="str">
        <f t="shared" si="28"/>
        <v/>
      </c>
    </row>
    <row r="55" spans="1:25" s="21" customFormat="1" ht="15" customHeight="1" x14ac:dyDescent="0.25">
      <c r="A55" s="25"/>
      <c r="B55" s="26"/>
      <c r="C55" s="25"/>
      <c r="D55" s="26"/>
      <c r="E55" s="26"/>
      <c r="F55" s="26"/>
      <c r="G55" s="39"/>
      <c r="H55" s="39"/>
      <c r="I55" s="39"/>
      <c r="J55" s="26"/>
      <c r="K55" s="38"/>
      <c r="L55" s="38" t="str">
        <f t="shared" si="25"/>
        <v/>
      </c>
      <c r="M55" s="38" t="str">
        <f t="shared" si="26"/>
        <v/>
      </c>
      <c r="N55" s="26"/>
      <c r="O55" s="27"/>
      <c r="P55" s="27"/>
      <c r="Q55" s="60"/>
      <c r="R55" s="60"/>
      <c r="S55" s="61" t="str">
        <f t="shared" ca="1" si="23"/>
        <v/>
      </c>
      <c r="T55" s="26"/>
      <c r="U55" s="12" t="str">
        <f t="shared" ca="1" si="24"/>
        <v/>
      </c>
      <c r="V55" s="35"/>
      <c r="W55" s="45"/>
      <c r="X55" s="45" t="str">
        <f t="shared" si="27"/>
        <v/>
      </c>
      <c r="Y55" s="45" t="str">
        <f t="shared" si="28"/>
        <v/>
      </c>
    </row>
    <row r="56" spans="1:25" s="21" customFormat="1" ht="15" customHeight="1" x14ac:dyDescent="0.25">
      <c r="A56" s="28"/>
      <c r="B56" s="29"/>
      <c r="C56" s="28"/>
      <c r="D56" s="29"/>
      <c r="E56" s="29"/>
      <c r="F56" s="29"/>
      <c r="G56" s="38"/>
      <c r="H56" s="38"/>
      <c r="I56" s="38"/>
      <c r="J56" s="29"/>
      <c r="K56" s="39"/>
      <c r="L56" s="39" t="str">
        <f t="shared" si="25"/>
        <v/>
      </c>
      <c r="M56" s="39" t="str">
        <f t="shared" si="26"/>
        <v/>
      </c>
      <c r="N56" s="29"/>
      <c r="O56" s="30"/>
      <c r="P56" s="30"/>
      <c r="Q56" s="62"/>
      <c r="R56" s="62"/>
      <c r="S56" s="63" t="str">
        <f t="shared" ca="1" si="23"/>
        <v/>
      </c>
      <c r="T56" s="29"/>
      <c r="U56" s="15" t="str">
        <f t="shared" ca="1" si="24"/>
        <v/>
      </c>
      <c r="V56" s="36"/>
      <c r="W56" s="44"/>
      <c r="X56" s="44" t="str">
        <f t="shared" si="27"/>
        <v/>
      </c>
      <c r="Y56" s="44" t="str">
        <f t="shared" si="28"/>
        <v/>
      </c>
    </row>
    <row r="57" spans="1:25" s="21" customFormat="1" ht="15" customHeight="1" x14ac:dyDescent="0.25">
      <c r="A57" s="25"/>
      <c r="B57" s="26"/>
      <c r="C57" s="25"/>
      <c r="D57" s="26"/>
      <c r="E57" s="26"/>
      <c r="F57" s="26"/>
      <c r="G57" s="38"/>
      <c r="H57" s="38"/>
      <c r="I57" s="38"/>
      <c r="J57" s="26"/>
      <c r="K57" s="38"/>
      <c r="L57" s="38" t="str">
        <f t="shared" si="25"/>
        <v/>
      </c>
      <c r="M57" s="38" t="str">
        <f t="shared" si="26"/>
        <v/>
      </c>
      <c r="N57" s="26"/>
      <c r="O57" s="27"/>
      <c r="P57" s="27"/>
      <c r="Q57" s="60"/>
      <c r="R57" s="60"/>
      <c r="S57" s="61" t="str">
        <f t="shared" ca="1" si="23"/>
        <v/>
      </c>
      <c r="T57" s="26"/>
      <c r="U57" s="12" t="str">
        <f t="shared" ca="1" si="24"/>
        <v/>
      </c>
      <c r="V57" s="35"/>
      <c r="W57" s="45"/>
      <c r="X57" s="45" t="str">
        <f t="shared" si="27"/>
        <v/>
      </c>
      <c r="Y57" s="45" t="str">
        <f t="shared" si="28"/>
        <v/>
      </c>
    </row>
    <row r="58" spans="1:25" s="21" customFormat="1" ht="15" customHeight="1" x14ac:dyDescent="0.25">
      <c r="A58" s="28"/>
      <c r="B58" s="29"/>
      <c r="C58" s="28"/>
      <c r="D58" s="29"/>
      <c r="E58" s="29"/>
      <c r="F58" s="29"/>
      <c r="G58" s="39"/>
      <c r="H58" s="39"/>
      <c r="I58" s="39"/>
      <c r="J58" s="29"/>
      <c r="K58" s="39"/>
      <c r="L58" s="39" t="str">
        <f t="shared" si="25"/>
        <v/>
      </c>
      <c r="M58" s="39" t="str">
        <f t="shared" si="26"/>
        <v/>
      </c>
      <c r="N58" s="29"/>
      <c r="O58" s="30"/>
      <c r="P58" s="30"/>
      <c r="Q58" s="62"/>
      <c r="R58" s="62"/>
      <c r="S58" s="63" t="str">
        <f t="shared" ca="1" si="23"/>
        <v/>
      </c>
      <c r="T58" s="29"/>
      <c r="U58" s="15" t="str">
        <f t="shared" ca="1" si="24"/>
        <v/>
      </c>
      <c r="V58" s="36"/>
      <c r="W58" s="44"/>
      <c r="X58" s="44" t="str">
        <f t="shared" si="27"/>
        <v/>
      </c>
      <c r="Y58" s="44" t="str">
        <f t="shared" si="28"/>
        <v/>
      </c>
    </row>
    <row r="59" spans="1:25" s="21" customFormat="1" ht="15" customHeight="1" x14ac:dyDescent="0.25">
      <c r="A59" s="25"/>
      <c r="B59" s="26"/>
      <c r="C59" s="25"/>
      <c r="D59" s="26"/>
      <c r="E59" s="26"/>
      <c r="F59" s="26"/>
      <c r="G59" s="38"/>
      <c r="H59" s="38"/>
      <c r="I59" s="38"/>
      <c r="J59" s="26"/>
      <c r="K59" s="38"/>
      <c r="L59" s="38" t="str">
        <f t="shared" si="25"/>
        <v/>
      </c>
      <c r="M59" s="38" t="str">
        <f t="shared" si="26"/>
        <v/>
      </c>
      <c r="N59" s="26"/>
      <c r="O59" s="27"/>
      <c r="P59" s="27"/>
      <c r="Q59" s="60"/>
      <c r="R59" s="60"/>
      <c r="S59" s="61" t="str">
        <f t="shared" ca="1" si="23"/>
        <v/>
      </c>
      <c r="T59" s="26"/>
      <c r="U59" s="12" t="str">
        <f t="shared" ca="1" si="24"/>
        <v/>
      </c>
      <c r="V59" s="35"/>
      <c r="W59" s="45"/>
      <c r="X59" s="45" t="str">
        <f t="shared" si="27"/>
        <v/>
      </c>
      <c r="Y59" s="45" t="str">
        <f t="shared" si="28"/>
        <v/>
      </c>
    </row>
    <row r="60" spans="1:25" s="21" customFormat="1" ht="15" customHeight="1" x14ac:dyDescent="0.25">
      <c r="A60" s="28"/>
      <c r="B60" s="29"/>
      <c r="C60" s="28"/>
      <c r="D60" s="29"/>
      <c r="E60" s="29"/>
      <c r="F60" s="29"/>
      <c r="G60" s="38"/>
      <c r="H60" s="38"/>
      <c r="I60" s="38"/>
      <c r="J60" s="29"/>
      <c r="K60" s="39"/>
      <c r="L60" s="39" t="str">
        <f t="shared" si="25"/>
        <v/>
      </c>
      <c r="M60" s="39" t="str">
        <f t="shared" si="26"/>
        <v/>
      </c>
      <c r="N60" s="29"/>
      <c r="O60" s="30"/>
      <c r="P60" s="30"/>
      <c r="Q60" s="62"/>
      <c r="R60" s="62"/>
      <c r="S60" s="63" t="str">
        <f t="shared" ca="1" si="23"/>
        <v/>
      </c>
      <c r="T60" s="29"/>
      <c r="U60" s="15" t="str">
        <f t="shared" ca="1" si="24"/>
        <v/>
      </c>
      <c r="V60" s="36"/>
      <c r="W60" s="44"/>
      <c r="X60" s="44" t="str">
        <f t="shared" si="27"/>
        <v/>
      </c>
      <c r="Y60" s="44" t="str">
        <f t="shared" si="28"/>
        <v/>
      </c>
    </row>
    <row r="61" spans="1:25" s="21" customFormat="1" ht="15" customHeight="1" x14ac:dyDescent="0.25">
      <c r="A61" s="25"/>
      <c r="B61" s="26"/>
      <c r="C61" s="25"/>
      <c r="D61" s="26"/>
      <c r="E61" s="26"/>
      <c r="F61" s="26"/>
      <c r="G61" s="39"/>
      <c r="H61" s="39"/>
      <c r="I61" s="39"/>
      <c r="J61" s="26"/>
      <c r="K61" s="38"/>
      <c r="L61" s="38" t="str">
        <f t="shared" si="25"/>
        <v/>
      </c>
      <c r="M61" s="38" t="str">
        <f t="shared" si="26"/>
        <v/>
      </c>
      <c r="N61" s="26"/>
      <c r="O61" s="27"/>
      <c r="P61" s="27"/>
      <c r="Q61" s="60"/>
      <c r="R61" s="60"/>
      <c r="S61" s="61" t="str">
        <f t="shared" ca="1" si="23"/>
        <v/>
      </c>
      <c r="T61" s="26"/>
      <c r="U61" s="12" t="str">
        <f t="shared" ca="1" si="24"/>
        <v/>
      </c>
      <c r="V61" s="35"/>
      <c r="W61" s="45"/>
      <c r="X61" s="45" t="str">
        <f t="shared" si="27"/>
        <v/>
      </c>
      <c r="Y61" s="45" t="str">
        <f t="shared" si="28"/>
        <v/>
      </c>
    </row>
    <row r="62" spans="1:25" s="21" customFormat="1" ht="15" customHeight="1" x14ac:dyDescent="0.25">
      <c r="A62" s="28"/>
      <c r="B62" s="29"/>
      <c r="C62" s="28"/>
      <c r="D62" s="29"/>
      <c r="E62" s="29"/>
      <c r="F62" s="29"/>
      <c r="G62" s="38"/>
      <c r="H62" s="38"/>
      <c r="I62" s="38"/>
      <c r="J62" s="29"/>
      <c r="K62" s="39"/>
      <c r="L62" s="39" t="str">
        <f t="shared" si="25"/>
        <v/>
      </c>
      <c r="M62" s="39" t="str">
        <f t="shared" si="26"/>
        <v/>
      </c>
      <c r="N62" s="29"/>
      <c r="O62" s="30"/>
      <c r="P62" s="30"/>
      <c r="Q62" s="62"/>
      <c r="R62" s="62"/>
      <c r="S62" s="63" t="str">
        <f t="shared" ca="1" si="23"/>
        <v/>
      </c>
      <c r="T62" s="29"/>
      <c r="U62" s="15" t="str">
        <f t="shared" ca="1" si="24"/>
        <v/>
      </c>
      <c r="V62" s="36"/>
      <c r="W62" s="44"/>
      <c r="X62" s="44" t="str">
        <f t="shared" si="27"/>
        <v/>
      </c>
      <c r="Y62" s="44" t="str">
        <f t="shared" si="28"/>
        <v/>
      </c>
    </row>
    <row r="63" spans="1:25" s="21" customFormat="1" ht="15" customHeight="1" x14ac:dyDescent="0.25">
      <c r="A63" s="25"/>
      <c r="B63" s="26"/>
      <c r="C63" s="25"/>
      <c r="D63" s="26"/>
      <c r="E63" s="26"/>
      <c r="F63" s="26"/>
      <c r="G63" s="38"/>
      <c r="H63" s="38"/>
      <c r="I63" s="38"/>
      <c r="J63" s="26"/>
      <c r="K63" s="38"/>
      <c r="L63" s="38" t="str">
        <f t="shared" si="25"/>
        <v/>
      </c>
      <c r="M63" s="38" t="str">
        <f t="shared" si="26"/>
        <v/>
      </c>
      <c r="N63" s="26"/>
      <c r="O63" s="27"/>
      <c r="P63" s="27"/>
      <c r="Q63" s="60"/>
      <c r="R63" s="60"/>
      <c r="S63" s="61" t="str">
        <f t="shared" ca="1" si="23"/>
        <v/>
      </c>
      <c r="T63" s="26"/>
      <c r="U63" s="12" t="str">
        <f t="shared" ca="1" si="24"/>
        <v/>
      </c>
      <c r="V63" s="35"/>
      <c r="W63" s="45"/>
      <c r="X63" s="45" t="str">
        <f t="shared" si="27"/>
        <v/>
      </c>
      <c r="Y63" s="45" t="str">
        <f t="shared" si="28"/>
        <v/>
      </c>
    </row>
    <row r="64" spans="1:25" s="21" customFormat="1" ht="15" customHeight="1" x14ac:dyDescent="0.25">
      <c r="A64" s="28"/>
      <c r="B64" s="29"/>
      <c r="C64" s="28"/>
      <c r="D64" s="29"/>
      <c r="E64" s="29"/>
      <c r="F64" s="29"/>
      <c r="G64" s="39"/>
      <c r="H64" s="39"/>
      <c r="I64" s="39"/>
      <c r="J64" s="29"/>
      <c r="K64" s="39"/>
      <c r="L64" s="39" t="str">
        <f t="shared" si="25"/>
        <v/>
      </c>
      <c r="M64" s="39" t="str">
        <f t="shared" si="26"/>
        <v/>
      </c>
      <c r="N64" s="29"/>
      <c r="O64" s="30"/>
      <c r="P64" s="30"/>
      <c r="Q64" s="62"/>
      <c r="R64" s="62"/>
      <c r="S64" s="63" t="str">
        <f t="shared" ca="1" si="23"/>
        <v/>
      </c>
      <c r="T64" s="29"/>
      <c r="U64" s="15" t="str">
        <f t="shared" ca="1" si="24"/>
        <v/>
      </c>
      <c r="V64" s="36"/>
      <c r="W64" s="44"/>
      <c r="X64" s="44" t="str">
        <f t="shared" si="27"/>
        <v/>
      </c>
      <c r="Y64" s="44" t="str">
        <f t="shared" si="28"/>
        <v/>
      </c>
    </row>
    <row r="65" spans="1:25" s="21" customFormat="1" ht="15" customHeight="1" x14ac:dyDescent="0.25">
      <c r="A65" s="25"/>
      <c r="B65" s="26"/>
      <c r="C65" s="25"/>
      <c r="D65" s="26"/>
      <c r="E65" s="26"/>
      <c r="F65" s="26"/>
      <c r="G65" s="38"/>
      <c r="H65" s="38"/>
      <c r="I65" s="38"/>
      <c r="J65" s="26"/>
      <c r="K65" s="38"/>
      <c r="L65" s="38" t="str">
        <f t="shared" si="25"/>
        <v/>
      </c>
      <c r="M65" s="38" t="str">
        <f t="shared" si="26"/>
        <v/>
      </c>
      <c r="N65" s="26"/>
      <c r="O65" s="27"/>
      <c r="P65" s="27"/>
      <c r="Q65" s="60"/>
      <c r="R65" s="60"/>
      <c r="S65" s="61" t="str">
        <f t="shared" ca="1" si="23"/>
        <v/>
      </c>
      <c r="T65" s="26"/>
      <c r="U65" s="12" t="str">
        <f t="shared" ca="1" si="24"/>
        <v/>
      </c>
      <c r="V65" s="35"/>
      <c r="W65" s="45"/>
      <c r="X65" s="45" t="str">
        <f t="shared" si="27"/>
        <v/>
      </c>
      <c r="Y65" s="45" t="str">
        <f t="shared" si="28"/>
        <v/>
      </c>
    </row>
    <row r="66" spans="1:25" s="21" customFormat="1" ht="15" customHeight="1" x14ac:dyDescent="0.25">
      <c r="A66" s="28"/>
      <c r="B66" s="29"/>
      <c r="C66" s="28"/>
      <c r="D66" s="29"/>
      <c r="E66" s="29"/>
      <c r="F66" s="29"/>
      <c r="G66" s="38"/>
      <c r="H66" s="38"/>
      <c r="I66" s="38"/>
      <c r="J66" s="29"/>
      <c r="K66" s="39"/>
      <c r="L66" s="39" t="str">
        <f t="shared" si="25"/>
        <v/>
      </c>
      <c r="M66" s="39" t="str">
        <f t="shared" si="26"/>
        <v/>
      </c>
      <c r="N66" s="29"/>
      <c r="O66" s="30"/>
      <c r="P66" s="30"/>
      <c r="Q66" s="62"/>
      <c r="R66" s="62"/>
      <c r="S66" s="63" t="str">
        <f t="shared" ca="1" si="23"/>
        <v/>
      </c>
      <c r="T66" s="29"/>
      <c r="U66" s="15" t="str">
        <f t="shared" ca="1" si="24"/>
        <v/>
      </c>
      <c r="V66" s="36"/>
      <c r="W66" s="44"/>
      <c r="X66" s="44" t="str">
        <f t="shared" si="27"/>
        <v/>
      </c>
      <c r="Y66" s="44" t="str">
        <f t="shared" si="28"/>
        <v/>
      </c>
    </row>
    <row r="67" spans="1:25" s="21" customFormat="1" ht="15" customHeight="1" x14ac:dyDescent="0.25">
      <c r="A67" s="25"/>
      <c r="B67" s="26"/>
      <c r="C67" s="25"/>
      <c r="D67" s="26"/>
      <c r="E67" s="26"/>
      <c r="F67" s="26"/>
      <c r="G67" s="39"/>
      <c r="H67" s="39"/>
      <c r="I67" s="39"/>
      <c r="J67" s="26"/>
      <c r="K67" s="38"/>
      <c r="L67" s="38" t="str">
        <f t="shared" si="25"/>
        <v/>
      </c>
      <c r="M67" s="38" t="str">
        <f t="shared" si="26"/>
        <v/>
      </c>
      <c r="N67" s="26"/>
      <c r="O67" s="27"/>
      <c r="P67" s="27"/>
      <c r="Q67" s="60"/>
      <c r="R67" s="60"/>
      <c r="S67" s="61" t="str">
        <f t="shared" ca="1" si="23"/>
        <v/>
      </c>
      <c r="T67" s="26"/>
      <c r="U67" s="12" t="str">
        <f t="shared" ca="1" si="24"/>
        <v/>
      </c>
      <c r="V67" s="35"/>
      <c r="W67" s="45"/>
      <c r="X67" s="45" t="str">
        <f t="shared" si="27"/>
        <v/>
      </c>
      <c r="Y67" s="45" t="str">
        <f t="shared" si="28"/>
        <v/>
      </c>
    </row>
    <row r="68" spans="1:25" s="21" customFormat="1" ht="15" customHeight="1" x14ac:dyDescent="0.25">
      <c r="A68" s="28"/>
      <c r="B68" s="29"/>
      <c r="C68" s="28"/>
      <c r="D68" s="29"/>
      <c r="E68" s="29"/>
      <c r="F68" s="29"/>
      <c r="G68" s="38"/>
      <c r="H68" s="38"/>
      <c r="I68" s="38"/>
      <c r="J68" s="29"/>
      <c r="K68" s="39"/>
      <c r="L68" s="39" t="str">
        <f t="shared" si="25"/>
        <v/>
      </c>
      <c r="M68" s="39" t="str">
        <f t="shared" si="26"/>
        <v/>
      </c>
      <c r="N68" s="29"/>
      <c r="O68" s="30"/>
      <c r="P68" s="30"/>
      <c r="Q68" s="62"/>
      <c r="R68" s="62"/>
      <c r="S68" s="63" t="str">
        <f t="shared" ca="1" si="23"/>
        <v/>
      </c>
      <c r="T68" s="29"/>
      <c r="U68" s="15" t="str">
        <f t="shared" ca="1" si="24"/>
        <v/>
      </c>
      <c r="V68" s="36"/>
      <c r="W68" s="44"/>
      <c r="X68" s="44" t="str">
        <f t="shared" si="27"/>
        <v/>
      </c>
      <c r="Y68" s="44" t="str">
        <f t="shared" si="28"/>
        <v/>
      </c>
    </row>
    <row r="69" spans="1:25" s="21" customFormat="1" ht="15" customHeight="1" x14ac:dyDescent="0.25">
      <c r="A69" s="25"/>
      <c r="B69" s="26"/>
      <c r="C69" s="25"/>
      <c r="D69" s="26"/>
      <c r="E69" s="26"/>
      <c r="F69" s="26"/>
      <c r="G69" s="38"/>
      <c r="H69" s="38"/>
      <c r="I69" s="38"/>
      <c r="J69" s="26"/>
      <c r="K69" s="38"/>
      <c r="L69" s="38" t="str">
        <f t="shared" si="25"/>
        <v/>
      </c>
      <c r="M69" s="38" t="str">
        <f t="shared" si="26"/>
        <v/>
      </c>
      <c r="N69" s="26"/>
      <c r="O69" s="27"/>
      <c r="P69" s="27"/>
      <c r="Q69" s="60"/>
      <c r="R69" s="60"/>
      <c r="S69" s="61" t="str">
        <f t="shared" ca="1" si="23"/>
        <v/>
      </c>
      <c r="T69" s="26"/>
      <c r="U69" s="12" t="str">
        <f t="shared" ca="1" si="24"/>
        <v/>
      </c>
      <c r="V69" s="35"/>
      <c r="W69" s="45"/>
      <c r="X69" s="45" t="str">
        <f t="shared" si="27"/>
        <v/>
      </c>
      <c r="Y69" s="45" t="str">
        <f t="shared" si="28"/>
        <v/>
      </c>
    </row>
    <row r="70" spans="1:25" s="21" customFormat="1" ht="15" customHeight="1" x14ac:dyDescent="0.25">
      <c r="A70" s="28"/>
      <c r="B70" s="29"/>
      <c r="C70" s="28"/>
      <c r="D70" s="29"/>
      <c r="E70" s="29"/>
      <c r="F70" s="29"/>
      <c r="G70" s="39"/>
      <c r="H70" s="39"/>
      <c r="I70" s="39"/>
      <c r="J70" s="29"/>
      <c r="K70" s="39"/>
      <c r="L70" s="39" t="str">
        <f t="shared" si="25"/>
        <v/>
      </c>
      <c r="M70" s="39" t="str">
        <f t="shared" si="26"/>
        <v/>
      </c>
      <c r="N70" s="29"/>
      <c r="O70" s="30"/>
      <c r="P70" s="30"/>
      <c r="Q70" s="62"/>
      <c r="R70" s="62"/>
      <c r="S70" s="63" t="str">
        <f t="shared" ref="S70:S101" ca="1" si="29">IF(OR(O70="",P70=""),"",IF(R70&lt;&gt;"",1,IF(Q70="",0,MAX(0,MIN(1,(TODAY()-O70)/(P70-O70+1))))))</f>
        <v/>
      </c>
      <c r="T70" s="29"/>
      <c r="U70" s="15" t="str">
        <f t="shared" ref="U70:U101" ca="1" si="30">IF(P70="","",P70-TODAY())</f>
        <v/>
      </c>
      <c r="V70" s="36"/>
      <c r="W70" s="44"/>
      <c r="X70" s="44" t="str">
        <f t="shared" si="27"/>
        <v/>
      </c>
      <c r="Y70" s="44" t="str">
        <f t="shared" si="28"/>
        <v/>
      </c>
    </row>
    <row r="71" spans="1:25" s="21" customFormat="1" ht="15" customHeight="1" x14ac:dyDescent="0.25">
      <c r="A71" s="25"/>
      <c r="B71" s="26"/>
      <c r="C71" s="25"/>
      <c r="D71" s="26"/>
      <c r="E71" s="26"/>
      <c r="F71" s="26"/>
      <c r="G71" s="38"/>
      <c r="H71" s="38"/>
      <c r="I71" s="38"/>
      <c r="J71" s="26"/>
      <c r="K71" s="38"/>
      <c r="L71" s="38" t="str">
        <f t="shared" si="25"/>
        <v/>
      </c>
      <c r="M71" s="38" t="str">
        <f t="shared" si="26"/>
        <v/>
      </c>
      <c r="N71" s="26"/>
      <c r="O71" s="27"/>
      <c r="P71" s="27"/>
      <c r="Q71" s="60"/>
      <c r="R71" s="60"/>
      <c r="S71" s="61" t="str">
        <f t="shared" ca="1" si="29"/>
        <v/>
      </c>
      <c r="T71" s="26"/>
      <c r="U71" s="12" t="str">
        <f t="shared" ca="1" si="30"/>
        <v/>
      </c>
      <c r="V71" s="35"/>
      <c r="W71" s="45"/>
      <c r="X71" s="45" t="str">
        <f t="shared" si="27"/>
        <v/>
      </c>
      <c r="Y71" s="45" t="str">
        <f t="shared" si="28"/>
        <v/>
      </c>
    </row>
    <row r="72" spans="1:25" s="21" customFormat="1" ht="15" customHeight="1" x14ac:dyDescent="0.25">
      <c r="A72" s="28"/>
      <c r="B72" s="29"/>
      <c r="C72" s="28"/>
      <c r="D72" s="29"/>
      <c r="E72" s="29"/>
      <c r="F72" s="29"/>
      <c r="G72" s="38"/>
      <c r="H72" s="38"/>
      <c r="I72" s="38"/>
      <c r="J72" s="29"/>
      <c r="K72" s="39"/>
      <c r="L72" s="39" t="str">
        <f t="shared" si="25"/>
        <v/>
      </c>
      <c r="M72" s="39" t="str">
        <f t="shared" si="26"/>
        <v/>
      </c>
      <c r="N72" s="29"/>
      <c r="O72" s="30"/>
      <c r="P72" s="30"/>
      <c r="Q72" s="62"/>
      <c r="R72" s="62"/>
      <c r="S72" s="63" t="str">
        <f t="shared" ca="1" si="29"/>
        <v/>
      </c>
      <c r="T72" s="29"/>
      <c r="U72" s="15" t="str">
        <f t="shared" ca="1" si="30"/>
        <v/>
      </c>
      <c r="V72" s="36"/>
      <c r="W72" s="44"/>
      <c r="X72" s="44" t="str">
        <f t="shared" si="27"/>
        <v/>
      </c>
      <c r="Y72" s="44" t="str">
        <f t="shared" si="28"/>
        <v/>
      </c>
    </row>
    <row r="73" spans="1:25" s="21" customFormat="1" ht="15" customHeight="1" x14ac:dyDescent="0.25">
      <c r="A73" s="25"/>
      <c r="B73" s="26"/>
      <c r="C73" s="25"/>
      <c r="D73" s="26"/>
      <c r="E73" s="26"/>
      <c r="F73" s="26"/>
      <c r="G73" s="39"/>
      <c r="H73" s="39"/>
      <c r="I73" s="39"/>
      <c r="J73" s="26"/>
      <c r="K73" s="38"/>
      <c r="L73" s="38" t="str">
        <f t="shared" ref="L73:L104" si="31">IF(J73="","",_xlfn.TRANSLATE(J73,"vi","ja"))</f>
        <v/>
      </c>
      <c r="M73" s="38" t="str">
        <f t="shared" ref="M73:M104" si="32">IF(J73="","",_xlfn.TRANSLATE(J73,"vi","zh-Hans"))</f>
        <v/>
      </c>
      <c r="N73" s="26"/>
      <c r="O73" s="27"/>
      <c r="P73" s="27"/>
      <c r="Q73" s="60"/>
      <c r="R73" s="60"/>
      <c r="S73" s="61" t="str">
        <f t="shared" ca="1" si="29"/>
        <v/>
      </c>
      <c r="T73" s="26"/>
      <c r="U73" s="12" t="str">
        <f t="shared" ca="1" si="30"/>
        <v/>
      </c>
      <c r="V73" s="35"/>
      <c r="W73" s="45"/>
      <c r="X73" s="45" t="str">
        <f t="shared" ref="X73:X104" si="33">IF(V73="","",_xlfn.TRANSLATE(V73,"vi","ja"))</f>
        <v/>
      </c>
      <c r="Y73" s="45" t="str">
        <f t="shared" ref="Y73:Y104" si="34">IF(V73="","",_xlfn.TRANSLATE(V73,"vi","zh-Hans"))</f>
        <v/>
      </c>
    </row>
    <row r="74" spans="1:25" s="21" customFormat="1" ht="15" customHeight="1" x14ac:dyDescent="0.25">
      <c r="A74" s="28"/>
      <c r="B74" s="29"/>
      <c r="C74" s="28"/>
      <c r="D74" s="29"/>
      <c r="E74" s="29"/>
      <c r="F74" s="29"/>
      <c r="G74" s="38"/>
      <c r="H74" s="38"/>
      <c r="I74" s="38"/>
      <c r="J74" s="29"/>
      <c r="K74" s="39"/>
      <c r="L74" s="39" t="str">
        <f t="shared" si="31"/>
        <v/>
      </c>
      <c r="M74" s="39" t="str">
        <f t="shared" si="32"/>
        <v/>
      </c>
      <c r="N74" s="29"/>
      <c r="O74" s="30"/>
      <c r="P74" s="30"/>
      <c r="Q74" s="62"/>
      <c r="R74" s="62"/>
      <c r="S74" s="63" t="str">
        <f t="shared" ca="1" si="29"/>
        <v/>
      </c>
      <c r="T74" s="29"/>
      <c r="U74" s="15" t="str">
        <f t="shared" ca="1" si="30"/>
        <v/>
      </c>
      <c r="V74" s="36"/>
      <c r="W74" s="44"/>
      <c r="X74" s="44" t="str">
        <f t="shared" si="33"/>
        <v/>
      </c>
      <c r="Y74" s="44" t="str">
        <f t="shared" si="34"/>
        <v/>
      </c>
    </row>
    <row r="75" spans="1:25" s="21" customFormat="1" ht="15" customHeight="1" x14ac:dyDescent="0.25">
      <c r="A75" s="25"/>
      <c r="B75" s="26"/>
      <c r="C75" s="25"/>
      <c r="D75" s="26"/>
      <c r="E75" s="26"/>
      <c r="F75" s="26"/>
      <c r="G75" s="38"/>
      <c r="H75" s="38"/>
      <c r="I75" s="38"/>
      <c r="J75" s="26"/>
      <c r="K75" s="38"/>
      <c r="L75" s="38" t="str">
        <f t="shared" si="31"/>
        <v/>
      </c>
      <c r="M75" s="38" t="str">
        <f t="shared" si="32"/>
        <v/>
      </c>
      <c r="N75" s="26"/>
      <c r="O75" s="27"/>
      <c r="P75" s="27"/>
      <c r="Q75" s="60"/>
      <c r="R75" s="60"/>
      <c r="S75" s="61" t="str">
        <f t="shared" ca="1" si="29"/>
        <v/>
      </c>
      <c r="T75" s="26"/>
      <c r="U75" s="12" t="str">
        <f t="shared" ca="1" si="30"/>
        <v/>
      </c>
      <c r="V75" s="35"/>
      <c r="W75" s="45"/>
      <c r="X75" s="45" t="str">
        <f t="shared" si="33"/>
        <v/>
      </c>
      <c r="Y75" s="45" t="str">
        <f t="shared" si="34"/>
        <v/>
      </c>
    </row>
    <row r="76" spans="1:25" s="21" customFormat="1" ht="15" customHeight="1" x14ac:dyDescent="0.25">
      <c r="A76" s="28"/>
      <c r="B76" s="29"/>
      <c r="C76" s="28"/>
      <c r="D76" s="29"/>
      <c r="E76" s="29"/>
      <c r="F76" s="29"/>
      <c r="G76" s="39"/>
      <c r="H76" s="39"/>
      <c r="I76" s="39"/>
      <c r="J76" s="29"/>
      <c r="K76" s="39"/>
      <c r="L76" s="39" t="str">
        <f t="shared" si="31"/>
        <v/>
      </c>
      <c r="M76" s="39" t="str">
        <f t="shared" si="32"/>
        <v/>
      </c>
      <c r="N76" s="29"/>
      <c r="O76" s="30"/>
      <c r="P76" s="30"/>
      <c r="Q76" s="62"/>
      <c r="R76" s="62"/>
      <c r="S76" s="63" t="str">
        <f t="shared" ca="1" si="29"/>
        <v/>
      </c>
      <c r="T76" s="29"/>
      <c r="U76" s="15" t="str">
        <f t="shared" ca="1" si="30"/>
        <v/>
      </c>
      <c r="V76" s="36"/>
      <c r="W76" s="44"/>
      <c r="X76" s="44" t="str">
        <f t="shared" si="33"/>
        <v/>
      </c>
      <c r="Y76" s="44" t="str">
        <f t="shared" si="34"/>
        <v/>
      </c>
    </row>
    <row r="77" spans="1:25" s="21" customFormat="1" ht="15" customHeight="1" x14ac:dyDescent="0.25">
      <c r="A77" s="25"/>
      <c r="B77" s="26"/>
      <c r="C77" s="25"/>
      <c r="D77" s="26"/>
      <c r="E77" s="26"/>
      <c r="F77" s="26"/>
      <c r="G77" s="38"/>
      <c r="H77" s="38"/>
      <c r="I77" s="38"/>
      <c r="J77" s="26"/>
      <c r="K77" s="38"/>
      <c r="L77" s="38" t="str">
        <f t="shared" si="31"/>
        <v/>
      </c>
      <c r="M77" s="38" t="str">
        <f t="shared" si="32"/>
        <v/>
      </c>
      <c r="N77" s="26"/>
      <c r="O77" s="27"/>
      <c r="P77" s="27"/>
      <c r="Q77" s="60"/>
      <c r="R77" s="60"/>
      <c r="S77" s="61" t="str">
        <f t="shared" ca="1" si="29"/>
        <v/>
      </c>
      <c r="T77" s="26"/>
      <c r="U77" s="12" t="str">
        <f t="shared" ca="1" si="30"/>
        <v/>
      </c>
      <c r="V77" s="35"/>
      <c r="W77" s="45"/>
      <c r="X77" s="45" t="str">
        <f t="shared" si="33"/>
        <v/>
      </c>
      <c r="Y77" s="45" t="str">
        <f t="shared" si="34"/>
        <v/>
      </c>
    </row>
    <row r="78" spans="1:25" s="21" customFormat="1" ht="15" customHeight="1" x14ac:dyDescent="0.25">
      <c r="A78" s="28"/>
      <c r="B78" s="29"/>
      <c r="C78" s="28"/>
      <c r="D78" s="29"/>
      <c r="E78" s="29"/>
      <c r="F78" s="29"/>
      <c r="G78" s="38"/>
      <c r="H78" s="38"/>
      <c r="I78" s="38"/>
      <c r="J78" s="29"/>
      <c r="K78" s="39"/>
      <c r="L78" s="39" t="str">
        <f t="shared" si="31"/>
        <v/>
      </c>
      <c r="M78" s="39" t="str">
        <f t="shared" si="32"/>
        <v/>
      </c>
      <c r="N78" s="29"/>
      <c r="O78" s="30"/>
      <c r="P78" s="30"/>
      <c r="Q78" s="62"/>
      <c r="R78" s="62"/>
      <c r="S78" s="63" t="str">
        <f t="shared" ca="1" si="29"/>
        <v/>
      </c>
      <c r="T78" s="29"/>
      <c r="U78" s="15" t="str">
        <f t="shared" ca="1" si="30"/>
        <v/>
      </c>
      <c r="V78" s="36"/>
      <c r="W78" s="44"/>
      <c r="X78" s="44" t="str">
        <f t="shared" si="33"/>
        <v/>
      </c>
      <c r="Y78" s="44" t="str">
        <f t="shared" si="34"/>
        <v/>
      </c>
    </row>
    <row r="79" spans="1:25" s="21" customFormat="1" ht="15" customHeight="1" x14ac:dyDescent="0.25">
      <c r="A79" s="25"/>
      <c r="B79" s="26"/>
      <c r="C79" s="25"/>
      <c r="D79" s="26"/>
      <c r="E79" s="26"/>
      <c r="F79" s="26"/>
      <c r="G79" s="39"/>
      <c r="H79" s="39"/>
      <c r="I79" s="39"/>
      <c r="J79" s="26"/>
      <c r="K79" s="38"/>
      <c r="L79" s="38" t="str">
        <f t="shared" si="31"/>
        <v/>
      </c>
      <c r="M79" s="38" t="str">
        <f t="shared" si="32"/>
        <v/>
      </c>
      <c r="N79" s="26"/>
      <c r="O79" s="27"/>
      <c r="P79" s="27"/>
      <c r="Q79" s="60"/>
      <c r="R79" s="60"/>
      <c r="S79" s="61" t="str">
        <f t="shared" ca="1" si="29"/>
        <v/>
      </c>
      <c r="T79" s="26"/>
      <c r="U79" s="12" t="str">
        <f t="shared" ca="1" si="30"/>
        <v/>
      </c>
      <c r="V79" s="35"/>
      <c r="W79" s="45"/>
      <c r="X79" s="45" t="str">
        <f t="shared" si="33"/>
        <v/>
      </c>
      <c r="Y79" s="45" t="str">
        <f t="shared" si="34"/>
        <v/>
      </c>
    </row>
    <row r="80" spans="1:25" s="21" customFormat="1" ht="15" customHeight="1" x14ac:dyDescent="0.25">
      <c r="A80" s="28"/>
      <c r="B80" s="29"/>
      <c r="C80" s="28"/>
      <c r="D80" s="29"/>
      <c r="E80" s="29"/>
      <c r="F80" s="29"/>
      <c r="G80" s="38"/>
      <c r="H80" s="38"/>
      <c r="I80" s="38"/>
      <c r="J80" s="29"/>
      <c r="K80" s="39"/>
      <c r="L80" s="39" t="str">
        <f t="shared" si="31"/>
        <v/>
      </c>
      <c r="M80" s="39" t="str">
        <f t="shared" si="32"/>
        <v/>
      </c>
      <c r="N80" s="29"/>
      <c r="O80" s="30"/>
      <c r="P80" s="30"/>
      <c r="Q80" s="62"/>
      <c r="R80" s="62"/>
      <c r="S80" s="63" t="str">
        <f t="shared" ca="1" si="29"/>
        <v/>
      </c>
      <c r="T80" s="29"/>
      <c r="U80" s="15" t="str">
        <f t="shared" ca="1" si="30"/>
        <v/>
      </c>
      <c r="V80" s="36"/>
      <c r="W80" s="44"/>
      <c r="X80" s="44" t="str">
        <f t="shared" si="33"/>
        <v/>
      </c>
      <c r="Y80" s="44" t="str">
        <f t="shared" si="34"/>
        <v/>
      </c>
    </row>
    <row r="81" spans="1:25" s="21" customFormat="1" ht="15" customHeight="1" x14ac:dyDescent="0.25">
      <c r="A81" s="25"/>
      <c r="B81" s="26"/>
      <c r="C81" s="25"/>
      <c r="D81" s="26"/>
      <c r="E81" s="26"/>
      <c r="F81" s="26"/>
      <c r="G81" s="38"/>
      <c r="H81" s="38"/>
      <c r="I81" s="38"/>
      <c r="J81" s="26"/>
      <c r="K81" s="38"/>
      <c r="L81" s="38" t="str">
        <f t="shared" si="31"/>
        <v/>
      </c>
      <c r="M81" s="38" t="str">
        <f t="shared" si="32"/>
        <v/>
      </c>
      <c r="N81" s="26"/>
      <c r="O81" s="27"/>
      <c r="P81" s="27"/>
      <c r="Q81" s="60"/>
      <c r="R81" s="60"/>
      <c r="S81" s="61" t="str">
        <f t="shared" ca="1" si="29"/>
        <v/>
      </c>
      <c r="T81" s="26"/>
      <c r="U81" s="12" t="str">
        <f t="shared" ca="1" si="30"/>
        <v/>
      </c>
      <c r="V81" s="35"/>
      <c r="W81" s="45"/>
      <c r="X81" s="45" t="str">
        <f t="shared" si="33"/>
        <v/>
      </c>
      <c r="Y81" s="45" t="str">
        <f t="shared" si="34"/>
        <v/>
      </c>
    </row>
    <row r="82" spans="1:25" s="21" customFormat="1" ht="15" customHeight="1" x14ac:dyDescent="0.25">
      <c r="A82" s="28"/>
      <c r="B82" s="29"/>
      <c r="C82" s="28"/>
      <c r="D82" s="29"/>
      <c r="E82" s="29"/>
      <c r="F82" s="29"/>
      <c r="G82" s="39"/>
      <c r="H82" s="39"/>
      <c r="I82" s="39"/>
      <c r="J82" s="29"/>
      <c r="K82" s="39"/>
      <c r="L82" s="39" t="str">
        <f t="shared" si="31"/>
        <v/>
      </c>
      <c r="M82" s="39" t="str">
        <f t="shared" si="32"/>
        <v/>
      </c>
      <c r="N82" s="29"/>
      <c r="O82" s="30"/>
      <c r="P82" s="30"/>
      <c r="Q82" s="62"/>
      <c r="R82" s="62"/>
      <c r="S82" s="63" t="str">
        <f t="shared" ca="1" si="29"/>
        <v/>
      </c>
      <c r="T82" s="29"/>
      <c r="U82" s="15" t="str">
        <f t="shared" ca="1" si="30"/>
        <v/>
      </c>
      <c r="V82" s="36"/>
      <c r="W82" s="44"/>
      <c r="X82" s="44" t="str">
        <f t="shared" si="33"/>
        <v/>
      </c>
      <c r="Y82" s="44" t="str">
        <f t="shared" si="34"/>
        <v/>
      </c>
    </row>
    <row r="83" spans="1:25" s="21" customFormat="1" ht="15" customHeight="1" x14ac:dyDescent="0.25">
      <c r="A83" s="25"/>
      <c r="B83" s="26"/>
      <c r="C83" s="25"/>
      <c r="D83" s="26"/>
      <c r="E83" s="26"/>
      <c r="F83" s="26"/>
      <c r="G83" s="38"/>
      <c r="H83" s="38"/>
      <c r="I83" s="38"/>
      <c r="J83" s="26"/>
      <c r="K83" s="38"/>
      <c r="L83" s="38" t="str">
        <f t="shared" si="31"/>
        <v/>
      </c>
      <c r="M83" s="38" t="str">
        <f t="shared" si="32"/>
        <v/>
      </c>
      <c r="N83" s="26"/>
      <c r="O83" s="27"/>
      <c r="P83" s="27"/>
      <c r="Q83" s="60"/>
      <c r="R83" s="60"/>
      <c r="S83" s="61" t="str">
        <f t="shared" ca="1" si="29"/>
        <v/>
      </c>
      <c r="T83" s="26"/>
      <c r="U83" s="12" t="str">
        <f t="shared" ca="1" si="30"/>
        <v/>
      </c>
      <c r="V83" s="35"/>
      <c r="W83" s="45"/>
      <c r="X83" s="45" t="str">
        <f t="shared" si="33"/>
        <v/>
      </c>
      <c r="Y83" s="45" t="str">
        <f t="shared" si="34"/>
        <v/>
      </c>
    </row>
    <row r="84" spans="1:25" s="21" customFormat="1" ht="15" customHeight="1" x14ac:dyDescent="0.25">
      <c r="A84" s="28"/>
      <c r="B84" s="29"/>
      <c r="C84" s="28"/>
      <c r="D84" s="29"/>
      <c r="E84" s="29"/>
      <c r="F84" s="29"/>
      <c r="G84" s="38"/>
      <c r="H84" s="38"/>
      <c r="I84" s="38"/>
      <c r="J84" s="29"/>
      <c r="K84" s="39"/>
      <c r="L84" s="39" t="str">
        <f t="shared" si="31"/>
        <v/>
      </c>
      <c r="M84" s="39" t="str">
        <f t="shared" si="32"/>
        <v/>
      </c>
      <c r="N84" s="29"/>
      <c r="O84" s="30"/>
      <c r="P84" s="30"/>
      <c r="Q84" s="62"/>
      <c r="R84" s="62"/>
      <c r="S84" s="63" t="str">
        <f t="shared" ca="1" si="29"/>
        <v/>
      </c>
      <c r="T84" s="29"/>
      <c r="U84" s="15" t="str">
        <f t="shared" ca="1" si="30"/>
        <v/>
      </c>
      <c r="V84" s="36"/>
      <c r="W84" s="44"/>
      <c r="X84" s="44" t="str">
        <f t="shared" si="33"/>
        <v/>
      </c>
      <c r="Y84" s="44" t="str">
        <f t="shared" si="34"/>
        <v/>
      </c>
    </row>
    <row r="85" spans="1:25" s="21" customFormat="1" ht="15" customHeight="1" x14ac:dyDescent="0.25">
      <c r="A85" s="25"/>
      <c r="B85" s="26"/>
      <c r="C85" s="25"/>
      <c r="D85" s="26"/>
      <c r="E85" s="26"/>
      <c r="F85" s="26"/>
      <c r="G85" s="39"/>
      <c r="H85" s="39"/>
      <c r="I85" s="39"/>
      <c r="J85" s="26"/>
      <c r="K85" s="38"/>
      <c r="L85" s="38" t="str">
        <f t="shared" si="31"/>
        <v/>
      </c>
      <c r="M85" s="38" t="str">
        <f t="shared" si="32"/>
        <v/>
      </c>
      <c r="N85" s="26"/>
      <c r="O85" s="27"/>
      <c r="P85" s="27"/>
      <c r="Q85" s="60"/>
      <c r="R85" s="60"/>
      <c r="S85" s="61" t="str">
        <f t="shared" ca="1" si="29"/>
        <v/>
      </c>
      <c r="T85" s="26"/>
      <c r="U85" s="12" t="str">
        <f t="shared" ca="1" si="30"/>
        <v/>
      </c>
      <c r="V85" s="35"/>
      <c r="W85" s="45"/>
      <c r="X85" s="45" t="str">
        <f t="shared" si="33"/>
        <v/>
      </c>
      <c r="Y85" s="45" t="str">
        <f t="shared" si="34"/>
        <v/>
      </c>
    </row>
    <row r="86" spans="1:25" s="21" customFormat="1" ht="15" customHeight="1" x14ac:dyDescent="0.25">
      <c r="A86" s="28"/>
      <c r="B86" s="29"/>
      <c r="C86" s="28"/>
      <c r="D86" s="29"/>
      <c r="E86" s="29"/>
      <c r="F86" s="29"/>
      <c r="G86" s="38"/>
      <c r="H86" s="38"/>
      <c r="I86" s="38"/>
      <c r="J86" s="29"/>
      <c r="K86" s="39"/>
      <c r="L86" s="39" t="str">
        <f t="shared" si="31"/>
        <v/>
      </c>
      <c r="M86" s="39" t="str">
        <f t="shared" si="32"/>
        <v/>
      </c>
      <c r="N86" s="29"/>
      <c r="O86" s="30"/>
      <c r="P86" s="30"/>
      <c r="Q86" s="62"/>
      <c r="R86" s="62"/>
      <c r="S86" s="63" t="str">
        <f t="shared" ca="1" si="29"/>
        <v/>
      </c>
      <c r="T86" s="29"/>
      <c r="U86" s="15" t="str">
        <f t="shared" ca="1" si="30"/>
        <v/>
      </c>
      <c r="V86" s="36"/>
      <c r="W86" s="44"/>
      <c r="X86" s="44" t="str">
        <f t="shared" si="33"/>
        <v/>
      </c>
      <c r="Y86" s="44" t="str">
        <f t="shared" si="34"/>
        <v/>
      </c>
    </row>
    <row r="87" spans="1:25" s="21" customFormat="1" ht="15" customHeight="1" x14ac:dyDescent="0.25">
      <c r="A87" s="25"/>
      <c r="B87" s="26"/>
      <c r="C87" s="25"/>
      <c r="D87" s="26"/>
      <c r="E87" s="26"/>
      <c r="F87" s="26"/>
      <c r="G87" s="38"/>
      <c r="H87" s="38"/>
      <c r="I87" s="38"/>
      <c r="J87" s="26"/>
      <c r="K87" s="38"/>
      <c r="L87" s="38" t="str">
        <f t="shared" si="31"/>
        <v/>
      </c>
      <c r="M87" s="38" t="str">
        <f t="shared" si="32"/>
        <v/>
      </c>
      <c r="N87" s="26"/>
      <c r="O87" s="27"/>
      <c r="P87" s="27"/>
      <c r="Q87" s="60"/>
      <c r="R87" s="60"/>
      <c r="S87" s="61" t="str">
        <f t="shared" ca="1" si="29"/>
        <v/>
      </c>
      <c r="T87" s="26"/>
      <c r="U87" s="12" t="str">
        <f t="shared" ca="1" si="30"/>
        <v/>
      </c>
      <c r="V87" s="35"/>
      <c r="W87" s="45"/>
      <c r="X87" s="45" t="str">
        <f t="shared" si="33"/>
        <v/>
      </c>
      <c r="Y87" s="45" t="str">
        <f t="shared" si="34"/>
        <v/>
      </c>
    </row>
    <row r="88" spans="1:25" s="21" customFormat="1" ht="15" customHeight="1" x14ac:dyDescent="0.25">
      <c r="A88" s="28"/>
      <c r="B88" s="29"/>
      <c r="C88" s="28"/>
      <c r="D88" s="29"/>
      <c r="E88" s="29"/>
      <c r="F88" s="29"/>
      <c r="G88" s="39"/>
      <c r="H88" s="39"/>
      <c r="I88" s="39"/>
      <c r="J88" s="29"/>
      <c r="K88" s="39"/>
      <c r="L88" s="39" t="str">
        <f t="shared" si="31"/>
        <v/>
      </c>
      <c r="M88" s="39" t="str">
        <f t="shared" si="32"/>
        <v/>
      </c>
      <c r="N88" s="29"/>
      <c r="O88" s="30"/>
      <c r="P88" s="30"/>
      <c r="Q88" s="62"/>
      <c r="R88" s="62"/>
      <c r="S88" s="63" t="str">
        <f t="shared" ca="1" si="29"/>
        <v/>
      </c>
      <c r="T88" s="29"/>
      <c r="U88" s="15" t="str">
        <f t="shared" ca="1" si="30"/>
        <v/>
      </c>
      <c r="V88" s="36"/>
      <c r="W88" s="44"/>
      <c r="X88" s="44" t="str">
        <f t="shared" si="33"/>
        <v/>
      </c>
      <c r="Y88" s="44" t="str">
        <f t="shared" si="34"/>
        <v/>
      </c>
    </row>
    <row r="89" spans="1:25" s="21" customFormat="1" ht="15" customHeight="1" x14ac:dyDescent="0.25">
      <c r="A89" s="25"/>
      <c r="B89" s="26"/>
      <c r="C89" s="25"/>
      <c r="D89" s="26"/>
      <c r="E89" s="26"/>
      <c r="F89" s="26"/>
      <c r="G89" s="38"/>
      <c r="H89" s="38"/>
      <c r="I89" s="38"/>
      <c r="J89" s="26"/>
      <c r="K89" s="38"/>
      <c r="L89" s="38" t="str">
        <f t="shared" si="31"/>
        <v/>
      </c>
      <c r="M89" s="38" t="str">
        <f t="shared" si="32"/>
        <v/>
      </c>
      <c r="N89" s="26"/>
      <c r="O89" s="27"/>
      <c r="P89" s="27"/>
      <c r="Q89" s="60"/>
      <c r="R89" s="60"/>
      <c r="S89" s="61" t="str">
        <f t="shared" ca="1" si="29"/>
        <v/>
      </c>
      <c r="T89" s="26"/>
      <c r="U89" s="12" t="str">
        <f t="shared" ca="1" si="30"/>
        <v/>
      </c>
      <c r="V89" s="35"/>
      <c r="W89" s="45"/>
      <c r="X89" s="45" t="str">
        <f t="shared" si="33"/>
        <v/>
      </c>
      <c r="Y89" s="45" t="str">
        <f t="shared" si="34"/>
        <v/>
      </c>
    </row>
    <row r="90" spans="1:25" s="21" customFormat="1" ht="15" customHeight="1" x14ac:dyDescent="0.25">
      <c r="A90" s="28"/>
      <c r="B90" s="29"/>
      <c r="C90" s="28"/>
      <c r="D90" s="29"/>
      <c r="E90" s="29"/>
      <c r="F90" s="29"/>
      <c r="G90" s="38"/>
      <c r="H90" s="38"/>
      <c r="I90" s="38"/>
      <c r="J90" s="29"/>
      <c r="K90" s="39"/>
      <c r="L90" s="39" t="str">
        <f t="shared" si="31"/>
        <v/>
      </c>
      <c r="M90" s="39" t="str">
        <f t="shared" si="32"/>
        <v/>
      </c>
      <c r="N90" s="29"/>
      <c r="O90" s="30"/>
      <c r="P90" s="30"/>
      <c r="Q90" s="62"/>
      <c r="R90" s="62"/>
      <c r="S90" s="63" t="str">
        <f t="shared" ca="1" si="29"/>
        <v/>
      </c>
      <c r="T90" s="29"/>
      <c r="U90" s="15" t="str">
        <f t="shared" ca="1" si="30"/>
        <v/>
      </c>
      <c r="V90" s="36"/>
      <c r="W90" s="44"/>
      <c r="X90" s="44" t="str">
        <f t="shared" si="33"/>
        <v/>
      </c>
      <c r="Y90" s="44" t="str">
        <f t="shared" si="34"/>
        <v/>
      </c>
    </row>
    <row r="91" spans="1:25" s="21" customFormat="1" ht="15" customHeight="1" x14ac:dyDescent="0.25">
      <c r="A91" s="25"/>
      <c r="B91" s="26"/>
      <c r="C91" s="25"/>
      <c r="D91" s="26"/>
      <c r="E91" s="26"/>
      <c r="F91" s="26"/>
      <c r="G91" s="39"/>
      <c r="H91" s="39"/>
      <c r="I91" s="39"/>
      <c r="J91" s="26"/>
      <c r="K91" s="38"/>
      <c r="L91" s="38" t="str">
        <f t="shared" si="31"/>
        <v/>
      </c>
      <c r="M91" s="38" t="str">
        <f t="shared" si="32"/>
        <v/>
      </c>
      <c r="N91" s="26"/>
      <c r="O91" s="27"/>
      <c r="P91" s="27"/>
      <c r="Q91" s="60"/>
      <c r="R91" s="60"/>
      <c r="S91" s="61" t="str">
        <f t="shared" ca="1" si="29"/>
        <v/>
      </c>
      <c r="T91" s="26"/>
      <c r="U91" s="12" t="str">
        <f t="shared" ca="1" si="30"/>
        <v/>
      </c>
      <c r="V91" s="35"/>
      <c r="W91" s="45"/>
      <c r="X91" s="45" t="str">
        <f t="shared" si="33"/>
        <v/>
      </c>
      <c r="Y91" s="45" t="str">
        <f t="shared" si="34"/>
        <v/>
      </c>
    </row>
    <row r="92" spans="1:25" s="21" customFormat="1" ht="15" customHeight="1" x14ac:dyDescent="0.25">
      <c r="A92" s="28"/>
      <c r="B92" s="29"/>
      <c r="C92" s="28"/>
      <c r="D92" s="29"/>
      <c r="E92" s="29"/>
      <c r="F92" s="29"/>
      <c r="G92" s="38"/>
      <c r="H92" s="38"/>
      <c r="I92" s="38"/>
      <c r="J92" s="29"/>
      <c r="K92" s="39"/>
      <c r="L92" s="39" t="str">
        <f t="shared" si="31"/>
        <v/>
      </c>
      <c r="M92" s="39" t="str">
        <f t="shared" si="32"/>
        <v/>
      </c>
      <c r="N92" s="29"/>
      <c r="O92" s="30"/>
      <c r="P92" s="30"/>
      <c r="Q92" s="62"/>
      <c r="R92" s="62"/>
      <c r="S92" s="63" t="str">
        <f t="shared" ca="1" si="29"/>
        <v/>
      </c>
      <c r="T92" s="29"/>
      <c r="U92" s="15" t="str">
        <f t="shared" ca="1" si="30"/>
        <v/>
      </c>
      <c r="V92" s="36"/>
      <c r="W92" s="44"/>
      <c r="X92" s="44" t="str">
        <f t="shared" si="33"/>
        <v/>
      </c>
      <c r="Y92" s="44" t="str">
        <f t="shared" si="34"/>
        <v/>
      </c>
    </row>
    <row r="93" spans="1:25" s="21" customFormat="1" ht="15" customHeight="1" x14ac:dyDescent="0.25">
      <c r="A93" s="25"/>
      <c r="B93" s="26"/>
      <c r="C93" s="25"/>
      <c r="D93" s="26"/>
      <c r="E93" s="26"/>
      <c r="F93" s="26"/>
      <c r="G93" s="38"/>
      <c r="H93" s="38"/>
      <c r="I93" s="38"/>
      <c r="J93" s="26"/>
      <c r="K93" s="38"/>
      <c r="L93" s="38" t="str">
        <f t="shared" si="31"/>
        <v/>
      </c>
      <c r="M93" s="38" t="str">
        <f t="shared" si="32"/>
        <v/>
      </c>
      <c r="N93" s="26"/>
      <c r="O93" s="27"/>
      <c r="P93" s="27"/>
      <c r="Q93" s="60"/>
      <c r="R93" s="60"/>
      <c r="S93" s="61" t="str">
        <f t="shared" ca="1" si="29"/>
        <v/>
      </c>
      <c r="T93" s="26"/>
      <c r="U93" s="12" t="str">
        <f t="shared" ca="1" si="30"/>
        <v/>
      </c>
      <c r="V93" s="35"/>
      <c r="W93" s="45"/>
      <c r="X93" s="45" t="str">
        <f t="shared" si="33"/>
        <v/>
      </c>
      <c r="Y93" s="45" t="str">
        <f t="shared" si="34"/>
        <v/>
      </c>
    </row>
    <row r="94" spans="1:25" s="21" customFormat="1" ht="15" customHeight="1" x14ac:dyDescent="0.25">
      <c r="A94" s="28"/>
      <c r="B94" s="29"/>
      <c r="C94" s="28"/>
      <c r="D94" s="29"/>
      <c r="E94" s="29"/>
      <c r="F94" s="29"/>
      <c r="G94" s="39"/>
      <c r="H94" s="39"/>
      <c r="I94" s="39"/>
      <c r="J94" s="29"/>
      <c r="K94" s="39"/>
      <c r="L94" s="39" t="str">
        <f t="shared" si="31"/>
        <v/>
      </c>
      <c r="M94" s="39" t="str">
        <f t="shared" si="32"/>
        <v/>
      </c>
      <c r="N94" s="29"/>
      <c r="O94" s="30"/>
      <c r="P94" s="30"/>
      <c r="Q94" s="62"/>
      <c r="R94" s="62"/>
      <c r="S94" s="63" t="str">
        <f t="shared" ca="1" si="29"/>
        <v/>
      </c>
      <c r="T94" s="29"/>
      <c r="U94" s="15" t="str">
        <f t="shared" ca="1" si="30"/>
        <v/>
      </c>
      <c r="V94" s="36"/>
      <c r="W94" s="44"/>
      <c r="X94" s="44" t="str">
        <f t="shared" si="33"/>
        <v/>
      </c>
      <c r="Y94" s="44" t="str">
        <f t="shared" si="34"/>
        <v/>
      </c>
    </row>
    <row r="95" spans="1:25" s="21" customFormat="1" ht="15" customHeight="1" x14ac:dyDescent="0.25">
      <c r="A95" s="25"/>
      <c r="B95" s="26"/>
      <c r="C95" s="25"/>
      <c r="D95" s="26"/>
      <c r="E95" s="26"/>
      <c r="F95" s="26"/>
      <c r="G95" s="38"/>
      <c r="H95" s="38"/>
      <c r="I95" s="38"/>
      <c r="J95" s="26"/>
      <c r="K95" s="38"/>
      <c r="L95" s="38" t="str">
        <f t="shared" si="31"/>
        <v/>
      </c>
      <c r="M95" s="38" t="str">
        <f t="shared" si="32"/>
        <v/>
      </c>
      <c r="N95" s="26"/>
      <c r="O95" s="27"/>
      <c r="P95" s="27"/>
      <c r="Q95" s="60"/>
      <c r="R95" s="60"/>
      <c r="S95" s="61" t="str">
        <f t="shared" ca="1" si="29"/>
        <v/>
      </c>
      <c r="T95" s="26"/>
      <c r="U95" s="12" t="str">
        <f t="shared" ca="1" si="30"/>
        <v/>
      </c>
      <c r="V95" s="35"/>
      <c r="W95" s="45"/>
      <c r="X95" s="45" t="str">
        <f t="shared" si="33"/>
        <v/>
      </c>
      <c r="Y95" s="45" t="str">
        <f t="shared" si="34"/>
        <v/>
      </c>
    </row>
    <row r="96" spans="1:25" s="21" customFormat="1" ht="15" customHeight="1" x14ac:dyDescent="0.25">
      <c r="A96" s="28"/>
      <c r="B96" s="29"/>
      <c r="C96" s="28"/>
      <c r="D96" s="29"/>
      <c r="E96" s="29"/>
      <c r="F96" s="29"/>
      <c r="G96" s="38"/>
      <c r="H96" s="38"/>
      <c r="I96" s="38"/>
      <c r="J96" s="29"/>
      <c r="K96" s="39"/>
      <c r="L96" s="39" t="str">
        <f t="shared" si="31"/>
        <v/>
      </c>
      <c r="M96" s="39" t="str">
        <f t="shared" si="32"/>
        <v/>
      </c>
      <c r="N96" s="29"/>
      <c r="O96" s="30"/>
      <c r="P96" s="30"/>
      <c r="Q96" s="62"/>
      <c r="R96" s="62"/>
      <c r="S96" s="63" t="str">
        <f t="shared" ca="1" si="29"/>
        <v/>
      </c>
      <c r="T96" s="29"/>
      <c r="U96" s="15" t="str">
        <f t="shared" ca="1" si="30"/>
        <v/>
      </c>
      <c r="V96" s="36"/>
      <c r="W96" s="44"/>
      <c r="X96" s="44" t="str">
        <f t="shared" si="33"/>
        <v/>
      </c>
      <c r="Y96" s="44" t="str">
        <f t="shared" si="34"/>
        <v/>
      </c>
    </row>
    <row r="97" spans="1:25" s="21" customFormat="1" ht="15" customHeight="1" x14ac:dyDescent="0.25">
      <c r="A97" s="25"/>
      <c r="B97" s="26"/>
      <c r="C97" s="25"/>
      <c r="D97" s="26"/>
      <c r="E97" s="26"/>
      <c r="F97" s="26"/>
      <c r="G97" s="39"/>
      <c r="H97" s="39"/>
      <c r="I97" s="39"/>
      <c r="J97" s="26"/>
      <c r="K97" s="38"/>
      <c r="L97" s="38" t="str">
        <f t="shared" si="31"/>
        <v/>
      </c>
      <c r="M97" s="38" t="str">
        <f t="shared" si="32"/>
        <v/>
      </c>
      <c r="N97" s="26"/>
      <c r="O97" s="27"/>
      <c r="P97" s="27"/>
      <c r="Q97" s="60"/>
      <c r="R97" s="60"/>
      <c r="S97" s="61" t="str">
        <f t="shared" ca="1" si="29"/>
        <v/>
      </c>
      <c r="T97" s="26"/>
      <c r="U97" s="12" t="str">
        <f t="shared" ca="1" si="30"/>
        <v/>
      </c>
      <c r="V97" s="35"/>
      <c r="W97" s="45"/>
      <c r="X97" s="45" t="str">
        <f t="shared" si="33"/>
        <v/>
      </c>
      <c r="Y97" s="45" t="str">
        <f t="shared" si="34"/>
        <v/>
      </c>
    </row>
    <row r="98" spans="1:25" s="21" customFormat="1" ht="15" customHeight="1" x14ac:dyDescent="0.25">
      <c r="A98" s="28"/>
      <c r="B98" s="29"/>
      <c r="C98" s="28"/>
      <c r="D98" s="29"/>
      <c r="E98" s="29"/>
      <c r="F98" s="29"/>
      <c r="G98" s="38"/>
      <c r="H98" s="38"/>
      <c r="I98" s="38"/>
      <c r="J98" s="29"/>
      <c r="K98" s="39"/>
      <c r="L98" s="39" t="str">
        <f t="shared" si="31"/>
        <v/>
      </c>
      <c r="M98" s="39" t="str">
        <f t="shared" si="32"/>
        <v/>
      </c>
      <c r="N98" s="29"/>
      <c r="O98" s="30"/>
      <c r="P98" s="30"/>
      <c r="Q98" s="62"/>
      <c r="R98" s="62"/>
      <c r="S98" s="63" t="str">
        <f t="shared" ca="1" si="29"/>
        <v/>
      </c>
      <c r="T98" s="29"/>
      <c r="U98" s="15" t="str">
        <f t="shared" ca="1" si="30"/>
        <v/>
      </c>
      <c r="V98" s="36"/>
      <c r="W98" s="44"/>
      <c r="X98" s="44" t="str">
        <f t="shared" si="33"/>
        <v/>
      </c>
      <c r="Y98" s="44" t="str">
        <f t="shared" si="34"/>
        <v/>
      </c>
    </row>
    <row r="99" spans="1:25" s="21" customFormat="1" ht="15" customHeight="1" x14ac:dyDescent="0.25">
      <c r="A99" s="25"/>
      <c r="B99" s="26"/>
      <c r="C99" s="25"/>
      <c r="D99" s="26"/>
      <c r="E99" s="26"/>
      <c r="F99" s="26"/>
      <c r="G99" s="38"/>
      <c r="H99" s="38"/>
      <c r="I99" s="38"/>
      <c r="J99" s="26"/>
      <c r="K99" s="38"/>
      <c r="L99" s="38" t="str">
        <f t="shared" si="31"/>
        <v/>
      </c>
      <c r="M99" s="38" t="str">
        <f t="shared" si="32"/>
        <v/>
      </c>
      <c r="N99" s="26"/>
      <c r="O99" s="27"/>
      <c r="P99" s="27"/>
      <c r="Q99" s="60"/>
      <c r="R99" s="60"/>
      <c r="S99" s="61" t="str">
        <f t="shared" ca="1" si="29"/>
        <v/>
      </c>
      <c r="T99" s="26"/>
      <c r="U99" s="12" t="str">
        <f t="shared" ca="1" si="30"/>
        <v/>
      </c>
      <c r="V99" s="35"/>
      <c r="W99" s="45"/>
      <c r="X99" s="45" t="str">
        <f t="shared" si="33"/>
        <v/>
      </c>
      <c r="Y99" s="45" t="str">
        <f t="shared" si="34"/>
        <v/>
      </c>
    </row>
    <row r="100" spans="1:25" s="21" customFormat="1" ht="15" customHeight="1" x14ac:dyDescent="0.25">
      <c r="A100" s="28"/>
      <c r="B100" s="29"/>
      <c r="C100" s="28"/>
      <c r="D100" s="29"/>
      <c r="E100" s="29"/>
      <c r="F100" s="29"/>
      <c r="G100" s="39"/>
      <c r="H100" s="39"/>
      <c r="I100" s="39"/>
      <c r="J100" s="29"/>
      <c r="K100" s="39"/>
      <c r="L100" s="39" t="str">
        <f t="shared" si="31"/>
        <v/>
      </c>
      <c r="M100" s="39" t="str">
        <f t="shared" si="32"/>
        <v/>
      </c>
      <c r="N100" s="29"/>
      <c r="O100" s="30"/>
      <c r="P100" s="30"/>
      <c r="Q100" s="62"/>
      <c r="R100" s="62"/>
      <c r="S100" s="63" t="str">
        <f t="shared" ca="1" si="29"/>
        <v/>
      </c>
      <c r="T100" s="29"/>
      <c r="U100" s="15" t="str">
        <f t="shared" ca="1" si="30"/>
        <v/>
      </c>
      <c r="V100" s="36"/>
      <c r="W100" s="44"/>
      <c r="X100" s="44" t="str">
        <f t="shared" si="33"/>
        <v/>
      </c>
      <c r="Y100" s="44" t="str">
        <f t="shared" si="34"/>
        <v/>
      </c>
    </row>
    <row r="101" spans="1:25" s="21" customFormat="1" ht="15" customHeight="1" x14ac:dyDescent="0.25">
      <c r="A101" s="25"/>
      <c r="B101" s="26"/>
      <c r="C101" s="25"/>
      <c r="D101" s="26"/>
      <c r="E101" s="26"/>
      <c r="F101" s="26"/>
      <c r="G101" s="38"/>
      <c r="H101" s="38"/>
      <c r="I101" s="38"/>
      <c r="J101" s="26"/>
      <c r="K101" s="38"/>
      <c r="L101" s="38" t="str">
        <f t="shared" si="31"/>
        <v/>
      </c>
      <c r="M101" s="38" t="str">
        <f t="shared" si="32"/>
        <v/>
      </c>
      <c r="N101" s="26"/>
      <c r="O101" s="27"/>
      <c r="P101" s="27"/>
      <c r="Q101" s="60"/>
      <c r="R101" s="60"/>
      <c r="S101" s="61" t="str">
        <f t="shared" ca="1" si="29"/>
        <v/>
      </c>
      <c r="T101" s="26"/>
      <c r="U101" s="12" t="str">
        <f t="shared" ca="1" si="30"/>
        <v/>
      </c>
      <c r="V101" s="35"/>
      <c r="W101" s="45"/>
      <c r="X101" s="45" t="str">
        <f t="shared" si="33"/>
        <v/>
      </c>
      <c r="Y101" s="45" t="str">
        <f t="shared" si="34"/>
        <v/>
      </c>
    </row>
    <row r="102" spans="1:25" s="21" customFormat="1" ht="15" customHeight="1" x14ac:dyDescent="0.25">
      <c r="A102" s="28"/>
      <c r="B102" s="29"/>
      <c r="C102" s="28"/>
      <c r="D102" s="29"/>
      <c r="E102" s="29"/>
      <c r="F102" s="29"/>
      <c r="G102" s="38"/>
      <c r="H102" s="38"/>
      <c r="I102" s="38"/>
      <c r="J102" s="29"/>
      <c r="K102" s="29"/>
      <c r="L102" s="39" t="str">
        <f t="shared" si="31"/>
        <v/>
      </c>
      <c r="M102" s="39" t="str">
        <f t="shared" si="32"/>
        <v/>
      </c>
      <c r="N102" s="29"/>
      <c r="O102" s="30"/>
      <c r="P102" s="30"/>
      <c r="Q102" s="62"/>
      <c r="R102" s="62"/>
      <c r="S102" s="63" t="str">
        <f t="shared" ref="S102:S133" ca="1" si="35">IF(OR(O102="",P102=""),"",IF(R102&lt;&gt;"",1,IF(Q102="",0,MAX(0,MIN(1,(TODAY()-O102)/(P102-O102+1))))))</f>
        <v/>
      </c>
      <c r="T102" s="29"/>
      <c r="U102" s="15" t="str">
        <f t="shared" ref="U102:U133" ca="1" si="36">IF(P102="","",P102-TODAY())</f>
        <v/>
      </c>
      <c r="V102" s="36"/>
      <c r="W102" s="46"/>
      <c r="X102" s="44" t="str">
        <f t="shared" si="33"/>
        <v/>
      </c>
      <c r="Y102" s="44" t="str">
        <f t="shared" si="34"/>
        <v/>
      </c>
    </row>
    <row r="103" spans="1:25" s="21" customFormat="1" ht="15" customHeight="1" x14ac:dyDescent="0.25">
      <c r="A103" s="25"/>
      <c r="B103" s="26"/>
      <c r="C103" s="25"/>
      <c r="D103" s="26"/>
      <c r="E103" s="26"/>
      <c r="F103" s="26"/>
      <c r="G103" s="39"/>
      <c r="H103" s="39"/>
      <c r="I103" s="39"/>
      <c r="J103" s="26"/>
      <c r="K103" s="26"/>
      <c r="L103" s="38" t="str">
        <f t="shared" si="31"/>
        <v/>
      </c>
      <c r="M103" s="38" t="str">
        <f t="shared" si="32"/>
        <v/>
      </c>
      <c r="N103" s="26"/>
      <c r="O103" s="27"/>
      <c r="P103" s="27"/>
      <c r="Q103" s="60"/>
      <c r="R103" s="60"/>
      <c r="S103" s="61" t="str">
        <f t="shared" ca="1" si="35"/>
        <v/>
      </c>
      <c r="T103" s="26"/>
      <c r="U103" s="12" t="str">
        <f t="shared" ca="1" si="36"/>
        <v/>
      </c>
      <c r="V103" s="35"/>
      <c r="W103" s="47"/>
      <c r="X103" s="45" t="str">
        <f t="shared" si="33"/>
        <v/>
      </c>
      <c r="Y103" s="45" t="str">
        <f t="shared" si="34"/>
        <v/>
      </c>
    </row>
    <row r="104" spans="1:25" s="21" customFormat="1" ht="15" customHeight="1" x14ac:dyDescent="0.25">
      <c r="A104" s="28"/>
      <c r="B104" s="29"/>
      <c r="C104" s="28"/>
      <c r="D104" s="29"/>
      <c r="E104" s="29"/>
      <c r="F104" s="29"/>
      <c r="G104" s="38"/>
      <c r="H104" s="38"/>
      <c r="I104" s="38"/>
      <c r="J104" s="29"/>
      <c r="K104" s="29"/>
      <c r="L104" s="39" t="str">
        <f t="shared" si="31"/>
        <v/>
      </c>
      <c r="M104" s="39" t="str">
        <f t="shared" si="32"/>
        <v/>
      </c>
      <c r="N104" s="29"/>
      <c r="O104" s="30"/>
      <c r="P104" s="30"/>
      <c r="Q104" s="62"/>
      <c r="R104" s="62"/>
      <c r="S104" s="63" t="str">
        <f t="shared" ca="1" si="35"/>
        <v/>
      </c>
      <c r="T104" s="29"/>
      <c r="U104" s="15" t="str">
        <f t="shared" ca="1" si="36"/>
        <v/>
      </c>
      <c r="V104" s="36"/>
      <c r="W104" s="46"/>
      <c r="X104" s="44" t="str">
        <f t="shared" si="33"/>
        <v/>
      </c>
      <c r="Y104" s="44" t="str">
        <f t="shared" si="34"/>
        <v/>
      </c>
    </row>
    <row r="105" spans="1:25" s="21" customFormat="1" ht="15" customHeight="1" x14ac:dyDescent="0.25">
      <c r="A105" s="25"/>
      <c r="B105" s="26"/>
      <c r="C105" s="25"/>
      <c r="D105" s="26"/>
      <c r="E105" s="26"/>
      <c r="F105" s="26"/>
      <c r="G105" s="38"/>
      <c r="H105" s="38"/>
      <c r="I105" s="38"/>
      <c r="J105" s="26"/>
      <c r="K105" s="26"/>
      <c r="L105" s="38" t="str">
        <f t="shared" ref="L105:L136" si="37">IF(J105="","",_xlfn.TRANSLATE(J105,"vi","ja"))</f>
        <v/>
      </c>
      <c r="M105" s="38" t="str">
        <f t="shared" ref="M105:M136" si="38">IF(J105="","",_xlfn.TRANSLATE(J105,"vi","zh-Hans"))</f>
        <v/>
      </c>
      <c r="N105" s="26"/>
      <c r="O105" s="27"/>
      <c r="P105" s="27"/>
      <c r="Q105" s="60"/>
      <c r="R105" s="60"/>
      <c r="S105" s="61" t="str">
        <f t="shared" ca="1" si="35"/>
        <v/>
      </c>
      <c r="T105" s="26"/>
      <c r="U105" s="12" t="str">
        <f t="shared" ca="1" si="36"/>
        <v/>
      </c>
      <c r="V105" s="35"/>
      <c r="W105" s="47"/>
      <c r="X105" s="45" t="str">
        <f t="shared" ref="X105:X136" si="39">IF(V105="","",_xlfn.TRANSLATE(V105,"vi","ja"))</f>
        <v/>
      </c>
      <c r="Y105" s="45" t="str">
        <f t="shared" ref="Y105:Y136" si="40">IF(V105="","",_xlfn.TRANSLATE(V105,"vi","zh-Hans"))</f>
        <v/>
      </c>
    </row>
    <row r="106" spans="1:25" s="21" customFormat="1" ht="15" customHeight="1" x14ac:dyDescent="0.25">
      <c r="A106" s="28"/>
      <c r="B106" s="29"/>
      <c r="C106" s="28"/>
      <c r="D106" s="29"/>
      <c r="E106" s="29"/>
      <c r="F106" s="29"/>
      <c r="G106" s="39"/>
      <c r="H106" s="39"/>
      <c r="I106" s="39"/>
      <c r="J106" s="29"/>
      <c r="K106" s="29"/>
      <c r="L106" s="39" t="str">
        <f t="shared" si="37"/>
        <v/>
      </c>
      <c r="M106" s="39" t="str">
        <f t="shared" si="38"/>
        <v/>
      </c>
      <c r="N106" s="29"/>
      <c r="O106" s="30"/>
      <c r="P106" s="30"/>
      <c r="Q106" s="62"/>
      <c r="R106" s="62"/>
      <c r="S106" s="63" t="str">
        <f t="shared" ca="1" si="35"/>
        <v/>
      </c>
      <c r="T106" s="29"/>
      <c r="U106" s="15" t="str">
        <f t="shared" ca="1" si="36"/>
        <v/>
      </c>
      <c r="V106" s="36"/>
      <c r="W106" s="46"/>
      <c r="X106" s="44" t="str">
        <f t="shared" si="39"/>
        <v/>
      </c>
      <c r="Y106" s="44" t="str">
        <f t="shared" si="40"/>
        <v/>
      </c>
    </row>
    <row r="107" spans="1:25" s="21" customFormat="1" ht="15" customHeight="1" x14ac:dyDescent="0.25">
      <c r="A107" s="25"/>
      <c r="B107" s="26"/>
      <c r="C107" s="25"/>
      <c r="D107" s="26"/>
      <c r="E107" s="26"/>
      <c r="F107" s="26"/>
      <c r="G107" s="38"/>
      <c r="H107" s="38"/>
      <c r="I107" s="38"/>
      <c r="J107" s="26"/>
      <c r="K107" s="26"/>
      <c r="L107" s="38" t="str">
        <f t="shared" si="37"/>
        <v/>
      </c>
      <c r="M107" s="38" t="str">
        <f t="shared" si="38"/>
        <v/>
      </c>
      <c r="N107" s="26"/>
      <c r="O107" s="27"/>
      <c r="P107" s="27"/>
      <c r="Q107" s="60"/>
      <c r="R107" s="60"/>
      <c r="S107" s="61" t="str">
        <f t="shared" ca="1" si="35"/>
        <v/>
      </c>
      <c r="T107" s="26"/>
      <c r="U107" s="12" t="str">
        <f t="shared" ca="1" si="36"/>
        <v/>
      </c>
      <c r="V107" s="35"/>
      <c r="W107" s="47"/>
      <c r="X107" s="45" t="str">
        <f t="shared" si="39"/>
        <v/>
      </c>
      <c r="Y107" s="45" t="str">
        <f t="shared" si="40"/>
        <v/>
      </c>
    </row>
    <row r="108" spans="1:25" s="21" customFormat="1" ht="15" customHeight="1" x14ac:dyDescent="0.25">
      <c r="A108" s="28"/>
      <c r="B108" s="29"/>
      <c r="C108" s="28"/>
      <c r="D108" s="29"/>
      <c r="E108" s="29"/>
      <c r="F108" s="29"/>
      <c r="G108" s="38"/>
      <c r="H108" s="38"/>
      <c r="I108" s="38"/>
      <c r="J108" s="29"/>
      <c r="K108" s="29"/>
      <c r="L108" s="39" t="str">
        <f t="shared" si="37"/>
        <v/>
      </c>
      <c r="M108" s="39" t="str">
        <f t="shared" si="38"/>
        <v/>
      </c>
      <c r="N108" s="29"/>
      <c r="O108" s="30"/>
      <c r="P108" s="30"/>
      <c r="Q108" s="62"/>
      <c r="R108" s="62"/>
      <c r="S108" s="63" t="str">
        <f t="shared" ca="1" si="35"/>
        <v/>
      </c>
      <c r="T108" s="29"/>
      <c r="U108" s="15" t="str">
        <f t="shared" ca="1" si="36"/>
        <v/>
      </c>
      <c r="V108" s="36"/>
      <c r="W108" s="46"/>
      <c r="X108" s="44" t="str">
        <f t="shared" si="39"/>
        <v/>
      </c>
      <c r="Y108" s="44" t="str">
        <f t="shared" si="40"/>
        <v/>
      </c>
    </row>
    <row r="109" spans="1:25" s="21" customFormat="1" ht="15" customHeight="1" x14ac:dyDescent="0.25">
      <c r="A109" s="25"/>
      <c r="B109" s="26"/>
      <c r="C109" s="25"/>
      <c r="D109" s="26"/>
      <c r="E109" s="26"/>
      <c r="F109" s="26"/>
      <c r="G109" s="39"/>
      <c r="H109" s="39"/>
      <c r="I109" s="39"/>
      <c r="J109" s="26"/>
      <c r="K109" s="26"/>
      <c r="L109" s="38" t="str">
        <f t="shared" si="37"/>
        <v/>
      </c>
      <c r="M109" s="38" t="str">
        <f t="shared" si="38"/>
        <v/>
      </c>
      <c r="N109" s="26"/>
      <c r="O109" s="27"/>
      <c r="P109" s="27"/>
      <c r="Q109" s="60"/>
      <c r="R109" s="60"/>
      <c r="S109" s="61" t="str">
        <f t="shared" ca="1" si="35"/>
        <v/>
      </c>
      <c r="T109" s="26"/>
      <c r="U109" s="12" t="str">
        <f t="shared" ca="1" si="36"/>
        <v/>
      </c>
      <c r="V109" s="35"/>
      <c r="W109" s="47"/>
      <c r="X109" s="45" t="str">
        <f t="shared" si="39"/>
        <v/>
      </c>
      <c r="Y109" s="45" t="str">
        <f t="shared" si="40"/>
        <v/>
      </c>
    </row>
    <row r="110" spans="1:25" s="21" customFormat="1" ht="15" customHeight="1" x14ac:dyDescent="0.25">
      <c r="A110" s="28"/>
      <c r="B110" s="29"/>
      <c r="C110" s="28"/>
      <c r="D110" s="29"/>
      <c r="E110" s="29"/>
      <c r="F110" s="29"/>
      <c r="G110" s="38"/>
      <c r="H110" s="38"/>
      <c r="I110" s="38"/>
      <c r="J110" s="29"/>
      <c r="K110" s="29"/>
      <c r="L110" s="39" t="str">
        <f t="shared" si="37"/>
        <v/>
      </c>
      <c r="M110" s="39" t="str">
        <f t="shared" si="38"/>
        <v/>
      </c>
      <c r="N110" s="29"/>
      <c r="O110" s="30"/>
      <c r="P110" s="30"/>
      <c r="Q110" s="62"/>
      <c r="R110" s="62"/>
      <c r="S110" s="63" t="str">
        <f t="shared" ca="1" si="35"/>
        <v/>
      </c>
      <c r="T110" s="29"/>
      <c r="U110" s="15" t="str">
        <f t="shared" ca="1" si="36"/>
        <v/>
      </c>
      <c r="V110" s="36"/>
      <c r="W110" s="46"/>
      <c r="X110" s="44" t="str">
        <f t="shared" si="39"/>
        <v/>
      </c>
      <c r="Y110" s="44" t="str">
        <f t="shared" si="40"/>
        <v/>
      </c>
    </row>
    <row r="111" spans="1:25" s="21" customFormat="1" ht="15" customHeight="1" x14ac:dyDescent="0.25">
      <c r="A111" s="25"/>
      <c r="B111" s="26"/>
      <c r="C111" s="25"/>
      <c r="D111" s="26"/>
      <c r="E111" s="26"/>
      <c r="F111" s="26"/>
      <c r="G111" s="38"/>
      <c r="H111" s="38"/>
      <c r="I111" s="38"/>
      <c r="J111" s="26"/>
      <c r="K111" s="26"/>
      <c r="L111" s="38" t="str">
        <f t="shared" si="37"/>
        <v/>
      </c>
      <c r="M111" s="38" t="str">
        <f t="shared" si="38"/>
        <v/>
      </c>
      <c r="N111" s="26"/>
      <c r="O111" s="27"/>
      <c r="P111" s="27"/>
      <c r="Q111" s="60"/>
      <c r="R111" s="60"/>
      <c r="S111" s="61" t="str">
        <f t="shared" ca="1" si="35"/>
        <v/>
      </c>
      <c r="T111" s="26"/>
      <c r="U111" s="12" t="str">
        <f t="shared" ca="1" si="36"/>
        <v/>
      </c>
      <c r="V111" s="35"/>
      <c r="W111" s="47"/>
      <c r="X111" s="45" t="str">
        <f t="shared" si="39"/>
        <v/>
      </c>
      <c r="Y111" s="45" t="str">
        <f t="shared" si="40"/>
        <v/>
      </c>
    </row>
    <row r="112" spans="1:25" s="21" customFormat="1" ht="15" customHeight="1" x14ac:dyDescent="0.25">
      <c r="A112" s="28"/>
      <c r="B112" s="29"/>
      <c r="C112" s="28"/>
      <c r="D112" s="29"/>
      <c r="E112" s="29"/>
      <c r="F112" s="29"/>
      <c r="G112" s="39"/>
      <c r="H112" s="39"/>
      <c r="I112" s="39"/>
      <c r="J112" s="29"/>
      <c r="K112" s="29"/>
      <c r="L112" s="39" t="str">
        <f t="shared" si="37"/>
        <v/>
      </c>
      <c r="M112" s="39" t="str">
        <f t="shared" si="38"/>
        <v/>
      </c>
      <c r="N112" s="29"/>
      <c r="O112" s="30"/>
      <c r="P112" s="30"/>
      <c r="Q112" s="62"/>
      <c r="R112" s="62"/>
      <c r="S112" s="63" t="str">
        <f t="shared" ca="1" si="35"/>
        <v/>
      </c>
      <c r="T112" s="29"/>
      <c r="U112" s="15" t="str">
        <f t="shared" ca="1" si="36"/>
        <v/>
      </c>
      <c r="V112" s="36"/>
      <c r="W112" s="46"/>
      <c r="X112" s="44" t="str">
        <f t="shared" si="39"/>
        <v/>
      </c>
      <c r="Y112" s="44" t="str">
        <f t="shared" si="40"/>
        <v/>
      </c>
    </row>
    <row r="113" spans="1:25" s="21" customFormat="1" ht="15" customHeight="1" x14ac:dyDescent="0.25">
      <c r="A113" s="25"/>
      <c r="B113" s="26"/>
      <c r="C113" s="25"/>
      <c r="D113" s="26"/>
      <c r="E113" s="26"/>
      <c r="F113" s="26"/>
      <c r="G113" s="38"/>
      <c r="H113" s="38"/>
      <c r="I113" s="38"/>
      <c r="J113" s="26"/>
      <c r="K113" s="26"/>
      <c r="L113" s="38" t="str">
        <f t="shared" si="37"/>
        <v/>
      </c>
      <c r="M113" s="38" t="str">
        <f t="shared" si="38"/>
        <v/>
      </c>
      <c r="N113" s="26"/>
      <c r="O113" s="27"/>
      <c r="P113" s="27"/>
      <c r="Q113" s="60"/>
      <c r="R113" s="60"/>
      <c r="S113" s="61" t="str">
        <f t="shared" ca="1" si="35"/>
        <v/>
      </c>
      <c r="T113" s="26"/>
      <c r="U113" s="12" t="str">
        <f t="shared" ca="1" si="36"/>
        <v/>
      </c>
      <c r="V113" s="35"/>
      <c r="W113" s="47"/>
      <c r="X113" s="45" t="str">
        <f t="shared" si="39"/>
        <v/>
      </c>
      <c r="Y113" s="45" t="str">
        <f t="shared" si="40"/>
        <v/>
      </c>
    </row>
    <row r="114" spans="1:25" s="21" customFormat="1" ht="15" customHeight="1" x14ac:dyDescent="0.25">
      <c r="A114" s="28"/>
      <c r="B114" s="29"/>
      <c r="C114" s="28"/>
      <c r="D114" s="29"/>
      <c r="E114" s="29"/>
      <c r="F114" s="29"/>
      <c r="G114" s="38"/>
      <c r="H114" s="38"/>
      <c r="I114" s="38"/>
      <c r="J114" s="29"/>
      <c r="K114" s="29"/>
      <c r="L114" s="39" t="str">
        <f t="shared" si="37"/>
        <v/>
      </c>
      <c r="M114" s="39" t="str">
        <f t="shared" si="38"/>
        <v/>
      </c>
      <c r="N114" s="29"/>
      <c r="O114" s="30"/>
      <c r="P114" s="30"/>
      <c r="Q114" s="62"/>
      <c r="R114" s="62"/>
      <c r="S114" s="63" t="str">
        <f t="shared" ca="1" si="35"/>
        <v/>
      </c>
      <c r="T114" s="29"/>
      <c r="U114" s="15" t="str">
        <f t="shared" ca="1" si="36"/>
        <v/>
      </c>
      <c r="V114" s="36"/>
      <c r="W114" s="46"/>
      <c r="X114" s="44" t="str">
        <f t="shared" si="39"/>
        <v/>
      </c>
      <c r="Y114" s="44" t="str">
        <f t="shared" si="40"/>
        <v/>
      </c>
    </row>
    <row r="115" spans="1:25" s="21" customFormat="1" ht="15" customHeight="1" x14ac:dyDescent="0.25">
      <c r="A115" s="25"/>
      <c r="B115" s="26"/>
      <c r="C115" s="25"/>
      <c r="D115" s="26"/>
      <c r="E115" s="26"/>
      <c r="F115" s="26"/>
      <c r="G115" s="39"/>
      <c r="H115" s="39"/>
      <c r="I115" s="39"/>
      <c r="J115" s="26"/>
      <c r="K115" s="26"/>
      <c r="L115" s="38" t="str">
        <f t="shared" si="37"/>
        <v/>
      </c>
      <c r="M115" s="38" t="str">
        <f t="shared" si="38"/>
        <v/>
      </c>
      <c r="N115" s="26"/>
      <c r="O115" s="27"/>
      <c r="P115" s="27"/>
      <c r="Q115" s="60"/>
      <c r="R115" s="60"/>
      <c r="S115" s="61" t="str">
        <f t="shared" ca="1" si="35"/>
        <v/>
      </c>
      <c r="T115" s="26"/>
      <c r="U115" s="12" t="str">
        <f t="shared" ca="1" si="36"/>
        <v/>
      </c>
      <c r="V115" s="35"/>
      <c r="W115" s="47"/>
      <c r="X115" s="45" t="str">
        <f t="shared" si="39"/>
        <v/>
      </c>
      <c r="Y115" s="45" t="str">
        <f t="shared" si="40"/>
        <v/>
      </c>
    </row>
    <row r="116" spans="1:25" s="21" customFormat="1" ht="15" customHeight="1" x14ac:dyDescent="0.25">
      <c r="A116" s="28"/>
      <c r="B116" s="29"/>
      <c r="C116" s="28"/>
      <c r="D116" s="29"/>
      <c r="E116" s="29"/>
      <c r="F116" s="29"/>
      <c r="G116" s="38"/>
      <c r="H116" s="38"/>
      <c r="I116" s="38"/>
      <c r="J116" s="29"/>
      <c r="K116" s="29"/>
      <c r="L116" s="39" t="str">
        <f t="shared" si="37"/>
        <v/>
      </c>
      <c r="M116" s="39" t="str">
        <f t="shared" si="38"/>
        <v/>
      </c>
      <c r="N116" s="29"/>
      <c r="O116" s="30"/>
      <c r="P116" s="30"/>
      <c r="Q116" s="62"/>
      <c r="R116" s="62"/>
      <c r="S116" s="63" t="str">
        <f t="shared" ca="1" si="35"/>
        <v/>
      </c>
      <c r="T116" s="29"/>
      <c r="U116" s="15" t="str">
        <f t="shared" ca="1" si="36"/>
        <v/>
      </c>
      <c r="V116" s="36"/>
      <c r="W116" s="46"/>
      <c r="X116" s="44" t="str">
        <f t="shared" si="39"/>
        <v/>
      </c>
      <c r="Y116" s="44" t="str">
        <f t="shared" si="40"/>
        <v/>
      </c>
    </row>
    <row r="117" spans="1:25" s="21" customFormat="1" ht="15" customHeight="1" x14ac:dyDescent="0.25">
      <c r="A117" s="25"/>
      <c r="B117" s="26"/>
      <c r="C117" s="25"/>
      <c r="D117" s="26"/>
      <c r="E117" s="26"/>
      <c r="F117" s="26"/>
      <c r="G117" s="38"/>
      <c r="H117" s="38"/>
      <c r="I117" s="38"/>
      <c r="J117" s="26"/>
      <c r="K117" s="26"/>
      <c r="L117" s="38" t="str">
        <f t="shared" si="37"/>
        <v/>
      </c>
      <c r="M117" s="38" t="str">
        <f t="shared" si="38"/>
        <v/>
      </c>
      <c r="N117" s="26"/>
      <c r="O117" s="27"/>
      <c r="P117" s="27"/>
      <c r="Q117" s="60"/>
      <c r="R117" s="60"/>
      <c r="S117" s="61" t="str">
        <f t="shared" ca="1" si="35"/>
        <v/>
      </c>
      <c r="T117" s="26"/>
      <c r="U117" s="12" t="str">
        <f t="shared" ca="1" si="36"/>
        <v/>
      </c>
      <c r="V117" s="35"/>
      <c r="W117" s="47"/>
      <c r="X117" s="45" t="str">
        <f t="shared" si="39"/>
        <v/>
      </c>
      <c r="Y117" s="45" t="str">
        <f t="shared" si="40"/>
        <v/>
      </c>
    </row>
    <row r="118" spans="1:25" s="21" customFormat="1" ht="15" customHeight="1" x14ac:dyDescent="0.25">
      <c r="A118" s="28"/>
      <c r="B118" s="29"/>
      <c r="C118" s="28"/>
      <c r="D118" s="29"/>
      <c r="E118" s="29"/>
      <c r="F118" s="29"/>
      <c r="G118" s="39"/>
      <c r="H118" s="39"/>
      <c r="I118" s="39"/>
      <c r="J118" s="29"/>
      <c r="K118" s="29"/>
      <c r="L118" s="39" t="str">
        <f t="shared" si="37"/>
        <v/>
      </c>
      <c r="M118" s="39" t="str">
        <f t="shared" si="38"/>
        <v/>
      </c>
      <c r="N118" s="29"/>
      <c r="O118" s="30"/>
      <c r="P118" s="30"/>
      <c r="Q118" s="62"/>
      <c r="R118" s="62"/>
      <c r="S118" s="63" t="str">
        <f t="shared" ca="1" si="35"/>
        <v/>
      </c>
      <c r="T118" s="29"/>
      <c r="U118" s="15" t="str">
        <f t="shared" ca="1" si="36"/>
        <v/>
      </c>
      <c r="V118" s="36"/>
      <c r="W118" s="46"/>
      <c r="X118" s="44" t="str">
        <f t="shared" si="39"/>
        <v/>
      </c>
      <c r="Y118" s="44" t="str">
        <f t="shared" si="40"/>
        <v/>
      </c>
    </row>
    <row r="119" spans="1:25" s="21" customFormat="1" ht="15" customHeight="1" x14ac:dyDescent="0.25">
      <c r="A119" s="25"/>
      <c r="B119" s="26"/>
      <c r="C119" s="25"/>
      <c r="D119" s="26"/>
      <c r="E119" s="26"/>
      <c r="F119" s="26"/>
      <c r="G119" s="38"/>
      <c r="H119" s="38"/>
      <c r="I119" s="38"/>
      <c r="J119" s="26"/>
      <c r="K119" s="26"/>
      <c r="L119" s="38" t="str">
        <f t="shared" si="37"/>
        <v/>
      </c>
      <c r="M119" s="38" t="str">
        <f t="shared" si="38"/>
        <v/>
      </c>
      <c r="N119" s="26"/>
      <c r="O119" s="27"/>
      <c r="P119" s="27"/>
      <c r="Q119" s="60"/>
      <c r="R119" s="60"/>
      <c r="S119" s="61" t="str">
        <f t="shared" ca="1" si="35"/>
        <v/>
      </c>
      <c r="T119" s="26"/>
      <c r="U119" s="12" t="str">
        <f t="shared" ca="1" si="36"/>
        <v/>
      </c>
      <c r="V119" s="35"/>
      <c r="W119" s="47"/>
      <c r="X119" s="45" t="str">
        <f t="shared" si="39"/>
        <v/>
      </c>
      <c r="Y119" s="45" t="str">
        <f t="shared" si="40"/>
        <v/>
      </c>
    </row>
    <row r="120" spans="1:25" s="21" customFormat="1" ht="15" customHeight="1" x14ac:dyDescent="0.25">
      <c r="A120" s="28"/>
      <c r="B120" s="29"/>
      <c r="C120" s="28"/>
      <c r="D120" s="29"/>
      <c r="E120" s="29"/>
      <c r="F120" s="29"/>
      <c r="G120" s="38"/>
      <c r="H120" s="38"/>
      <c r="I120" s="38"/>
      <c r="J120" s="29"/>
      <c r="K120" s="29"/>
      <c r="L120" s="39" t="str">
        <f t="shared" si="37"/>
        <v/>
      </c>
      <c r="M120" s="39" t="str">
        <f t="shared" si="38"/>
        <v/>
      </c>
      <c r="N120" s="29"/>
      <c r="O120" s="30"/>
      <c r="P120" s="30"/>
      <c r="Q120" s="62"/>
      <c r="R120" s="62"/>
      <c r="S120" s="63" t="str">
        <f t="shared" ca="1" si="35"/>
        <v/>
      </c>
      <c r="T120" s="29"/>
      <c r="U120" s="15" t="str">
        <f t="shared" ca="1" si="36"/>
        <v/>
      </c>
      <c r="V120" s="36"/>
      <c r="W120" s="46"/>
      <c r="X120" s="44" t="str">
        <f t="shared" si="39"/>
        <v/>
      </c>
      <c r="Y120" s="44" t="str">
        <f t="shared" si="40"/>
        <v/>
      </c>
    </row>
    <row r="121" spans="1:25" s="21" customFormat="1" ht="15" customHeight="1" x14ac:dyDescent="0.25">
      <c r="A121" s="25"/>
      <c r="B121" s="26"/>
      <c r="C121" s="25"/>
      <c r="D121" s="26"/>
      <c r="E121" s="26"/>
      <c r="F121" s="26"/>
      <c r="G121" s="39"/>
      <c r="H121" s="39"/>
      <c r="I121" s="39"/>
      <c r="J121" s="26"/>
      <c r="K121" s="26"/>
      <c r="L121" s="38" t="str">
        <f t="shared" si="37"/>
        <v/>
      </c>
      <c r="M121" s="38" t="str">
        <f t="shared" si="38"/>
        <v/>
      </c>
      <c r="N121" s="26"/>
      <c r="O121" s="27"/>
      <c r="P121" s="27"/>
      <c r="Q121" s="60"/>
      <c r="R121" s="60"/>
      <c r="S121" s="61" t="str">
        <f t="shared" ca="1" si="35"/>
        <v/>
      </c>
      <c r="T121" s="26"/>
      <c r="U121" s="12" t="str">
        <f t="shared" ca="1" si="36"/>
        <v/>
      </c>
      <c r="V121" s="35"/>
      <c r="W121" s="47"/>
      <c r="X121" s="45" t="str">
        <f t="shared" si="39"/>
        <v/>
      </c>
      <c r="Y121" s="45" t="str">
        <f t="shared" si="40"/>
        <v/>
      </c>
    </row>
    <row r="122" spans="1:25" s="21" customFormat="1" ht="15" customHeight="1" x14ac:dyDescent="0.25">
      <c r="A122" s="28"/>
      <c r="B122" s="29"/>
      <c r="C122" s="28"/>
      <c r="D122" s="29"/>
      <c r="E122" s="29"/>
      <c r="F122" s="29"/>
      <c r="G122" s="38"/>
      <c r="H122" s="38"/>
      <c r="I122" s="38"/>
      <c r="J122" s="29"/>
      <c r="K122" s="29"/>
      <c r="L122" s="39" t="str">
        <f t="shared" si="37"/>
        <v/>
      </c>
      <c r="M122" s="39" t="str">
        <f t="shared" si="38"/>
        <v/>
      </c>
      <c r="N122" s="29"/>
      <c r="O122" s="30"/>
      <c r="P122" s="30"/>
      <c r="Q122" s="62"/>
      <c r="R122" s="62"/>
      <c r="S122" s="63" t="str">
        <f t="shared" ca="1" si="35"/>
        <v/>
      </c>
      <c r="T122" s="29"/>
      <c r="U122" s="15" t="str">
        <f t="shared" ca="1" si="36"/>
        <v/>
      </c>
      <c r="V122" s="36"/>
      <c r="W122" s="46"/>
      <c r="X122" s="44" t="str">
        <f t="shared" si="39"/>
        <v/>
      </c>
      <c r="Y122" s="44" t="str">
        <f t="shared" si="40"/>
        <v/>
      </c>
    </row>
    <row r="123" spans="1:25" s="21" customFormat="1" ht="15" customHeight="1" x14ac:dyDescent="0.25">
      <c r="A123" s="25"/>
      <c r="B123" s="26"/>
      <c r="C123" s="25"/>
      <c r="D123" s="26"/>
      <c r="E123" s="26"/>
      <c r="F123" s="26"/>
      <c r="G123" s="38"/>
      <c r="H123" s="38"/>
      <c r="I123" s="38"/>
      <c r="J123" s="26"/>
      <c r="K123" s="26"/>
      <c r="L123" s="38" t="str">
        <f t="shared" si="37"/>
        <v/>
      </c>
      <c r="M123" s="38" t="str">
        <f t="shared" si="38"/>
        <v/>
      </c>
      <c r="N123" s="26"/>
      <c r="O123" s="27"/>
      <c r="P123" s="27"/>
      <c r="Q123" s="60"/>
      <c r="R123" s="60"/>
      <c r="S123" s="61" t="str">
        <f t="shared" ca="1" si="35"/>
        <v/>
      </c>
      <c r="T123" s="26"/>
      <c r="U123" s="12" t="str">
        <f t="shared" ca="1" si="36"/>
        <v/>
      </c>
      <c r="V123" s="35"/>
      <c r="W123" s="47"/>
      <c r="X123" s="45" t="str">
        <f t="shared" si="39"/>
        <v/>
      </c>
      <c r="Y123" s="45" t="str">
        <f t="shared" si="40"/>
        <v/>
      </c>
    </row>
    <row r="124" spans="1:25" s="21" customFormat="1" ht="15" customHeight="1" x14ac:dyDescent="0.25">
      <c r="A124" s="28"/>
      <c r="B124" s="29"/>
      <c r="C124" s="28"/>
      <c r="D124" s="29"/>
      <c r="E124" s="29"/>
      <c r="F124" s="29"/>
      <c r="G124" s="39"/>
      <c r="H124" s="39"/>
      <c r="I124" s="39"/>
      <c r="J124" s="29"/>
      <c r="K124" s="29"/>
      <c r="L124" s="39" t="str">
        <f t="shared" si="37"/>
        <v/>
      </c>
      <c r="M124" s="39" t="str">
        <f t="shared" si="38"/>
        <v/>
      </c>
      <c r="N124" s="29"/>
      <c r="O124" s="30"/>
      <c r="P124" s="30"/>
      <c r="Q124" s="62"/>
      <c r="R124" s="62"/>
      <c r="S124" s="63" t="str">
        <f t="shared" ca="1" si="35"/>
        <v/>
      </c>
      <c r="T124" s="29"/>
      <c r="U124" s="15" t="str">
        <f t="shared" ca="1" si="36"/>
        <v/>
      </c>
      <c r="V124" s="36"/>
      <c r="W124" s="46"/>
      <c r="X124" s="44" t="str">
        <f t="shared" si="39"/>
        <v/>
      </c>
      <c r="Y124" s="44" t="str">
        <f t="shared" si="40"/>
        <v/>
      </c>
    </row>
    <row r="125" spans="1:25" s="21" customFormat="1" ht="15" customHeight="1" x14ac:dyDescent="0.25">
      <c r="A125" s="25"/>
      <c r="B125" s="26"/>
      <c r="C125" s="25"/>
      <c r="D125" s="26"/>
      <c r="E125" s="26"/>
      <c r="F125" s="26"/>
      <c r="G125" s="38"/>
      <c r="H125" s="38"/>
      <c r="I125" s="38"/>
      <c r="J125" s="26"/>
      <c r="K125" s="26"/>
      <c r="L125" s="38" t="str">
        <f t="shared" si="37"/>
        <v/>
      </c>
      <c r="M125" s="38" t="str">
        <f t="shared" si="38"/>
        <v/>
      </c>
      <c r="N125" s="26"/>
      <c r="O125" s="27"/>
      <c r="P125" s="27"/>
      <c r="Q125" s="60"/>
      <c r="R125" s="60"/>
      <c r="S125" s="61" t="str">
        <f t="shared" ca="1" si="35"/>
        <v/>
      </c>
      <c r="T125" s="26"/>
      <c r="U125" s="12" t="str">
        <f t="shared" ca="1" si="36"/>
        <v/>
      </c>
      <c r="V125" s="35"/>
      <c r="W125" s="47"/>
      <c r="X125" s="45" t="str">
        <f t="shared" si="39"/>
        <v/>
      </c>
      <c r="Y125" s="45" t="str">
        <f t="shared" si="40"/>
        <v/>
      </c>
    </row>
    <row r="126" spans="1:25" s="21" customFormat="1" ht="15" customHeight="1" x14ac:dyDescent="0.25">
      <c r="A126" s="28"/>
      <c r="B126" s="29"/>
      <c r="C126" s="28"/>
      <c r="D126" s="29"/>
      <c r="E126" s="29"/>
      <c r="F126" s="29"/>
      <c r="G126" s="38"/>
      <c r="H126" s="38"/>
      <c r="I126" s="38"/>
      <c r="J126" s="29"/>
      <c r="K126" s="29"/>
      <c r="L126" s="39" t="str">
        <f t="shared" si="37"/>
        <v/>
      </c>
      <c r="M126" s="39" t="str">
        <f t="shared" si="38"/>
        <v/>
      </c>
      <c r="N126" s="29"/>
      <c r="O126" s="30"/>
      <c r="P126" s="30"/>
      <c r="Q126" s="62"/>
      <c r="R126" s="62"/>
      <c r="S126" s="63" t="str">
        <f t="shared" ca="1" si="35"/>
        <v/>
      </c>
      <c r="T126" s="29"/>
      <c r="U126" s="15" t="str">
        <f t="shared" ca="1" si="36"/>
        <v/>
      </c>
      <c r="V126" s="36"/>
      <c r="W126" s="46"/>
      <c r="X126" s="44" t="str">
        <f t="shared" si="39"/>
        <v/>
      </c>
      <c r="Y126" s="44" t="str">
        <f t="shared" si="40"/>
        <v/>
      </c>
    </row>
    <row r="127" spans="1:25" s="21" customFormat="1" ht="15" customHeight="1" x14ac:dyDescent="0.25">
      <c r="A127" s="25"/>
      <c r="B127" s="26"/>
      <c r="C127" s="25"/>
      <c r="D127" s="26"/>
      <c r="E127" s="26"/>
      <c r="F127" s="26"/>
      <c r="G127" s="39"/>
      <c r="H127" s="39"/>
      <c r="I127" s="39"/>
      <c r="J127" s="26"/>
      <c r="K127" s="26"/>
      <c r="L127" s="38" t="str">
        <f t="shared" si="37"/>
        <v/>
      </c>
      <c r="M127" s="38" t="str">
        <f t="shared" si="38"/>
        <v/>
      </c>
      <c r="N127" s="26"/>
      <c r="O127" s="27"/>
      <c r="P127" s="27"/>
      <c r="Q127" s="60"/>
      <c r="R127" s="60"/>
      <c r="S127" s="61" t="str">
        <f t="shared" ca="1" si="35"/>
        <v/>
      </c>
      <c r="T127" s="26"/>
      <c r="U127" s="12" t="str">
        <f t="shared" ca="1" si="36"/>
        <v/>
      </c>
      <c r="V127" s="35"/>
      <c r="W127" s="47"/>
      <c r="X127" s="45" t="str">
        <f t="shared" si="39"/>
        <v/>
      </c>
      <c r="Y127" s="45" t="str">
        <f t="shared" si="40"/>
        <v/>
      </c>
    </row>
    <row r="128" spans="1:25" s="21" customFormat="1" ht="15" customHeight="1" x14ac:dyDescent="0.25">
      <c r="A128" s="28"/>
      <c r="B128" s="29"/>
      <c r="C128" s="28"/>
      <c r="D128" s="29"/>
      <c r="E128" s="29"/>
      <c r="F128" s="29"/>
      <c r="G128" s="38"/>
      <c r="H128" s="38"/>
      <c r="I128" s="38"/>
      <c r="J128" s="29"/>
      <c r="K128" s="29"/>
      <c r="L128" s="39" t="str">
        <f t="shared" si="37"/>
        <v/>
      </c>
      <c r="M128" s="39" t="str">
        <f t="shared" si="38"/>
        <v/>
      </c>
      <c r="N128" s="29"/>
      <c r="O128" s="30"/>
      <c r="P128" s="30"/>
      <c r="Q128" s="62"/>
      <c r="R128" s="62"/>
      <c r="S128" s="63" t="str">
        <f t="shared" ca="1" si="35"/>
        <v/>
      </c>
      <c r="T128" s="29"/>
      <c r="U128" s="15" t="str">
        <f t="shared" ca="1" si="36"/>
        <v/>
      </c>
      <c r="V128" s="36"/>
      <c r="W128" s="46"/>
      <c r="X128" s="44" t="str">
        <f t="shared" si="39"/>
        <v/>
      </c>
      <c r="Y128" s="44" t="str">
        <f t="shared" si="40"/>
        <v/>
      </c>
    </row>
    <row r="129" spans="1:25" s="21" customFormat="1" ht="15" customHeight="1" x14ac:dyDescent="0.25">
      <c r="A129" s="25"/>
      <c r="B129" s="26"/>
      <c r="C129" s="25"/>
      <c r="D129" s="26"/>
      <c r="E129" s="26"/>
      <c r="F129" s="26"/>
      <c r="G129" s="38"/>
      <c r="H129" s="38"/>
      <c r="I129" s="38"/>
      <c r="J129" s="26"/>
      <c r="K129" s="26"/>
      <c r="L129" s="38" t="str">
        <f t="shared" si="37"/>
        <v/>
      </c>
      <c r="M129" s="38" t="str">
        <f t="shared" si="38"/>
        <v/>
      </c>
      <c r="N129" s="26"/>
      <c r="O129" s="27"/>
      <c r="P129" s="27"/>
      <c r="Q129" s="60"/>
      <c r="R129" s="60"/>
      <c r="S129" s="61" t="str">
        <f t="shared" ca="1" si="35"/>
        <v/>
      </c>
      <c r="T129" s="26"/>
      <c r="U129" s="12" t="str">
        <f t="shared" ca="1" si="36"/>
        <v/>
      </c>
      <c r="V129" s="35"/>
      <c r="W129" s="47"/>
      <c r="X129" s="45" t="str">
        <f t="shared" si="39"/>
        <v/>
      </c>
      <c r="Y129" s="45" t="str">
        <f t="shared" si="40"/>
        <v/>
      </c>
    </row>
    <row r="130" spans="1:25" s="21" customFormat="1" ht="15" customHeight="1" x14ac:dyDescent="0.25">
      <c r="A130" s="28"/>
      <c r="B130" s="29"/>
      <c r="C130" s="28"/>
      <c r="D130" s="29"/>
      <c r="E130" s="29"/>
      <c r="F130" s="29"/>
      <c r="G130" s="39"/>
      <c r="H130" s="39"/>
      <c r="I130" s="39"/>
      <c r="J130" s="29"/>
      <c r="K130" s="29"/>
      <c r="L130" s="39" t="str">
        <f t="shared" si="37"/>
        <v/>
      </c>
      <c r="M130" s="39" t="str">
        <f t="shared" si="38"/>
        <v/>
      </c>
      <c r="N130" s="29"/>
      <c r="O130" s="30"/>
      <c r="P130" s="30"/>
      <c r="Q130" s="62"/>
      <c r="R130" s="62"/>
      <c r="S130" s="63" t="str">
        <f t="shared" ca="1" si="35"/>
        <v/>
      </c>
      <c r="T130" s="29"/>
      <c r="U130" s="15" t="str">
        <f t="shared" ca="1" si="36"/>
        <v/>
      </c>
      <c r="V130" s="36"/>
      <c r="W130" s="46"/>
      <c r="X130" s="44" t="str">
        <f t="shared" si="39"/>
        <v/>
      </c>
      <c r="Y130" s="44" t="str">
        <f t="shared" si="40"/>
        <v/>
      </c>
    </row>
    <row r="131" spans="1:25" s="21" customFormat="1" ht="15" customHeight="1" x14ac:dyDescent="0.25">
      <c r="A131" s="25"/>
      <c r="B131" s="26"/>
      <c r="C131" s="25"/>
      <c r="D131" s="26"/>
      <c r="E131" s="26"/>
      <c r="F131" s="26"/>
      <c r="G131" s="38"/>
      <c r="H131" s="38"/>
      <c r="I131" s="38"/>
      <c r="J131" s="26"/>
      <c r="K131" s="26"/>
      <c r="L131" s="38" t="str">
        <f t="shared" si="37"/>
        <v/>
      </c>
      <c r="M131" s="38" t="str">
        <f t="shared" si="38"/>
        <v/>
      </c>
      <c r="N131" s="26"/>
      <c r="O131" s="27"/>
      <c r="P131" s="27"/>
      <c r="Q131" s="60"/>
      <c r="R131" s="60"/>
      <c r="S131" s="61" t="str">
        <f t="shared" ca="1" si="35"/>
        <v/>
      </c>
      <c r="T131" s="26"/>
      <c r="U131" s="12" t="str">
        <f t="shared" ca="1" si="36"/>
        <v/>
      </c>
      <c r="V131" s="35"/>
      <c r="W131" s="47"/>
      <c r="X131" s="45" t="str">
        <f t="shared" si="39"/>
        <v/>
      </c>
      <c r="Y131" s="45" t="str">
        <f t="shared" si="40"/>
        <v/>
      </c>
    </row>
    <row r="132" spans="1:25" s="21" customFormat="1" ht="15" customHeight="1" x14ac:dyDescent="0.25">
      <c r="A132" s="28"/>
      <c r="B132" s="29"/>
      <c r="C132" s="28"/>
      <c r="D132" s="29"/>
      <c r="E132" s="29"/>
      <c r="F132" s="29"/>
      <c r="G132" s="38"/>
      <c r="H132" s="38"/>
      <c r="I132" s="38"/>
      <c r="J132" s="29"/>
      <c r="K132" s="29"/>
      <c r="L132" s="39" t="str">
        <f t="shared" si="37"/>
        <v/>
      </c>
      <c r="M132" s="39" t="str">
        <f t="shared" si="38"/>
        <v/>
      </c>
      <c r="N132" s="29"/>
      <c r="O132" s="30"/>
      <c r="P132" s="30"/>
      <c r="Q132" s="62"/>
      <c r="R132" s="62"/>
      <c r="S132" s="63" t="str">
        <f t="shared" ca="1" si="35"/>
        <v/>
      </c>
      <c r="T132" s="29"/>
      <c r="U132" s="15" t="str">
        <f t="shared" ca="1" si="36"/>
        <v/>
      </c>
      <c r="V132" s="36"/>
      <c r="W132" s="46"/>
      <c r="X132" s="44" t="str">
        <f t="shared" si="39"/>
        <v/>
      </c>
      <c r="Y132" s="44" t="str">
        <f t="shared" si="40"/>
        <v/>
      </c>
    </row>
    <row r="133" spans="1:25" s="21" customFormat="1" ht="15" customHeight="1" x14ac:dyDescent="0.25">
      <c r="A133" s="25"/>
      <c r="B133" s="26"/>
      <c r="C133" s="25"/>
      <c r="D133" s="26"/>
      <c r="E133" s="26"/>
      <c r="F133" s="26"/>
      <c r="G133" s="39"/>
      <c r="H133" s="39"/>
      <c r="I133" s="39"/>
      <c r="J133" s="26"/>
      <c r="K133" s="26"/>
      <c r="L133" s="38" t="str">
        <f t="shared" si="37"/>
        <v/>
      </c>
      <c r="M133" s="38" t="str">
        <f t="shared" si="38"/>
        <v/>
      </c>
      <c r="N133" s="26"/>
      <c r="O133" s="27"/>
      <c r="P133" s="27"/>
      <c r="Q133" s="60"/>
      <c r="R133" s="60"/>
      <c r="S133" s="61" t="str">
        <f t="shared" ca="1" si="35"/>
        <v/>
      </c>
      <c r="T133" s="26"/>
      <c r="U133" s="12" t="str">
        <f t="shared" ca="1" si="36"/>
        <v/>
      </c>
      <c r="V133" s="35"/>
      <c r="W133" s="47"/>
      <c r="X133" s="45" t="str">
        <f t="shared" si="39"/>
        <v/>
      </c>
      <c r="Y133" s="45" t="str">
        <f t="shared" si="40"/>
        <v/>
      </c>
    </row>
    <row r="134" spans="1:25" s="21" customFormat="1" ht="15" customHeight="1" x14ac:dyDescent="0.25">
      <c r="A134" s="28"/>
      <c r="B134" s="29"/>
      <c r="C134" s="28"/>
      <c r="D134" s="29"/>
      <c r="E134" s="29"/>
      <c r="F134" s="29"/>
      <c r="G134" s="38"/>
      <c r="H134" s="38"/>
      <c r="I134" s="38"/>
      <c r="J134" s="29"/>
      <c r="K134" s="29"/>
      <c r="L134" s="39" t="str">
        <f t="shared" si="37"/>
        <v/>
      </c>
      <c r="M134" s="39" t="str">
        <f t="shared" si="38"/>
        <v/>
      </c>
      <c r="N134" s="29"/>
      <c r="O134" s="30"/>
      <c r="P134" s="30"/>
      <c r="Q134" s="62"/>
      <c r="R134" s="62"/>
      <c r="S134" s="63" t="str">
        <f t="shared" ref="S134:S165" ca="1" si="41">IF(OR(O134="",P134=""),"",IF(R134&lt;&gt;"",1,IF(Q134="",0,MAX(0,MIN(1,(TODAY()-O134)/(P134-O134+1))))))</f>
        <v/>
      </c>
      <c r="T134" s="29"/>
      <c r="U134" s="15" t="str">
        <f t="shared" ref="U134:U165" ca="1" si="42">IF(P134="","",P134-TODAY())</f>
        <v/>
      </c>
      <c r="V134" s="36"/>
      <c r="W134" s="46"/>
      <c r="X134" s="44" t="str">
        <f t="shared" si="39"/>
        <v/>
      </c>
      <c r="Y134" s="44" t="str">
        <f t="shared" si="40"/>
        <v/>
      </c>
    </row>
    <row r="135" spans="1:25" s="21" customFormat="1" ht="15" customHeight="1" x14ac:dyDescent="0.25">
      <c r="A135" s="25"/>
      <c r="B135" s="26"/>
      <c r="C135" s="25"/>
      <c r="D135" s="26"/>
      <c r="E135" s="26"/>
      <c r="F135" s="26"/>
      <c r="G135" s="38"/>
      <c r="H135" s="38"/>
      <c r="I135" s="38"/>
      <c r="J135" s="26"/>
      <c r="K135" s="26"/>
      <c r="L135" s="38" t="str">
        <f t="shared" si="37"/>
        <v/>
      </c>
      <c r="M135" s="38" t="str">
        <f t="shared" si="38"/>
        <v/>
      </c>
      <c r="N135" s="26"/>
      <c r="O135" s="27"/>
      <c r="P135" s="27"/>
      <c r="Q135" s="60"/>
      <c r="R135" s="60"/>
      <c r="S135" s="61" t="str">
        <f t="shared" ca="1" si="41"/>
        <v/>
      </c>
      <c r="T135" s="26"/>
      <c r="U135" s="12" t="str">
        <f t="shared" ca="1" si="42"/>
        <v/>
      </c>
      <c r="V135" s="35"/>
      <c r="W135" s="47"/>
      <c r="X135" s="45" t="str">
        <f t="shared" si="39"/>
        <v/>
      </c>
      <c r="Y135" s="45" t="str">
        <f t="shared" si="40"/>
        <v/>
      </c>
    </row>
    <row r="136" spans="1:25" s="21" customFormat="1" ht="15" customHeight="1" x14ac:dyDescent="0.25">
      <c r="A136" s="28"/>
      <c r="B136" s="29"/>
      <c r="C136" s="28"/>
      <c r="D136" s="29"/>
      <c r="E136" s="29"/>
      <c r="F136" s="29"/>
      <c r="G136" s="39"/>
      <c r="H136" s="39"/>
      <c r="I136" s="39"/>
      <c r="J136" s="29"/>
      <c r="K136" s="29"/>
      <c r="L136" s="39" t="str">
        <f t="shared" si="37"/>
        <v/>
      </c>
      <c r="M136" s="39" t="str">
        <f t="shared" si="38"/>
        <v/>
      </c>
      <c r="N136" s="29"/>
      <c r="O136" s="30"/>
      <c r="P136" s="30"/>
      <c r="Q136" s="62"/>
      <c r="R136" s="62"/>
      <c r="S136" s="63" t="str">
        <f t="shared" ca="1" si="41"/>
        <v/>
      </c>
      <c r="T136" s="29"/>
      <c r="U136" s="15" t="str">
        <f t="shared" ca="1" si="42"/>
        <v/>
      </c>
      <c r="V136" s="36"/>
      <c r="W136" s="46"/>
      <c r="X136" s="44" t="str">
        <f t="shared" si="39"/>
        <v/>
      </c>
      <c r="Y136" s="44" t="str">
        <f t="shared" si="40"/>
        <v/>
      </c>
    </row>
    <row r="137" spans="1:25" s="21" customFormat="1" ht="15" customHeight="1" x14ac:dyDescent="0.25">
      <c r="A137" s="25"/>
      <c r="B137" s="26"/>
      <c r="C137" s="25"/>
      <c r="D137" s="26"/>
      <c r="E137" s="26"/>
      <c r="F137" s="26"/>
      <c r="G137" s="38"/>
      <c r="H137" s="38"/>
      <c r="I137" s="38"/>
      <c r="J137" s="26"/>
      <c r="K137" s="26"/>
      <c r="L137" s="38" t="str">
        <f t="shared" ref="L137:L168" si="43">IF(J137="","",_xlfn.TRANSLATE(J137,"vi","ja"))</f>
        <v/>
      </c>
      <c r="M137" s="38" t="str">
        <f t="shared" ref="M137:M168" si="44">IF(J137="","",_xlfn.TRANSLATE(J137,"vi","zh-Hans"))</f>
        <v/>
      </c>
      <c r="N137" s="26"/>
      <c r="O137" s="27"/>
      <c r="P137" s="27"/>
      <c r="Q137" s="60"/>
      <c r="R137" s="60"/>
      <c r="S137" s="61" t="str">
        <f t="shared" ca="1" si="41"/>
        <v/>
      </c>
      <c r="T137" s="26"/>
      <c r="U137" s="12" t="str">
        <f t="shared" ca="1" si="42"/>
        <v/>
      </c>
      <c r="V137" s="35"/>
      <c r="W137" s="47"/>
      <c r="X137" s="45" t="str">
        <f t="shared" ref="X137:X168" si="45">IF(V137="","",_xlfn.TRANSLATE(V137,"vi","ja"))</f>
        <v/>
      </c>
      <c r="Y137" s="45" t="str">
        <f t="shared" ref="Y137:Y168" si="46">IF(V137="","",_xlfn.TRANSLATE(V137,"vi","zh-Hans"))</f>
        <v/>
      </c>
    </row>
    <row r="138" spans="1:25" s="21" customFormat="1" ht="15" customHeight="1" x14ac:dyDescent="0.25">
      <c r="A138" s="28"/>
      <c r="B138" s="29"/>
      <c r="C138" s="28"/>
      <c r="D138" s="29"/>
      <c r="E138" s="29"/>
      <c r="F138" s="29"/>
      <c r="G138" s="38"/>
      <c r="H138" s="38"/>
      <c r="I138" s="38"/>
      <c r="J138" s="29"/>
      <c r="K138" s="29"/>
      <c r="L138" s="39" t="str">
        <f t="shared" si="43"/>
        <v/>
      </c>
      <c r="M138" s="39" t="str">
        <f t="shared" si="44"/>
        <v/>
      </c>
      <c r="N138" s="29"/>
      <c r="O138" s="30"/>
      <c r="P138" s="30"/>
      <c r="Q138" s="62"/>
      <c r="R138" s="62"/>
      <c r="S138" s="63" t="str">
        <f t="shared" ca="1" si="41"/>
        <v/>
      </c>
      <c r="T138" s="29"/>
      <c r="U138" s="15" t="str">
        <f t="shared" ca="1" si="42"/>
        <v/>
      </c>
      <c r="V138" s="36"/>
      <c r="W138" s="46"/>
      <c r="X138" s="44" t="str">
        <f t="shared" si="45"/>
        <v/>
      </c>
      <c r="Y138" s="44" t="str">
        <f t="shared" si="46"/>
        <v/>
      </c>
    </row>
    <row r="139" spans="1:25" s="21" customFormat="1" ht="15" customHeight="1" x14ac:dyDescent="0.25">
      <c r="A139" s="25"/>
      <c r="B139" s="26"/>
      <c r="C139" s="25"/>
      <c r="D139" s="26"/>
      <c r="E139" s="26"/>
      <c r="F139" s="26"/>
      <c r="G139" s="39"/>
      <c r="H139" s="39"/>
      <c r="I139" s="39"/>
      <c r="J139" s="26"/>
      <c r="K139" s="26"/>
      <c r="L139" s="38" t="str">
        <f t="shared" si="43"/>
        <v/>
      </c>
      <c r="M139" s="38" t="str">
        <f t="shared" si="44"/>
        <v/>
      </c>
      <c r="N139" s="26"/>
      <c r="O139" s="27"/>
      <c r="P139" s="27"/>
      <c r="Q139" s="60"/>
      <c r="R139" s="60"/>
      <c r="S139" s="61" t="str">
        <f t="shared" ca="1" si="41"/>
        <v/>
      </c>
      <c r="T139" s="26"/>
      <c r="U139" s="12" t="str">
        <f t="shared" ca="1" si="42"/>
        <v/>
      </c>
      <c r="V139" s="35"/>
      <c r="W139" s="47"/>
      <c r="X139" s="45" t="str">
        <f t="shared" si="45"/>
        <v/>
      </c>
      <c r="Y139" s="45" t="str">
        <f t="shared" si="46"/>
        <v/>
      </c>
    </row>
    <row r="140" spans="1:25" s="21" customFormat="1" ht="15" customHeight="1" x14ac:dyDescent="0.25">
      <c r="A140" s="28"/>
      <c r="B140" s="29"/>
      <c r="C140" s="28"/>
      <c r="D140" s="29"/>
      <c r="E140" s="29"/>
      <c r="F140" s="29"/>
      <c r="G140" s="38"/>
      <c r="H140" s="38"/>
      <c r="I140" s="38"/>
      <c r="J140" s="29"/>
      <c r="K140" s="29"/>
      <c r="L140" s="39" t="str">
        <f t="shared" si="43"/>
        <v/>
      </c>
      <c r="M140" s="39" t="str">
        <f t="shared" si="44"/>
        <v/>
      </c>
      <c r="N140" s="29"/>
      <c r="O140" s="30"/>
      <c r="P140" s="30"/>
      <c r="Q140" s="62"/>
      <c r="R140" s="62"/>
      <c r="S140" s="63" t="str">
        <f t="shared" ca="1" si="41"/>
        <v/>
      </c>
      <c r="T140" s="29"/>
      <c r="U140" s="15" t="str">
        <f t="shared" ca="1" si="42"/>
        <v/>
      </c>
      <c r="V140" s="36"/>
      <c r="W140" s="46"/>
      <c r="X140" s="44" t="str">
        <f t="shared" si="45"/>
        <v/>
      </c>
      <c r="Y140" s="44" t="str">
        <f t="shared" si="46"/>
        <v/>
      </c>
    </row>
    <row r="141" spans="1:25" s="21" customFormat="1" ht="15" customHeight="1" x14ac:dyDescent="0.25">
      <c r="A141" s="25"/>
      <c r="B141" s="26"/>
      <c r="C141" s="25"/>
      <c r="D141" s="26"/>
      <c r="E141" s="26"/>
      <c r="F141" s="26"/>
      <c r="G141" s="38"/>
      <c r="H141" s="38"/>
      <c r="I141" s="38"/>
      <c r="J141" s="26"/>
      <c r="K141" s="26"/>
      <c r="L141" s="38" t="str">
        <f t="shared" si="43"/>
        <v/>
      </c>
      <c r="M141" s="38" t="str">
        <f t="shared" si="44"/>
        <v/>
      </c>
      <c r="N141" s="26"/>
      <c r="O141" s="27"/>
      <c r="P141" s="27"/>
      <c r="Q141" s="60"/>
      <c r="R141" s="60"/>
      <c r="S141" s="61" t="str">
        <f t="shared" ca="1" si="41"/>
        <v/>
      </c>
      <c r="T141" s="26"/>
      <c r="U141" s="12" t="str">
        <f t="shared" ca="1" si="42"/>
        <v/>
      </c>
      <c r="V141" s="35"/>
      <c r="W141" s="47"/>
      <c r="X141" s="45" t="str">
        <f t="shared" si="45"/>
        <v/>
      </c>
      <c r="Y141" s="45" t="str">
        <f t="shared" si="46"/>
        <v/>
      </c>
    </row>
    <row r="142" spans="1:25" s="21" customFormat="1" ht="15" customHeight="1" x14ac:dyDescent="0.25">
      <c r="A142" s="28"/>
      <c r="B142" s="29"/>
      <c r="C142" s="28"/>
      <c r="D142" s="29"/>
      <c r="E142" s="29"/>
      <c r="F142" s="29"/>
      <c r="G142" s="39"/>
      <c r="H142" s="39"/>
      <c r="I142" s="39"/>
      <c r="J142" s="29"/>
      <c r="K142" s="29"/>
      <c r="L142" s="39" t="str">
        <f t="shared" si="43"/>
        <v/>
      </c>
      <c r="M142" s="39" t="str">
        <f t="shared" si="44"/>
        <v/>
      </c>
      <c r="N142" s="29"/>
      <c r="O142" s="30"/>
      <c r="P142" s="30"/>
      <c r="Q142" s="62"/>
      <c r="R142" s="62"/>
      <c r="S142" s="63" t="str">
        <f t="shared" ca="1" si="41"/>
        <v/>
      </c>
      <c r="T142" s="29"/>
      <c r="U142" s="15" t="str">
        <f t="shared" ca="1" si="42"/>
        <v/>
      </c>
      <c r="V142" s="36"/>
      <c r="W142" s="46"/>
      <c r="X142" s="44" t="str">
        <f t="shared" si="45"/>
        <v/>
      </c>
      <c r="Y142" s="44" t="str">
        <f t="shared" si="46"/>
        <v/>
      </c>
    </row>
    <row r="143" spans="1:25" s="21" customFormat="1" ht="15" customHeight="1" x14ac:dyDescent="0.25">
      <c r="A143" s="25"/>
      <c r="B143" s="26"/>
      <c r="C143" s="25"/>
      <c r="D143" s="26"/>
      <c r="E143" s="26"/>
      <c r="F143" s="26"/>
      <c r="G143" s="38"/>
      <c r="H143" s="38"/>
      <c r="I143" s="38"/>
      <c r="J143" s="26"/>
      <c r="K143" s="26"/>
      <c r="L143" s="38" t="str">
        <f t="shared" si="43"/>
        <v/>
      </c>
      <c r="M143" s="38" t="str">
        <f t="shared" si="44"/>
        <v/>
      </c>
      <c r="N143" s="26"/>
      <c r="O143" s="27"/>
      <c r="P143" s="27"/>
      <c r="Q143" s="60"/>
      <c r="R143" s="60"/>
      <c r="S143" s="61" t="str">
        <f t="shared" ca="1" si="41"/>
        <v/>
      </c>
      <c r="T143" s="26"/>
      <c r="U143" s="12" t="str">
        <f t="shared" ca="1" si="42"/>
        <v/>
      </c>
      <c r="V143" s="35"/>
      <c r="W143" s="47"/>
      <c r="X143" s="45" t="str">
        <f t="shared" si="45"/>
        <v/>
      </c>
      <c r="Y143" s="45" t="str">
        <f t="shared" si="46"/>
        <v/>
      </c>
    </row>
    <row r="144" spans="1:25" s="21" customFormat="1" ht="15" customHeight="1" x14ac:dyDescent="0.25">
      <c r="A144" s="28"/>
      <c r="B144" s="29"/>
      <c r="C144" s="28"/>
      <c r="D144" s="29"/>
      <c r="E144" s="29"/>
      <c r="F144" s="29"/>
      <c r="G144" s="38"/>
      <c r="H144" s="38"/>
      <c r="I144" s="38"/>
      <c r="J144" s="29"/>
      <c r="K144" s="29"/>
      <c r="L144" s="39" t="str">
        <f t="shared" si="43"/>
        <v/>
      </c>
      <c r="M144" s="39" t="str">
        <f t="shared" si="44"/>
        <v/>
      </c>
      <c r="N144" s="29"/>
      <c r="O144" s="30"/>
      <c r="P144" s="30"/>
      <c r="Q144" s="62"/>
      <c r="R144" s="62"/>
      <c r="S144" s="63" t="str">
        <f t="shared" ca="1" si="41"/>
        <v/>
      </c>
      <c r="T144" s="29"/>
      <c r="U144" s="15" t="str">
        <f t="shared" ca="1" si="42"/>
        <v/>
      </c>
      <c r="V144" s="36"/>
      <c r="W144" s="46"/>
      <c r="X144" s="44" t="str">
        <f t="shared" si="45"/>
        <v/>
      </c>
      <c r="Y144" s="44" t="str">
        <f t="shared" si="46"/>
        <v/>
      </c>
    </row>
    <row r="145" spans="1:25" s="21" customFormat="1" ht="15" customHeight="1" x14ac:dyDescent="0.25">
      <c r="A145" s="25"/>
      <c r="B145" s="26"/>
      <c r="C145" s="25"/>
      <c r="D145" s="26"/>
      <c r="E145" s="26"/>
      <c r="F145" s="26"/>
      <c r="G145" s="39"/>
      <c r="H145" s="39"/>
      <c r="I145" s="39"/>
      <c r="J145" s="26"/>
      <c r="K145" s="26"/>
      <c r="L145" s="38" t="str">
        <f t="shared" si="43"/>
        <v/>
      </c>
      <c r="M145" s="38" t="str">
        <f t="shared" si="44"/>
        <v/>
      </c>
      <c r="N145" s="26"/>
      <c r="O145" s="27"/>
      <c r="P145" s="27"/>
      <c r="Q145" s="60"/>
      <c r="R145" s="60"/>
      <c r="S145" s="61" t="str">
        <f t="shared" ca="1" si="41"/>
        <v/>
      </c>
      <c r="T145" s="26"/>
      <c r="U145" s="12" t="str">
        <f t="shared" ca="1" si="42"/>
        <v/>
      </c>
      <c r="V145" s="35"/>
      <c r="W145" s="47"/>
      <c r="X145" s="45" t="str">
        <f t="shared" si="45"/>
        <v/>
      </c>
      <c r="Y145" s="45" t="str">
        <f t="shared" si="46"/>
        <v/>
      </c>
    </row>
    <row r="146" spans="1:25" s="21" customFormat="1" ht="15" customHeight="1" x14ac:dyDescent="0.25">
      <c r="A146" s="28"/>
      <c r="B146" s="29"/>
      <c r="C146" s="28"/>
      <c r="D146" s="29"/>
      <c r="E146" s="29"/>
      <c r="F146" s="29"/>
      <c r="G146" s="38"/>
      <c r="H146" s="38"/>
      <c r="I146" s="38"/>
      <c r="J146" s="29"/>
      <c r="K146" s="29"/>
      <c r="L146" s="39" t="str">
        <f t="shared" si="43"/>
        <v/>
      </c>
      <c r="M146" s="39" t="str">
        <f t="shared" si="44"/>
        <v/>
      </c>
      <c r="N146" s="29"/>
      <c r="O146" s="30"/>
      <c r="P146" s="30"/>
      <c r="Q146" s="62"/>
      <c r="R146" s="62"/>
      <c r="S146" s="63" t="str">
        <f t="shared" ca="1" si="41"/>
        <v/>
      </c>
      <c r="T146" s="29"/>
      <c r="U146" s="15" t="str">
        <f t="shared" ca="1" si="42"/>
        <v/>
      </c>
      <c r="V146" s="36"/>
      <c r="W146" s="46"/>
      <c r="X146" s="44" t="str">
        <f t="shared" si="45"/>
        <v/>
      </c>
      <c r="Y146" s="44" t="str">
        <f t="shared" si="46"/>
        <v/>
      </c>
    </row>
    <row r="147" spans="1:25" s="21" customFormat="1" ht="15" customHeight="1" x14ac:dyDescent="0.25">
      <c r="A147" s="25"/>
      <c r="B147" s="26"/>
      <c r="C147" s="25"/>
      <c r="D147" s="26"/>
      <c r="E147" s="26"/>
      <c r="F147" s="26"/>
      <c r="G147" s="38"/>
      <c r="H147" s="38"/>
      <c r="I147" s="38"/>
      <c r="J147" s="26"/>
      <c r="K147" s="26"/>
      <c r="L147" s="38" t="str">
        <f t="shared" si="43"/>
        <v/>
      </c>
      <c r="M147" s="38" t="str">
        <f t="shared" si="44"/>
        <v/>
      </c>
      <c r="N147" s="26"/>
      <c r="O147" s="27"/>
      <c r="P147" s="27"/>
      <c r="Q147" s="60"/>
      <c r="R147" s="60"/>
      <c r="S147" s="61" t="str">
        <f t="shared" ca="1" si="41"/>
        <v/>
      </c>
      <c r="T147" s="26"/>
      <c r="U147" s="12" t="str">
        <f t="shared" ca="1" si="42"/>
        <v/>
      </c>
      <c r="V147" s="35"/>
      <c r="W147" s="47"/>
      <c r="X147" s="45" t="str">
        <f t="shared" si="45"/>
        <v/>
      </c>
      <c r="Y147" s="45" t="str">
        <f t="shared" si="46"/>
        <v/>
      </c>
    </row>
    <row r="148" spans="1:25" s="21" customFormat="1" ht="15" customHeight="1" x14ac:dyDescent="0.25">
      <c r="A148" s="28"/>
      <c r="B148" s="29"/>
      <c r="C148" s="28"/>
      <c r="D148" s="29"/>
      <c r="E148" s="29"/>
      <c r="F148" s="29"/>
      <c r="G148" s="39"/>
      <c r="H148" s="39"/>
      <c r="I148" s="39"/>
      <c r="J148" s="29"/>
      <c r="K148" s="29"/>
      <c r="L148" s="39" t="str">
        <f t="shared" si="43"/>
        <v/>
      </c>
      <c r="M148" s="39" t="str">
        <f t="shared" si="44"/>
        <v/>
      </c>
      <c r="N148" s="29"/>
      <c r="O148" s="30"/>
      <c r="P148" s="30"/>
      <c r="Q148" s="62"/>
      <c r="R148" s="62"/>
      <c r="S148" s="63" t="str">
        <f t="shared" ca="1" si="41"/>
        <v/>
      </c>
      <c r="T148" s="29"/>
      <c r="U148" s="15" t="str">
        <f t="shared" ca="1" si="42"/>
        <v/>
      </c>
      <c r="V148" s="36"/>
      <c r="W148" s="46"/>
      <c r="X148" s="44" t="str">
        <f t="shared" si="45"/>
        <v/>
      </c>
      <c r="Y148" s="44" t="str">
        <f t="shared" si="46"/>
        <v/>
      </c>
    </row>
    <row r="149" spans="1:25" s="21" customFormat="1" ht="15" customHeight="1" x14ac:dyDescent="0.25">
      <c r="A149" s="25"/>
      <c r="B149" s="26"/>
      <c r="C149" s="25"/>
      <c r="D149" s="26"/>
      <c r="E149" s="26"/>
      <c r="F149" s="26"/>
      <c r="G149" s="38"/>
      <c r="H149" s="38"/>
      <c r="I149" s="38"/>
      <c r="J149" s="26"/>
      <c r="K149" s="26"/>
      <c r="L149" s="38" t="str">
        <f t="shared" si="43"/>
        <v/>
      </c>
      <c r="M149" s="38" t="str">
        <f t="shared" si="44"/>
        <v/>
      </c>
      <c r="N149" s="26"/>
      <c r="O149" s="27"/>
      <c r="P149" s="27"/>
      <c r="Q149" s="60"/>
      <c r="R149" s="60"/>
      <c r="S149" s="61" t="str">
        <f t="shared" ca="1" si="41"/>
        <v/>
      </c>
      <c r="T149" s="26"/>
      <c r="U149" s="12" t="str">
        <f t="shared" ca="1" si="42"/>
        <v/>
      </c>
      <c r="V149" s="35"/>
      <c r="W149" s="47"/>
      <c r="X149" s="45" t="str">
        <f t="shared" si="45"/>
        <v/>
      </c>
      <c r="Y149" s="45" t="str">
        <f t="shared" si="46"/>
        <v/>
      </c>
    </row>
    <row r="150" spans="1:25" s="21" customFormat="1" ht="15" customHeight="1" x14ac:dyDescent="0.25">
      <c r="A150" s="28"/>
      <c r="B150" s="29"/>
      <c r="C150" s="28"/>
      <c r="D150" s="29"/>
      <c r="E150" s="29"/>
      <c r="F150" s="29"/>
      <c r="G150" s="38"/>
      <c r="H150" s="38"/>
      <c r="I150" s="38"/>
      <c r="J150" s="29"/>
      <c r="K150" s="29"/>
      <c r="L150" s="39" t="str">
        <f t="shared" si="43"/>
        <v/>
      </c>
      <c r="M150" s="39" t="str">
        <f t="shared" si="44"/>
        <v/>
      </c>
      <c r="N150" s="29"/>
      <c r="O150" s="30"/>
      <c r="P150" s="30"/>
      <c r="Q150" s="62"/>
      <c r="R150" s="62"/>
      <c r="S150" s="63" t="str">
        <f t="shared" ca="1" si="41"/>
        <v/>
      </c>
      <c r="T150" s="29"/>
      <c r="U150" s="15" t="str">
        <f t="shared" ca="1" si="42"/>
        <v/>
      </c>
      <c r="V150" s="36"/>
      <c r="W150" s="46"/>
      <c r="X150" s="44" t="str">
        <f t="shared" si="45"/>
        <v/>
      </c>
      <c r="Y150" s="44" t="str">
        <f t="shared" si="46"/>
        <v/>
      </c>
    </row>
    <row r="151" spans="1:25" s="21" customFormat="1" ht="15" customHeight="1" x14ac:dyDescent="0.25">
      <c r="A151" s="25"/>
      <c r="B151" s="26"/>
      <c r="C151" s="25"/>
      <c r="D151" s="26"/>
      <c r="E151" s="26"/>
      <c r="F151" s="26"/>
      <c r="G151" s="39"/>
      <c r="H151" s="39"/>
      <c r="I151" s="39"/>
      <c r="J151" s="26"/>
      <c r="K151" s="26"/>
      <c r="L151" s="38" t="str">
        <f t="shared" si="43"/>
        <v/>
      </c>
      <c r="M151" s="38" t="str">
        <f t="shared" si="44"/>
        <v/>
      </c>
      <c r="N151" s="26"/>
      <c r="O151" s="27"/>
      <c r="P151" s="27"/>
      <c r="Q151" s="60"/>
      <c r="R151" s="60"/>
      <c r="S151" s="61" t="str">
        <f t="shared" ca="1" si="41"/>
        <v/>
      </c>
      <c r="T151" s="26"/>
      <c r="U151" s="12" t="str">
        <f t="shared" ca="1" si="42"/>
        <v/>
      </c>
      <c r="V151" s="35"/>
      <c r="W151" s="47"/>
      <c r="X151" s="45" t="str">
        <f t="shared" si="45"/>
        <v/>
      </c>
      <c r="Y151" s="45" t="str">
        <f t="shared" si="46"/>
        <v/>
      </c>
    </row>
    <row r="152" spans="1:25" s="21" customFormat="1" ht="15" customHeight="1" x14ac:dyDescent="0.25">
      <c r="A152" s="28"/>
      <c r="B152" s="29"/>
      <c r="C152" s="28"/>
      <c r="D152" s="29"/>
      <c r="E152" s="29"/>
      <c r="F152" s="29"/>
      <c r="G152" s="38"/>
      <c r="H152" s="38"/>
      <c r="I152" s="38"/>
      <c r="J152" s="29"/>
      <c r="K152" s="29"/>
      <c r="L152" s="39" t="str">
        <f t="shared" si="43"/>
        <v/>
      </c>
      <c r="M152" s="39" t="str">
        <f t="shared" si="44"/>
        <v/>
      </c>
      <c r="N152" s="29"/>
      <c r="O152" s="30"/>
      <c r="P152" s="30"/>
      <c r="Q152" s="62"/>
      <c r="R152" s="62"/>
      <c r="S152" s="63" t="str">
        <f t="shared" ca="1" si="41"/>
        <v/>
      </c>
      <c r="T152" s="29"/>
      <c r="U152" s="15" t="str">
        <f t="shared" ca="1" si="42"/>
        <v/>
      </c>
      <c r="V152" s="36"/>
      <c r="W152" s="46"/>
      <c r="X152" s="44" t="str">
        <f t="shared" si="45"/>
        <v/>
      </c>
      <c r="Y152" s="44" t="str">
        <f t="shared" si="46"/>
        <v/>
      </c>
    </row>
    <row r="153" spans="1:25" s="21" customFormat="1" ht="15" customHeight="1" x14ac:dyDescent="0.25">
      <c r="A153" s="25"/>
      <c r="B153" s="26"/>
      <c r="C153" s="25"/>
      <c r="D153" s="26"/>
      <c r="E153" s="26"/>
      <c r="F153" s="26"/>
      <c r="G153" s="38"/>
      <c r="H153" s="38"/>
      <c r="I153" s="38"/>
      <c r="J153" s="26"/>
      <c r="K153" s="26"/>
      <c r="L153" s="38" t="str">
        <f t="shared" si="43"/>
        <v/>
      </c>
      <c r="M153" s="38" t="str">
        <f t="shared" si="44"/>
        <v/>
      </c>
      <c r="N153" s="26"/>
      <c r="O153" s="27"/>
      <c r="P153" s="27"/>
      <c r="Q153" s="60"/>
      <c r="R153" s="60"/>
      <c r="S153" s="61" t="str">
        <f t="shared" ca="1" si="41"/>
        <v/>
      </c>
      <c r="T153" s="26"/>
      <c r="U153" s="12" t="str">
        <f t="shared" ca="1" si="42"/>
        <v/>
      </c>
      <c r="V153" s="35"/>
      <c r="W153" s="47"/>
      <c r="X153" s="45" t="str">
        <f t="shared" si="45"/>
        <v/>
      </c>
      <c r="Y153" s="45" t="str">
        <f t="shared" si="46"/>
        <v/>
      </c>
    </row>
    <row r="154" spans="1:25" s="21" customFormat="1" ht="15" customHeight="1" x14ac:dyDescent="0.25">
      <c r="A154" s="28"/>
      <c r="B154" s="29"/>
      <c r="C154" s="28"/>
      <c r="D154" s="29"/>
      <c r="E154" s="29"/>
      <c r="F154" s="29"/>
      <c r="G154" s="39"/>
      <c r="H154" s="39"/>
      <c r="I154" s="39"/>
      <c r="J154" s="29"/>
      <c r="K154" s="29"/>
      <c r="L154" s="39" t="str">
        <f t="shared" si="43"/>
        <v/>
      </c>
      <c r="M154" s="39" t="str">
        <f t="shared" si="44"/>
        <v/>
      </c>
      <c r="N154" s="29"/>
      <c r="O154" s="30"/>
      <c r="P154" s="30"/>
      <c r="Q154" s="62"/>
      <c r="R154" s="62"/>
      <c r="S154" s="63" t="str">
        <f t="shared" ca="1" si="41"/>
        <v/>
      </c>
      <c r="T154" s="29"/>
      <c r="U154" s="15" t="str">
        <f t="shared" ca="1" si="42"/>
        <v/>
      </c>
      <c r="V154" s="36"/>
      <c r="W154" s="46"/>
      <c r="X154" s="44" t="str">
        <f t="shared" si="45"/>
        <v/>
      </c>
      <c r="Y154" s="44" t="str">
        <f t="shared" si="46"/>
        <v/>
      </c>
    </row>
    <row r="155" spans="1:25" s="21" customFormat="1" ht="15" customHeight="1" x14ac:dyDescent="0.25">
      <c r="A155" s="25"/>
      <c r="B155" s="26"/>
      <c r="C155" s="25"/>
      <c r="D155" s="26"/>
      <c r="E155" s="26"/>
      <c r="F155" s="26"/>
      <c r="G155" s="38"/>
      <c r="H155" s="38"/>
      <c r="I155" s="38"/>
      <c r="J155" s="26"/>
      <c r="K155" s="26"/>
      <c r="L155" s="38" t="str">
        <f t="shared" si="43"/>
        <v/>
      </c>
      <c r="M155" s="38" t="str">
        <f t="shared" si="44"/>
        <v/>
      </c>
      <c r="N155" s="26"/>
      <c r="O155" s="27"/>
      <c r="P155" s="27"/>
      <c r="Q155" s="60"/>
      <c r="R155" s="60"/>
      <c r="S155" s="61" t="str">
        <f t="shared" ca="1" si="41"/>
        <v/>
      </c>
      <c r="T155" s="26"/>
      <c r="U155" s="12" t="str">
        <f t="shared" ca="1" si="42"/>
        <v/>
      </c>
      <c r="V155" s="35"/>
      <c r="W155" s="47"/>
      <c r="X155" s="45" t="str">
        <f t="shared" si="45"/>
        <v/>
      </c>
      <c r="Y155" s="45" t="str">
        <f t="shared" si="46"/>
        <v/>
      </c>
    </row>
    <row r="156" spans="1:25" s="21" customFormat="1" ht="15" customHeight="1" x14ac:dyDescent="0.25">
      <c r="A156" s="28"/>
      <c r="B156" s="29"/>
      <c r="C156" s="28"/>
      <c r="D156" s="29"/>
      <c r="E156" s="29"/>
      <c r="F156" s="29"/>
      <c r="G156" s="38"/>
      <c r="H156" s="38"/>
      <c r="I156" s="38"/>
      <c r="J156" s="29"/>
      <c r="K156" s="29"/>
      <c r="L156" s="39" t="str">
        <f t="shared" si="43"/>
        <v/>
      </c>
      <c r="M156" s="39" t="str">
        <f t="shared" si="44"/>
        <v/>
      </c>
      <c r="N156" s="29"/>
      <c r="O156" s="30"/>
      <c r="P156" s="30"/>
      <c r="Q156" s="62"/>
      <c r="R156" s="62"/>
      <c r="S156" s="63" t="str">
        <f t="shared" ca="1" si="41"/>
        <v/>
      </c>
      <c r="T156" s="29"/>
      <c r="U156" s="15" t="str">
        <f t="shared" ca="1" si="42"/>
        <v/>
      </c>
      <c r="V156" s="36"/>
      <c r="W156" s="46"/>
      <c r="X156" s="44" t="str">
        <f t="shared" si="45"/>
        <v/>
      </c>
      <c r="Y156" s="44" t="str">
        <f t="shared" si="46"/>
        <v/>
      </c>
    </row>
    <row r="157" spans="1:25" s="21" customFormat="1" ht="15" customHeight="1" x14ac:dyDescent="0.25">
      <c r="A157" s="25"/>
      <c r="B157" s="26"/>
      <c r="C157" s="25"/>
      <c r="D157" s="26"/>
      <c r="E157" s="26"/>
      <c r="F157" s="26"/>
      <c r="G157" s="39"/>
      <c r="H157" s="39"/>
      <c r="I157" s="39"/>
      <c r="J157" s="26"/>
      <c r="K157" s="26"/>
      <c r="L157" s="38" t="str">
        <f t="shared" si="43"/>
        <v/>
      </c>
      <c r="M157" s="38" t="str">
        <f t="shared" si="44"/>
        <v/>
      </c>
      <c r="N157" s="26"/>
      <c r="O157" s="27"/>
      <c r="P157" s="27"/>
      <c r="Q157" s="60"/>
      <c r="R157" s="60"/>
      <c r="S157" s="61" t="str">
        <f t="shared" ca="1" si="41"/>
        <v/>
      </c>
      <c r="T157" s="26"/>
      <c r="U157" s="12" t="str">
        <f t="shared" ca="1" si="42"/>
        <v/>
      </c>
      <c r="V157" s="35"/>
      <c r="W157" s="47"/>
      <c r="X157" s="45" t="str">
        <f t="shared" si="45"/>
        <v/>
      </c>
      <c r="Y157" s="45" t="str">
        <f t="shared" si="46"/>
        <v/>
      </c>
    </row>
    <row r="158" spans="1:25" s="21" customFormat="1" ht="15" customHeight="1" x14ac:dyDescent="0.25">
      <c r="A158" s="28"/>
      <c r="B158" s="29"/>
      <c r="C158" s="28"/>
      <c r="D158" s="29"/>
      <c r="E158" s="29"/>
      <c r="F158" s="29"/>
      <c r="G158" s="38"/>
      <c r="H158" s="38"/>
      <c r="I158" s="38"/>
      <c r="J158" s="29"/>
      <c r="K158" s="29"/>
      <c r="L158" s="39" t="str">
        <f t="shared" si="43"/>
        <v/>
      </c>
      <c r="M158" s="39" t="str">
        <f t="shared" si="44"/>
        <v/>
      </c>
      <c r="N158" s="29"/>
      <c r="O158" s="30"/>
      <c r="P158" s="30"/>
      <c r="Q158" s="62"/>
      <c r="R158" s="62"/>
      <c r="S158" s="63" t="str">
        <f t="shared" ca="1" si="41"/>
        <v/>
      </c>
      <c r="T158" s="29"/>
      <c r="U158" s="15" t="str">
        <f t="shared" ca="1" si="42"/>
        <v/>
      </c>
      <c r="V158" s="36"/>
      <c r="W158" s="46"/>
      <c r="X158" s="44" t="str">
        <f t="shared" si="45"/>
        <v/>
      </c>
      <c r="Y158" s="44" t="str">
        <f t="shared" si="46"/>
        <v/>
      </c>
    </row>
    <row r="159" spans="1:25" s="21" customFormat="1" ht="15" customHeight="1" x14ac:dyDescent="0.25">
      <c r="A159" s="25"/>
      <c r="B159" s="26"/>
      <c r="C159" s="25"/>
      <c r="D159" s="26"/>
      <c r="E159" s="26"/>
      <c r="F159" s="26"/>
      <c r="G159" s="38"/>
      <c r="H159" s="38"/>
      <c r="I159" s="38"/>
      <c r="J159" s="26"/>
      <c r="K159" s="26"/>
      <c r="L159" s="38" t="str">
        <f t="shared" si="43"/>
        <v/>
      </c>
      <c r="M159" s="38" t="str">
        <f t="shared" si="44"/>
        <v/>
      </c>
      <c r="N159" s="26"/>
      <c r="O159" s="27"/>
      <c r="P159" s="27"/>
      <c r="Q159" s="60"/>
      <c r="R159" s="60"/>
      <c r="S159" s="61" t="str">
        <f t="shared" ca="1" si="41"/>
        <v/>
      </c>
      <c r="T159" s="26"/>
      <c r="U159" s="12" t="str">
        <f t="shared" ca="1" si="42"/>
        <v/>
      </c>
      <c r="V159" s="35"/>
      <c r="W159" s="47"/>
      <c r="X159" s="45" t="str">
        <f t="shared" si="45"/>
        <v/>
      </c>
      <c r="Y159" s="45" t="str">
        <f t="shared" si="46"/>
        <v/>
      </c>
    </row>
    <row r="160" spans="1:25" s="21" customFormat="1" ht="15" customHeight="1" x14ac:dyDescent="0.25">
      <c r="A160" s="28"/>
      <c r="B160" s="29"/>
      <c r="C160" s="28"/>
      <c r="D160" s="29"/>
      <c r="E160" s="29"/>
      <c r="F160" s="29"/>
      <c r="G160" s="39"/>
      <c r="H160" s="39"/>
      <c r="I160" s="39"/>
      <c r="J160" s="29"/>
      <c r="K160" s="29"/>
      <c r="L160" s="39" t="str">
        <f t="shared" si="43"/>
        <v/>
      </c>
      <c r="M160" s="39" t="str">
        <f t="shared" si="44"/>
        <v/>
      </c>
      <c r="N160" s="29"/>
      <c r="O160" s="30"/>
      <c r="P160" s="30"/>
      <c r="Q160" s="62"/>
      <c r="R160" s="62"/>
      <c r="S160" s="63" t="str">
        <f t="shared" ca="1" si="41"/>
        <v/>
      </c>
      <c r="T160" s="29"/>
      <c r="U160" s="15" t="str">
        <f t="shared" ca="1" si="42"/>
        <v/>
      </c>
      <c r="V160" s="36"/>
      <c r="W160" s="46"/>
      <c r="X160" s="44" t="str">
        <f t="shared" si="45"/>
        <v/>
      </c>
      <c r="Y160" s="44" t="str">
        <f t="shared" si="46"/>
        <v/>
      </c>
    </row>
    <row r="161" spans="1:25" s="21" customFormat="1" ht="15" customHeight="1" x14ac:dyDescent="0.25">
      <c r="A161" s="25"/>
      <c r="B161" s="26"/>
      <c r="C161" s="25"/>
      <c r="D161" s="26"/>
      <c r="E161" s="26"/>
      <c r="F161" s="26"/>
      <c r="G161" s="38"/>
      <c r="H161" s="38"/>
      <c r="I161" s="38"/>
      <c r="J161" s="26"/>
      <c r="K161" s="26"/>
      <c r="L161" s="38" t="str">
        <f t="shared" si="43"/>
        <v/>
      </c>
      <c r="M161" s="38" t="str">
        <f t="shared" si="44"/>
        <v/>
      </c>
      <c r="N161" s="26"/>
      <c r="O161" s="27"/>
      <c r="P161" s="27"/>
      <c r="Q161" s="60"/>
      <c r="R161" s="60"/>
      <c r="S161" s="61" t="str">
        <f t="shared" ca="1" si="41"/>
        <v/>
      </c>
      <c r="T161" s="26"/>
      <c r="U161" s="12" t="str">
        <f t="shared" ca="1" si="42"/>
        <v/>
      </c>
      <c r="V161" s="35"/>
      <c r="W161" s="47"/>
      <c r="X161" s="45" t="str">
        <f t="shared" si="45"/>
        <v/>
      </c>
      <c r="Y161" s="45" t="str">
        <f t="shared" si="46"/>
        <v/>
      </c>
    </row>
    <row r="162" spans="1:25" s="21" customFormat="1" ht="15" customHeight="1" x14ac:dyDescent="0.25">
      <c r="A162" s="28"/>
      <c r="B162" s="29"/>
      <c r="C162" s="28"/>
      <c r="D162" s="29"/>
      <c r="E162" s="29"/>
      <c r="F162" s="29"/>
      <c r="G162" s="38"/>
      <c r="H162" s="38"/>
      <c r="I162" s="38"/>
      <c r="J162" s="29"/>
      <c r="K162" s="29"/>
      <c r="L162" s="39" t="str">
        <f t="shared" si="43"/>
        <v/>
      </c>
      <c r="M162" s="39" t="str">
        <f t="shared" si="44"/>
        <v/>
      </c>
      <c r="N162" s="29"/>
      <c r="O162" s="30"/>
      <c r="P162" s="30"/>
      <c r="Q162" s="62"/>
      <c r="R162" s="62"/>
      <c r="S162" s="63" t="str">
        <f t="shared" ca="1" si="41"/>
        <v/>
      </c>
      <c r="T162" s="29"/>
      <c r="U162" s="15" t="str">
        <f t="shared" ca="1" si="42"/>
        <v/>
      </c>
      <c r="V162" s="36"/>
      <c r="W162" s="46"/>
      <c r="X162" s="44" t="str">
        <f t="shared" si="45"/>
        <v/>
      </c>
      <c r="Y162" s="44" t="str">
        <f t="shared" si="46"/>
        <v/>
      </c>
    </row>
    <row r="163" spans="1:25" s="21" customFormat="1" ht="15" customHeight="1" x14ac:dyDescent="0.25">
      <c r="A163" s="25"/>
      <c r="B163" s="26"/>
      <c r="C163" s="25"/>
      <c r="D163" s="26"/>
      <c r="E163" s="26"/>
      <c r="F163" s="26"/>
      <c r="G163" s="39"/>
      <c r="H163" s="39"/>
      <c r="I163" s="39"/>
      <c r="J163" s="26"/>
      <c r="K163" s="26"/>
      <c r="L163" s="38" t="str">
        <f t="shared" si="43"/>
        <v/>
      </c>
      <c r="M163" s="38" t="str">
        <f t="shared" si="44"/>
        <v/>
      </c>
      <c r="N163" s="26"/>
      <c r="O163" s="27"/>
      <c r="P163" s="27"/>
      <c r="Q163" s="60"/>
      <c r="R163" s="60"/>
      <c r="S163" s="61" t="str">
        <f t="shared" ca="1" si="41"/>
        <v/>
      </c>
      <c r="T163" s="26"/>
      <c r="U163" s="12" t="str">
        <f t="shared" ca="1" si="42"/>
        <v/>
      </c>
      <c r="V163" s="35"/>
      <c r="W163" s="47"/>
      <c r="X163" s="45" t="str">
        <f t="shared" si="45"/>
        <v/>
      </c>
      <c r="Y163" s="45" t="str">
        <f t="shared" si="46"/>
        <v/>
      </c>
    </row>
    <row r="164" spans="1:25" s="21" customFormat="1" ht="15" customHeight="1" x14ac:dyDescent="0.25">
      <c r="A164" s="28"/>
      <c r="B164" s="29"/>
      <c r="C164" s="28"/>
      <c r="D164" s="29"/>
      <c r="E164" s="29"/>
      <c r="F164" s="29"/>
      <c r="G164" s="38"/>
      <c r="H164" s="38"/>
      <c r="I164" s="38"/>
      <c r="J164" s="29"/>
      <c r="K164" s="29"/>
      <c r="L164" s="39" t="str">
        <f t="shared" si="43"/>
        <v/>
      </c>
      <c r="M164" s="39" t="str">
        <f t="shared" si="44"/>
        <v/>
      </c>
      <c r="N164" s="29"/>
      <c r="O164" s="30"/>
      <c r="P164" s="30"/>
      <c r="Q164" s="62"/>
      <c r="R164" s="62"/>
      <c r="S164" s="63" t="str">
        <f t="shared" ca="1" si="41"/>
        <v/>
      </c>
      <c r="T164" s="29"/>
      <c r="U164" s="15" t="str">
        <f t="shared" ca="1" si="42"/>
        <v/>
      </c>
      <c r="V164" s="36"/>
      <c r="W164" s="46"/>
      <c r="X164" s="44" t="str">
        <f t="shared" si="45"/>
        <v/>
      </c>
      <c r="Y164" s="44" t="str">
        <f t="shared" si="46"/>
        <v/>
      </c>
    </row>
    <row r="165" spans="1:25" s="21" customFormat="1" ht="15" customHeight="1" x14ac:dyDescent="0.25">
      <c r="A165" s="25"/>
      <c r="B165" s="26"/>
      <c r="C165" s="25"/>
      <c r="D165" s="26"/>
      <c r="E165" s="26"/>
      <c r="F165" s="26"/>
      <c r="G165" s="38"/>
      <c r="H165" s="38"/>
      <c r="I165" s="38"/>
      <c r="J165" s="26"/>
      <c r="K165" s="26"/>
      <c r="L165" s="38" t="str">
        <f t="shared" si="43"/>
        <v/>
      </c>
      <c r="M165" s="38" t="str">
        <f t="shared" si="44"/>
        <v/>
      </c>
      <c r="N165" s="26"/>
      <c r="O165" s="27"/>
      <c r="P165" s="27"/>
      <c r="Q165" s="60"/>
      <c r="R165" s="60"/>
      <c r="S165" s="61" t="str">
        <f t="shared" ca="1" si="41"/>
        <v/>
      </c>
      <c r="T165" s="26"/>
      <c r="U165" s="12" t="str">
        <f t="shared" ca="1" si="42"/>
        <v/>
      </c>
      <c r="V165" s="35"/>
      <c r="W165" s="47"/>
      <c r="X165" s="45" t="str">
        <f t="shared" si="45"/>
        <v/>
      </c>
      <c r="Y165" s="45" t="str">
        <f t="shared" si="46"/>
        <v/>
      </c>
    </row>
    <row r="166" spans="1:25" s="21" customFormat="1" ht="15" customHeight="1" x14ac:dyDescent="0.25">
      <c r="A166" s="28"/>
      <c r="B166" s="29"/>
      <c r="C166" s="28"/>
      <c r="D166" s="29"/>
      <c r="E166" s="29"/>
      <c r="F166" s="29"/>
      <c r="G166" s="39"/>
      <c r="H166" s="39"/>
      <c r="I166" s="39"/>
      <c r="J166" s="29"/>
      <c r="K166" s="29"/>
      <c r="L166" s="39" t="str">
        <f t="shared" si="43"/>
        <v/>
      </c>
      <c r="M166" s="39" t="str">
        <f t="shared" si="44"/>
        <v/>
      </c>
      <c r="N166" s="29"/>
      <c r="O166" s="30"/>
      <c r="P166" s="30"/>
      <c r="Q166" s="62"/>
      <c r="R166" s="62"/>
      <c r="S166" s="63" t="str">
        <f t="shared" ref="S166:S197" ca="1" si="47">IF(OR(O166="",P166=""),"",IF(R166&lt;&gt;"",1,IF(Q166="",0,MAX(0,MIN(1,(TODAY()-O166)/(P166-O166+1))))))</f>
        <v/>
      </c>
      <c r="T166" s="29"/>
      <c r="U166" s="15" t="str">
        <f t="shared" ref="U166:U197" ca="1" si="48">IF(P166="","",P166-TODAY())</f>
        <v/>
      </c>
      <c r="V166" s="36"/>
      <c r="W166" s="46"/>
      <c r="X166" s="44" t="str">
        <f t="shared" si="45"/>
        <v/>
      </c>
      <c r="Y166" s="44" t="str">
        <f t="shared" si="46"/>
        <v/>
      </c>
    </row>
    <row r="167" spans="1:25" s="21" customFormat="1" ht="15" customHeight="1" x14ac:dyDescent="0.25">
      <c r="A167" s="25"/>
      <c r="B167" s="26"/>
      <c r="C167" s="25"/>
      <c r="D167" s="26"/>
      <c r="E167" s="26"/>
      <c r="F167" s="26"/>
      <c r="G167" s="38"/>
      <c r="H167" s="38"/>
      <c r="I167" s="38"/>
      <c r="J167" s="26"/>
      <c r="K167" s="26"/>
      <c r="L167" s="38" t="str">
        <f t="shared" si="43"/>
        <v/>
      </c>
      <c r="M167" s="38" t="str">
        <f t="shared" si="44"/>
        <v/>
      </c>
      <c r="N167" s="26"/>
      <c r="O167" s="27"/>
      <c r="P167" s="27"/>
      <c r="Q167" s="60"/>
      <c r="R167" s="60"/>
      <c r="S167" s="61" t="str">
        <f t="shared" ca="1" si="47"/>
        <v/>
      </c>
      <c r="T167" s="26"/>
      <c r="U167" s="12" t="str">
        <f t="shared" ca="1" si="48"/>
        <v/>
      </c>
      <c r="V167" s="35"/>
      <c r="W167" s="47"/>
      <c r="X167" s="45" t="str">
        <f t="shared" si="45"/>
        <v/>
      </c>
      <c r="Y167" s="45" t="str">
        <f t="shared" si="46"/>
        <v/>
      </c>
    </row>
    <row r="168" spans="1:25" s="21" customFormat="1" ht="15" customHeight="1" x14ac:dyDescent="0.25">
      <c r="A168" s="28"/>
      <c r="B168" s="29"/>
      <c r="C168" s="28"/>
      <c r="D168" s="29"/>
      <c r="E168" s="29"/>
      <c r="F168" s="29"/>
      <c r="G168" s="38"/>
      <c r="H168" s="38"/>
      <c r="I168" s="38"/>
      <c r="J168" s="29"/>
      <c r="K168" s="29"/>
      <c r="L168" s="39" t="str">
        <f t="shared" si="43"/>
        <v/>
      </c>
      <c r="M168" s="39" t="str">
        <f t="shared" si="44"/>
        <v/>
      </c>
      <c r="N168" s="29"/>
      <c r="O168" s="30"/>
      <c r="P168" s="30"/>
      <c r="Q168" s="62"/>
      <c r="R168" s="62"/>
      <c r="S168" s="63" t="str">
        <f t="shared" ca="1" si="47"/>
        <v/>
      </c>
      <c r="T168" s="29"/>
      <c r="U168" s="15" t="str">
        <f t="shared" ca="1" si="48"/>
        <v/>
      </c>
      <c r="V168" s="36"/>
      <c r="W168" s="46"/>
      <c r="X168" s="44" t="str">
        <f t="shared" si="45"/>
        <v/>
      </c>
      <c r="Y168" s="44" t="str">
        <f t="shared" si="46"/>
        <v/>
      </c>
    </row>
    <row r="169" spans="1:25" s="21" customFormat="1" ht="15" customHeight="1" x14ac:dyDescent="0.25">
      <c r="A169" s="25"/>
      <c r="B169" s="26"/>
      <c r="C169" s="25"/>
      <c r="D169" s="26"/>
      <c r="E169" s="26"/>
      <c r="F169" s="26"/>
      <c r="G169" s="39"/>
      <c r="H169" s="39"/>
      <c r="I169" s="39"/>
      <c r="J169" s="26"/>
      <c r="K169" s="26"/>
      <c r="L169" s="38" t="str">
        <f t="shared" ref="L169:L200" si="49">IF(J169="","",_xlfn.TRANSLATE(J169,"vi","ja"))</f>
        <v/>
      </c>
      <c r="M169" s="38" t="str">
        <f t="shared" ref="M169:M205" si="50">IF(J169="","",_xlfn.TRANSLATE(J169,"vi","zh-Hans"))</f>
        <v/>
      </c>
      <c r="N169" s="26"/>
      <c r="O169" s="27"/>
      <c r="P169" s="27"/>
      <c r="Q169" s="60"/>
      <c r="R169" s="60"/>
      <c r="S169" s="61" t="str">
        <f t="shared" ca="1" si="47"/>
        <v/>
      </c>
      <c r="T169" s="26"/>
      <c r="U169" s="12" t="str">
        <f t="shared" ca="1" si="48"/>
        <v/>
      </c>
      <c r="V169" s="35"/>
      <c r="W169" s="47"/>
      <c r="X169" s="45" t="str">
        <f t="shared" ref="X169:X200" si="51">IF(V169="","",_xlfn.TRANSLATE(V169,"vi","ja"))</f>
        <v/>
      </c>
      <c r="Y169" s="45" t="str">
        <f t="shared" ref="Y169:Y205" si="52">IF(V169="","",_xlfn.TRANSLATE(V169,"vi","zh-Hans"))</f>
        <v/>
      </c>
    </row>
    <row r="170" spans="1:25" s="21" customFormat="1" ht="15" customHeight="1" x14ac:dyDescent="0.25">
      <c r="A170" s="28"/>
      <c r="B170" s="29"/>
      <c r="C170" s="28"/>
      <c r="D170" s="29"/>
      <c r="E170" s="29"/>
      <c r="F170" s="29"/>
      <c r="G170" s="38"/>
      <c r="H170" s="38"/>
      <c r="I170" s="38"/>
      <c r="J170" s="29"/>
      <c r="K170" s="29"/>
      <c r="L170" s="39" t="str">
        <f t="shared" si="49"/>
        <v/>
      </c>
      <c r="M170" s="39" t="str">
        <f t="shared" si="50"/>
        <v/>
      </c>
      <c r="N170" s="29"/>
      <c r="O170" s="30"/>
      <c r="P170" s="30"/>
      <c r="Q170" s="62"/>
      <c r="R170" s="62"/>
      <c r="S170" s="63" t="str">
        <f t="shared" ca="1" si="47"/>
        <v/>
      </c>
      <c r="T170" s="29"/>
      <c r="U170" s="15" t="str">
        <f t="shared" ca="1" si="48"/>
        <v/>
      </c>
      <c r="V170" s="36"/>
      <c r="W170" s="46"/>
      <c r="X170" s="44" t="str">
        <f t="shared" si="51"/>
        <v/>
      </c>
      <c r="Y170" s="44" t="str">
        <f t="shared" si="52"/>
        <v/>
      </c>
    </row>
    <row r="171" spans="1:25" s="21" customFormat="1" ht="15" customHeight="1" x14ac:dyDescent="0.25">
      <c r="A171" s="25"/>
      <c r="B171" s="26"/>
      <c r="C171" s="25"/>
      <c r="D171" s="26"/>
      <c r="E171" s="26"/>
      <c r="F171" s="26"/>
      <c r="G171" s="38"/>
      <c r="H171" s="38"/>
      <c r="I171" s="38"/>
      <c r="J171" s="26"/>
      <c r="K171" s="26"/>
      <c r="L171" s="38" t="str">
        <f t="shared" si="49"/>
        <v/>
      </c>
      <c r="M171" s="38" t="str">
        <f t="shared" si="50"/>
        <v/>
      </c>
      <c r="N171" s="26"/>
      <c r="O171" s="27"/>
      <c r="P171" s="27"/>
      <c r="Q171" s="60"/>
      <c r="R171" s="60"/>
      <c r="S171" s="61" t="str">
        <f t="shared" ca="1" si="47"/>
        <v/>
      </c>
      <c r="T171" s="26"/>
      <c r="U171" s="12" t="str">
        <f t="shared" ca="1" si="48"/>
        <v/>
      </c>
      <c r="V171" s="35"/>
      <c r="W171" s="47"/>
      <c r="X171" s="45" t="str">
        <f t="shared" si="51"/>
        <v/>
      </c>
      <c r="Y171" s="45" t="str">
        <f t="shared" si="52"/>
        <v/>
      </c>
    </row>
    <row r="172" spans="1:25" s="21" customFormat="1" ht="15" customHeight="1" x14ac:dyDescent="0.25">
      <c r="A172" s="28"/>
      <c r="B172" s="29"/>
      <c r="C172" s="28"/>
      <c r="D172" s="29"/>
      <c r="E172" s="29"/>
      <c r="F172" s="29"/>
      <c r="G172" s="39"/>
      <c r="H172" s="39"/>
      <c r="I172" s="39"/>
      <c r="J172" s="29"/>
      <c r="K172" s="29"/>
      <c r="L172" s="39" t="str">
        <f t="shared" si="49"/>
        <v/>
      </c>
      <c r="M172" s="39" t="str">
        <f t="shared" si="50"/>
        <v/>
      </c>
      <c r="N172" s="29"/>
      <c r="O172" s="30"/>
      <c r="P172" s="30"/>
      <c r="Q172" s="62"/>
      <c r="R172" s="62"/>
      <c r="S172" s="63" t="str">
        <f t="shared" ca="1" si="47"/>
        <v/>
      </c>
      <c r="T172" s="29"/>
      <c r="U172" s="15" t="str">
        <f t="shared" ca="1" si="48"/>
        <v/>
      </c>
      <c r="V172" s="36"/>
      <c r="W172" s="46"/>
      <c r="X172" s="44" t="str">
        <f t="shared" si="51"/>
        <v/>
      </c>
      <c r="Y172" s="44" t="str">
        <f t="shared" si="52"/>
        <v/>
      </c>
    </row>
    <row r="173" spans="1:25" s="21" customFormat="1" ht="15" customHeight="1" x14ac:dyDescent="0.25">
      <c r="A173" s="25"/>
      <c r="B173" s="26"/>
      <c r="C173" s="25"/>
      <c r="D173" s="26"/>
      <c r="E173" s="26"/>
      <c r="F173" s="26"/>
      <c r="G173" s="38"/>
      <c r="H173" s="38"/>
      <c r="I173" s="38"/>
      <c r="J173" s="26"/>
      <c r="K173" s="26"/>
      <c r="L173" s="38" t="str">
        <f t="shared" si="49"/>
        <v/>
      </c>
      <c r="M173" s="38" t="str">
        <f t="shared" si="50"/>
        <v/>
      </c>
      <c r="N173" s="26"/>
      <c r="O173" s="27"/>
      <c r="P173" s="27"/>
      <c r="Q173" s="60"/>
      <c r="R173" s="60"/>
      <c r="S173" s="61" t="str">
        <f t="shared" ca="1" si="47"/>
        <v/>
      </c>
      <c r="T173" s="26"/>
      <c r="U173" s="12" t="str">
        <f t="shared" ca="1" si="48"/>
        <v/>
      </c>
      <c r="V173" s="35"/>
      <c r="W173" s="47"/>
      <c r="X173" s="45" t="str">
        <f t="shared" si="51"/>
        <v/>
      </c>
      <c r="Y173" s="45" t="str">
        <f t="shared" si="52"/>
        <v/>
      </c>
    </row>
    <row r="174" spans="1:25" s="21" customFormat="1" ht="15" customHeight="1" x14ac:dyDescent="0.25">
      <c r="A174" s="28"/>
      <c r="B174" s="29"/>
      <c r="C174" s="28"/>
      <c r="D174" s="29"/>
      <c r="E174" s="29"/>
      <c r="F174" s="29"/>
      <c r="G174" s="38"/>
      <c r="H174" s="38"/>
      <c r="I174" s="38"/>
      <c r="J174" s="29"/>
      <c r="K174" s="29"/>
      <c r="L174" s="39" t="str">
        <f t="shared" si="49"/>
        <v/>
      </c>
      <c r="M174" s="39" t="str">
        <f t="shared" si="50"/>
        <v/>
      </c>
      <c r="N174" s="29"/>
      <c r="O174" s="30"/>
      <c r="P174" s="30"/>
      <c r="Q174" s="62"/>
      <c r="R174" s="62"/>
      <c r="S174" s="63" t="str">
        <f t="shared" ca="1" si="47"/>
        <v/>
      </c>
      <c r="T174" s="29"/>
      <c r="U174" s="15" t="str">
        <f t="shared" ca="1" si="48"/>
        <v/>
      </c>
      <c r="V174" s="36"/>
      <c r="W174" s="46"/>
      <c r="X174" s="44" t="str">
        <f t="shared" si="51"/>
        <v/>
      </c>
      <c r="Y174" s="44" t="str">
        <f t="shared" si="52"/>
        <v/>
      </c>
    </row>
    <row r="175" spans="1:25" s="21" customFormat="1" ht="15" customHeight="1" x14ac:dyDescent="0.25">
      <c r="A175" s="25"/>
      <c r="B175" s="26"/>
      <c r="C175" s="25"/>
      <c r="D175" s="26"/>
      <c r="E175" s="26"/>
      <c r="F175" s="26"/>
      <c r="G175" s="39"/>
      <c r="H175" s="39"/>
      <c r="I175" s="39"/>
      <c r="J175" s="26"/>
      <c r="K175" s="26"/>
      <c r="L175" s="38" t="str">
        <f t="shared" si="49"/>
        <v/>
      </c>
      <c r="M175" s="38" t="str">
        <f t="shared" si="50"/>
        <v/>
      </c>
      <c r="N175" s="26"/>
      <c r="O175" s="27"/>
      <c r="P175" s="27"/>
      <c r="Q175" s="60"/>
      <c r="R175" s="60"/>
      <c r="S175" s="61" t="str">
        <f t="shared" ca="1" si="47"/>
        <v/>
      </c>
      <c r="T175" s="26"/>
      <c r="U175" s="12" t="str">
        <f t="shared" ca="1" si="48"/>
        <v/>
      </c>
      <c r="V175" s="35"/>
      <c r="W175" s="47"/>
      <c r="X175" s="45" t="str">
        <f t="shared" si="51"/>
        <v/>
      </c>
      <c r="Y175" s="45" t="str">
        <f t="shared" si="52"/>
        <v/>
      </c>
    </row>
    <row r="176" spans="1:25" s="21" customFormat="1" ht="15" customHeight="1" x14ac:dyDescent="0.25">
      <c r="A176" s="28"/>
      <c r="B176" s="29"/>
      <c r="C176" s="28"/>
      <c r="D176" s="29"/>
      <c r="E176" s="29"/>
      <c r="F176" s="29"/>
      <c r="G176" s="38"/>
      <c r="H176" s="38"/>
      <c r="I176" s="38"/>
      <c r="J176" s="29"/>
      <c r="K176" s="29"/>
      <c r="L176" s="39" t="str">
        <f t="shared" si="49"/>
        <v/>
      </c>
      <c r="M176" s="39" t="str">
        <f t="shared" si="50"/>
        <v/>
      </c>
      <c r="N176" s="29"/>
      <c r="O176" s="30"/>
      <c r="P176" s="30"/>
      <c r="Q176" s="62"/>
      <c r="R176" s="62"/>
      <c r="S176" s="63" t="str">
        <f t="shared" ca="1" si="47"/>
        <v/>
      </c>
      <c r="T176" s="29"/>
      <c r="U176" s="15" t="str">
        <f t="shared" ca="1" si="48"/>
        <v/>
      </c>
      <c r="V176" s="36"/>
      <c r="W176" s="46"/>
      <c r="X176" s="44" t="str">
        <f t="shared" si="51"/>
        <v/>
      </c>
      <c r="Y176" s="44" t="str">
        <f t="shared" si="52"/>
        <v/>
      </c>
    </row>
    <row r="177" spans="1:25" s="21" customFormat="1" ht="15" customHeight="1" x14ac:dyDescent="0.25">
      <c r="A177" s="25"/>
      <c r="B177" s="26"/>
      <c r="C177" s="25"/>
      <c r="D177" s="26"/>
      <c r="E177" s="26"/>
      <c r="F177" s="26"/>
      <c r="G177" s="38"/>
      <c r="H177" s="38"/>
      <c r="I177" s="38"/>
      <c r="J177" s="26"/>
      <c r="K177" s="26"/>
      <c r="L177" s="38" t="str">
        <f t="shared" si="49"/>
        <v/>
      </c>
      <c r="M177" s="38" t="str">
        <f t="shared" si="50"/>
        <v/>
      </c>
      <c r="N177" s="26"/>
      <c r="O177" s="27"/>
      <c r="P177" s="27"/>
      <c r="Q177" s="60"/>
      <c r="R177" s="60"/>
      <c r="S177" s="61" t="str">
        <f t="shared" ca="1" si="47"/>
        <v/>
      </c>
      <c r="T177" s="26"/>
      <c r="U177" s="12" t="str">
        <f t="shared" ca="1" si="48"/>
        <v/>
      </c>
      <c r="V177" s="35"/>
      <c r="W177" s="47"/>
      <c r="X177" s="45" t="str">
        <f t="shared" si="51"/>
        <v/>
      </c>
      <c r="Y177" s="45" t="str">
        <f t="shared" si="52"/>
        <v/>
      </c>
    </row>
    <row r="178" spans="1:25" s="21" customFormat="1" ht="15" customHeight="1" x14ac:dyDescent="0.25">
      <c r="A178" s="28"/>
      <c r="B178" s="29"/>
      <c r="C178" s="28"/>
      <c r="D178" s="29"/>
      <c r="E178" s="29"/>
      <c r="F178" s="29"/>
      <c r="G178" s="39"/>
      <c r="H178" s="39"/>
      <c r="I178" s="39"/>
      <c r="J178" s="29"/>
      <c r="K178" s="29"/>
      <c r="L178" s="39" t="str">
        <f t="shared" si="49"/>
        <v/>
      </c>
      <c r="M178" s="39" t="str">
        <f t="shared" si="50"/>
        <v/>
      </c>
      <c r="N178" s="29"/>
      <c r="O178" s="30"/>
      <c r="P178" s="30"/>
      <c r="Q178" s="62"/>
      <c r="R178" s="62"/>
      <c r="S178" s="63" t="str">
        <f t="shared" ca="1" si="47"/>
        <v/>
      </c>
      <c r="T178" s="29"/>
      <c r="U178" s="15" t="str">
        <f t="shared" ca="1" si="48"/>
        <v/>
      </c>
      <c r="V178" s="36"/>
      <c r="W178" s="46"/>
      <c r="X178" s="44" t="str">
        <f t="shared" si="51"/>
        <v/>
      </c>
      <c r="Y178" s="44" t="str">
        <f t="shared" si="52"/>
        <v/>
      </c>
    </row>
    <row r="179" spans="1:25" s="21" customFormat="1" ht="15" customHeight="1" x14ac:dyDescent="0.25">
      <c r="A179" s="25"/>
      <c r="B179" s="26"/>
      <c r="C179" s="25"/>
      <c r="D179" s="26"/>
      <c r="E179" s="26"/>
      <c r="F179" s="26"/>
      <c r="G179" s="38"/>
      <c r="H179" s="38"/>
      <c r="I179" s="38"/>
      <c r="J179" s="26"/>
      <c r="K179" s="26"/>
      <c r="L179" s="38" t="str">
        <f t="shared" si="49"/>
        <v/>
      </c>
      <c r="M179" s="38" t="str">
        <f t="shared" si="50"/>
        <v/>
      </c>
      <c r="N179" s="26"/>
      <c r="O179" s="27"/>
      <c r="P179" s="27"/>
      <c r="Q179" s="60"/>
      <c r="R179" s="60"/>
      <c r="S179" s="61" t="str">
        <f t="shared" ca="1" si="47"/>
        <v/>
      </c>
      <c r="T179" s="26"/>
      <c r="U179" s="12" t="str">
        <f t="shared" ca="1" si="48"/>
        <v/>
      </c>
      <c r="V179" s="35"/>
      <c r="W179" s="47"/>
      <c r="X179" s="45" t="str">
        <f t="shared" si="51"/>
        <v/>
      </c>
      <c r="Y179" s="45" t="str">
        <f t="shared" si="52"/>
        <v/>
      </c>
    </row>
    <row r="180" spans="1:25" s="21" customFormat="1" ht="15" customHeight="1" x14ac:dyDescent="0.25">
      <c r="A180" s="28"/>
      <c r="B180" s="29"/>
      <c r="C180" s="28"/>
      <c r="D180" s="29"/>
      <c r="E180" s="29"/>
      <c r="F180" s="29"/>
      <c r="G180" s="38"/>
      <c r="H180" s="38"/>
      <c r="I180" s="38"/>
      <c r="J180" s="29"/>
      <c r="K180" s="29"/>
      <c r="L180" s="39" t="str">
        <f t="shared" si="49"/>
        <v/>
      </c>
      <c r="M180" s="39" t="str">
        <f t="shared" si="50"/>
        <v/>
      </c>
      <c r="N180" s="29"/>
      <c r="O180" s="30"/>
      <c r="P180" s="30"/>
      <c r="Q180" s="62"/>
      <c r="R180" s="62"/>
      <c r="S180" s="63" t="str">
        <f t="shared" ca="1" si="47"/>
        <v/>
      </c>
      <c r="T180" s="29"/>
      <c r="U180" s="15" t="str">
        <f t="shared" ca="1" si="48"/>
        <v/>
      </c>
      <c r="V180" s="36"/>
      <c r="W180" s="46"/>
      <c r="X180" s="44" t="str">
        <f t="shared" si="51"/>
        <v/>
      </c>
      <c r="Y180" s="44" t="str">
        <f t="shared" si="52"/>
        <v/>
      </c>
    </row>
    <row r="181" spans="1:25" s="21" customFormat="1" ht="15" customHeight="1" x14ac:dyDescent="0.25">
      <c r="A181" s="25"/>
      <c r="B181" s="26"/>
      <c r="C181" s="25"/>
      <c r="D181" s="26"/>
      <c r="E181" s="26"/>
      <c r="F181" s="26"/>
      <c r="G181" s="39"/>
      <c r="H181" s="39"/>
      <c r="I181" s="39"/>
      <c r="J181" s="26"/>
      <c r="K181" s="26"/>
      <c r="L181" s="38" t="str">
        <f t="shared" si="49"/>
        <v/>
      </c>
      <c r="M181" s="38" t="str">
        <f t="shared" si="50"/>
        <v/>
      </c>
      <c r="N181" s="26"/>
      <c r="O181" s="27"/>
      <c r="P181" s="27"/>
      <c r="Q181" s="60"/>
      <c r="R181" s="60"/>
      <c r="S181" s="61" t="str">
        <f t="shared" ca="1" si="47"/>
        <v/>
      </c>
      <c r="T181" s="26"/>
      <c r="U181" s="12" t="str">
        <f t="shared" ca="1" si="48"/>
        <v/>
      </c>
      <c r="V181" s="35"/>
      <c r="W181" s="47"/>
      <c r="X181" s="45" t="str">
        <f t="shared" si="51"/>
        <v/>
      </c>
      <c r="Y181" s="45" t="str">
        <f t="shared" si="52"/>
        <v/>
      </c>
    </row>
    <row r="182" spans="1:25" s="21" customFormat="1" ht="15" customHeight="1" x14ac:dyDescent="0.25">
      <c r="A182" s="28"/>
      <c r="B182" s="29"/>
      <c r="C182" s="28"/>
      <c r="D182" s="29"/>
      <c r="E182" s="29"/>
      <c r="F182" s="29"/>
      <c r="G182" s="38"/>
      <c r="H182" s="38"/>
      <c r="I182" s="38"/>
      <c r="J182" s="29"/>
      <c r="K182" s="29"/>
      <c r="L182" s="39" t="str">
        <f t="shared" si="49"/>
        <v/>
      </c>
      <c r="M182" s="39" t="str">
        <f t="shared" si="50"/>
        <v/>
      </c>
      <c r="N182" s="29"/>
      <c r="O182" s="30"/>
      <c r="P182" s="30"/>
      <c r="Q182" s="62"/>
      <c r="R182" s="62"/>
      <c r="S182" s="63" t="str">
        <f t="shared" ca="1" si="47"/>
        <v/>
      </c>
      <c r="T182" s="29"/>
      <c r="U182" s="15" t="str">
        <f t="shared" ca="1" si="48"/>
        <v/>
      </c>
      <c r="V182" s="36"/>
      <c r="W182" s="46"/>
      <c r="X182" s="44" t="str">
        <f t="shared" si="51"/>
        <v/>
      </c>
      <c r="Y182" s="44" t="str">
        <f t="shared" si="52"/>
        <v/>
      </c>
    </row>
    <row r="183" spans="1:25" s="21" customFormat="1" ht="15" customHeight="1" x14ac:dyDescent="0.25">
      <c r="A183" s="25"/>
      <c r="B183" s="26"/>
      <c r="C183" s="25"/>
      <c r="D183" s="26"/>
      <c r="E183" s="26"/>
      <c r="F183" s="26"/>
      <c r="G183" s="38"/>
      <c r="H183" s="38"/>
      <c r="I183" s="38"/>
      <c r="J183" s="26"/>
      <c r="K183" s="26"/>
      <c r="L183" s="38" t="str">
        <f t="shared" si="49"/>
        <v/>
      </c>
      <c r="M183" s="38" t="str">
        <f t="shared" si="50"/>
        <v/>
      </c>
      <c r="N183" s="26"/>
      <c r="O183" s="27"/>
      <c r="P183" s="27"/>
      <c r="Q183" s="60"/>
      <c r="R183" s="60"/>
      <c r="S183" s="61" t="str">
        <f t="shared" ca="1" si="47"/>
        <v/>
      </c>
      <c r="T183" s="26"/>
      <c r="U183" s="12" t="str">
        <f t="shared" ca="1" si="48"/>
        <v/>
      </c>
      <c r="V183" s="35"/>
      <c r="W183" s="47"/>
      <c r="X183" s="45" t="str">
        <f t="shared" si="51"/>
        <v/>
      </c>
      <c r="Y183" s="45" t="str">
        <f t="shared" si="52"/>
        <v/>
      </c>
    </row>
    <row r="184" spans="1:25" s="21" customFormat="1" ht="15" customHeight="1" x14ac:dyDescent="0.25">
      <c r="A184" s="28"/>
      <c r="B184" s="29"/>
      <c r="C184" s="28"/>
      <c r="D184" s="29"/>
      <c r="E184" s="29"/>
      <c r="F184" s="29"/>
      <c r="G184" s="39"/>
      <c r="H184" s="39"/>
      <c r="I184" s="39"/>
      <c r="J184" s="29"/>
      <c r="K184" s="29"/>
      <c r="L184" s="39" t="str">
        <f t="shared" si="49"/>
        <v/>
      </c>
      <c r="M184" s="39" t="str">
        <f t="shared" si="50"/>
        <v/>
      </c>
      <c r="N184" s="29"/>
      <c r="O184" s="30"/>
      <c r="P184" s="30"/>
      <c r="Q184" s="62"/>
      <c r="R184" s="62"/>
      <c r="S184" s="63" t="str">
        <f t="shared" ca="1" si="47"/>
        <v/>
      </c>
      <c r="T184" s="29"/>
      <c r="U184" s="15" t="str">
        <f t="shared" ca="1" si="48"/>
        <v/>
      </c>
      <c r="V184" s="36"/>
      <c r="W184" s="46"/>
      <c r="X184" s="44" t="str">
        <f t="shared" si="51"/>
        <v/>
      </c>
      <c r="Y184" s="44" t="str">
        <f t="shared" si="52"/>
        <v/>
      </c>
    </row>
    <row r="185" spans="1:25" s="21" customFormat="1" ht="15" customHeight="1" x14ac:dyDescent="0.25">
      <c r="A185" s="25"/>
      <c r="B185" s="26"/>
      <c r="C185" s="25"/>
      <c r="D185" s="26"/>
      <c r="E185" s="26"/>
      <c r="F185" s="26"/>
      <c r="G185" s="38"/>
      <c r="H185" s="38"/>
      <c r="I185" s="38"/>
      <c r="J185" s="26"/>
      <c r="K185" s="26"/>
      <c r="L185" s="38" t="str">
        <f t="shared" si="49"/>
        <v/>
      </c>
      <c r="M185" s="38" t="str">
        <f t="shared" si="50"/>
        <v/>
      </c>
      <c r="N185" s="26"/>
      <c r="O185" s="27"/>
      <c r="P185" s="27"/>
      <c r="Q185" s="60"/>
      <c r="R185" s="60"/>
      <c r="S185" s="61" t="str">
        <f t="shared" ca="1" si="47"/>
        <v/>
      </c>
      <c r="T185" s="26"/>
      <c r="U185" s="12" t="str">
        <f t="shared" ca="1" si="48"/>
        <v/>
      </c>
      <c r="V185" s="35"/>
      <c r="W185" s="47"/>
      <c r="X185" s="45" t="str">
        <f t="shared" si="51"/>
        <v/>
      </c>
      <c r="Y185" s="45" t="str">
        <f t="shared" si="52"/>
        <v/>
      </c>
    </row>
    <row r="186" spans="1:25" s="21" customFormat="1" ht="15" customHeight="1" x14ac:dyDescent="0.25">
      <c r="A186" s="28"/>
      <c r="B186" s="29"/>
      <c r="C186" s="28"/>
      <c r="D186" s="29"/>
      <c r="E186" s="29"/>
      <c r="F186" s="29"/>
      <c r="G186" s="38"/>
      <c r="H186" s="38"/>
      <c r="I186" s="38"/>
      <c r="J186" s="29"/>
      <c r="K186" s="29"/>
      <c r="L186" s="39" t="str">
        <f t="shared" si="49"/>
        <v/>
      </c>
      <c r="M186" s="39" t="str">
        <f t="shared" si="50"/>
        <v/>
      </c>
      <c r="N186" s="29"/>
      <c r="O186" s="30"/>
      <c r="P186" s="30"/>
      <c r="Q186" s="62"/>
      <c r="R186" s="62"/>
      <c r="S186" s="63" t="str">
        <f t="shared" ca="1" si="47"/>
        <v/>
      </c>
      <c r="T186" s="29"/>
      <c r="U186" s="15" t="str">
        <f t="shared" ca="1" si="48"/>
        <v/>
      </c>
      <c r="V186" s="36"/>
      <c r="W186" s="46"/>
      <c r="X186" s="44" t="str">
        <f t="shared" si="51"/>
        <v/>
      </c>
      <c r="Y186" s="44" t="str">
        <f t="shared" si="52"/>
        <v/>
      </c>
    </row>
    <row r="187" spans="1:25" s="21" customFormat="1" ht="15" customHeight="1" x14ac:dyDescent="0.25">
      <c r="A187" s="25"/>
      <c r="B187" s="26"/>
      <c r="C187" s="25"/>
      <c r="D187" s="26"/>
      <c r="E187" s="26"/>
      <c r="F187" s="26"/>
      <c r="G187" s="39"/>
      <c r="H187" s="39"/>
      <c r="I187" s="39"/>
      <c r="J187" s="26"/>
      <c r="K187" s="26"/>
      <c r="L187" s="38" t="str">
        <f t="shared" si="49"/>
        <v/>
      </c>
      <c r="M187" s="38" t="str">
        <f t="shared" si="50"/>
        <v/>
      </c>
      <c r="N187" s="26"/>
      <c r="O187" s="27"/>
      <c r="P187" s="27"/>
      <c r="Q187" s="60"/>
      <c r="R187" s="60"/>
      <c r="S187" s="61" t="str">
        <f t="shared" ca="1" si="47"/>
        <v/>
      </c>
      <c r="T187" s="26"/>
      <c r="U187" s="12" t="str">
        <f t="shared" ca="1" si="48"/>
        <v/>
      </c>
      <c r="V187" s="35"/>
      <c r="W187" s="47"/>
      <c r="X187" s="45" t="str">
        <f t="shared" si="51"/>
        <v/>
      </c>
      <c r="Y187" s="45" t="str">
        <f t="shared" si="52"/>
        <v/>
      </c>
    </row>
    <row r="188" spans="1:25" s="21" customFormat="1" ht="15" customHeight="1" x14ac:dyDescent="0.25">
      <c r="A188" s="28"/>
      <c r="B188" s="29"/>
      <c r="C188" s="28"/>
      <c r="D188" s="29"/>
      <c r="E188" s="29"/>
      <c r="F188" s="29"/>
      <c r="G188" s="38"/>
      <c r="H188" s="38"/>
      <c r="I188" s="38"/>
      <c r="J188" s="29"/>
      <c r="K188" s="29"/>
      <c r="L188" s="39" t="str">
        <f t="shared" si="49"/>
        <v/>
      </c>
      <c r="M188" s="39" t="str">
        <f t="shared" si="50"/>
        <v/>
      </c>
      <c r="N188" s="29"/>
      <c r="O188" s="30"/>
      <c r="P188" s="30"/>
      <c r="Q188" s="62"/>
      <c r="R188" s="62"/>
      <c r="S188" s="63" t="str">
        <f t="shared" ca="1" si="47"/>
        <v/>
      </c>
      <c r="T188" s="29"/>
      <c r="U188" s="15" t="str">
        <f t="shared" ca="1" si="48"/>
        <v/>
      </c>
      <c r="V188" s="36"/>
      <c r="W188" s="46"/>
      <c r="X188" s="44" t="str">
        <f t="shared" si="51"/>
        <v/>
      </c>
      <c r="Y188" s="44" t="str">
        <f t="shared" si="52"/>
        <v/>
      </c>
    </row>
    <row r="189" spans="1:25" s="21" customFormat="1" ht="15" customHeight="1" x14ac:dyDescent="0.25">
      <c r="A189" s="25"/>
      <c r="B189" s="26"/>
      <c r="C189" s="25"/>
      <c r="D189" s="26"/>
      <c r="E189" s="26"/>
      <c r="F189" s="26"/>
      <c r="G189" s="38"/>
      <c r="H189" s="38"/>
      <c r="I189" s="38"/>
      <c r="J189" s="26"/>
      <c r="K189" s="26"/>
      <c r="L189" s="38" t="str">
        <f t="shared" si="49"/>
        <v/>
      </c>
      <c r="M189" s="38" t="str">
        <f t="shared" si="50"/>
        <v/>
      </c>
      <c r="N189" s="26"/>
      <c r="O189" s="27"/>
      <c r="P189" s="27"/>
      <c r="Q189" s="60"/>
      <c r="R189" s="60"/>
      <c r="S189" s="61" t="str">
        <f t="shared" ca="1" si="47"/>
        <v/>
      </c>
      <c r="T189" s="26"/>
      <c r="U189" s="12" t="str">
        <f t="shared" ca="1" si="48"/>
        <v/>
      </c>
      <c r="V189" s="35"/>
      <c r="W189" s="47"/>
      <c r="X189" s="45" t="str">
        <f t="shared" si="51"/>
        <v/>
      </c>
      <c r="Y189" s="45" t="str">
        <f t="shared" si="52"/>
        <v/>
      </c>
    </row>
    <row r="190" spans="1:25" s="21" customFormat="1" ht="15" customHeight="1" x14ac:dyDescent="0.25">
      <c r="A190" s="28"/>
      <c r="B190" s="29"/>
      <c r="C190" s="28"/>
      <c r="D190" s="29"/>
      <c r="E190" s="29"/>
      <c r="F190" s="29"/>
      <c r="G190" s="39"/>
      <c r="H190" s="39"/>
      <c r="I190" s="39"/>
      <c r="J190" s="29"/>
      <c r="K190" s="29"/>
      <c r="L190" s="39" t="str">
        <f t="shared" si="49"/>
        <v/>
      </c>
      <c r="M190" s="39" t="str">
        <f t="shared" si="50"/>
        <v/>
      </c>
      <c r="N190" s="29"/>
      <c r="O190" s="30"/>
      <c r="P190" s="30"/>
      <c r="Q190" s="62"/>
      <c r="R190" s="62"/>
      <c r="S190" s="63" t="str">
        <f t="shared" ca="1" si="47"/>
        <v/>
      </c>
      <c r="T190" s="29"/>
      <c r="U190" s="15" t="str">
        <f t="shared" ca="1" si="48"/>
        <v/>
      </c>
      <c r="V190" s="36"/>
      <c r="W190" s="46"/>
      <c r="X190" s="44" t="str">
        <f t="shared" si="51"/>
        <v/>
      </c>
      <c r="Y190" s="44" t="str">
        <f t="shared" si="52"/>
        <v/>
      </c>
    </row>
    <row r="191" spans="1:25" s="21" customFormat="1" ht="15" customHeight="1" x14ac:dyDescent="0.25">
      <c r="A191" s="25"/>
      <c r="B191" s="26"/>
      <c r="C191" s="25"/>
      <c r="D191" s="26"/>
      <c r="E191" s="26"/>
      <c r="F191" s="26"/>
      <c r="G191" s="38"/>
      <c r="H191" s="38"/>
      <c r="I191" s="38"/>
      <c r="J191" s="26"/>
      <c r="K191" s="26"/>
      <c r="L191" s="38" t="str">
        <f t="shared" si="49"/>
        <v/>
      </c>
      <c r="M191" s="38" t="str">
        <f t="shared" si="50"/>
        <v/>
      </c>
      <c r="N191" s="26"/>
      <c r="O191" s="27"/>
      <c r="P191" s="27"/>
      <c r="Q191" s="60"/>
      <c r="R191" s="60"/>
      <c r="S191" s="61" t="str">
        <f t="shared" ca="1" si="47"/>
        <v/>
      </c>
      <c r="T191" s="26"/>
      <c r="U191" s="12" t="str">
        <f t="shared" ca="1" si="48"/>
        <v/>
      </c>
      <c r="V191" s="35"/>
      <c r="W191" s="47"/>
      <c r="X191" s="45" t="str">
        <f t="shared" si="51"/>
        <v/>
      </c>
      <c r="Y191" s="45" t="str">
        <f t="shared" si="52"/>
        <v/>
      </c>
    </row>
    <row r="192" spans="1:25" s="21" customFormat="1" ht="15" customHeight="1" x14ac:dyDescent="0.25">
      <c r="A192" s="28"/>
      <c r="B192" s="29"/>
      <c r="C192" s="28"/>
      <c r="D192" s="29"/>
      <c r="E192" s="29"/>
      <c r="F192" s="29"/>
      <c r="G192" s="38"/>
      <c r="H192" s="38"/>
      <c r="I192" s="38"/>
      <c r="J192" s="29"/>
      <c r="K192" s="29"/>
      <c r="L192" s="39" t="str">
        <f t="shared" si="49"/>
        <v/>
      </c>
      <c r="M192" s="39" t="str">
        <f t="shared" si="50"/>
        <v/>
      </c>
      <c r="N192" s="29"/>
      <c r="O192" s="30"/>
      <c r="P192" s="30"/>
      <c r="Q192" s="62"/>
      <c r="R192" s="62"/>
      <c r="S192" s="63" t="str">
        <f t="shared" ca="1" si="47"/>
        <v/>
      </c>
      <c r="T192" s="29"/>
      <c r="U192" s="15" t="str">
        <f t="shared" ca="1" si="48"/>
        <v/>
      </c>
      <c r="V192" s="36"/>
      <c r="W192" s="46"/>
      <c r="X192" s="44" t="str">
        <f t="shared" si="51"/>
        <v/>
      </c>
      <c r="Y192" s="44" t="str">
        <f t="shared" si="52"/>
        <v/>
      </c>
    </row>
    <row r="193" spans="1:25" s="21" customFormat="1" ht="15" customHeight="1" x14ac:dyDescent="0.25">
      <c r="A193" s="25"/>
      <c r="B193" s="26"/>
      <c r="C193" s="25"/>
      <c r="D193" s="26"/>
      <c r="E193" s="26"/>
      <c r="F193" s="26"/>
      <c r="G193" s="39"/>
      <c r="H193" s="39"/>
      <c r="I193" s="39"/>
      <c r="J193" s="26"/>
      <c r="K193" s="26"/>
      <c r="L193" s="38" t="str">
        <f t="shared" si="49"/>
        <v/>
      </c>
      <c r="M193" s="38" t="str">
        <f t="shared" si="50"/>
        <v/>
      </c>
      <c r="N193" s="26"/>
      <c r="O193" s="27"/>
      <c r="P193" s="27"/>
      <c r="Q193" s="60"/>
      <c r="R193" s="60"/>
      <c r="S193" s="61" t="str">
        <f t="shared" ca="1" si="47"/>
        <v/>
      </c>
      <c r="T193" s="26"/>
      <c r="U193" s="12" t="str">
        <f t="shared" ca="1" si="48"/>
        <v/>
      </c>
      <c r="V193" s="35"/>
      <c r="W193" s="47"/>
      <c r="X193" s="45" t="str">
        <f t="shared" si="51"/>
        <v/>
      </c>
      <c r="Y193" s="45" t="str">
        <f t="shared" si="52"/>
        <v/>
      </c>
    </row>
    <row r="194" spans="1:25" s="21" customFormat="1" ht="15" customHeight="1" x14ac:dyDescent="0.25">
      <c r="A194" s="28"/>
      <c r="B194" s="29"/>
      <c r="C194" s="28"/>
      <c r="D194" s="29"/>
      <c r="E194" s="29"/>
      <c r="F194" s="29"/>
      <c r="G194" s="38"/>
      <c r="H194" s="38"/>
      <c r="I194" s="38"/>
      <c r="J194" s="29"/>
      <c r="K194" s="29"/>
      <c r="L194" s="39" t="str">
        <f t="shared" si="49"/>
        <v/>
      </c>
      <c r="M194" s="39" t="str">
        <f t="shared" si="50"/>
        <v/>
      </c>
      <c r="N194" s="29"/>
      <c r="O194" s="30"/>
      <c r="P194" s="30"/>
      <c r="Q194" s="62"/>
      <c r="R194" s="62"/>
      <c r="S194" s="63" t="str">
        <f t="shared" ca="1" si="47"/>
        <v/>
      </c>
      <c r="T194" s="29"/>
      <c r="U194" s="15" t="str">
        <f t="shared" ca="1" si="48"/>
        <v/>
      </c>
      <c r="V194" s="36"/>
      <c r="W194" s="46"/>
      <c r="X194" s="44" t="str">
        <f t="shared" si="51"/>
        <v/>
      </c>
      <c r="Y194" s="44" t="str">
        <f t="shared" si="52"/>
        <v/>
      </c>
    </row>
    <row r="195" spans="1:25" s="21" customFormat="1" ht="15" customHeight="1" x14ac:dyDescent="0.25">
      <c r="A195" s="25"/>
      <c r="B195" s="26"/>
      <c r="C195" s="25"/>
      <c r="D195" s="26"/>
      <c r="E195" s="26"/>
      <c r="F195" s="26"/>
      <c r="G195" s="38"/>
      <c r="H195" s="38"/>
      <c r="I195" s="38"/>
      <c r="J195" s="26"/>
      <c r="K195" s="26"/>
      <c r="L195" s="38" t="str">
        <f t="shared" si="49"/>
        <v/>
      </c>
      <c r="M195" s="38" t="str">
        <f t="shared" si="50"/>
        <v/>
      </c>
      <c r="N195" s="26"/>
      <c r="O195" s="27"/>
      <c r="P195" s="27"/>
      <c r="Q195" s="60"/>
      <c r="R195" s="60"/>
      <c r="S195" s="61" t="str">
        <f t="shared" ca="1" si="47"/>
        <v/>
      </c>
      <c r="T195" s="26"/>
      <c r="U195" s="12" t="str">
        <f t="shared" ca="1" si="48"/>
        <v/>
      </c>
      <c r="V195" s="35"/>
      <c r="W195" s="47"/>
      <c r="X195" s="45" t="str">
        <f t="shared" si="51"/>
        <v/>
      </c>
      <c r="Y195" s="45" t="str">
        <f t="shared" si="52"/>
        <v/>
      </c>
    </row>
    <row r="196" spans="1:25" s="21" customFormat="1" ht="15" customHeight="1" x14ac:dyDescent="0.25">
      <c r="A196" s="28"/>
      <c r="B196" s="29"/>
      <c r="C196" s="28"/>
      <c r="D196" s="29"/>
      <c r="E196" s="29"/>
      <c r="F196" s="29"/>
      <c r="G196" s="39"/>
      <c r="H196" s="39"/>
      <c r="I196" s="39"/>
      <c r="J196" s="29"/>
      <c r="K196" s="29"/>
      <c r="L196" s="39" t="str">
        <f t="shared" si="49"/>
        <v/>
      </c>
      <c r="M196" s="39" t="str">
        <f t="shared" si="50"/>
        <v/>
      </c>
      <c r="N196" s="29"/>
      <c r="O196" s="30"/>
      <c r="P196" s="30"/>
      <c r="Q196" s="62"/>
      <c r="R196" s="62"/>
      <c r="S196" s="63" t="str">
        <f t="shared" ca="1" si="47"/>
        <v/>
      </c>
      <c r="T196" s="29"/>
      <c r="U196" s="15" t="str">
        <f t="shared" ca="1" si="48"/>
        <v/>
      </c>
      <c r="V196" s="36"/>
      <c r="W196" s="46"/>
      <c r="X196" s="44" t="str">
        <f t="shared" si="51"/>
        <v/>
      </c>
      <c r="Y196" s="44" t="str">
        <f t="shared" si="52"/>
        <v/>
      </c>
    </row>
    <row r="197" spans="1:25" s="21" customFormat="1" ht="15" customHeight="1" x14ac:dyDescent="0.25">
      <c r="A197" s="25"/>
      <c r="B197" s="26"/>
      <c r="C197" s="25"/>
      <c r="D197" s="26"/>
      <c r="E197" s="26"/>
      <c r="F197" s="26"/>
      <c r="G197" s="38"/>
      <c r="H197" s="38"/>
      <c r="I197" s="38"/>
      <c r="J197" s="26"/>
      <c r="K197" s="26"/>
      <c r="L197" s="38" t="str">
        <f t="shared" si="49"/>
        <v/>
      </c>
      <c r="M197" s="38" t="str">
        <f t="shared" si="50"/>
        <v/>
      </c>
      <c r="N197" s="26"/>
      <c r="O197" s="27"/>
      <c r="P197" s="27"/>
      <c r="Q197" s="60"/>
      <c r="R197" s="60"/>
      <c r="S197" s="61" t="str">
        <f t="shared" ca="1" si="47"/>
        <v/>
      </c>
      <c r="T197" s="26"/>
      <c r="U197" s="12" t="str">
        <f t="shared" ca="1" si="48"/>
        <v/>
      </c>
      <c r="V197" s="35"/>
      <c r="W197" s="47"/>
      <c r="X197" s="45" t="str">
        <f t="shared" si="51"/>
        <v/>
      </c>
      <c r="Y197" s="45" t="str">
        <f t="shared" si="52"/>
        <v/>
      </c>
    </row>
    <row r="198" spans="1:25" s="21" customFormat="1" ht="15" customHeight="1" x14ac:dyDescent="0.25">
      <c r="A198" s="28"/>
      <c r="B198" s="29"/>
      <c r="C198" s="28"/>
      <c r="D198" s="29"/>
      <c r="E198" s="29"/>
      <c r="F198" s="29"/>
      <c r="G198" s="38"/>
      <c r="H198" s="38"/>
      <c r="I198" s="38"/>
      <c r="J198" s="29"/>
      <c r="K198" s="29"/>
      <c r="L198" s="39" t="str">
        <f t="shared" si="49"/>
        <v/>
      </c>
      <c r="M198" s="39" t="str">
        <f t="shared" si="50"/>
        <v/>
      </c>
      <c r="N198" s="29"/>
      <c r="O198" s="30"/>
      <c r="P198" s="30"/>
      <c r="Q198" s="62"/>
      <c r="R198" s="62"/>
      <c r="S198" s="63" t="str">
        <f t="shared" ref="S198:S205" ca="1" si="53">IF(OR(O198="",P198=""),"",IF(R198&lt;&gt;"",1,IF(Q198="",0,MAX(0,MIN(1,(TODAY()-O198)/(P198-O198+1))))))</f>
        <v/>
      </c>
      <c r="T198" s="29"/>
      <c r="U198" s="15" t="str">
        <f t="shared" ref="U198:U205" ca="1" si="54">IF(P198="","",P198-TODAY())</f>
        <v/>
      </c>
      <c r="V198" s="36"/>
      <c r="W198" s="46"/>
      <c r="X198" s="44" t="str">
        <f t="shared" si="51"/>
        <v/>
      </c>
      <c r="Y198" s="44" t="str">
        <f t="shared" si="52"/>
        <v/>
      </c>
    </row>
    <row r="199" spans="1:25" s="21" customFormat="1" ht="15" customHeight="1" x14ac:dyDescent="0.25">
      <c r="A199" s="25"/>
      <c r="B199" s="26"/>
      <c r="C199" s="25"/>
      <c r="D199" s="26"/>
      <c r="E199" s="26"/>
      <c r="F199" s="26"/>
      <c r="G199" s="39"/>
      <c r="H199" s="39"/>
      <c r="I199" s="39"/>
      <c r="J199" s="26"/>
      <c r="K199" s="26"/>
      <c r="L199" s="38" t="str">
        <f t="shared" si="49"/>
        <v/>
      </c>
      <c r="M199" s="38" t="str">
        <f t="shared" si="50"/>
        <v/>
      </c>
      <c r="N199" s="26"/>
      <c r="O199" s="27"/>
      <c r="P199" s="27"/>
      <c r="Q199" s="60"/>
      <c r="R199" s="60"/>
      <c r="S199" s="61" t="str">
        <f t="shared" ca="1" si="53"/>
        <v/>
      </c>
      <c r="T199" s="26"/>
      <c r="U199" s="12" t="str">
        <f t="shared" ca="1" si="54"/>
        <v/>
      </c>
      <c r="V199" s="35"/>
      <c r="W199" s="47"/>
      <c r="X199" s="45" t="str">
        <f t="shared" si="51"/>
        <v/>
      </c>
      <c r="Y199" s="45" t="str">
        <f t="shared" si="52"/>
        <v/>
      </c>
    </row>
    <row r="200" spans="1:25" s="21" customFormat="1" ht="15" customHeight="1" x14ac:dyDescent="0.25">
      <c r="A200" s="28"/>
      <c r="B200" s="29"/>
      <c r="C200" s="28"/>
      <c r="D200" s="29"/>
      <c r="E200" s="29"/>
      <c r="F200" s="29"/>
      <c r="G200" s="38"/>
      <c r="H200" s="38"/>
      <c r="I200" s="38"/>
      <c r="J200" s="29"/>
      <c r="K200" s="29"/>
      <c r="L200" s="39" t="str">
        <f t="shared" si="49"/>
        <v/>
      </c>
      <c r="M200" s="39" t="str">
        <f t="shared" si="50"/>
        <v/>
      </c>
      <c r="N200" s="29"/>
      <c r="O200" s="30"/>
      <c r="P200" s="30"/>
      <c r="Q200" s="62"/>
      <c r="R200" s="62"/>
      <c r="S200" s="63" t="str">
        <f t="shared" ca="1" si="53"/>
        <v/>
      </c>
      <c r="T200" s="29"/>
      <c r="U200" s="15" t="str">
        <f t="shared" ca="1" si="54"/>
        <v/>
      </c>
      <c r="V200" s="36"/>
      <c r="W200" s="46"/>
      <c r="X200" s="44" t="str">
        <f t="shared" si="51"/>
        <v/>
      </c>
      <c r="Y200" s="44" t="str">
        <f t="shared" si="52"/>
        <v/>
      </c>
    </row>
    <row r="201" spans="1:25" s="21" customFormat="1" ht="15" customHeight="1" x14ac:dyDescent="0.25">
      <c r="A201" s="25"/>
      <c r="B201" s="26"/>
      <c r="C201" s="25"/>
      <c r="D201" s="26"/>
      <c r="E201" s="26"/>
      <c r="F201" s="26"/>
      <c r="G201" s="38"/>
      <c r="H201" s="38"/>
      <c r="I201" s="38"/>
      <c r="J201" s="26"/>
      <c r="K201" s="26"/>
      <c r="L201" s="38" t="str">
        <f t="shared" ref="L201:L205" si="55">IF(J201="","",_xlfn.TRANSLATE(J201,"vi","ja"))</f>
        <v/>
      </c>
      <c r="M201" s="38" t="str">
        <f t="shared" si="50"/>
        <v/>
      </c>
      <c r="N201" s="26"/>
      <c r="O201" s="27"/>
      <c r="P201" s="27"/>
      <c r="Q201" s="60"/>
      <c r="R201" s="60"/>
      <c r="S201" s="61" t="str">
        <f t="shared" ca="1" si="53"/>
        <v/>
      </c>
      <c r="T201" s="26"/>
      <c r="U201" s="12" t="str">
        <f t="shared" ca="1" si="54"/>
        <v/>
      </c>
      <c r="V201" s="35"/>
      <c r="W201" s="47"/>
      <c r="X201" s="45" t="str">
        <f t="shared" ref="X201:X205" si="56">IF(V201="","",_xlfn.TRANSLATE(V201,"vi","ja"))</f>
        <v/>
      </c>
      <c r="Y201" s="45" t="str">
        <f t="shared" si="52"/>
        <v/>
      </c>
    </row>
    <row r="202" spans="1:25" s="21" customFormat="1" ht="15" customHeight="1" x14ac:dyDescent="0.25">
      <c r="A202" s="28"/>
      <c r="B202" s="29"/>
      <c r="C202" s="28"/>
      <c r="D202" s="29"/>
      <c r="E202" s="29"/>
      <c r="F202" s="29"/>
      <c r="G202" s="39"/>
      <c r="H202" s="39"/>
      <c r="I202" s="39"/>
      <c r="J202" s="29"/>
      <c r="K202" s="29"/>
      <c r="L202" s="39" t="str">
        <f t="shared" si="55"/>
        <v/>
      </c>
      <c r="M202" s="39" t="str">
        <f t="shared" si="50"/>
        <v/>
      </c>
      <c r="N202" s="29"/>
      <c r="O202" s="30"/>
      <c r="P202" s="30"/>
      <c r="Q202" s="62"/>
      <c r="R202" s="62"/>
      <c r="S202" s="63" t="str">
        <f t="shared" ca="1" si="53"/>
        <v/>
      </c>
      <c r="T202" s="29"/>
      <c r="U202" s="15" t="str">
        <f t="shared" ca="1" si="54"/>
        <v/>
      </c>
      <c r="V202" s="36"/>
      <c r="W202" s="46"/>
      <c r="X202" s="44" t="str">
        <f t="shared" si="56"/>
        <v/>
      </c>
      <c r="Y202" s="44" t="str">
        <f t="shared" si="52"/>
        <v/>
      </c>
    </row>
    <row r="203" spans="1:25" s="21" customFormat="1" ht="15" customHeight="1" x14ac:dyDescent="0.25">
      <c r="A203" s="25"/>
      <c r="B203" s="26"/>
      <c r="C203" s="25"/>
      <c r="D203" s="26"/>
      <c r="E203" s="26"/>
      <c r="F203" s="26"/>
      <c r="G203" s="38"/>
      <c r="H203" s="38"/>
      <c r="I203" s="38"/>
      <c r="J203" s="26"/>
      <c r="K203" s="26"/>
      <c r="L203" s="38" t="str">
        <f t="shared" si="55"/>
        <v/>
      </c>
      <c r="M203" s="38" t="str">
        <f t="shared" si="50"/>
        <v/>
      </c>
      <c r="N203" s="26"/>
      <c r="O203" s="27"/>
      <c r="P203" s="27"/>
      <c r="Q203" s="60"/>
      <c r="R203" s="60"/>
      <c r="S203" s="61" t="str">
        <f t="shared" ca="1" si="53"/>
        <v/>
      </c>
      <c r="T203" s="26"/>
      <c r="U203" s="12" t="str">
        <f t="shared" ca="1" si="54"/>
        <v/>
      </c>
      <c r="V203" s="35"/>
      <c r="W203" s="47"/>
      <c r="X203" s="45" t="str">
        <f t="shared" si="56"/>
        <v/>
      </c>
      <c r="Y203" s="45" t="str">
        <f t="shared" si="52"/>
        <v/>
      </c>
    </row>
    <row r="204" spans="1:25" s="21" customFormat="1" ht="15" customHeight="1" x14ac:dyDescent="0.25">
      <c r="A204" s="28"/>
      <c r="B204" s="29"/>
      <c r="C204" s="28"/>
      <c r="D204" s="29"/>
      <c r="E204" s="29"/>
      <c r="F204" s="29"/>
      <c r="G204" s="38"/>
      <c r="H204" s="38"/>
      <c r="I204" s="38"/>
      <c r="J204" s="29"/>
      <c r="K204" s="29"/>
      <c r="L204" s="39" t="str">
        <f t="shared" si="55"/>
        <v/>
      </c>
      <c r="M204" s="39" t="str">
        <f t="shared" si="50"/>
        <v/>
      </c>
      <c r="N204" s="29"/>
      <c r="O204" s="30"/>
      <c r="P204" s="30"/>
      <c r="Q204" s="62"/>
      <c r="R204" s="62"/>
      <c r="S204" s="63" t="str">
        <f t="shared" ca="1" si="53"/>
        <v/>
      </c>
      <c r="T204" s="29"/>
      <c r="U204" s="15" t="str">
        <f t="shared" ca="1" si="54"/>
        <v/>
      </c>
      <c r="V204" s="36"/>
      <c r="W204" s="46"/>
      <c r="X204" s="44" t="str">
        <f t="shared" si="56"/>
        <v/>
      </c>
      <c r="Y204" s="44" t="str">
        <f t="shared" si="52"/>
        <v/>
      </c>
    </row>
    <row r="205" spans="1:25" s="21" customFormat="1" ht="15" customHeight="1" x14ac:dyDescent="0.25">
      <c r="A205" s="31"/>
      <c r="B205" s="32"/>
      <c r="C205" s="31"/>
      <c r="D205" s="32"/>
      <c r="E205" s="32"/>
      <c r="F205" s="32"/>
      <c r="G205" s="39"/>
      <c r="H205" s="39"/>
      <c r="I205" s="39"/>
      <c r="J205" s="32"/>
      <c r="K205" s="32"/>
      <c r="L205" s="40" t="str">
        <f t="shared" si="55"/>
        <v/>
      </c>
      <c r="M205" s="40" t="str">
        <f t="shared" si="50"/>
        <v/>
      </c>
      <c r="N205" s="32"/>
      <c r="O205" s="33"/>
      <c r="P205" s="33"/>
      <c r="Q205" s="64"/>
      <c r="R205" s="64"/>
      <c r="S205" s="65" t="str">
        <f t="shared" ca="1" si="53"/>
        <v/>
      </c>
      <c r="T205" s="32"/>
      <c r="U205" s="18" t="str">
        <f t="shared" ca="1" si="54"/>
        <v/>
      </c>
      <c r="V205" s="37"/>
      <c r="W205" s="47"/>
      <c r="X205" s="45" t="str">
        <f t="shared" si="56"/>
        <v/>
      </c>
      <c r="Y205" s="45" t="str">
        <f t="shared" si="52"/>
        <v/>
      </c>
    </row>
    <row r="206" spans="1:25" ht="15" customHeight="1" x14ac:dyDescent="0.25"/>
    <row r="207" spans="1:25" ht="15" customHeight="1" x14ac:dyDescent="0.25"/>
    <row r="208" spans="1:25" ht="15" customHeight="1" x14ac:dyDescent="0.25"/>
    <row r="209" ht="15" customHeight="1" x14ac:dyDescent="0.25"/>
  </sheetData>
  <sheetProtection sheet="1" objects="1" scenarios="1" formatCells="0" formatColumns="0" formatRows="0" deleteRows="0" sort="0" autoFilter="0"/>
  <autoFilter ref="A4:V205" xr:uid="{00000000-0001-0000-0300-000000000000}"/>
  <mergeCells count="3">
    <mergeCell ref="A2:U2"/>
    <mergeCell ref="A1:U1"/>
    <mergeCell ref="A3:U3"/>
  </mergeCells>
  <phoneticPr fontId="1"/>
  <pageMargins left="0.75" right="0.75" top="1" bottom="1" header="0.5" footer="0.5"/>
  <pageSetup fitToHeight="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'02_マスタ'!$A$5:$A$14</xm:f>
          </x14:formula1>
          <xm:sqref>A6 B5:B205 C6:D10</xm:sqref>
        </x14:dataValidation>
        <x14:dataValidation type="list" allowBlank="1" xr:uid="{00000000-0002-0000-0300-000001000000}">
          <x14:formula1>
            <xm:f>'02_マスタ'!$C$5:$C$8</xm:f>
          </x14:formula1>
          <xm:sqref>E5:E205</xm:sqref>
        </x14:dataValidation>
        <x14:dataValidation type="list" allowBlank="1" xr:uid="{00000000-0002-0000-0300-000002000000}">
          <x14:formula1>
            <xm:f>'02_マスタ'!$E$5:$E$12</xm:f>
          </x14:formula1>
          <xm:sqref>T5:T205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J304"/>
  <sheetViews>
    <sheetView showGridLines="0" tabSelected="1" zoomScale="55" zoomScaleNormal="5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9" sqref="F9"/>
    </sheetView>
  </sheetViews>
  <sheetFormatPr defaultColWidth="8.75" defaultRowHeight="15.75" x14ac:dyDescent="0.25"/>
  <cols>
    <col min="1" max="1" width="11" style="66" customWidth="1"/>
    <col min="2" max="2" width="12" style="66" customWidth="1"/>
    <col min="3" max="3" width="20" style="66" customWidth="1"/>
    <col min="4" max="4" width="12" style="66" customWidth="1"/>
    <col min="5" max="5" width="35.25" style="66" customWidth="1"/>
    <col min="6" max="6" width="38.625" style="1" customWidth="1"/>
    <col min="7" max="7" width="30" style="1" customWidth="1"/>
    <col min="8" max="8" width="33" style="1" customWidth="1"/>
    <col min="9" max="9" width="30" style="1" customWidth="1"/>
    <col min="10" max="17" width="34" style="1" customWidth="1"/>
    <col min="18" max="19" width="18" style="1" customWidth="1"/>
    <col min="20" max="21" width="12" style="1" customWidth="1"/>
    <col min="22" max="22" width="11" style="1" customWidth="1"/>
    <col min="23" max="23" width="15" style="1" customWidth="1"/>
    <col min="24" max="28" width="24" style="1" customWidth="1"/>
    <col min="29" max="32" width="36" style="1" customWidth="1"/>
    <col min="33" max="33" width="28" style="1" customWidth="1"/>
    <col min="34" max="34" width="10" style="67" customWidth="1"/>
    <col min="35" max="35" width="13" style="67" customWidth="1"/>
    <col min="36" max="36" width="12" style="67" customWidth="1"/>
    <col min="37" max="16384" width="8.75" style="1"/>
  </cols>
  <sheetData>
    <row r="1" spans="1:36" ht="27.95" customHeight="1" x14ac:dyDescent="0.25">
      <c r="A1" s="95" t="str">
        <f>INDEX(_翻訳マスタ!$B$117:$D$247,MATCH("ISSUE_TITLE",_翻訳マスタ!$A$117:$A$247,0),MATCH(言語切替!$B$3,_翻訳マスタ!$B$1:$D$1,0))</f>
        <v>Quản lý Vấn đề &amp; ToDo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</row>
    <row r="2" spans="1:36" ht="27.95" customHeight="1" x14ac:dyDescent="0.25">
      <c r="A2" s="93" t="str">
        <f>INDEX(_翻訳マスタ!$B$117:$D$247,MATCH("ISSUE_DESC",_翻訳マスタ!$A$117:$A$247,0),MATCH(言語切替!$B$3,_翻訳マスタ!$B$1:$D$1,0))</f>
        <v>Quản lý tập trung vấn đề, ToDo, quyết định và rủi ro. Số ngày còn lại và cảnh báo được tính tự động. 4 dòng là ví dụ nhập liệu.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</row>
    <row r="3" spans="1:36" s="3" customFormat="1" ht="38.1" customHeight="1" x14ac:dyDescent="0.15">
      <c r="A3" s="96" t="str">
        <f>INDEX(_翻訳マスタ!$B$2:$D$300,MATCH("PARA_HOWTO",_翻訳マスタ!$A$2:$A$300,0),MATCH(言語切替!$B$3,_翻訳マスタ!$B$1:$D$1,0))</f>
        <v>Quy tắc nhập: 【Tiêu đề VÀNG】= Được phép nhập / chọn dữ liệu (Gõ bất kỳ tiếng Việt/Nhật/Trung vào ô [Nhập])
【Tiêu đề XANH DƯƠNG】= Cấm nhập (Tự động tính toán &amp; dịch tự động 3 thứ tiếng).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AH3" s="68"/>
      <c r="AI3" s="68"/>
      <c r="AJ3" s="68"/>
    </row>
    <row r="4" spans="1:36" ht="27.95" customHeight="1" x14ac:dyDescent="0.25">
      <c r="A4" s="78" t="str">
        <f>INDEX(_翻訳マスタ!$B$117:$D$247,MATCH("ISSUE_COL_ID",_翻訳マスタ!$A$117:$A$247,0),MATCH(言語切替!$B$3,_翻訳マスタ!$B$1:$D$1,0))</f>
        <v>ID</v>
      </c>
      <c r="B4" s="57" t="str">
        <f>INDEX(_翻訳マスタ!$B$117:$D$247,MATCH("ISSUE_COL_TYPE",_翻訳マスタ!$A$117:$A$247,0),MATCH(言語切替!$B$3,_翻訳マスタ!$B$1:$D$1,0))</f>
        <v>Phân loại</v>
      </c>
      <c r="C4" s="57" t="str">
        <f>INDEX(_翻訳マスタ!$B$117:$D$247,MATCH("ISSUE_COL_WG",_翻訳マスタ!$A$117:$A$247,0),MATCH(言語切替!$B$3,_翻訳マスタ!$B$1:$D$1,0))</f>
        <v>WG</v>
      </c>
      <c r="D4" s="57" t="str">
        <f>INDEX(_翻訳マスタ!$B$117:$D$247,MATCH("ISSUE_COL_SITE",_翻訳マスタ!$A$117:$A$247,0),MATCH(言語切替!$B$3,_翻訳マスタ!$B$1:$D$1,0))</f>
        <v>Đơn vị</v>
      </c>
      <c r="E4" s="89" t="str">
        <f>INDEX(_翻訳マスタ!$B$2:$D$300,MATCH("WBS_TASK",_翻訳マスタ!$A$2:$A$300,0),MATCH(言語切替!$B$3,_翻訳マスタ!$B$1:$D$1,0))&amp;INDEX(_翻訳マスタ!$B$2:$D$300,MATCH("NEW_INPUT_SUFFIX",_翻訳マスタ!$A$2:$A$300,0),MATCH(言語切替!$B$3,_翻訳マスタ!$B$1:$D$1,0))</f>
        <v>Nhiệm vụ / Mục tiêu [Nhập: VI/JP/CN]</v>
      </c>
      <c r="F4" s="49" t="str">
        <f>INDEX(_翻訳マスタ!$B$2:$D$300,MATCH("ISSUE_COL_TITLE",_翻訳マスタ!$A$2:$A$300,0),MATCH(言語切替!$B$3,_翻訳マスタ!$B$1:$D$1,0))&amp;INDEX(_翻訳マスタ!$B$2:$D$300,MATCH("NEW_INPUT_SUFFIX",_翻訳マスタ!$A$2:$A$300,0),MATCH(言語切替!$B$3,_翻訳マスタ!$B$1:$D$1,0))</f>
        <v>Tiêu đề [Nhập: VI/JP/CN]</v>
      </c>
      <c r="G4" s="51" t="str">
        <f>INDEX(_翻訳マスタ!$B$2:$D$300,MATCH("ISSUE_COL_TITLE",_翻訳マスタ!$A$2:$A$300,0),MATCH(言語切替!$B$3,_翻訳マスタ!$B$1:$D$1,0))&amp;INDEX(_翻訳マスタ!$B$2:$D$300,MATCH("NEW_VI_SUFFIX",_翻訳マスタ!$A$2:$A$300,0),MATCH(言語切替!$B$3,_翻訳マスタ!$B$1:$D$1,0))</f>
        <v>Tiêu đề (VI)</v>
      </c>
      <c r="H4" s="51" t="str">
        <f>INDEX(_翻訳マスタ!$B$2:$D$300,MATCH("ISSUE_COL_TITLE",_翻訳マスタ!$A$2:$A$300,0),MATCH(言語切替!$B$3,_翻訳マスタ!$B$1:$D$1,0))&amp;INDEX(_翻訳マスタ!$B$2:$D$300,MATCH("NEW_JP_SUFFIX",_翻訳マスタ!$A$2:$A$300,0),MATCH(言語切替!$B$3,_翻訳マスタ!$B$1:$D$1,0))</f>
        <v>Tiêu đề (JP)</v>
      </c>
      <c r="I4" s="51" t="str">
        <f>INDEX(_翻訳マスタ!$B$2:$D$300,MATCH("ISSUE_COL_TITLE",_翻訳マスタ!$A$2:$A$300,0),MATCH(言語切替!$B$3,_翻訳マスタ!$B$1:$D$1,0))&amp;INDEX(_翻訳マスタ!$B$2:$D$300,MATCH("NEW_CN_SUFFIX",_翻訳マスタ!$A$2:$A$300,0),MATCH(言語切替!$B$3,_翻訳マスタ!$B$1:$D$1,0))</f>
        <v>Tiêu đề (CN)</v>
      </c>
      <c r="J4" s="49" t="str">
        <f>INDEX(_翻訳マスタ!$B$2:$D$300,MATCH("ISSUE_COL_BG",_翻訳マスタ!$A$2:$A$300,0),MATCH(言語切替!$B$3,_翻訳マスタ!$B$1:$D$1,0))&amp;INDEX(_翻訳マスタ!$B$2:$D$300,MATCH("NEW_INPUT_SUFFIX",_翻訳マスタ!$A$2:$A$300,0),MATCH(言語切替!$B$3,_翻訳マスタ!$B$1:$D$1,0))</f>
        <v>Bối cảnh / Vấn đề [Nhập: VI/JP/CN]</v>
      </c>
      <c r="K4" s="51" t="str">
        <f>INDEX(_翻訳マスタ!$B$2:$D$300,MATCH("ISSUE_COL_BG",_翻訳マスタ!$A$2:$A$300,0),MATCH(言語切替!$B$3,_翻訳マスタ!$B$1:$D$1,0))&amp;INDEX(_翻訳マスタ!$B$2:$D$300,MATCH("NEW_VI_SUFFIX",_翻訳マスタ!$A$2:$A$300,0),MATCH(言語切替!$B$3,_翻訳マスタ!$B$1:$D$1,0))</f>
        <v>Bối cảnh / Vấn đề (VI)</v>
      </c>
      <c r="L4" s="51" t="str">
        <f>INDEX(_翻訳マスタ!$B$2:$D$300,MATCH("ISSUE_COL_BG",_翻訳マスタ!$A$2:$A$300,0),MATCH(言語切替!$B$3,_翻訳マスタ!$B$1:$D$1,0))&amp;INDEX(_翻訳マスタ!$B$2:$D$300,MATCH("NEW_JP_SUFFIX",_翻訳マスタ!$A$2:$A$300,0),MATCH(言語切替!$B$3,_翻訳マスタ!$B$1:$D$1,0))</f>
        <v>Bối cảnh / Vấn đề (JP)</v>
      </c>
      <c r="M4" s="51" t="str">
        <f>INDEX(_翻訳マスタ!$B$2:$D$300,MATCH("ISSUE_COL_BG",_翻訳マスタ!$A$2:$A$300,0),MATCH(言語切替!$B$3,_翻訳マスタ!$B$1:$D$1,0))&amp;INDEX(_翻訳マスタ!$B$2:$D$300,MATCH("NEW_CN_SUFFIX",_翻訳マスタ!$A$2:$A$300,0),MATCH(言語切替!$B$3,_翻訳マスタ!$B$1:$D$1,0))</f>
        <v>Bối cảnh / Vấn đề (CN)</v>
      </c>
      <c r="N4" s="49" t="str">
        <f>INDEX(_翻訳マスタ!$B$2:$D$300,MATCH("ISSUE_COL_ACTION",_翻訳マスタ!$A$2:$A$300,0),MATCH(言語切替!$B$3,_翻訳マスタ!$B$1:$D$1,0))&amp;INDEX(_翻訳マスタ!$B$2:$D$300,MATCH("NEW_INPUT_SUFFIX",_翻訳マスタ!$A$2:$A$300,0),MATCH(言語切替!$B$3,_翻訳マスタ!$B$1:$D$1,0))</f>
        <v>Hành động tiếp theo [Nhập: VI/JP/CN]</v>
      </c>
      <c r="O4" s="51" t="str">
        <f>INDEX(_翻訳マスタ!$B$2:$D$300,MATCH("ISSUE_COL_ACTION",_翻訳マスタ!$A$2:$A$300,0),MATCH(言語切替!$B$3,_翻訳マスタ!$B$1:$D$1,0))&amp;INDEX(_翻訳マスタ!$B$2:$D$300,MATCH("NEW_VI_SUFFIX",_翻訳マスタ!$A$2:$A$300,0),MATCH(言語切替!$B$3,_翻訳マスタ!$B$1:$D$1,0))</f>
        <v>Hành động tiếp theo (VI)</v>
      </c>
      <c r="P4" s="51" t="str">
        <f>INDEX(_翻訳マスタ!$B$2:$D$300,MATCH("ISSUE_COL_ACTION",_翻訳マスタ!$A$2:$A$300,0),MATCH(言語切替!$B$3,_翻訳マスタ!$B$1:$D$1,0))&amp;INDEX(_翻訳マスタ!$B$2:$D$300,MATCH("NEW_JP_SUFFIX",_翻訳マスタ!$A$2:$A$300,0),MATCH(言語切替!$B$3,_翻訳マスタ!$B$1:$D$1,0))</f>
        <v>Hành động tiếp theo (JP)</v>
      </c>
      <c r="Q4" s="51" t="str">
        <f>INDEX(_翻訳マスタ!$B$2:$D$300,MATCH("ISSUE_COL_ACTION",_翻訳マスタ!$A$2:$A$300,0),MATCH(言語切替!$B$3,_翻訳マスタ!$B$1:$D$1,0))&amp;INDEX(_翻訳マスタ!$B$2:$D$300,MATCH("NEW_CN_SUFFIX",_翻訳マスタ!$A$2:$A$300,0),MATCH(言語切替!$B$3,_翻訳マスタ!$B$1:$D$1,0))</f>
        <v>Hành động tiếp theo (CN)</v>
      </c>
      <c r="R4" s="49" t="str">
        <f>INDEX(_翻訳マスタ!$B$117:$D$247,MATCH("ISSUE_COL_OWNER",_翻訳マスタ!$A$117:$A$247,0),MATCH(言語切替!$B$3,_翻訳マスタ!$B$1:$D$1,0))</f>
        <v>Người phụ trách</v>
      </c>
      <c r="S4" s="49" t="str">
        <f>INDEX(_翻訳マスタ!$B$117:$D$247,MATCH("ISSUE_COL_COOP",_翻訳マスタ!$A$117:$A$247,0),MATCH(言語切替!$B$3,_翻訳マスタ!$B$1:$D$1,0))</f>
        <v>Người phối hợp</v>
      </c>
      <c r="T4" s="49" t="str">
        <f>INDEX(_翻訳マスタ!$B$117:$D$247,MATCH("ISSUE_COL_START",_翻訳マスタ!$A$117:$A$247,0),MATCH(言語切替!$B$3,_翻訳マスタ!$B$1:$D$1,0))</f>
        <v>Ngày tạo</v>
      </c>
      <c r="U4" s="49" t="str">
        <f>INDEX(_翻訳マスタ!$B$117:$D$247,MATCH("ISSUE_COL_DUE",_翻訳マスタ!$A$117:$A$247,0),MATCH(言語切替!$B$3,_翻訳マスタ!$B$1:$D$1,0))</f>
        <v>Thời hạn</v>
      </c>
      <c r="V4" s="49" t="str">
        <f>INDEX(_翻訳マスタ!$B$117:$D$247,MATCH("ISSUE_COL_PRIORITY",_翻訳マスタ!$A$117:$A$247,0),MATCH(言語切替!$B$3,_翻訳マスタ!$B$1:$D$1,0))</f>
        <v>Mức ưu tiên</v>
      </c>
      <c r="W4" s="49" t="str">
        <f>INDEX(_翻訳マスタ!$B$117:$D$247,MATCH("ISSUE_COL_STATUS",_翻訳マスタ!$A$117:$A$247,0),MATCH(言語切替!$B$3,_翻訳マスタ!$B$1:$D$1,0))</f>
        <v>Trạng thái</v>
      </c>
      <c r="X4" s="49" t="str">
        <f>INDEX(_翻訳マスタ!$B$117:$D$247,MATCH("ISSUE_COL_DEP",_翻訳マスタ!$A$117:$A$247,0),MATCH(言語切替!$B$3,_翻訳マスタ!$B$1:$D$1,0))</f>
        <v>WG liên quan / Phụ thuộc</v>
      </c>
      <c r="Y4" s="49" t="str">
        <f>INDEX(_翻訳マスタ!$B$2:$D$300,MATCH("ISSUE_COL_COND",_翻訳マスタ!$A$2:$A$300,0),MATCH(言語切替!$B$3,_翻訳マスタ!$B$1:$D$1,0))&amp;INDEX(_翻訳マスタ!$B$2:$D$300,MATCH("NEW_INPUT_SUFFIX",_翻訳マスタ!$A$2:$A$300,0),MATCH(言語切替!$B$3,_翻訳マスタ!$B$1:$D$1,0))</f>
        <v>Điều kiện hoàn thành [Nhập: VI/JP/CN]</v>
      </c>
      <c r="Z4" s="51" t="str">
        <f>INDEX(_翻訳マスタ!$B$2:$D$300,MATCH("ISSUE_COL_COND",_翻訳マスタ!$A$2:$A$300,0),MATCH(言語切替!$B$3,_翻訳マスタ!$B$1:$D$1,0))&amp;INDEX(_翻訳マスタ!$B$2:$D$300,MATCH("NEW_VI_SUFFIX",_翻訳マスタ!$A$2:$A$300,0),MATCH(言語切替!$B$3,_翻訳マスタ!$B$1:$D$1,0))</f>
        <v>Điều kiện hoàn thành (VI)</v>
      </c>
      <c r="AA4" s="51" t="str">
        <f>INDEX(_翻訳マスタ!$B$2:$D$300,MATCH("ISSUE_COL_COND",_翻訳マスタ!$A$2:$A$300,0),MATCH(言語切替!$B$3,_翻訳マスタ!$B$1:$D$1,0))&amp;INDEX(_翻訳マスタ!$B$2:$D$300,MATCH("NEW_JP_SUFFIX",_翻訳マスタ!$A$2:$A$300,0),MATCH(言語切替!$B$3,_翻訳マスタ!$B$1:$D$1,0))</f>
        <v>Điều kiện hoàn thành (JP)</v>
      </c>
      <c r="AB4" s="51" t="str">
        <f>INDEX(_翻訳マスタ!$B$2:$D$300,MATCH("ISSUE_COL_COND",_翻訳マスタ!$A$2:$A$300,0),MATCH(言語切替!$B$3,_翻訳マスタ!$B$1:$D$1,0))&amp;INDEX(_翻訳マスタ!$B$2:$D$300,MATCH("NEW_CN_SUFFIX",_翻訳マスタ!$A$2:$A$300,0),MATCH(言語切替!$B$3,_翻訳マスタ!$B$1:$D$1,0))</f>
        <v>Điều kiện hoàn thành (CN)</v>
      </c>
      <c r="AC4" s="49" t="str">
        <f>INDEX(_翻訳マスタ!$B$2:$D$300,MATCH("ISSUE_COL_RESULT",_翻訳マスタ!$A$2:$A$300,0),MATCH(言語切替!$B$3,_翻訳マスタ!$B$1:$D$1,0))&amp;INDEX(_翻訳マスタ!$B$2:$D$300,MATCH("NEW_INPUT_SUFFIX",_翻訳マスタ!$A$2:$A$300,0),MATCH(言語切替!$B$3,_翻訳マスタ!$B$1:$D$1,0))</f>
        <v>Tình trạng xử lý / Kết luận [Nhập: VI/JP/CN]</v>
      </c>
      <c r="AD4" s="51" t="str">
        <f>INDEX(_翻訳マスタ!$B$2:$D$300,MATCH("ISSUE_COL_RESULT",_翻訳マスタ!$A$2:$A$300,0),MATCH(言語切替!$B$3,_翻訳マスタ!$B$1:$D$1,0))&amp;INDEX(_翻訳マスタ!$B$2:$D$300,MATCH("NEW_VI_SUFFIX",_翻訳マスタ!$A$2:$A$300,0),MATCH(言語切替!$B$3,_翻訳マスタ!$B$1:$D$1,0))</f>
        <v>Tình trạng xử lý / Kết luận (VI)</v>
      </c>
      <c r="AE4" s="51" t="str">
        <f>INDEX(_翻訳マスタ!$B$2:$D$300,MATCH("ISSUE_COL_RESULT",_翻訳マスタ!$A$2:$A$300,0),MATCH(言語切替!$B$3,_翻訳マスタ!$B$1:$D$1,0))&amp;INDEX(_翻訳マスタ!$B$2:$D$300,MATCH("NEW_JP_SUFFIX",_翻訳マスタ!$A$2:$A$300,0),MATCH(言語切替!$B$3,_翻訳マスタ!$B$1:$D$1,0))</f>
        <v>Tình trạng xử lý / Kết luận (JP)</v>
      </c>
      <c r="AF4" s="51" t="str">
        <f>INDEX(_翻訳マスタ!$B$2:$D$300,MATCH("ISSUE_COL_RESULT",_翻訳マスタ!$A$2:$A$300,0),MATCH(言語切替!$B$3,_翻訳マスタ!$B$1:$D$1,0))&amp;INDEX(_翻訳マスタ!$B$2:$D$300,MATCH("NEW_CN_SUFFIX",_翻訳マスタ!$A$2:$A$300,0),MATCH(言語切替!$B$3,_翻訳マスタ!$B$1:$D$1,0))</f>
        <v>Tình trạng xử lý / Kết luận (CN)</v>
      </c>
      <c r="AG4" s="49" t="str">
        <f>INDEX(_翻訳マスタ!$B$117:$D$247,MATCH("ISSUE_COL_LINK",_翻訳マスタ!$A$117:$A$247,0),MATCH(言語切替!$B$3,_翻訳マスタ!$B$1:$D$1,0))</f>
        <v>Liên kết liên quan</v>
      </c>
      <c r="AH4" s="58" t="str">
        <f>INDEX(_翻訳マスタ!$B$117:$D$247,MATCH("ISSUE_COL_DAYS",_翻訳マスタ!$A$117:$A$247,0),MATCH(言語切替!$B$3,_翻訳マスタ!$B$1:$D$1,0))</f>
        <v>Số ngày còn lại</v>
      </c>
      <c r="AI4" s="58" t="str">
        <f>INDEX(_翻訳マスタ!$B$117:$D$247,MATCH("ISSUE_COL_ALERT",_翻訳マスタ!$A$117:$A$247,0),MATCH(言語切替!$B$3,_翻訳マスタ!$B$1:$D$1,0))</f>
        <v>Cảnh báo</v>
      </c>
      <c r="AJ4" s="69" t="str">
        <f>INDEX(_翻訳マスタ!$B$117:$D$247,MATCH("ISSUE_COL_UPDATED",_翻訳マスタ!$A$117:$A$247,0),MATCH(言語切替!$B$3,_翻訳マスタ!$B$1:$D$1,0))</f>
        <v>Ngày cập nhật cuối</v>
      </c>
    </row>
    <row r="5" spans="1:36" s="21" customFormat="1" ht="31.5" customHeight="1" x14ac:dyDescent="0.25">
      <c r="A5" s="79"/>
      <c r="B5" s="80" t="str">
        <f>'02_マスタ'!$I$6</f>
        <v>ToDo</v>
      </c>
      <c r="C5" s="80" t="str">
        <f>'02_マスタ'!$A$5</f>
        <v>Toàn bộ</v>
      </c>
      <c r="D5" s="80" t="str">
        <f>'02_マスタ'!$C$5</f>
        <v>Chung</v>
      </c>
      <c r="E5" s="80"/>
      <c r="F5" s="23"/>
      <c r="G5" s="52" t="str">
        <f t="shared" ref="G5:G30" si="0">IF(F5="","",_xlfn.TRANSLATE(F5,"","vi"))</f>
        <v/>
      </c>
      <c r="H5" s="52" t="str">
        <f t="shared" ref="H5:H30" si="1">IF(F5="","",_xlfn.TRANSLATE(F5,"","ja"))</f>
        <v/>
      </c>
      <c r="I5" s="52" t="str">
        <f t="shared" ref="I5:I30" si="2">IF(F5="","",_xlfn.TRANSLATE(F5,"","zh-Hans"))</f>
        <v/>
      </c>
      <c r="J5" s="23" t="str">
        <f>INDEX(_翻訳マスタ!$D$2:$D$300,MATCH("ISSUE_EX1_BG",_翻訳マスタ!$A$2:$A$300,0))</f>
        <v>Cần quy tắc chung trước khi khởi động WG</v>
      </c>
      <c r="K5" s="52" t="str">
        <f t="shared" ref="K5:K30" si="3">IF(J5="","",_xlfn.TRANSLATE(J5,"","vi"))</f>
        <v>Cần quy tắc chung trước khi khởi động WG</v>
      </c>
      <c r="L5" s="52" t="str">
        <f t="shared" ref="L5:L30" si="4">IF(J5="","",_xlfn.TRANSLATE(J5,"","ja"))</f>
        <v>WGを始める前に一般的なルールが必要です</v>
      </c>
      <c r="M5" s="52" t="str">
        <f t="shared" ref="M5:M30" si="5">IF(J5="","",_xlfn.TRANSLATE(J5,"","zh-Hans"))</f>
        <v>在开始世界政府之前需要一个通用规则</v>
      </c>
      <c r="N5" s="23" t="str">
        <f>INDEX(_翻訳マスタ!$D$2:$D$300,MATCH("ISSUE_EX1_ACT",_翻訳マスタ!$A$2:$A$300,0))</f>
        <v>Thống nhất các mục, trách nhiệm và thời hạn trong ban điều hành</v>
      </c>
      <c r="O5" s="52" t="str">
        <f t="shared" ref="O5:O30" si="6">IF(N5="","",_xlfn.TRANSLATE(N5,"","vi"))</f>
        <v>Thống nhất các mục, trách nhiệm và thời hạn trong ban điều hành</v>
      </c>
      <c r="P5" s="52" t="str">
        <f t="shared" ref="P5:P30" si="7">IF(N5="","",_xlfn.TRANSLATE(N5,"","ja"))</f>
        <v>執行委員会で項目、責任、期限について合意してください</v>
      </c>
      <c r="Q5" s="52" t="str">
        <f t="shared" ref="Q5:Q30" si="8">IF(N5="","",_xlfn.TRANSLATE(N5,"","zh-Hans"))</f>
        <v>在执行委员会中就事项、职责和截止日期达成一致</v>
      </c>
      <c r="R5" s="23" t="str">
        <f>INDEX(_翻訳マスタ!$B$117:$D$247,MATCH("ROLE_PMO",_翻訳マスタ!$A$117:$A$247,0),MATCH(言語切替!$B$3,_翻訳マスタ!$B$1:$D$1,0))</f>
        <v>Ban điều hành</v>
      </c>
      <c r="S5" s="23" t="str">
        <f>INDEX(_翻訳マスタ!$B$117:$D$247,MATCH("ROLE_ALL_LEADERS",_翻訳マスタ!$A$117:$A$247,0),MATCH(言語切替!$B$3,_翻訳マスタ!$B$1:$D$1,0))</f>
        <v>Tất cả trưởng nhóm</v>
      </c>
      <c r="T5" s="24">
        <v>46288</v>
      </c>
      <c r="U5" s="24">
        <v>46295</v>
      </c>
      <c r="V5" s="23" t="s">
        <v>61</v>
      </c>
      <c r="W5" s="23" t="str">
        <f>'02_マスタ'!$E$6</f>
        <v>Đang xử lý</v>
      </c>
      <c r="X5" s="23"/>
      <c r="Y5" s="23" t="str">
        <f>INDEX(_翻訳マスタ!$D$2:$D$300,MATCH("ISSUE_EX1_COND",_翻訳マスタ!$A$2:$A$300,0))</f>
        <v>Quy tắc vận hành được phê duyệt</v>
      </c>
      <c r="Z5" s="52" t="str">
        <f t="shared" ref="Z5:Z30" si="9">IF(Y5="","",_xlfn.TRANSLATE(Y5,"","vi"))</f>
        <v>Quy tắc vận hành được phê duyệt</v>
      </c>
      <c r="AA5" s="52" t="str">
        <f t="shared" ref="AA5:AA30" si="10">IF(Y5="","",_xlfn.TRANSLATE(Y5,"","ja"))</f>
        <v>承認された運用規則</v>
      </c>
      <c r="AB5" s="52" t="str">
        <f t="shared" ref="AB5:AB30" si="11">IF(Y5="","",_xlfn.TRANSLATE(Y5,"","zh-Hans"))</f>
        <v>批准的操作规则</v>
      </c>
      <c r="AC5" s="23"/>
      <c r="AD5" s="52" t="str">
        <f t="shared" ref="AD5:AD30" si="12">IF(AC5="","",_xlfn.TRANSLATE(AC5,"","vi"))</f>
        <v/>
      </c>
      <c r="AE5" s="52" t="str">
        <f t="shared" ref="AE5:AE30" si="13">IF(AC5="","",_xlfn.TRANSLATE(AC5,"","ja"))</f>
        <v/>
      </c>
      <c r="AF5" s="52" t="str">
        <f t="shared" ref="AF5:AF30" si="14">IF(AC5="","",_xlfn.TRANSLATE(AC5,"","zh-Hans"))</f>
        <v/>
      </c>
      <c r="AG5" s="23"/>
      <c r="AH5" s="70">
        <f t="shared" ref="AH5:AH68" ca="1" si="15">IF(U5="","",U5-TODAY())</f>
        <v>-9</v>
      </c>
      <c r="AI5" s="70" t="str">
        <f ca="1">IF(A5="","",IF(OR(W5='02_マスタ'!$E$10,W5='02_マスタ'!$E$12),"",IF(V5="High","High",IF(AND(U5&lt;&gt;"",U5&lt;TODAY()),INDEX(_翻訳マスタ!$B$117:$D$247,MATCH("ALERT_OVERDUE",_翻訳マスタ!$A$117:$A$247,0),MATCH(言語切替!$B$3,_翻訳マスタ!$B$1:$D$1,0)),IF(AND(U5&lt;&gt;"",U5-TODAY()&lt;=7),INDEX(_翻訳マスタ!$B$117:$D$247,MATCH("ALERT_APPROACHING",_翻訳マスタ!$A$117:$A$247,0),MATCH(言語切替!$B$3,_翻訳マスタ!$B$1:$D$1,0)),IF(OR(W5='02_マスタ'!$E$7,W5='02_マスタ'!$E$8),INDEX(_翻訳マスタ!$B$117:$D$247,MATCH("ALERT_CHECK",_翻訳マスタ!$A$117:$A$247,0),MATCH(言語切替!$B$3,_翻訳マスタ!$B$1:$D$1,0)),""))))))</f>
        <v/>
      </c>
      <c r="AJ5" s="71">
        <v>46288</v>
      </c>
    </row>
    <row r="6" spans="1:36" s="21" customFormat="1" ht="31.5" customHeight="1" x14ac:dyDescent="0.25">
      <c r="A6" s="81"/>
      <c r="B6" s="82" t="str">
        <f>'02_マスタ'!$I$5</f>
        <v>Vấn đề</v>
      </c>
      <c r="C6" s="82" t="str">
        <f>'02_マスタ'!$A$9</f>
        <v>WG-4</v>
      </c>
      <c r="D6" s="82" t="str">
        <f>'02_マスタ'!$C$5</f>
        <v>Chung</v>
      </c>
      <c r="E6" s="82"/>
      <c r="F6" s="29" t="str">
        <f>'03_WBS'!J6</f>
        <v>Rà soát nghiệp vụ hiện tại</v>
      </c>
      <c r="G6" s="38" t="str">
        <f t="shared" si="0"/>
        <v>Rà soát nghiệp vụ hiện tại</v>
      </c>
      <c r="H6" s="38" t="str">
        <f t="shared" si="1"/>
        <v>現在の作戦のレビュー</v>
      </c>
      <c r="I6" s="38" t="str">
        <f t="shared" si="2"/>
        <v>当前行动回顾</v>
      </c>
      <c r="J6" s="26" t="str">
        <f>INDEX(_翻訳マスタ!$D$2:$D$300,MATCH("ISSUE_EX2_BG",_翻訳マスタ!$A$2:$A$300,0))</f>
        <v>Chưa định nghĩa vai trò sau khi tạo, phê duyệt và liên kết</v>
      </c>
      <c r="K6" s="38" t="str">
        <f t="shared" si="3"/>
        <v>Chưa định nghĩa vai trò sau khi tạo, phê duyệt và liên kết</v>
      </c>
      <c r="L6" s="38" t="str">
        <f t="shared" si="4"/>
        <v>創設、承認、協会後に定義されない役割</v>
      </c>
      <c r="M6" s="38" t="str">
        <f t="shared" si="5"/>
        <v>创建、批准和关联后未定义的角色</v>
      </c>
      <c r="N6" s="26" t="str">
        <f>INDEX(_翻訳マスタ!$D$2:$D$300,MATCH("ISSUE_EX2_ACT",_翻訳マスタ!$A$2:$A$300,0))</f>
        <v>Rà soát nghiệp vụ hiện tại và phân công trách nhiệm</v>
      </c>
      <c r="O6" s="38" t="str">
        <f t="shared" si="6"/>
        <v>Rà soát nghiệp vụ hiện tại và phân công trách nhiệm</v>
      </c>
      <c r="P6" s="38" t="str">
        <f t="shared" si="7"/>
        <v>現在の業務を見直し、責任を割り当てます</v>
      </c>
      <c r="Q6" s="38" t="str">
        <f t="shared" si="8"/>
        <v>审查当前运营并分配职责</v>
      </c>
      <c r="R6" s="26" t="s">
        <v>109</v>
      </c>
      <c r="S6" s="26" t="s">
        <v>136</v>
      </c>
      <c r="T6" s="27">
        <v>46294</v>
      </c>
      <c r="U6" s="27">
        <v>46311</v>
      </c>
      <c r="V6" s="26" t="s">
        <v>61</v>
      </c>
      <c r="W6" s="26" t="str">
        <f>'02_マスタ'!$E$5</f>
        <v>Chưa bắt đầu</v>
      </c>
      <c r="X6" s="26" t="str">
        <f>INDEX(_翻訳マスタ!$B$117:$D$247,MATCH("ISSUE_EX2_DEP",_翻訳マスタ!$A$117:$A$247,0),MATCH(言語切替!$B$3,_翻訳マスタ!$B$1:$D$1,0))</f>
        <v>WG-8 Tích hợp hệ thống</v>
      </c>
      <c r="Y6" s="26" t="str">
        <f>INDEX(_翻訳マスタ!$D$2:$D$300,MATCH("ISSUE_EX2_COND",_翻訳マスタ!$A$2:$A$300,0))</f>
        <v>Thống nhất bảng RACI</v>
      </c>
      <c r="Z6" s="38" t="str">
        <f t="shared" si="9"/>
        <v>Thống nhất bảng RACI</v>
      </c>
      <c r="AA6" s="38" t="str">
        <f t="shared" si="10"/>
        <v>統一RACI委員会</v>
      </c>
      <c r="AB6" s="38" t="str">
        <f t="shared" si="11"/>
        <v>统一的RACI董事会</v>
      </c>
      <c r="AC6" s="26"/>
      <c r="AD6" s="38" t="str">
        <f t="shared" si="12"/>
        <v/>
      </c>
      <c r="AE6" s="38" t="str">
        <f t="shared" si="13"/>
        <v/>
      </c>
      <c r="AF6" s="38" t="str">
        <f t="shared" si="14"/>
        <v/>
      </c>
      <c r="AG6" s="26"/>
      <c r="AH6" s="72">
        <f t="shared" ca="1" si="15"/>
        <v>7</v>
      </c>
      <c r="AI6" s="72" t="str">
        <f ca="1">IF(A6="","",IF(OR(W6='02_マスタ'!$E$10,W6='02_マスタ'!$E$12),"",IF(V6="High","High",IF(AND(U6&lt;&gt;"",U6&lt;TODAY()),INDEX(_翻訳マスタ!$B$117:$D$247,MATCH("ALERT_OVERDUE",_翻訳マスタ!$A$117:$A$247,0),MATCH(言語切替!$B$3,_翻訳マスタ!$B$1:$D$1,0)),IF(AND(U6&lt;&gt;"",U6-TODAY()&lt;=7),INDEX(_翻訳マスタ!$B$117:$D$247,MATCH("ALERT_APPROACHING",_翻訳マスタ!$A$117:$A$247,0),MATCH(言語切替!$B$3,_翻訳マスタ!$B$1:$D$1,0)),IF(OR(W6='02_マスタ'!$E$7,W6='02_マスタ'!$E$8),INDEX(_翻訳マスタ!$B$117:$D$247,MATCH("ALERT_CHECK",_翻訳マスタ!$A$117:$A$247,0),MATCH(言語切替!$B$3,_翻訳マスタ!$B$1:$D$1,0)),""))))))</f>
        <v/>
      </c>
      <c r="AJ6" s="73">
        <v>46288</v>
      </c>
    </row>
    <row r="7" spans="1:36" s="21" customFormat="1" ht="31.5" customHeight="1" x14ac:dyDescent="0.25">
      <c r="A7" s="83"/>
      <c r="B7" s="84" t="str">
        <f>'02_マスタ'!$I$5</f>
        <v>Vấn đề</v>
      </c>
      <c r="C7" s="84" t="str">
        <f>'02_マスタ'!$A$12</f>
        <v>WG-7</v>
      </c>
      <c r="D7" s="84" t="s">
        <v>77</v>
      </c>
      <c r="E7" s="84"/>
      <c r="F7" s="29" t="str">
        <f>'03_WBS'!J7</f>
        <v>Sắp xếp vai trò hệ thống hiện hữu</v>
      </c>
      <c r="G7" s="39" t="str">
        <f t="shared" si="0"/>
        <v>Sắp xếp vai trò hệ thống hiện hữu</v>
      </c>
      <c r="H7" s="39" t="str">
        <f t="shared" si="1"/>
        <v>既存のシステム役割の組織化</v>
      </c>
      <c r="I7" s="39" t="str">
        <f t="shared" si="2"/>
        <v>组织现有系统角色</v>
      </c>
      <c r="J7" s="29" t="str">
        <f>INDEX(_翻訳マスタ!$D$2:$D$300,MATCH("ISSUE_EX3_BG",_翻訳マスタ!$A$2:$A$300,0))</f>
        <v>Phạm vi logistics giao hàng rộng</v>
      </c>
      <c r="K7" s="39" t="str">
        <f t="shared" si="3"/>
        <v>Phạm vi logistics giao hàng rộng</v>
      </c>
      <c r="L7" s="39" t="str">
        <f t="shared" si="4"/>
        <v>幅広い配送物流</v>
      </c>
      <c r="M7" s="39" t="str">
        <f t="shared" si="5"/>
        <v>广泛的配送物流</v>
      </c>
      <c r="N7" s="29" t="str">
        <f>INDEX(_翻訳マスタ!$D$2:$D$300,MATCH("ISSUE_EX3_ACT",_翻訳マスタ!$A$2:$A$300,0))</f>
        <v>Rà soát công chuẩn hiện tại và thống nhất chủ đề ưu tiên</v>
      </c>
      <c r="O7" s="39" t="str">
        <f t="shared" si="6"/>
        <v>Rà soát công chuẩn hiện tại và thống nhất chủ đề ưu tiên</v>
      </c>
      <c r="P7" s="39" t="str">
        <f t="shared" si="7"/>
        <v>現在の基準を見直し、優先トピックについて合意しましょう</v>
      </c>
      <c r="Q7" s="39" t="str">
        <f t="shared" si="8"/>
        <v>审查现有标准并就优先议题达成共识</v>
      </c>
      <c r="R7" s="29" t="s">
        <v>109</v>
      </c>
      <c r="S7" s="29" t="str">
        <f>INDEX(_翻訳マスタ!$B$117:$D$247,MATCH("ROLE_PMO",_翻訳マスタ!$A$117:$A$247,0),MATCH(言語切替!$B$3,_翻訳マスタ!$B$1:$D$1,0))</f>
        <v>Ban điều hành</v>
      </c>
      <c r="T7" s="30">
        <v>46294</v>
      </c>
      <c r="U7" s="30">
        <v>46311</v>
      </c>
      <c r="V7" s="29" t="s">
        <v>67</v>
      </c>
      <c r="W7" s="29" t="str">
        <f>'02_マスタ'!$E$5</f>
        <v>Chưa bắt đầu</v>
      </c>
      <c r="X7" s="29"/>
      <c r="Y7" s="29" t="str">
        <f>INDEX(_翻訳マスタ!$D$2:$D$300,MATCH("ISSUE_EX3_COND",_翻訳マスタ!$A$2:$A$300,0))</f>
        <v>Phê duyệt phạm vi mục tiêu</v>
      </c>
      <c r="Z7" s="39" t="str">
        <f t="shared" si="9"/>
        <v>Phê duyệt phạm vi mục tiêu</v>
      </c>
      <c r="AA7" s="39" t="str">
        <f t="shared" si="10"/>
        <v>ターゲットスコープ承認</v>
      </c>
      <c r="AB7" s="39" t="str">
        <f t="shared" si="11"/>
        <v>目标范围批准</v>
      </c>
      <c r="AC7" s="29"/>
      <c r="AD7" s="39" t="str">
        <f t="shared" si="12"/>
        <v/>
      </c>
      <c r="AE7" s="39" t="str">
        <f t="shared" si="13"/>
        <v/>
      </c>
      <c r="AF7" s="39" t="str">
        <f t="shared" si="14"/>
        <v/>
      </c>
      <c r="AG7" s="29"/>
      <c r="AH7" s="74">
        <f t="shared" ca="1" si="15"/>
        <v>7</v>
      </c>
      <c r="AI7" s="74" t="str">
        <f ca="1">IF(A7="","",IF(OR(W7='02_マスタ'!$E$10,W7='02_マスタ'!$E$12),"",IF(V7="High","High",IF(AND(U7&lt;&gt;"",U7&lt;TODAY()),INDEX(_翻訳マスタ!$B$117:$D$247,MATCH("ALERT_OVERDUE",_翻訳マスタ!$A$117:$A$247,0),MATCH(言語切替!$B$3,_翻訳マスタ!$B$1:$D$1,0)),IF(AND(U7&lt;&gt;"",U7-TODAY()&lt;=7),INDEX(_翻訳マスタ!$B$117:$D$247,MATCH("ALERT_APPROACHING",_翻訳マスタ!$A$117:$A$247,0),MATCH(言語切替!$B$3,_翻訳マスタ!$B$1:$D$1,0)),IF(OR(W7='02_マスタ'!$E$7,W7='02_マスタ'!$E$8),INDEX(_翻訳マスタ!$B$117:$D$247,MATCH("ALERT_CHECK",_翻訳マスタ!$A$117:$A$247,0),MATCH(言語切替!$B$3,_翻訳マスタ!$B$1:$D$1,0)),""))))))</f>
        <v/>
      </c>
      <c r="AJ7" s="75">
        <v>46288</v>
      </c>
    </row>
    <row r="8" spans="1:36" s="21" customFormat="1" ht="42.95" customHeight="1" x14ac:dyDescent="0.25">
      <c r="A8" s="81"/>
      <c r="B8" s="82" t="str">
        <f>'02_マスタ'!$I$8</f>
        <v>Rủi ro</v>
      </c>
      <c r="C8" s="82" t="str">
        <f>'02_マスタ'!$A$14</f>
        <v>WG-9</v>
      </c>
      <c r="D8" s="82" t="str">
        <f>'02_マスタ'!$C$5</f>
        <v>Chung</v>
      </c>
      <c r="E8" s="82"/>
      <c r="F8" s="29" t="str">
        <f>'03_WBS'!J8</f>
        <v>Xem xét phương pháp AMM lấy thùng HAN-CON</v>
      </c>
      <c r="G8" s="38" t="str">
        <f t="shared" si="0"/>
        <v>Xem xét phương pháp AMM lấy thùng HAN-CON</v>
      </c>
      <c r="H8" s="38" t="str">
        <f t="shared" si="1"/>
        <v>HAN-CONバレル取得AMM法を考えてみましょう</v>
      </c>
      <c r="I8" s="38" t="str">
        <f t="shared" si="2"/>
        <v>考虑汉康枪管采集反导法</v>
      </c>
      <c r="J8" s="26" t="str">
        <f>INDEX(_翻訳マスタ!$D$2:$D$300,MATCH("ISSUE_EX4_BG",_翻訳マスタ!$A$2:$A$300,0))</f>
        <v>Chưa sắp xếp quy cách, chia sẻ chi phí và logistics thu hồi</v>
      </c>
      <c r="K8" s="38" t="str">
        <f t="shared" si="3"/>
        <v>Chưa sắp xếp quy cách, chia sẻ chi phí và logistics thu hồi</v>
      </c>
      <c r="L8" s="38" t="str">
        <f t="shared" si="4"/>
        <v>仕様、費用分担、回収物流は手配されていません</v>
      </c>
      <c r="M8" s="38" t="str">
        <f t="shared" si="5"/>
        <v>规格、成本分摊和回收后勤尚未安排</v>
      </c>
      <c r="N8" s="26" t="str">
        <f>INDEX(_翻訳マスタ!$D$2:$D$300,MATCH("ISSUE_EX4_ACT",_翻訳マスタ!$A$2:$A$300,0))</f>
        <v>Sắp xếp các yếu tố cản trở và vấn đề cần quyết định</v>
      </c>
      <c r="O8" s="38" t="str">
        <f t="shared" si="6"/>
        <v>Sắp xếp các yếu tố cản trở và vấn đề cần quyết định</v>
      </c>
      <c r="P8" s="38" t="str">
        <f t="shared" si="7"/>
        <v>障害や問題を解決しなければなりません</v>
      </c>
      <c r="Q8" s="38" t="str">
        <f t="shared" si="8"/>
        <v>解决需要解决的障碍和问题</v>
      </c>
      <c r="R8" s="26" t="s">
        <v>109</v>
      </c>
      <c r="S8" s="26" t="str">
        <f>INDEX(_翻訳マスタ!$B$117:$D$247,MATCH("ROLE_MATERIALS",_翻訳マスタ!$A$117:$A$247,0),MATCH(言語切替!$B$3,_翻訳マスタ!$B$1:$D$1,0))</f>
        <v>Vật tư</v>
      </c>
      <c r="T8" s="27">
        <v>46294</v>
      </c>
      <c r="U8" s="27">
        <v>46318</v>
      </c>
      <c r="V8" s="26" t="s">
        <v>67</v>
      </c>
      <c r="W8" s="26" t="str">
        <f>'02_マスタ'!$E$5</f>
        <v>Chưa bắt đầu</v>
      </c>
      <c r="X8" s="26" t="str">
        <f>INDEX(_翻訳マスタ!$B$117:$D$247,MATCH("ISSUE_EX4_DEP",_翻訳マスタ!$A$117:$A$247,0),MATCH(言語切替!$B$3,_翻訳マスタ!$B$1:$D$1,0))</f>
        <v>WG-1 Tiếp nhận linh kiện</v>
      </c>
      <c r="Y8" s="26" t="str">
        <f>INDEX(_翻訳マスタ!$D$2:$D$300,MATCH("ISSUE_EX4_COND",_翻訳マスタ!$A$2:$A$300,0))</f>
        <v>Thống nhất định hướng triển khai</v>
      </c>
      <c r="Z8" s="38" t="str">
        <f t="shared" si="9"/>
        <v>Thống nhất định hướng triển khai</v>
      </c>
      <c r="AA8" s="38" t="str">
        <f t="shared" si="10"/>
        <v>実装志向の統一</v>
      </c>
      <c r="AB8" s="38" t="str">
        <f t="shared" si="11"/>
        <v>实现方向的统一</v>
      </c>
      <c r="AC8" s="26"/>
      <c r="AD8" s="38" t="str">
        <f t="shared" si="12"/>
        <v/>
      </c>
      <c r="AE8" s="38" t="str">
        <f t="shared" si="13"/>
        <v/>
      </c>
      <c r="AF8" s="38" t="str">
        <f t="shared" si="14"/>
        <v/>
      </c>
      <c r="AG8" s="26"/>
      <c r="AH8" s="72">
        <f t="shared" ca="1" si="15"/>
        <v>14</v>
      </c>
      <c r="AI8" s="72" t="str">
        <f ca="1">IF(A8="","",IF(OR(W8='02_マスタ'!$E$10,W8='02_マスタ'!$E$12),"",IF(V8="High","High",IF(AND(U8&lt;&gt;"",U8&lt;TODAY()),INDEX(_翻訳マスタ!$B$117:$D$247,MATCH("ALERT_OVERDUE",_翻訳マスタ!$A$117:$A$247,0),MATCH(言語切替!$B$3,_翻訳マスタ!$B$1:$D$1,0)),IF(AND(U8&lt;&gt;"",U8-TODAY()&lt;=7),INDEX(_翻訳マスタ!$B$117:$D$247,MATCH("ALERT_APPROACHING",_翻訳マスタ!$A$117:$A$247,0),MATCH(言語切替!$B$3,_翻訳マスタ!$B$1:$D$1,0)),IF(OR(W8='02_マスタ'!$E$7,W8='02_マスタ'!$E$8),INDEX(_翻訳マスタ!$B$117:$D$247,MATCH("ALERT_CHECK",_翻訳マスタ!$A$117:$A$247,0),MATCH(言語切替!$B$3,_翻訳マスタ!$B$1:$D$1,0)),""))))))</f>
        <v/>
      </c>
      <c r="AJ8" s="73">
        <v>46288</v>
      </c>
    </row>
    <row r="9" spans="1:36" s="21" customFormat="1" ht="30" customHeight="1" x14ac:dyDescent="0.25">
      <c r="A9" s="83"/>
      <c r="B9" s="84"/>
      <c r="C9" s="84" t="s">
        <v>330</v>
      </c>
      <c r="D9" s="84"/>
      <c r="E9" s="26" t="s">
        <v>981</v>
      </c>
      <c r="F9" s="29"/>
      <c r="G9" s="39" t="str">
        <f t="shared" si="0"/>
        <v/>
      </c>
      <c r="H9" s="39" t="str">
        <f t="shared" si="1"/>
        <v/>
      </c>
      <c r="I9" s="39" t="str">
        <f t="shared" si="2"/>
        <v/>
      </c>
      <c r="J9" s="29"/>
      <c r="K9" s="39" t="str">
        <f t="shared" si="3"/>
        <v/>
      </c>
      <c r="L9" s="39" t="str">
        <f t="shared" si="4"/>
        <v/>
      </c>
      <c r="M9" s="39" t="str">
        <f t="shared" si="5"/>
        <v/>
      </c>
      <c r="N9" s="29"/>
      <c r="O9" s="39" t="str">
        <f t="shared" si="6"/>
        <v/>
      </c>
      <c r="P9" s="39" t="str">
        <f t="shared" si="7"/>
        <v/>
      </c>
      <c r="Q9" s="39" t="str">
        <f t="shared" si="8"/>
        <v/>
      </c>
      <c r="R9" s="29"/>
      <c r="S9" s="29"/>
      <c r="T9" s="30"/>
      <c r="U9" s="30"/>
      <c r="V9" s="29"/>
      <c r="W9" s="29"/>
      <c r="X9" s="29"/>
      <c r="Y9" s="29"/>
      <c r="Z9" s="39" t="str">
        <f t="shared" si="9"/>
        <v/>
      </c>
      <c r="AA9" s="39" t="str">
        <f t="shared" si="10"/>
        <v/>
      </c>
      <c r="AB9" s="39" t="str">
        <f t="shared" si="11"/>
        <v/>
      </c>
      <c r="AC9" s="29"/>
      <c r="AD9" s="39" t="str">
        <f t="shared" si="12"/>
        <v/>
      </c>
      <c r="AE9" s="39" t="str">
        <f t="shared" si="13"/>
        <v/>
      </c>
      <c r="AF9" s="39" t="str">
        <f t="shared" si="14"/>
        <v/>
      </c>
      <c r="AG9" s="29"/>
      <c r="AH9" s="72" t="str">
        <f t="shared" ca="1" si="15"/>
        <v/>
      </c>
      <c r="AI9" s="72" t="str">
        <f ca="1">IF(A9="","",IF(OR(W9='02_マスタ'!$E$10,W9='02_マスタ'!$E$12),"",IF(V9="High","High",IF(AND(U9&lt;&gt;"",U9&lt;TODAY()),INDEX(_翻訳マスタ!$B$117:$D$247,MATCH("ALERT_OVERDUE",_翻訳マスタ!$A$117:$A$247,0),MATCH(言語切替!$B$3,_翻訳マスタ!$B$1:$D$1,0)),IF(AND(U9&lt;&gt;"",U9-TODAY()&lt;=7),INDEX(_翻訳マスタ!$B$117:$D$247,MATCH("ALERT_APPROACHING",_翻訳マスタ!$A$117:$A$247,0),MATCH(言語切替!$B$3,_翻訳マスタ!$B$1:$D$1,0)),IF(OR(W9='02_マスタ'!$E$7,W9='02_マスタ'!$E$8),INDEX(_翻訳マスタ!$B$117:$D$247,MATCH("ALERT_CHECK",_翻訳マスタ!$A$117:$A$247,0),MATCH(言語切替!$B$3,_翻訳マスタ!$B$1:$D$1,0)),""))))))</f>
        <v/>
      </c>
      <c r="AJ9" s="75"/>
    </row>
    <row r="10" spans="1:36" s="21" customFormat="1" ht="30" customHeight="1" x14ac:dyDescent="0.25">
      <c r="A10" s="81"/>
      <c r="B10" s="82"/>
      <c r="C10" s="82"/>
      <c r="D10" s="82"/>
      <c r="E10" s="82"/>
      <c r="F10" s="26"/>
      <c r="G10" s="38" t="str">
        <f t="shared" si="0"/>
        <v/>
      </c>
      <c r="H10" s="38" t="str">
        <f t="shared" si="1"/>
        <v/>
      </c>
      <c r="I10" s="38" t="str">
        <f t="shared" si="2"/>
        <v/>
      </c>
      <c r="J10" s="26"/>
      <c r="K10" s="38" t="str">
        <f t="shared" si="3"/>
        <v/>
      </c>
      <c r="L10" s="38" t="str">
        <f t="shared" si="4"/>
        <v/>
      </c>
      <c r="M10" s="38" t="str">
        <f t="shared" si="5"/>
        <v/>
      </c>
      <c r="N10" s="26"/>
      <c r="O10" s="38" t="str">
        <f t="shared" si="6"/>
        <v/>
      </c>
      <c r="P10" s="38" t="str">
        <f t="shared" si="7"/>
        <v/>
      </c>
      <c r="Q10" s="38" t="str">
        <f t="shared" si="8"/>
        <v/>
      </c>
      <c r="R10" s="26"/>
      <c r="S10" s="26"/>
      <c r="T10" s="27"/>
      <c r="U10" s="27"/>
      <c r="V10" s="26"/>
      <c r="W10" s="26"/>
      <c r="X10" s="26"/>
      <c r="Y10" s="26"/>
      <c r="Z10" s="38" t="str">
        <f t="shared" si="9"/>
        <v/>
      </c>
      <c r="AA10" s="38" t="str">
        <f t="shared" si="10"/>
        <v/>
      </c>
      <c r="AB10" s="38" t="str">
        <f t="shared" si="11"/>
        <v/>
      </c>
      <c r="AC10" s="26"/>
      <c r="AD10" s="38" t="str">
        <f t="shared" si="12"/>
        <v/>
      </c>
      <c r="AE10" s="38" t="str">
        <f t="shared" si="13"/>
        <v/>
      </c>
      <c r="AF10" s="38" t="str">
        <f t="shared" si="14"/>
        <v/>
      </c>
      <c r="AG10" s="26"/>
      <c r="AH10" s="72" t="str">
        <f t="shared" ca="1" si="15"/>
        <v/>
      </c>
      <c r="AI10" s="72" t="str">
        <f ca="1">IF(A10="","",IF(OR(W10='02_マスタ'!$E$10,W10='02_マスタ'!$E$12),"",IF(V10="High","High",IF(AND(U10&lt;&gt;"",U10&lt;TODAY()),INDEX(_翻訳マスタ!$B$117:$D$247,MATCH("ALERT_OVERDUE",_翻訳マスタ!$A$117:$A$247,0),MATCH(言語切替!$B$3,_翻訳マスタ!$B$1:$D$1,0)),IF(AND(U10&lt;&gt;"",U10-TODAY()&lt;=7),INDEX(_翻訳マスタ!$B$117:$D$247,MATCH("ALERT_APPROACHING",_翻訳マスタ!$A$117:$A$247,0),MATCH(言語切替!$B$3,_翻訳マスタ!$B$1:$D$1,0)),IF(OR(W10='02_マスタ'!$E$7,W10='02_マスタ'!$E$8),INDEX(_翻訳マスタ!$B$117:$D$247,MATCH("ALERT_CHECK",_翻訳マスタ!$A$117:$A$247,0),MATCH(言語切替!$B$3,_翻訳マスタ!$B$1:$D$1,0)),""))))))</f>
        <v/>
      </c>
      <c r="AJ10" s="73"/>
    </row>
    <row r="11" spans="1:36" s="21" customFormat="1" ht="30" customHeight="1" x14ac:dyDescent="0.25">
      <c r="A11" s="83"/>
      <c r="B11" s="84"/>
      <c r="C11" s="84"/>
      <c r="D11" s="84"/>
      <c r="E11" s="84"/>
      <c r="F11" s="29"/>
      <c r="G11" s="39" t="str">
        <f t="shared" si="0"/>
        <v/>
      </c>
      <c r="H11" s="39" t="str">
        <f t="shared" si="1"/>
        <v/>
      </c>
      <c r="I11" s="39" t="str">
        <f t="shared" si="2"/>
        <v/>
      </c>
      <c r="J11" s="29"/>
      <c r="K11" s="39" t="str">
        <f t="shared" si="3"/>
        <v/>
      </c>
      <c r="L11" s="39" t="str">
        <f t="shared" si="4"/>
        <v/>
      </c>
      <c r="M11" s="39" t="str">
        <f t="shared" si="5"/>
        <v/>
      </c>
      <c r="N11" s="29"/>
      <c r="O11" s="39" t="str">
        <f t="shared" si="6"/>
        <v/>
      </c>
      <c r="P11" s="39" t="str">
        <f t="shared" si="7"/>
        <v/>
      </c>
      <c r="Q11" s="39" t="str">
        <f t="shared" si="8"/>
        <v/>
      </c>
      <c r="R11" s="29"/>
      <c r="S11" s="29"/>
      <c r="T11" s="30"/>
      <c r="U11" s="30"/>
      <c r="V11" s="29"/>
      <c r="W11" s="29"/>
      <c r="X11" s="29"/>
      <c r="Y11" s="29"/>
      <c r="Z11" s="39" t="str">
        <f t="shared" si="9"/>
        <v/>
      </c>
      <c r="AA11" s="39" t="str">
        <f t="shared" si="10"/>
        <v/>
      </c>
      <c r="AB11" s="39" t="str">
        <f t="shared" si="11"/>
        <v/>
      </c>
      <c r="AC11" s="29"/>
      <c r="AD11" s="39" t="str">
        <f t="shared" si="12"/>
        <v/>
      </c>
      <c r="AE11" s="39" t="str">
        <f t="shared" si="13"/>
        <v/>
      </c>
      <c r="AF11" s="39" t="str">
        <f t="shared" si="14"/>
        <v/>
      </c>
      <c r="AG11" s="29"/>
      <c r="AH11" s="72" t="str">
        <f t="shared" ca="1" si="15"/>
        <v/>
      </c>
      <c r="AI11" s="72" t="str">
        <f ca="1">IF(A11="","",IF(OR(W11='02_マスタ'!$E$10,W11='02_マスタ'!$E$12),"",IF(V11="High","High",IF(AND(U11&lt;&gt;"",U11&lt;TODAY()),INDEX(_翻訳マスタ!$B$117:$D$247,MATCH("ALERT_OVERDUE",_翻訳マスタ!$A$117:$A$247,0),MATCH(言語切替!$B$3,_翻訳マスタ!$B$1:$D$1,0)),IF(AND(U11&lt;&gt;"",U11-TODAY()&lt;=7),INDEX(_翻訳マスタ!$B$117:$D$247,MATCH("ALERT_APPROACHING",_翻訳マスタ!$A$117:$A$247,0),MATCH(言語切替!$B$3,_翻訳マスタ!$B$1:$D$1,0)),IF(OR(W11='02_マスタ'!$E$7,W11='02_マスタ'!$E$8),INDEX(_翻訳マスタ!$B$117:$D$247,MATCH("ALERT_CHECK",_翻訳マスタ!$A$117:$A$247,0),MATCH(言語切替!$B$3,_翻訳マスタ!$B$1:$D$1,0)),""))))))</f>
        <v/>
      </c>
      <c r="AJ11" s="75"/>
    </row>
    <row r="12" spans="1:36" s="21" customFormat="1" ht="30" customHeight="1" x14ac:dyDescent="0.25">
      <c r="A12" s="81"/>
      <c r="B12" s="82"/>
      <c r="C12" s="82"/>
      <c r="D12" s="82"/>
      <c r="E12" s="82"/>
      <c r="F12" s="26"/>
      <c r="G12" s="38" t="str">
        <f t="shared" si="0"/>
        <v/>
      </c>
      <c r="H12" s="38" t="str">
        <f t="shared" si="1"/>
        <v/>
      </c>
      <c r="I12" s="38" t="str">
        <f t="shared" si="2"/>
        <v/>
      </c>
      <c r="J12" s="26"/>
      <c r="K12" s="38" t="str">
        <f t="shared" si="3"/>
        <v/>
      </c>
      <c r="L12" s="38" t="str">
        <f t="shared" si="4"/>
        <v/>
      </c>
      <c r="M12" s="38" t="str">
        <f t="shared" si="5"/>
        <v/>
      </c>
      <c r="N12" s="26"/>
      <c r="O12" s="38" t="str">
        <f t="shared" si="6"/>
        <v/>
      </c>
      <c r="P12" s="38" t="str">
        <f t="shared" si="7"/>
        <v/>
      </c>
      <c r="Q12" s="38" t="str">
        <f t="shared" si="8"/>
        <v/>
      </c>
      <c r="R12" s="26"/>
      <c r="S12" s="26"/>
      <c r="T12" s="27"/>
      <c r="U12" s="27"/>
      <c r="V12" s="26"/>
      <c r="W12" s="26"/>
      <c r="X12" s="26"/>
      <c r="Y12" s="26"/>
      <c r="Z12" s="38" t="str">
        <f t="shared" si="9"/>
        <v/>
      </c>
      <c r="AA12" s="38" t="str">
        <f t="shared" si="10"/>
        <v/>
      </c>
      <c r="AB12" s="38" t="str">
        <f t="shared" si="11"/>
        <v/>
      </c>
      <c r="AC12" s="26"/>
      <c r="AD12" s="38" t="str">
        <f t="shared" si="12"/>
        <v/>
      </c>
      <c r="AE12" s="38" t="str">
        <f t="shared" si="13"/>
        <v/>
      </c>
      <c r="AF12" s="38" t="str">
        <f t="shared" si="14"/>
        <v/>
      </c>
      <c r="AG12" s="26"/>
      <c r="AH12" s="72" t="str">
        <f t="shared" ca="1" si="15"/>
        <v/>
      </c>
      <c r="AI12" s="72" t="str">
        <f ca="1">IF(A12="","",IF(OR(W12='02_マスタ'!$E$10,W12='02_マスタ'!$E$12),"",IF(V12="High","High",IF(AND(U12&lt;&gt;"",U12&lt;TODAY()),INDEX(_翻訳マスタ!$B$117:$D$247,MATCH("ALERT_OVERDUE",_翻訳マスタ!$A$117:$A$247,0),MATCH(言語切替!$B$3,_翻訳マスタ!$B$1:$D$1,0)),IF(AND(U12&lt;&gt;"",U12-TODAY()&lt;=7),INDEX(_翻訳マスタ!$B$117:$D$247,MATCH("ALERT_APPROACHING",_翻訳マスタ!$A$117:$A$247,0),MATCH(言語切替!$B$3,_翻訳マスタ!$B$1:$D$1,0)),IF(OR(W12='02_マスタ'!$E$7,W12='02_マスタ'!$E$8),INDEX(_翻訳マスタ!$B$117:$D$247,MATCH("ALERT_CHECK",_翻訳マスタ!$A$117:$A$247,0),MATCH(言語切替!$B$3,_翻訳マスタ!$B$1:$D$1,0)),""))))))</f>
        <v/>
      </c>
      <c r="AJ12" s="73"/>
    </row>
    <row r="13" spans="1:36" s="21" customFormat="1" ht="30" customHeight="1" x14ac:dyDescent="0.25">
      <c r="A13" s="83"/>
      <c r="B13" s="84"/>
      <c r="C13" s="84"/>
      <c r="D13" s="84"/>
      <c r="E13" s="84"/>
      <c r="F13" s="29"/>
      <c r="G13" s="39" t="str">
        <f t="shared" si="0"/>
        <v/>
      </c>
      <c r="H13" s="39" t="str">
        <f t="shared" si="1"/>
        <v/>
      </c>
      <c r="I13" s="39" t="str">
        <f t="shared" si="2"/>
        <v/>
      </c>
      <c r="J13" s="29"/>
      <c r="K13" s="39" t="str">
        <f t="shared" si="3"/>
        <v/>
      </c>
      <c r="L13" s="39" t="str">
        <f t="shared" si="4"/>
        <v/>
      </c>
      <c r="M13" s="39" t="str">
        <f t="shared" si="5"/>
        <v/>
      </c>
      <c r="N13" s="29"/>
      <c r="O13" s="39" t="str">
        <f t="shared" si="6"/>
        <v/>
      </c>
      <c r="P13" s="39" t="str">
        <f t="shared" si="7"/>
        <v/>
      </c>
      <c r="Q13" s="39" t="str">
        <f t="shared" si="8"/>
        <v/>
      </c>
      <c r="R13" s="29"/>
      <c r="S13" s="29"/>
      <c r="T13" s="30"/>
      <c r="U13" s="30"/>
      <c r="V13" s="29"/>
      <c r="W13" s="29"/>
      <c r="X13" s="29"/>
      <c r="Y13" s="29"/>
      <c r="Z13" s="39" t="str">
        <f t="shared" si="9"/>
        <v/>
      </c>
      <c r="AA13" s="39" t="str">
        <f t="shared" si="10"/>
        <v/>
      </c>
      <c r="AB13" s="39" t="str">
        <f t="shared" si="11"/>
        <v/>
      </c>
      <c r="AC13" s="29"/>
      <c r="AD13" s="39" t="str">
        <f t="shared" si="12"/>
        <v/>
      </c>
      <c r="AE13" s="39" t="str">
        <f t="shared" si="13"/>
        <v/>
      </c>
      <c r="AF13" s="39" t="str">
        <f t="shared" si="14"/>
        <v/>
      </c>
      <c r="AG13" s="29"/>
      <c r="AH13" s="74" t="str">
        <f t="shared" ca="1" si="15"/>
        <v/>
      </c>
      <c r="AI13" s="74" t="str">
        <f ca="1">IF(A13="","",IF(OR(W13='02_マスタ'!$E$10,W13='02_マスタ'!$E$12),"",IF(V13="High","High",IF(AND(U13&lt;&gt;"",U13&lt;TODAY()),INDEX(_翻訳マスタ!$B$117:$D$247,MATCH("ALERT_OVERDUE",_翻訳マスタ!$A$117:$A$247,0),MATCH(言語切替!$B$3,_翻訳マスタ!$B$1:$D$1,0)),IF(AND(U13&lt;&gt;"",U13-TODAY()&lt;=7),INDEX(_翻訳マスタ!$B$117:$D$247,MATCH("ALERT_APPROACHING",_翻訳マスタ!$A$117:$A$247,0),MATCH(言語切替!$B$3,_翻訳マスタ!$B$1:$D$1,0)),IF(OR(W13='02_マスタ'!$E$7,W13='02_マスタ'!$E$8),INDEX(_翻訳マスタ!$B$117:$D$247,MATCH("ALERT_CHECK",_翻訳マスタ!$A$117:$A$247,0),MATCH(言語切替!$B$3,_翻訳マスタ!$B$1:$D$1,0)),""))))))</f>
        <v/>
      </c>
      <c r="AJ13" s="75"/>
    </row>
    <row r="14" spans="1:36" s="21" customFormat="1" ht="30" customHeight="1" x14ac:dyDescent="0.25">
      <c r="A14" s="81"/>
      <c r="B14" s="82"/>
      <c r="C14" s="82"/>
      <c r="D14" s="82"/>
      <c r="E14" s="82"/>
      <c r="F14" s="26"/>
      <c r="G14" s="38" t="str">
        <f t="shared" si="0"/>
        <v/>
      </c>
      <c r="H14" s="38" t="str">
        <f t="shared" si="1"/>
        <v/>
      </c>
      <c r="I14" s="38" t="str">
        <f t="shared" si="2"/>
        <v/>
      </c>
      <c r="J14" s="26"/>
      <c r="K14" s="38" t="str">
        <f t="shared" si="3"/>
        <v/>
      </c>
      <c r="L14" s="38" t="str">
        <f t="shared" si="4"/>
        <v/>
      </c>
      <c r="M14" s="38" t="str">
        <f t="shared" si="5"/>
        <v/>
      </c>
      <c r="N14" s="26"/>
      <c r="O14" s="38" t="str">
        <f t="shared" si="6"/>
        <v/>
      </c>
      <c r="P14" s="38" t="str">
        <f t="shared" si="7"/>
        <v/>
      </c>
      <c r="Q14" s="38" t="str">
        <f t="shared" si="8"/>
        <v/>
      </c>
      <c r="R14" s="26"/>
      <c r="S14" s="26"/>
      <c r="T14" s="27"/>
      <c r="U14" s="27"/>
      <c r="V14" s="26"/>
      <c r="W14" s="26"/>
      <c r="X14" s="26"/>
      <c r="Y14" s="26"/>
      <c r="Z14" s="38" t="str">
        <f t="shared" si="9"/>
        <v/>
      </c>
      <c r="AA14" s="38" t="str">
        <f t="shared" si="10"/>
        <v/>
      </c>
      <c r="AB14" s="38" t="str">
        <f t="shared" si="11"/>
        <v/>
      </c>
      <c r="AC14" s="26"/>
      <c r="AD14" s="38" t="str">
        <f t="shared" si="12"/>
        <v/>
      </c>
      <c r="AE14" s="38" t="str">
        <f t="shared" si="13"/>
        <v/>
      </c>
      <c r="AF14" s="38" t="str">
        <f t="shared" si="14"/>
        <v/>
      </c>
      <c r="AG14" s="26"/>
      <c r="AH14" s="72" t="str">
        <f t="shared" ca="1" si="15"/>
        <v/>
      </c>
      <c r="AI14" s="72" t="str">
        <f ca="1">IF(A14="","",IF(OR(W14='02_マスタ'!$E$10,W14='02_マスタ'!$E$12),"",IF(V14="High","High",IF(AND(U14&lt;&gt;"",U14&lt;TODAY()),INDEX(_翻訳マスタ!$B$117:$D$247,MATCH("ALERT_OVERDUE",_翻訳マスタ!$A$117:$A$247,0),MATCH(言語切替!$B$3,_翻訳マスタ!$B$1:$D$1,0)),IF(AND(U14&lt;&gt;"",U14-TODAY()&lt;=7),INDEX(_翻訳マスタ!$B$117:$D$247,MATCH("ALERT_APPROACHING",_翻訳マスタ!$A$117:$A$247,0),MATCH(言語切替!$B$3,_翻訳マスタ!$B$1:$D$1,0)),IF(OR(W14='02_マスタ'!$E$7,W14='02_マスタ'!$E$8),INDEX(_翻訳マスタ!$B$117:$D$247,MATCH("ALERT_CHECK",_翻訳マスタ!$A$117:$A$247,0),MATCH(言語切替!$B$3,_翻訳マスタ!$B$1:$D$1,0)),""))))))</f>
        <v/>
      </c>
      <c r="AJ14" s="73"/>
    </row>
    <row r="15" spans="1:36" s="21" customFormat="1" ht="30" customHeight="1" x14ac:dyDescent="0.25">
      <c r="A15" s="83"/>
      <c r="B15" s="84"/>
      <c r="C15" s="84"/>
      <c r="D15" s="84"/>
      <c r="E15" s="84"/>
      <c r="F15" s="29"/>
      <c r="G15" s="39" t="str">
        <f t="shared" si="0"/>
        <v/>
      </c>
      <c r="H15" s="39" t="str">
        <f t="shared" si="1"/>
        <v/>
      </c>
      <c r="I15" s="39" t="str">
        <f t="shared" si="2"/>
        <v/>
      </c>
      <c r="J15" s="29"/>
      <c r="K15" s="39" t="str">
        <f t="shared" si="3"/>
        <v/>
      </c>
      <c r="L15" s="39" t="str">
        <f t="shared" si="4"/>
        <v/>
      </c>
      <c r="M15" s="39" t="str">
        <f t="shared" si="5"/>
        <v/>
      </c>
      <c r="N15" s="29"/>
      <c r="O15" s="39" t="str">
        <f t="shared" si="6"/>
        <v/>
      </c>
      <c r="P15" s="39" t="str">
        <f t="shared" si="7"/>
        <v/>
      </c>
      <c r="Q15" s="39" t="str">
        <f t="shared" si="8"/>
        <v/>
      </c>
      <c r="R15" s="29"/>
      <c r="S15" s="29"/>
      <c r="T15" s="30"/>
      <c r="U15" s="30"/>
      <c r="V15" s="29"/>
      <c r="W15" s="29"/>
      <c r="X15" s="29"/>
      <c r="Y15" s="29"/>
      <c r="Z15" s="39" t="str">
        <f t="shared" si="9"/>
        <v/>
      </c>
      <c r="AA15" s="39" t="str">
        <f t="shared" si="10"/>
        <v/>
      </c>
      <c r="AB15" s="39" t="str">
        <f t="shared" si="11"/>
        <v/>
      </c>
      <c r="AC15" s="29"/>
      <c r="AD15" s="39" t="str">
        <f t="shared" si="12"/>
        <v/>
      </c>
      <c r="AE15" s="39" t="str">
        <f t="shared" si="13"/>
        <v/>
      </c>
      <c r="AF15" s="39" t="str">
        <f t="shared" si="14"/>
        <v/>
      </c>
      <c r="AG15" s="29"/>
      <c r="AH15" s="74" t="str">
        <f t="shared" ca="1" si="15"/>
        <v/>
      </c>
      <c r="AI15" s="74" t="str">
        <f ca="1">IF(A15="","",IF(OR(W15='02_マスタ'!$E$10,W15='02_マスタ'!$E$12),"",IF(V15="High","High",IF(AND(U15&lt;&gt;"",U15&lt;TODAY()),INDEX(_翻訳マスタ!$B$117:$D$247,MATCH("ALERT_OVERDUE",_翻訳マスタ!$A$117:$A$247,0),MATCH(言語切替!$B$3,_翻訳マスタ!$B$1:$D$1,0)),IF(AND(U15&lt;&gt;"",U15-TODAY()&lt;=7),INDEX(_翻訳マスタ!$B$117:$D$247,MATCH("ALERT_APPROACHING",_翻訳マスタ!$A$117:$A$247,0),MATCH(言語切替!$B$3,_翻訳マスタ!$B$1:$D$1,0)),IF(OR(W15='02_マスタ'!$E$7,W15='02_マスタ'!$E$8),INDEX(_翻訳マスタ!$B$117:$D$247,MATCH("ALERT_CHECK",_翻訳マスタ!$A$117:$A$247,0),MATCH(言語切替!$B$3,_翻訳マスタ!$B$1:$D$1,0)),""))))))</f>
        <v/>
      </c>
      <c r="AJ15" s="75"/>
    </row>
    <row r="16" spans="1:36" s="21" customFormat="1" ht="30" customHeight="1" x14ac:dyDescent="0.25">
      <c r="A16" s="81"/>
      <c r="B16" s="82"/>
      <c r="C16" s="82"/>
      <c r="D16" s="82"/>
      <c r="E16" s="82"/>
      <c r="F16" s="26"/>
      <c r="G16" s="38" t="str">
        <f t="shared" si="0"/>
        <v/>
      </c>
      <c r="H16" s="38" t="str">
        <f t="shared" si="1"/>
        <v/>
      </c>
      <c r="I16" s="38" t="str">
        <f t="shared" si="2"/>
        <v/>
      </c>
      <c r="J16" s="26"/>
      <c r="K16" s="38" t="str">
        <f t="shared" si="3"/>
        <v/>
      </c>
      <c r="L16" s="38" t="str">
        <f t="shared" si="4"/>
        <v/>
      </c>
      <c r="M16" s="38" t="str">
        <f t="shared" si="5"/>
        <v/>
      </c>
      <c r="N16" s="26"/>
      <c r="O16" s="38" t="str">
        <f t="shared" si="6"/>
        <v/>
      </c>
      <c r="P16" s="38" t="str">
        <f t="shared" si="7"/>
        <v/>
      </c>
      <c r="Q16" s="38" t="str">
        <f t="shared" si="8"/>
        <v/>
      </c>
      <c r="R16" s="26"/>
      <c r="S16" s="26"/>
      <c r="T16" s="27"/>
      <c r="U16" s="27"/>
      <c r="V16" s="26"/>
      <c r="W16" s="26"/>
      <c r="X16" s="26"/>
      <c r="Y16" s="26"/>
      <c r="Z16" s="38" t="str">
        <f t="shared" si="9"/>
        <v/>
      </c>
      <c r="AA16" s="38" t="str">
        <f t="shared" si="10"/>
        <v/>
      </c>
      <c r="AB16" s="38" t="str">
        <f t="shared" si="11"/>
        <v/>
      </c>
      <c r="AC16" s="26"/>
      <c r="AD16" s="38" t="str">
        <f t="shared" si="12"/>
        <v/>
      </c>
      <c r="AE16" s="38" t="str">
        <f t="shared" si="13"/>
        <v/>
      </c>
      <c r="AF16" s="38" t="str">
        <f t="shared" si="14"/>
        <v/>
      </c>
      <c r="AG16" s="26"/>
      <c r="AH16" s="72" t="str">
        <f t="shared" ca="1" si="15"/>
        <v/>
      </c>
      <c r="AI16" s="72" t="str">
        <f ca="1">IF(A16="","",IF(OR(W16='02_マスタ'!$E$10,W16='02_マスタ'!$E$12),"",IF(V16="High","High",IF(AND(U16&lt;&gt;"",U16&lt;TODAY()),INDEX(_翻訳マスタ!$B$117:$D$247,MATCH("ALERT_OVERDUE",_翻訳マスタ!$A$117:$A$247,0),MATCH(言語切替!$B$3,_翻訳マスタ!$B$1:$D$1,0)),IF(AND(U16&lt;&gt;"",U16-TODAY()&lt;=7),INDEX(_翻訳マスタ!$B$117:$D$247,MATCH("ALERT_APPROACHING",_翻訳マスタ!$A$117:$A$247,0),MATCH(言語切替!$B$3,_翻訳マスタ!$B$1:$D$1,0)),IF(OR(W16='02_マスタ'!$E$7,W16='02_マスタ'!$E$8),INDEX(_翻訳マスタ!$B$117:$D$247,MATCH("ALERT_CHECK",_翻訳マスタ!$A$117:$A$247,0),MATCH(言語切替!$B$3,_翻訳マスタ!$B$1:$D$1,0)),""))))))</f>
        <v/>
      </c>
      <c r="AJ16" s="73"/>
    </row>
    <row r="17" spans="1:36" s="21" customFormat="1" ht="30" customHeight="1" x14ac:dyDescent="0.25">
      <c r="A17" s="83"/>
      <c r="B17" s="84"/>
      <c r="C17" s="84"/>
      <c r="D17" s="84"/>
      <c r="E17" s="84"/>
      <c r="F17" s="29"/>
      <c r="G17" s="39" t="str">
        <f t="shared" si="0"/>
        <v/>
      </c>
      <c r="H17" s="39" t="str">
        <f t="shared" si="1"/>
        <v/>
      </c>
      <c r="I17" s="39" t="str">
        <f t="shared" si="2"/>
        <v/>
      </c>
      <c r="J17" s="29"/>
      <c r="K17" s="39" t="str">
        <f t="shared" si="3"/>
        <v/>
      </c>
      <c r="L17" s="39" t="str">
        <f t="shared" si="4"/>
        <v/>
      </c>
      <c r="M17" s="39" t="str">
        <f t="shared" si="5"/>
        <v/>
      </c>
      <c r="N17" s="29"/>
      <c r="O17" s="39" t="str">
        <f t="shared" si="6"/>
        <v/>
      </c>
      <c r="P17" s="39" t="str">
        <f t="shared" si="7"/>
        <v/>
      </c>
      <c r="Q17" s="39" t="str">
        <f t="shared" si="8"/>
        <v/>
      </c>
      <c r="R17" s="29"/>
      <c r="S17" s="29"/>
      <c r="T17" s="30"/>
      <c r="U17" s="30"/>
      <c r="V17" s="29"/>
      <c r="W17" s="29"/>
      <c r="X17" s="29"/>
      <c r="Y17" s="29"/>
      <c r="Z17" s="39" t="str">
        <f t="shared" si="9"/>
        <v/>
      </c>
      <c r="AA17" s="39" t="str">
        <f t="shared" si="10"/>
        <v/>
      </c>
      <c r="AB17" s="39" t="str">
        <f t="shared" si="11"/>
        <v/>
      </c>
      <c r="AC17" s="29"/>
      <c r="AD17" s="39" t="str">
        <f t="shared" si="12"/>
        <v/>
      </c>
      <c r="AE17" s="39" t="str">
        <f t="shared" si="13"/>
        <v/>
      </c>
      <c r="AF17" s="39" t="str">
        <f t="shared" si="14"/>
        <v/>
      </c>
      <c r="AG17" s="29"/>
      <c r="AH17" s="74" t="str">
        <f t="shared" ca="1" si="15"/>
        <v/>
      </c>
      <c r="AI17" s="74" t="str">
        <f ca="1">IF(A17="","",IF(OR(W17='02_マスタ'!$E$10,W17='02_マスタ'!$E$12),"",IF(V17="High","High",IF(AND(U17&lt;&gt;"",U17&lt;TODAY()),INDEX(_翻訳マスタ!$B$117:$D$247,MATCH("ALERT_OVERDUE",_翻訳マスタ!$A$117:$A$247,0),MATCH(言語切替!$B$3,_翻訳マスタ!$B$1:$D$1,0)),IF(AND(U17&lt;&gt;"",U17-TODAY()&lt;=7),INDEX(_翻訳マスタ!$B$117:$D$247,MATCH("ALERT_APPROACHING",_翻訳マスタ!$A$117:$A$247,0),MATCH(言語切替!$B$3,_翻訳マスタ!$B$1:$D$1,0)),IF(OR(W17='02_マスタ'!$E$7,W17='02_マスタ'!$E$8),INDEX(_翻訳マスタ!$B$117:$D$247,MATCH("ALERT_CHECK",_翻訳マスタ!$A$117:$A$247,0),MATCH(言語切替!$B$3,_翻訳マスタ!$B$1:$D$1,0)),""))))))</f>
        <v/>
      </c>
      <c r="AJ17" s="75"/>
    </row>
    <row r="18" spans="1:36" s="21" customFormat="1" ht="30" customHeight="1" x14ac:dyDescent="0.25">
      <c r="A18" s="81"/>
      <c r="B18" s="82"/>
      <c r="C18" s="82"/>
      <c r="D18" s="82"/>
      <c r="E18" s="82"/>
      <c r="F18" s="26"/>
      <c r="G18" s="38" t="str">
        <f t="shared" si="0"/>
        <v/>
      </c>
      <c r="H18" s="38" t="str">
        <f t="shared" si="1"/>
        <v/>
      </c>
      <c r="I18" s="38" t="str">
        <f t="shared" si="2"/>
        <v/>
      </c>
      <c r="J18" s="26"/>
      <c r="K18" s="38" t="str">
        <f t="shared" si="3"/>
        <v/>
      </c>
      <c r="L18" s="38" t="str">
        <f t="shared" si="4"/>
        <v/>
      </c>
      <c r="M18" s="38" t="str">
        <f t="shared" si="5"/>
        <v/>
      </c>
      <c r="N18" s="26"/>
      <c r="O18" s="38" t="str">
        <f t="shared" si="6"/>
        <v/>
      </c>
      <c r="P18" s="38" t="str">
        <f t="shared" si="7"/>
        <v/>
      </c>
      <c r="Q18" s="38" t="str">
        <f t="shared" si="8"/>
        <v/>
      </c>
      <c r="R18" s="26"/>
      <c r="S18" s="26"/>
      <c r="T18" s="27"/>
      <c r="U18" s="27"/>
      <c r="V18" s="26"/>
      <c r="W18" s="26"/>
      <c r="X18" s="26"/>
      <c r="Y18" s="26"/>
      <c r="Z18" s="38" t="str">
        <f t="shared" si="9"/>
        <v/>
      </c>
      <c r="AA18" s="38" t="str">
        <f t="shared" si="10"/>
        <v/>
      </c>
      <c r="AB18" s="38" t="str">
        <f t="shared" si="11"/>
        <v/>
      </c>
      <c r="AC18" s="26"/>
      <c r="AD18" s="38" t="str">
        <f t="shared" si="12"/>
        <v/>
      </c>
      <c r="AE18" s="38" t="str">
        <f t="shared" si="13"/>
        <v/>
      </c>
      <c r="AF18" s="38" t="str">
        <f t="shared" si="14"/>
        <v/>
      </c>
      <c r="AG18" s="26"/>
      <c r="AH18" s="72" t="str">
        <f t="shared" ca="1" si="15"/>
        <v/>
      </c>
      <c r="AI18" s="72" t="str">
        <f ca="1">IF(A18="","",IF(OR(W18='02_マスタ'!$E$10,W18='02_マスタ'!$E$12),"",IF(V18="High","High",IF(AND(U18&lt;&gt;"",U18&lt;TODAY()),INDEX(_翻訳マスタ!$B$117:$D$247,MATCH("ALERT_OVERDUE",_翻訳マスタ!$A$117:$A$247,0),MATCH(言語切替!$B$3,_翻訳マスタ!$B$1:$D$1,0)),IF(AND(U18&lt;&gt;"",U18-TODAY()&lt;=7),INDEX(_翻訳マスタ!$B$117:$D$247,MATCH("ALERT_APPROACHING",_翻訳マスタ!$A$117:$A$247,0),MATCH(言語切替!$B$3,_翻訳マスタ!$B$1:$D$1,0)),IF(OR(W18='02_マスタ'!$E$7,W18='02_マスタ'!$E$8),INDEX(_翻訳マスタ!$B$117:$D$247,MATCH("ALERT_CHECK",_翻訳マスタ!$A$117:$A$247,0),MATCH(言語切替!$B$3,_翻訳マスタ!$B$1:$D$1,0)),""))))))</f>
        <v/>
      </c>
      <c r="AJ18" s="73"/>
    </row>
    <row r="19" spans="1:36" s="21" customFormat="1" ht="30" customHeight="1" x14ac:dyDescent="0.25">
      <c r="A19" s="83"/>
      <c r="B19" s="84"/>
      <c r="C19" s="84"/>
      <c r="D19" s="84"/>
      <c r="E19" s="84"/>
      <c r="F19" s="29"/>
      <c r="G19" s="39" t="str">
        <f t="shared" si="0"/>
        <v/>
      </c>
      <c r="H19" s="39" t="str">
        <f t="shared" si="1"/>
        <v/>
      </c>
      <c r="I19" s="39" t="str">
        <f t="shared" si="2"/>
        <v/>
      </c>
      <c r="J19" s="29"/>
      <c r="K19" s="39" t="str">
        <f t="shared" si="3"/>
        <v/>
      </c>
      <c r="L19" s="39" t="str">
        <f t="shared" si="4"/>
        <v/>
      </c>
      <c r="M19" s="39" t="str">
        <f t="shared" si="5"/>
        <v/>
      </c>
      <c r="N19" s="29"/>
      <c r="O19" s="39" t="str">
        <f t="shared" si="6"/>
        <v/>
      </c>
      <c r="P19" s="39" t="str">
        <f t="shared" si="7"/>
        <v/>
      </c>
      <c r="Q19" s="39" t="str">
        <f t="shared" si="8"/>
        <v/>
      </c>
      <c r="R19" s="29"/>
      <c r="S19" s="29"/>
      <c r="T19" s="30"/>
      <c r="U19" s="30"/>
      <c r="V19" s="29"/>
      <c r="W19" s="29"/>
      <c r="X19" s="29"/>
      <c r="Y19" s="29"/>
      <c r="Z19" s="39" t="str">
        <f t="shared" si="9"/>
        <v/>
      </c>
      <c r="AA19" s="39" t="str">
        <f t="shared" si="10"/>
        <v/>
      </c>
      <c r="AB19" s="39" t="str">
        <f t="shared" si="11"/>
        <v/>
      </c>
      <c r="AC19" s="29"/>
      <c r="AD19" s="39" t="str">
        <f t="shared" si="12"/>
        <v/>
      </c>
      <c r="AE19" s="39" t="str">
        <f t="shared" si="13"/>
        <v/>
      </c>
      <c r="AF19" s="39" t="str">
        <f t="shared" si="14"/>
        <v/>
      </c>
      <c r="AG19" s="29"/>
      <c r="AH19" s="74" t="str">
        <f t="shared" ca="1" si="15"/>
        <v/>
      </c>
      <c r="AI19" s="74" t="str">
        <f ca="1">IF(A19="","",IF(OR(W19='02_マスタ'!$E$10,W19='02_マスタ'!$E$12),"",IF(V19="High","High",IF(AND(U19&lt;&gt;"",U19&lt;TODAY()),INDEX(_翻訳マスタ!$B$117:$D$247,MATCH("ALERT_OVERDUE",_翻訳マスタ!$A$117:$A$247,0),MATCH(言語切替!$B$3,_翻訳マスタ!$B$1:$D$1,0)),IF(AND(U19&lt;&gt;"",U19-TODAY()&lt;=7),INDEX(_翻訳マスタ!$B$117:$D$247,MATCH("ALERT_APPROACHING",_翻訳マスタ!$A$117:$A$247,0),MATCH(言語切替!$B$3,_翻訳マスタ!$B$1:$D$1,0)),IF(OR(W19='02_マスタ'!$E$7,W19='02_マスタ'!$E$8),INDEX(_翻訳マスタ!$B$117:$D$247,MATCH("ALERT_CHECK",_翻訳マスタ!$A$117:$A$247,0),MATCH(言語切替!$B$3,_翻訳マスタ!$B$1:$D$1,0)),""))))))</f>
        <v/>
      </c>
      <c r="AJ19" s="75"/>
    </row>
    <row r="20" spans="1:36" s="21" customFormat="1" x14ac:dyDescent="0.25">
      <c r="A20" s="81"/>
      <c r="B20" s="82"/>
      <c r="C20" s="82"/>
      <c r="D20" s="82"/>
      <c r="E20" s="82"/>
      <c r="F20" s="26"/>
      <c r="G20" s="38" t="str">
        <f t="shared" si="0"/>
        <v/>
      </c>
      <c r="H20" s="38" t="str">
        <f t="shared" si="1"/>
        <v/>
      </c>
      <c r="I20" s="38" t="str">
        <f t="shared" si="2"/>
        <v/>
      </c>
      <c r="J20" s="26"/>
      <c r="K20" s="38" t="str">
        <f t="shared" si="3"/>
        <v/>
      </c>
      <c r="L20" s="38" t="str">
        <f t="shared" si="4"/>
        <v/>
      </c>
      <c r="M20" s="38" t="str">
        <f t="shared" si="5"/>
        <v/>
      </c>
      <c r="N20" s="26"/>
      <c r="O20" s="38" t="str">
        <f t="shared" si="6"/>
        <v/>
      </c>
      <c r="P20" s="38" t="str">
        <f t="shared" si="7"/>
        <v/>
      </c>
      <c r="Q20" s="38" t="str">
        <f t="shared" si="8"/>
        <v/>
      </c>
      <c r="R20" s="26"/>
      <c r="S20" s="26"/>
      <c r="T20" s="27"/>
      <c r="U20" s="27"/>
      <c r="V20" s="26"/>
      <c r="W20" s="26"/>
      <c r="X20" s="26"/>
      <c r="Y20" s="26"/>
      <c r="Z20" s="38" t="str">
        <f t="shared" si="9"/>
        <v/>
      </c>
      <c r="AA20" s="38" t="str">
        <f t="shared" si="10"/>
        <v/>
      </c>
      <c r="AB20" s="38" t="str">
        <f t="shared" si="11"/>
        <v/>
      </c>
      <c r="AC20" s="26"/>
      <c r="AD20" s="38" t="str">
        <f t="shared" si="12"/>
        <v/>
      </c>
      <c r="AE20" s="38" t="str">
        <f t="shared" si="13"/>
        <v/>
      </c>
      <c r="AF20" s="38" t="str">
        <f t="shared" si="14"/>
        <v/>
      </c>
      <c r="AG20" s="26"/>
      <c r="AH20" s="72" t="str">
        <f t="shared" ca="1" si="15"/>
        <v/>
      </c>
      <c r="AI20" s="72" t="str">
        <f ca="1">IF(A20="","",IF(OR(W20='02_マスタ'!$E$10,W20='02_マスタ'!$E$12),"",IF(V20="High","High",IF(AND(U20&lt;&gt;"",U20&lt;TODAY()),INDEX(_翻訳マスタ!$B$117:$D$247,MATCH("ALERT_OVERDUE",_翻訳マスタ!$A$117:$A$247,0),MATCH(言語切替!$B$3,_翻訳マスタ!$B$1:$D$1,0)),IF(AND(U20&lt;&gt;"",U20-TODAY()&lt;=7),INDEX(_翻訳マスタ!$B$117:$D$247,MATCH("ALERT_APPROACHING",_翻訳マスタ!$A$117:$A$247,0),MATCH(言語切替!$B$3,_翻訳マスタ!$B$1:$D$1,0)),IF(OR(W20='02_マスタ'!$E$7,W20='02_マスタ'!$E$8),INDEX(_翻訳マスタ!$B$117:$D$247,MATCH("ALERT_CHECK",_翻訳マスタ!$A$117:$A$247,0),MATCH(言語切替!$B$3,_翻訳マスタ!$B$1:$D$1,0)),""))))))</f>
        <v/>
      </c>
      <c r="AJ20" s="73"/>
    </row>
    <row r="21" spans="1:36" s="21" customFormat="1" x14ac:dyDescent="0.25">
      <c r="A21" s="83"/>
      <c r="B21" s="84"/>
      <c r="C21" s="84"/>
      <c r="D21" s="84"/>
      <c r="E21" s="84"/>
      <c r="F21" s="29"/>
      <c r="G21" s="39" t="str">
        <f t="shared" si="0"/>
        <v/>
      </c>
      <c r="H21" s="39" t="str">
        <f t="shared" si="1"/>
        <v/>
      </c>
      <c r="I21" s="39" t="str">
        <f t="shared" si="2"/>
        <v/>
      </c>
      <c r="J21" s="29"/>
      <c r="K21" s="39" t="str">
        <f t="shared" si="3"/>
        <v/>
      </c>
      <c r="L21" s="39" t="str">
        <f t="shared" si="4"/>
        <v/>
      </c>
      <c r="M21" s="39" t="str">
        <f t="shared" si="5"/>
        <v/>
      </c>
      <c r="N21" s="29"/>
      <c r="O21" s="39" t="str">
        <f t="shared" si="6"/>
        <v/>
      </c>
      <c r="P21" s="39" t="str">
        <f t="shared" si="7"/>
        <v/>
      </c>
      <c r="Q21" s="39" t="str">
        <f t="shared" si="8"/>
        <v/>
      </c>
      <c r="R21" s="29"/>
      <c r="S21" s="29"/>
      <c r="T21" s="30"/>
      <c r="U21" s="30"/>
      <c r="V21" s="29"/>
      <c r="W21" s="29"/>
      <c r="X21" s="29"/>
      <c r="Y21" s="29"/>
      <c r="Z21" s="39" t="str">
        <f t="shared" si="9"/>
        <v/>
      </c>
      <c r="AA21" s="39" t="str">
        <f t="shared" si="10"/>
        <v/>
      </c>
      <c r="AB21" s="39" t="str">
        <f t="shared" si="11"/>
        <v/>
      </c>
      <c r="AC21" s="29"/>
      <c r="AD21" s="39" t="str">
        <f t="shared" si="12"/>
        <v/>
      </c>
      <c r="AE21" s="39" t="str">
        <f t="shared" si="13"/>
        <v/>
      </c>
      <c r="AF21" s="39" t="str">
        <f t="shared" si="14"/>
        <v/>
      </c>
      <c r="AG21" s="29"/>
      <c r="AH21" s="74" t="str">
        <f t="shared" ca="1" si="15"/>
        <v/>
      </c>
      <c r="AI21" s="74" t="str">
        <f ca="1">IF(A21="","",IF(OR(W21='02_マスタ'!$E$10,W21='02_マスタ'!$E$12),"",IF(V21="High","High",IF(AND(U21&lt;&gt;"",U21&lt;TODAY()),INDEX(_翻訳マスタ!$B$117:$D$247,MATCH("ALERT_OVERDUE",_翻訳マスタ!$A$117:$A$247,0),MATCH(言語切替!$B$3,_翻訳マスタ!$B$1:$D$1,0)),IF(AND(U21&lt;&gt;"",U21-TODAY()&lt;=7),INDEX(_翻訳マスタ!$B$117:$D$247,MATCH("ALERT_APPROACHING",_翻訳マスタ!$A$117:$A$247,0),MATCH(言語切替!$B$3,_翻訳マスタ!$B$1:$D$1,0)),IF(OR(W21='02_マスタ'!$E$7,W21='02_マスタ'!$E$8),INDEX(_翻訳マスタ!$B$117:$D$247,MATCH("ALERT_CHECK",_翻訳マスタ!$A$117:$A$247,0),MATCH(言語切替!$B$3,_翻訳マスタ!$B$1:$D$1,0)),""))))))</f>
        <v/>
      </c>
      <c r="AJ21" s="75"/>
    </row>
    <row r="22" spans="1:36" s="21" customFormat="1" x14ac:dyDescent="0.25">
      <c r="A22" s="81"/>
      <c r="B22" s="82"/>
      <c r="C22" s="82"/>
      <c r="D22" s="82"/>
      <c r="E22" s="82"/>
      <c r="F22" s="26"/>
      <c r="G22" s="38" t="str">
        <f t="shared" si="0"/>
        <v/>
      </c>
      <c r="H22" s="38" t="str">
        <f t="shared" si="1"/>
        <v/>
      </c>
      <c r="I22" s="38" t="str">
        <f t="shared" si="2"/>
        <v/>
      </c>
      <c r="J22" s="26"/>
      <c r="K22" s="38" t="str">
        <f t="shared" si="3"/>
        <v/>
      </c>
      <c r="L22" s="38" t="str">
        <f t="shared" si="4"/>
        <v/>
      </c>
      <c r="M22" s="38" t="str">
        <f t="shared" si="5"/>
        <v/>
      </c>
      <c r="N22" s="26"/>
      <c r="O22" s="38" t="str">
        <f t="shared" si="6"/>
        <v/>
      </c>
      <c r="P22" s="38" t="str">
        <f t="shared" si="7"/>
        <v/>
      </c>
      <c r="Q22" s="38" t="str">
        <f t="shared" si="8"/>
        <v/>
      </c>
      <c r="R22" s="26"/>
      <c r="S22" s="26"/>
      <c r="T22" s="27"/>
      <c r="U22" s="27"/>
      <c r="V22" s="26"/>
      <c r="W22" s="26"/>
      <c r="X22" s="26"/>
      <c r="Y22" s="26"/>
      <c r="Z22" s="38" t="str">
        <f t="shared" si="9"/>
        <v/>
      </c>
      <c r="AA22" s="38" t="str">
        <f t="shared" si="10"/>
        <v/>
      </c>
      <c r="AB22" s="38" t="str">
        <f t="shared" si="11"/>
        <v/>
      </c>
      <c r="AC22" s="26"/>
      <c r="AD22" s="38" t="str">
        <f t="shared" si="12"/>
        <v/>
      </c>
      <c r="AE22" s="38" t="str">
        <f t="shared" si="13"/>
        <v/>
      </c>
      <c r="AF22" s="38" t="str">
        <f t="shared" si="14"/>
        <v/>
      </c>
      <c r="AG22" s="26"/>
      <c r="AH22" s="72" t="str">
        <f t="shared" ca="1" si="15"/>
        <v/>
      </c>
      <c r="AI22" s="72" t="str">
        <f ca="1">IF(A22="","",IF(OR(W22='02_マスタ'!$E$10,W22='02_マスタ'!$E$12),"",IF(V22="High","High",IF(AND(U22&lt;&gt;"",U22&lt;TODAY()),INDEX(_翻訳マスタ!$B$117:$D$247,MATCH("ALERT_OVERDUE",_翻訳マスタ!$A$117:$A$247,0),MATCH(言語切替!$B$3,_翻訳マスタ!$B$1:$D$1,0)),IF(AND(U22&lt;&gt;"",U22-TODAY()&lt;=7),INDEX(_翻訳マスタ!$B$117:$D$247,MATCH("ALERT_APPROACHING",_翻訳マスタ!$A$117:$A$247,0),MATCH(言語切替!$B$3,_翻訳マスタ!$B$1:$D$1,0)),IF(OR(W22='02_マスタ'!$E$7,W22='02_マスタ'!$E$8),INDEX(_翻訳マスタ!$B$117:$D$247,MATCH("ALERT_CHECK",_翻訳マスタ!$A$117:$A$247,0),MATCH(言語切替!$B$3,_翻訳マスタ!$B$1:$D$1,0)),""))))))</f>
        <v/>
      </c>
      <c r="AJ22" s="73"/>
    </row>
    <row r="23" spans="1:36" s="21" customFormat="1" x14ac:dyDescent="0.25">
      <c r="A23" s="83"/>
      <c r="B23" s="84"/>
      <c r="C23" s="84"/>
      <c r="D23" s="84"/>
      <c r="E23" s="84"/>
      <c r="F23" s="29"/>
      <c r="G23" s="39" t="str">
        <f t="shared" si="0"/>
        <v/>
      </c>
      <c r="H23" s="39" t="str">
        <f t="shared" si="1"/>
        <v/>
      </c>
      <c r="I23" s="39" t="str">
        <f t="shared" si="2"/>
        <v/>
      </c>
      <c r="J23" s="29"/>
      <c r="K23" s="39" t="str">
        <f t="shared" si="3"/>
        <v/>
      </c>
      <c r="L23" s="39" t="str">
        <f t="shared" si="4"/>
        <v/>
      </c>
      <c r="M23" s="39" t="str">
        <f t="shared" si="5"/>
        <v/>
      </c>
      <c r="N23" s="29"/>
      <c r="O23" s="39" t="str">
        <f t="shared" si="6"/>
        <v/>
      </c>
      <c r="P23" s="39" t="str">
        <f t="shared" si="7"/>
        <v/>
      </c>
      <c r="Q23" s="39" t="str">
        <f t="shared" si="8"/>
        <v/>
      </c>
      <c r="R23" s="29"/>
      <c r="S23" s="29"/>
      <c r="T23" s="30"/>
      <c r="U23" s="30"/>
      <c r="V23" s="29"/>
      <c r="W23" s="29"/>
      <c r="X23" s="29"/>
      <c r="Y23" s="29"/>
      <c r="Z23" s="39" t="str">
        <f t="shared" si="9"/>
        <v/>
      </c>
      <c r="AA23" s="39" t="str">
        <f t="shared" si="10"/>
        <v/>
      </c>
      <c r="AB23" s="39" t="str">
        <f t="shared" si="11"/>
        <v/>
      </c>
      <c r="AC23" s="29"/>
      <c r="AD23" s="39" t="str">
        <f t="shared" si="12"/>
        <v/>
      </c>
      <c r="AE23" s="39" t="str">
        <f t="shared" si="13"/>
        <v/>
      </c>
      <c r="AF23" s="39" t="str">
        <f t="shared" si="14"/>
        <v/>
      </c>
      <c r="AG23" s="29"/>
      <c r="AH23" s="74" t="str">
        <f t="shared" ca="1" si="15"/>
        <v/>
      </c>
      <c r="AI23" s="74" t="str">
        <f ca="1">IF(A23="","",IF(OR(W23='02_マスタ'!$E$10,W23='02_マスタ'!$E$12),"",IF(V23="High","High",IF(AND(U23&lt;&gt;"",U23&lt;TODAY()),INDEX(_翻訳マスタ!$B$117:$D$247,MATCH("ALERT_OVERDUE",_翻訳マスタ!$A$117:$A$247,0),MATCH(言語切替!$B$3,_翻訳マスタ!$B$1:$D$1,0)),IF(AND(U23&lt;&gt;"",U23-TODAY()&lt;=7),INDEX(_翻訳マスタ!$B$117:$D$247,MATCH("ALERT_APPROACHING",_翻訳マスタ!$A$117:$A$247,0),MATCH(言語切替!$B$3,_翻訳マスタ!$B$1:$D$1,0)),IF(OR(W23='02_マスタ'!$E$7,W23='02_マスタ'!$E$8),INDEX(_翻訳マスタ!$B$117:$D$247,MATCH("ALERT_CHECK",_翻訳マスタ!$A$117:$A$247,0),MATCH(言語切替!$B$3,_翻訳マスタ!$B$1:$D$1,0)),""))))))</f>
        <v/>
      </c>
      <c r="AJ23" s="75"/>
    </row>
    <row r="24" spans="1:36" s="21" customFormat="1" x14ac:dyDescent="0.25">
      <c r="A24" s="81"/>
      <c r="B24" s="82"/>
      <c r="C24" s="82"/>
      <c r="D24" s="82"/>
      <c r="E24" s="82"/>
      <c r="F24" s="26"/>
      <c r="G24" s="38" t="str">
        <f t="shared" si="0"/>
        <v/>
      </c>
      <c r="H24" s="38" t="str">
        <f t="shared" si="1"/>
        <v/>
      </c>
      <c r="I24" s="38" t="str">
        <f t="shared" si="2"/>
        <v/>
      </c>
      <c r="J24" s="26"/>
      <c r="K24" s="38" t="str">
        <f t="shared" si="3"/>
        <v/>
      </c>
      <c r="L24" s="38" t="str">
        <f t="shared" si="4"/>
        <v/>
      </c>
      <c r="M24" s="38" t="str">
        <f t="shared" si="5"/>
        <v/>
      </c>
      <c r="N24" s="26"/>
      <c r="O24" s="38" t="str">
        <f t="shared" si="6"/>
        <v/>
      </c>
      <c r="P24" s="38" t="str">
        <f t="shared" si="7"/>
        <v/>
      </c>
      <c r="Q24" s="38" t="str">
        <f t="shared" si="8"/>
        <v/>
      </c>
      <c r="R24" s="26"/>
      <c r="S24" s="26"/>
      <c r="T24" s="27"/>
      <c r="U24" s="27"/>
      <c r="V24" s="26"/>
      <c r="W24" s="26"/>
      <c r="X24" s="26"/>
      <c r="Y24" s="26"/>
      <c r="Z24" s="38" t="str">
        <f t="shared" si="9"/>
        <v/>
      </c>
      <c r="AA24" s="38" t="str">
        <f t="shared" si="10"/>
        <v/>
      </c>
      <c r="AB24" s="38" t="str">
        <f t="shared" si="11"/>
        <v/>
      </c>
      <c r="AC24" s="26"/>
      <c r="AD24" s="38" t="str">
        <f t="shared" si="12"/>
        <v/>
      </c>
      <c r="AE24" s="38" t="str">
        <f t="shared" si="13"/>
        <v/>
      </c>
      <c r="AF24" s="38" t="str">
        <f t="shared" si="14"/>
        <v/>
      </c>
      <c r="AG24" s="26"/>
      <c r="AH24" s="72" t="str">
        <f t="shared" ca="1" si="15"/>
        <v/>
      </c>
      <c r="AI24" s="72" t="str">
        <f ca="1">IF(A24="","",IF(OR(W24='02_マスタ'!$E$10,W24='02_マスタ'!$E$12),"",IF(V24="High","High",IF(AND(U24&lt;&gt;"",U24&lt;TODAY()),INDEX(_翻訳マスタ!$B$117:$D$247,MATCH("ALERT_OVERDUE",_翻訳マスタ!$A$117:$A$247,0),MATCH(言語切替!$B$3,_翻訳マスタ!$B$1:$D$1,0)),IF(AND(U24&lt;&gt;"",U24-TODAY()&lt;=7),INDEX(_翻訳マスタ!$B$117:$D$247,MATCH("ALERT_APPROACHING",_翻訳マスタ!$A$117:$A$247,0),MATCH(言語切替!$B$3,_翻訳マスタ!$B$1:$D$1,0)),IF(OR(W24='02_マスタ'!$E$7,W24='02_マスタ'!$E$8),INDEX(_翻訳マスタ!$B$117:$D$247,MATCH("ALERT_CHECK",_翻訳マスタ!$A$117:$A$247,0),MATCH(言語切替!$B$3,_翻訳マスタ!$B$1:$D$1,0)),""))))))</f>
        <v/>
      </c>
      <c r="AJ24" s="73"/>
    </row>
    <row r="25" spans="1:36" s="21" customFormat="1" x14ac:dyDescent="0.25">
      <c r="A25" s="83"/>
      <c r="B25" s="84"/>
      <c r="C25" s="84"/>
      <c r="D25" s="84"/>
      <c r="E25" s="84"/>
      <c r="F25" s="29"/>
      <c r="G25" s="39" t="str">
        <f t="shared" si="0"/>
        <v/>
      </c>
      <c r="H25" s="39" t="str">
        <f t="shared" si="1"/>
        <v/>
      </c>
      <c r="I25" s="39" t="str">
        <f t="shared" si="2"/>
        <v/>
      </c>
      <c r="J25" s="29"/>
      <c r="K25" s="39" t="str">
        <f t="shared" si="3"/>
        <v/>
      </c>
      <c r="L25" s="39" t="str">
        <f t="shared" si="4"/>
        <v/>
      </c>
      <c r="M25" s="39" t="str">
        <f t="shared" si="5"/>
        <v/>
      </c>
      <c r="N25" s="29"/>
      <c r="O25" s="39" t="str">
        <f t="shared" si="6"/>
        <v/>
      </c>
      <c r="P25" s="39" t="str">
        <f t="shared" si="7"/>
        <v/>
      </c>
      <c r="Q25" s="39" t="str">
        <f t="shared" si="8"/>
        <v/>
      </c>
      <c r="R25" s="29"/>
      <c r="S25" s="29"/>
      <c r="T25" s="30"/>
      <c r="U25" s="30"/>
      <c r="V25" s="29"/>
      <c r="W25" s="29"/>
      <c r="X25" s="29"/>
      <c r="Y25" s="29"/>
      <c r="Z25" s="39" t="str">
        <f t="shared" si="9"/>
        <v/>
      </c>
      <c r="AA25" s="39" t="str">
        <f t="shared" si="10"/>
        <v/>
      </c>
      <c r="AB25" s="39" t="str">
        <f t="shared" si="11"/>
        <v/>
      </c>
      <c r="AC25" s="29"/>
      <c r="AD25" s="39" t="str">
        <f t="shared" si="12"/>
        <v/>
      </c>
      <c r="AE25" s="39" t="str">
        <f t="shared" si="13"/>
        <v/>
      </c>
      <c r="AF25" s="39" t="str">
        <f t="shared" si="14"/>
        <v/>
      </c>
      <c r="AG25" s="29"/>
      <c r="AH25" s="74" t="str">
        <f t="shared" ca="1" si="15"/>
        <v/>
      </c>
      <c r="AI25" s="74" t="str">
        <f ca="1">IF(A25="","",IF(OR(W25='02_マスタ'!$E$10,W25='02_マスタ'!$E$12),"",IF(V25="High","High",IF(AND(U25&lt;&gt;"",U25&lt;TODAY()),INDEX(_翻訳マスタ!$B$117:$D$247,MATCH("ALERT_OVERDUE",_翻訳マスタ!$A$117:$A$247,0),MATCH(言語切替!$B$3,_翻訳マスタ!$B$1:$D$1,0)),IF(AND(U25&lt;&gt;"",U25-TODAY()&lt;=7),INDEX(_翻訳マスタ!$B$117:$D$247,MATCH("ALERT_APPROACHING",_翻訳マスタ!$A$117:$A$247,0),MATCH(言語切替!$B$3,_翻訳マスタ!$B$1:$D$1,0)),IF(OR(W25='02_マスタ'!$E$7,W25='02_マスタ'!$E$8),INDEX(_翻訳マスタ!$B$117:$D$247,MATCH("ALERT_CHECK",_翻訳マスタ!$A$117:$A$247,0),MATCH(言語切替!$B$3,_翻訳マスタ!$B$1:$D$1,0)),""))))))</f>
        <v/>
      </c>
      <c r="AJ25" s="75"/>
    </row>
    <row r="26" spans="1:36" s="21" customFormat="1" x14ac:dyDescent="0.25">
      <c r="A26" s="81"/>
      <c r="B26" s="82"/>
      <c r="C26" s="82"/>
      <c r="D26" s="82"/>
      <c r="E26" s="82"/>
      <c r="F26" s="26"/>
      <c r="G26" s="38" t="str">
        <f t="shared" si="0"/>
        <v/>
      </c>
      <c r="H26" s="38" t="str">
        <f t="shared" si="1"/>
        <v/>
      </c>
      <c r="I26" s="38" t="str">
        <f t="shared" si="2"/>
        <v/>
      </c>
      <c r="J26" s="26"/>
      <c r="K26" s="38" t="str">
        <f t="shared" si="3"/>
        <v/>
      </c>
      <c r="L26" s="38" t="str">
        <f t="shared" si="4"/>
        <v/>
      </c>
      <c r="M26" s="38" t="str">
        <f t="shared" si="5"/>
        <v/>
      </c>
      <c r="N26" s="26"/>
      <c r="O26" s="38" t="str">
        <f t="shared" si="6"/>
        <v/>
      </c>
      <c r="P26" s="38" t="str">
        <f t="shared" si="7"/>
        <v/>
      </c>
      <c r="Q26" s="38" t="str">
        <f t="shared" si="8"/>
        <v/>
      </c>
      <c r="R26" s="26"/>
      <c r="S26" s="26"/>
      <c r="T26" s="27"/>
      <c r="U26" s="27"/>
      <c r="V26" s="26"/>
      <c r="W26" s="26"/>
      <c r="X26" s="26"/>
      <c r="Y26" s="26"/>
      <c r="Z26" s="38" t="str">
        <f t="shared" si="9"/>
        <v/>
      </c>
      <c r="AA26" s="38" t="str">
        <f t="shared" si="10"/>
        <v/>
      </c>
      <c r="AB26" s="38" t="str">
        <f t="shared" si="11"/>
        <v/>
      </c>
      <c r="AC26" s="26"/>
      <c r="AD26" s="38" t="str">
        <f t="shared" si="12"/>
        <v/>
      </c>
      <c r="AE26" s="38" t="str">
        <f t="shared" si="13"/>
        <v/>
      </c>
      <c r="AF26" s="38" t="str">
        <f t="shared" si="14"/>
        <v/>
      </c>
      <c r="AG26" s="26"/>
      <c r="AH26" s="72" t="str">
        <f t="shared" ca="1" si="15"/>
        <v/>
      </c>
      <c r="AI26" s="72" t="str">
        <f ca="1">IF(A26="","",IF(OR(W26='02_マスタ'!$E$10,W26='02_マスタ'!$E$12),"",IF(V26="High","High",IF(AND(U26&lt;&gt;"",U26&lt;TODAY()),INDEX(_翻訳マスタ!$B$117:$D$247,MATCH("ALERT_OVERDUE",_翻訳マスタ!$A$117:$A$247,0),MATCH(言語切替!$B$3,_翻訳マスタ!$B$1:$D$1,0)),IF(AND(U26&lt;&gt;"",U26-TODAY()&lt;=7),INDEX(_翻訳マスタ!$B$117:$D$247,MATCH("ALERT_APPROACHING",_翻訳マスタ!$A$117:$A$247,0),MATCH(言語切替!$B$3,_翻訳マスタ!$B$1:$D$1,0)),IF(OR(W26='02_マスタ'!$E$7,W26='02_マスタ'!$E$8),INDEX(_翻訳マスタ!$B$117:$D$247,MATCH("ALERT_CHECK",_翻訳マスタ!$A$117:$A$247,0),MATCH(言語切替!$B$3,_翻訳マスタ!$B$1:$D$1,0)),""))))))</f>
        <v/>
      </c>
      <c r="AJ26" s="73"/>
    </row>
    <row r="27" spans="1:36" s="21" customFormat="1" x14ac:dyDescent="0.25">
      <c r="A27" s="83"/>
      <c r="B27" s="84"/>
      <c r="C27" s="84"/>
      <c r="D27" s="84"/>
      <c r="E27" s="84"/>
      <c r="F27" s="29"/>
      <c r="G27" s="39" t="str">
        <f t="shared" si="0"/>
        <v/>
      </c>
      <c r="H27" s="39" t="str">
        <f t="shared" si="1"/>
        <v/>
      </c>
      <c r="I27" s="39" t="str">
        <f t="shared" si="2"/>
        <v/>
      </c>
      <c r="J27" s="29"/>
      <c r="K27" s="39" t="str">
        <f t="shared" si="3"/>
        <v/>
      </c>
      <c r="L27" s="39" t="str">
        <f t="shared" si="4"/>
        <v/>
      </c>
      <c r="M27" s="39" t="str">
        <f t="shared" si="5"/>
        <v/>
      </c>
      <c r="N27" s="29"/>
      <c r="O27" s="39" t="str">
        <f t="shared" si="6"/>
        <v/>
      </c>
      <c r="P27" s="39" t="str">
        <f t="shared" si="7"/>
        <v/>
      </c>
      <c r="Q27" s="39" t="str">
        <f t="shared" si="8"/>
        <v/>
      </c>
      <c r="R27" s="29"/>
      <c r="S27" s="29"/>
      <c r="T27" s="30"/>
      <c r="U27" s="30"/>
      <c r="V27" s="29"/>
      <c r="W27" s="29"/>
      <c r="X27" s="29"/>
      <c r="Y27" s="29"/>
      <c r="Z27" s="39" t="str">
        <f t="shared" si="9"/>
        <v/>
      </c>
      <c r="AA27" s="39" t="str">
        <f t="shared" si="10"/>
        <v/>
      </c>
      <c r="AB27" s="39" t="str">
        <f t="shared" si="11"/>
        <v/>
      </c>
      <c r="AC27" s="29"/>
      <c r="AD27" s="39" t="str">
        <f t="shared" si="12"/>
        <v/>
      </c>
      <c r="AE27" s="39" t="str">
        <f t="shared" si="13"/>
        <v/>
      </c>
      <c r="AF27" s="39" t="str">
        <f t="shared" si="14"/>
        <v/>
      </c>
      <c r="AG27" s="29"/>
      <c r="AH27" s="74" t="str">
        <f t="shared" ca="1" si="15"/>
        <v/>
      </c>
      <c r="AI27" s="74" t="str">
        <f ca="1">IF(A27="","",IF(OR(W27='02_マスタ'!$E$10,W27='02_マスタ'!$E$12),"",IF(V27="High","High",IF(AND(U27&lt;&gt;"",U27&lt;TODAY()),INDEX(_翻訳マスタ!$B$117:$D$247,MATCH("ALERT_OVERDUE",_翻訳マスタ!$A$117:$A$247,0),MATCH(言語切替!$B$3,_翻訳マスタ!$B$1:$D$1,0)),IF(AND(U27&lt;&gt;"",U27-TODAY()&lt;=7),INDEX(_翻訳マスタ!$B$117:$D$247,MATCH("ALERT_APPROACHING",_翻訳マスタ!$A$117:$A$247,0),MATCH(言語切替!$B$3,_翻訳マスタ!$B$1:$D$1,0)),IF(OR(W27='02_マスタ'!$E$7,W27='02_マスタ'!$E$8),INDEX(_翻訳マスタ!$B$117:$D$247,MATCH("ALERT_CHECK",_翻訳マスタ!$A$117:$A$247,0),MATCH(言語切替!$B$3,_翻訳マスタ!$B$1:$D$1,0)),""))))))</f>
        <v/>
      </c>
      <c r="AJ27" s="75"/>
    </row>
    <row r="28" spans="1:36" s="21" customFormat="1" x14ac:dyDescent="0.25">
      <c r="A28" s="81"/>
      <c r="B28" s="82"/>
      <c r="C28" s="82"/>
      <c r="D28" s="82"/>
      <c r="E28" s="82"/>
      <c r="F28" s="26"/>
      <c r="G28" s="38" t="str">
        <f t="shared" si="0"/>
        <v/>
      </c>
      <c r="H28" s="38" t="str">
        <f t="shared" si="1"/>
        <v/>
      </c>
      <c r="I28" s="38" t="str">
        <f t="shared" si="2"/>
        <v/>
      </c>
      <c r="J28" s="26"/>
      <c r="K28" s="38" t="str">
        <f t="shared" si="3"/>
        <v/>
      </c>
      <c r="L28" s="38" t="str">
        <f t="shared" si="4"/>
        <v/>
      </c>
      <c r="M28" s="38" t="str">
        <f t="shared" si="5"/>
        <v/>
      </c>
      <c r="N28" s="26"/>
      <c r="O28" s="38" t="str">
        <f t="shared" si="6"/>
        <v/>
      </c>
      <c r="P28" s="38" t="str">
        <f t="shared" si="7"/>
        <v/>
      </c>
      <c r="Q28" s="38" t="str">
        <f t="shared" si="8"/>
        <v/>
      </c>
      <c r="R28" s="26"/>
      <c r="S28" s="26"/>
      <c r="T28" s="27"/>
      <c r="U28" s="27"/>
      <c r="V28" s="26"/>
      <c r="W28" s="26"/>
      <c r="X28" s="26"/>
      <c r="Y28" s="26"/>
      <c r="Z28" s="38" t="str">
        <f t="shared" si="9"/>
        <v/>
      </c>
      <c r="AA28" s="38" t="str">
        <f t="shared" si="10"/>
        <v/>
      </c>
      <c r="AB28" s="38" t="str">
        <f t="shared" si="11"/>
        <v/>
      </c>
      <c r="AC28" s="26"/>
      <c r="AD28" s="38" t="str">
        <f t="shared" si="12"/>
        <v/>
      </c>
      <c r="AE28" s="38" t="str">
        <f t="shared" si="13"/>
        <v/>
      </c>
      <c r="AF28" s="38" t="str">
        <f t="shared" si="14"/>
        <v/>
      </c>
      <c r="AG28" s="26"/>
      <c r="AH28" s="72" t="str">
        <f t="shared" ca="1" si="15"/>
        <v/>
      </c>
      <c r="AI28" s="72" t="str">
        <f ca="1">IF(A28="","",IF(OR(W28='02_マスタ'!$E$10,W28='02_マスタ'!$E$12),"",IF(V28="High","High",IF(AND(U28&lt;&gt;"",U28&lt;TODAY()),INDEX(_翻訳マスタ!$B$117:$D$247,MATCH("ALERT_OVERDUE",_翻訳マスタ!$A$117:$A$247,0),MATCH(言語切替!$B$3,_翻訳マスタ!$B$1:$D$1,0)),IF(AND(U28&lt;&gt;"",U28-TODAY()&lt;=7),INDEX(_翻訳マスタ!$B$117:$D$247,MATCH("ALERT_APPROACHING",_翻訳マスタ!$A$117:$A$247,0),MATCH(言語切替!$B$3,_翻訳マスタ!$B$1:$D$1,0)),IF(OR(W28='02_マスタ'!$E$7,W28='02_マスタ'!$E$8),INDEX(_翻訳マスタ!$B$117:$D$247,MATCH("ALERT_CHECK",_翻訳マスタ!$A$117:$A$247,0),MATCH(言語切替!$B$3,_翻訳マスタ!$B$1:$D$1,0)),""))))))</f>
        <v/>
      </c>
      <c r="AJ28" s="73"/>
    </row>
    <row r="29" spans="1:36" s="21" customFormat="1" x14ac:dyDescent="0.25">
      <c r="A29" s="83"/>
      <c r="B29" s="84"/>
      <c r="C29" s="84"/>
      <c r="D29" s="84"/>
      <c r="E29" s="84"/>
      <c r="F29" s="29"/>
      <c r="G29" s="39" t="str">
        <f t="shared" si="0"/>
        <v/>
      </c>
      <c r="H29" s="39" t="str">
        <f t="shared" si="1"/>
        <v/>
      </c>
      <c r="I29" s="39" t="str">
        <f t="shared" si="2"/>
        <v/>
      </c>
      <c r="J29" s="29"/>
      <c r="K29" s="39" t="str">
        <f t="shared" si="3"/>
        <v/>
      </c>
      <c r="L29" s="39" t="str">
        <f t="shared" si="4"/>
        <v/>
      </c>
      <c r="M29" s="39" t="str">
        <f t="shared" si="5"/>
        <v/>
      </c>
      <c r="N29" s="29"/>
      <c r="O29" s="39" t="str">
        <f t="shared" si="6"/>
        <v/>
      </c>
      <c r="P29" s="39" t="str">
        <f t="shared" si="7"/>
        <v/>
      </c>
      <c r="Q29" s="39" t="str">
        <f t="shared" si="8"/>
        <v/>
      </c>
      <c r="R29" s="29"/>
      <c r="S29" s="29"/>
      <c r="T29" s="30"/>
      <c r="U29" s="30"/>
      <c r="V29" s="29"/>
      <c r="W29" s="29"/>
      <c r="X29" s="29"/>
      <c r="Y29" s="29"/>
      <c r="Z29" s="39" t="str">
        <f t="shared" si="9"/>
        <v/>
      </c>
      <c r="AA29" s="39" t="str">
        <f t="shared" si="10"/>
        <v/>
      </c>
      <c r="AB29" s="39" t="str">
        <f t="shared" si="11"/>
        <v/>
      </c>
      <c r="AC29" s="29"/>
      <c r="AD29" s="39" t="str">
        <f t="shared" si="12"/>
        <v/>
      </c>
      <c r="AE29" s="39" t="str">
        <f t="shared" si="13"/>
        <v/>
      </c>
      <c r="AF29" s="39" t="str">
        <f t="shared" si="14"/>
        <v/>
      </c>
      <c r="AG29" s="29"/>
      <c r="AH29" s="74" t="str">
        <f t="shared" ca="1" si="15"/>
        <v/>
      </c>
      <c r="AI29" s="74" t="str">
        <f ca="1">IF(A29="","",IF(OR(W29='02_マスタ'!$E$10,W29='02_マスタ'!$E$12),"",IF(V29="High","High",IF(AND(U29&lt;&gt;"",U29&lt;TODAY()),INDEX(_翻訳マスタ!$B$117:$D$247,MATCH("ALERT_OVERDUE",_翻訳マスタ!$A$117:$A$247,0),MATCH(言語切替!$B$3,_翻訳マスタ!$B$1:$D$1,0)),IF(AND(U29&lt;&gt;"",U29-TODAY()&lt;=7),INDEX(_翻訳マスタ!$B$117:$D$247,MATCH("ALERT_APPROACHING",_翻訳マスタ!$A$117:$A$247,0),MATCH(言語切替!$B$3,_翻訳マスタ!$B$1:$D$1,0)),IF(OR(W29='02_マスタ'!$E$7,W29='02_マスタ'!$E$8),INDEX(_翻訳マスタ!$B$117:$D$247,MATCH("ALERT_CHECK",_翻訳マスタ!$A$117:$A$247,0),MATCH(言語切替!$B$3,_翻訳マスタ!$B$1:$D$1,0)),""))))))</f>
        <v/>
      </c>
      <c r="AJ29" s="75"/>
    </row>
    <row r="30" spans="1:36" s="21" customFormat="1" x14ac:dyDescent="0.25">
      <c r="A30" s="81"/>
      <c r="B30" s="82"/>
      <c r="C30" s="82"/>
      <c r="D30" s="82"/>
      <c r="E30" s="82"/>
      <c r="F30" s="26"/>
      <c r="G30" s="38" t="str">
        <f t="shared" si="0"/>
        <v/>
      </c>
      <c r="H30" s="38" t="str">
        <f t="shared" si="1"/>
        <v/>
      </c>
      <c r="I30" s="38" t="str">
        <f t="shared" si="2"/>
        <v/>
      </c>
      <c r="J30" s="26"/>
      <c r="K30" s="38" t="str">
        <f t="shared" si="3"/>
        <v/>
      </c>
      <c r="L30" s="38" t="str">
        <f t="shared" si="4"/>
        <v/>
      </c>
      <c r="M30" s="38" t="str">
        <f t="shared" si="5"/>
        <v/>
      </c>
      <c r="N30" s="26"/>
      <c r="O30" s="38" t="str">
        <f t="shared" si="6"/>
        <v/>
      </c>
      <c r="P30" s="38" t="str">
        <f t="shared" si="7"/>
        <v/>
      </c>
      <c r="Q30" s="38" t="str">
        <f t="shared" si="8"/>
        <v/>
      </c>
      <c r="R30" s="26"/>
      <c r="S30" s="26"/>
      <c r="T30" s="27"/>
      <c r="U30" s="27"/>
      <c r="V30" s="26"/>
      <c r="W30" s="26"/>
      <c r="X30" s="26"/>
      <c r="Y30" s="26"/>
      <c r="Z30" s="38" t="str">
        <f t="shared" si="9"/>
        <v/>
      </c>
      <c r="AA30" s="38" t="str">
        <f t="shared" si="10"/>
        <v/>
      </c>
      <c r="AB30" s="38" t="str">
        <f t="shared" si="11"/>
        <v/>
      </c>
      <c r="AC30" s="26"/>
      <c r="AD30" s="38" t="str">
        <f t="shared" si="12"/>
        <v/>
      </c>
      <c r="AE30" s="38" t="str">
        <f t="shared" si="13"/>
        <v/>
      </c>
      <c r="AF30" s="38" t="str">
        <f t="shared" si="14"/>
        <v/>
      </c>
      <c r="AG30" s="26"/>
      <c r="AH30" s="72" t="str">
        <f t="shared" ca="1" si="15"/>
        <v/>
      </c>
      <c r="AI30" s="72" t="str">
        <f ca="1">IF(A30="","",IF(OR(W30='02_マスタ'!$E$10,W30='02_マスタ'!$E$12),"",IF(V30="High","High",IF(AND(U30&lt;&gt;"",U30&lt;TODAY()),INDEX(_翻訳マスタ!$B$117:$D$247,MATCH("ALERT_OVERDUE",_翻訳マスタ!$A$117:$A$247,0),MATCH(言語切替!$B$3,_翻訳マスタ!$B$1:$D$1,0)),IF(AND(U30&lt;&gt;"",U30-TODAY()&lt;=7),INDEX(_翻訳マスタ!$B$117:$D$247,MATCH("ALERT_APPROACHING",_翻訳マスタ!$A$117:$A$247,0),MATCH(言語切替!$B$3,_翻訳マスタ!$B$1:$D$1,0)),IF(OR(W30='02_マスタ'!$E$7,W30='02_マスタ'!$E$8),INDEX(_翻訳マスタ!$B$117:$D$247,MATCH("ALERT_CHECK",_翻訳マスタ!$A$117:$A$247,0),MATCH(言語切替!$B$3,_翻訳マスタ!$B$1:$D$1,0)),""))))))</f>
        <v/>
      </c>
      <c r="AJ30" s="73"/>
    </row>
    <row r="31" spans="1:36" s="21" customFormat="1" x14ac:dyDescent="0.25">
      <c r="A31" s="83"/>
      <c r="B31" s="84"/>
      <c r="C31" s="84"/>
      <c r="D31" s="84"/>
      <c r="E31" s="84"/>
      <c r="F31" s="29"/>
      <c r="G31" s="39"/>
      <c r="H31" s="39" t="str">
        <f t="shared" ref="H31:H72" si="16">IF(F31="","",_xlfn.TRANSLATE(F31,"vi","ja"))</f>
        <v/>
      </c>
      <c r="I31" s="39" t="str">
        <f t="shared" ref="I31:I72" si="17">IF(F31="","",_xlfn.TRANSLATE(F31,"vi","zh-Hans"))</f>
        <v/>
      </c>
      <c r="J31" s="29"/>
      <c r="K31" s="39"/>
      <c r="L31" s="39" t="str">
        <f t="shared" ref="L31:L72" si="18">IF(J31="","",_xlfn.TRANSLATE(J31,"vi","ja"))</f>
        <v/>
      </c>
      <c r="M31" s="39" t="str">
        <f t="shared" ref="M31:M72" si="19">IF(J31="","",_xlfn.TRANSLATE(J31,"vi","zh-Hans"))</f>
        <v/>
      </c>
      <c r="N31" s="29"/>
      <c r="O31" s="39"/>
      <c r="P31" s="39" t="str">
        <f t="shared" ref="P31:P72" si="20">IF(N31="","",_xlfn.TRANSLATE(N31,"vi","ja"))</f>
        <v/>
      </c>
      <c r="Q31" s="39" t="str">
        <f t="shared" ref="Q31:Q72" si="21">IF(N31="","",_xlfn.TRANSLATE(N31,"vi","zh-Hans"))</f>
        <v/>
      </c>
      <c r="R31" s="29"/>
      <c r="S31" s="29"/>
      <c r="T31" s="30"/>
      <c r="U31" s="30"/>
      <c r="V31" s="29"/>
      <c r="W31" s="29"/>
      <c r="X31" s="29"/>
      <c r="Y31" s="29"/>
      <c r="Z31" s="39"/>
      <c r="AA31" s="39" t="str">
        <f t="shared" ref="AA31:AA72" si="22">IF(Y31="","",_xlfn.TRANSLATE(Y31,"vi","ja"))</f>
        <v/>
      </c>
      <c r="AB31" s="39" t="str">
        <f t="shared" ref="AB31:AB72" si="23">IF(Y31="","",_xlfn.TRANSLATE(Y31,"vi","zh-Hans"))</f>
        <v/>
      </c>
      <c r="AC31" s="29"/>
      <c r="AD31" s="39"/>
      <c r="AE31" s="39" t="str">
        <f t="shared" ref="AE31:AE68" si="24">IF(AC31="","",_xlfn.TRANSLATE(AC31,"vi","ja"))</f>
        <v/>
      </c>
      <c r="AF31" s="39" t="str">
        <f t="shared" ref="AF31:AF68" si="25">IF(AC31="","",_xlfn.TRANSLATE(AC31,"vi","zh-Hans"))</f>
        <v/>
      </c>
      <c r="AG31" s="29"/>
      <c r="AH31" s="74" t="str">
        <f t="shared" ca="1" si="15"/>
        <v/>
      </c>
      <c r="AI31" s="74" t="str">
        <f ca="1">IF(A31="","",IF(OR(W31='02_マスタ'!$E$10,W31='02_マスタ'!$E$12),"",IF(V31="High","High",IF(AND(U31&lt;&gt;"",U31&lt;TODAY()),INDEX(_翻訳マスタ!$B$117:$D$247,MATCH("ALERT_OVERDUE",_翻訳マスタ!$A$117:$A$247,0),MATCH(言語切替!$B$3,_翻訳マスタ!$B$1:$D$1,0)),IF(AND(U31&lt;&gt;"",U31-TODAY()&lt;=7),INDEX(_翻訳マスタ!$B$117:$D$247,MATCH("ALERT_APPROACHING",_翻訳マスタ!$A$117:$A$247,0),MATCH(言語切替!$B$3,_翻訳マスタ!$B$1:$D$1,0)),IF(OR(W31='02_マスタ'!$E$7,W31='02_マスタ'!$E$8),INDEX(_翻訳マスタ!$B$117:$D$247,MATCH("ALERT_CHECK",_翻訳マスタ!$A$117:$A$247,0),MATCH(言語切替!$B$3,_翻訳マスタ!$B$1:$D$1,0)),""))))))</f>
        <v/>
      </c>
      <c r="AJ31" s="75"/>
    </row>
    <row r="32" spans="1:36" s="21" customFormat="1" x14ac:dyDescent="0.25">
      <c r="A32" s="81"/>
      <c r="B32" s="82"/>
      <c r="C32" s="82"/>
      <c r="D32" s="82"/>
      <c r="E32" s="82"/>
      <c r="F32" s="26"/>
      <c r="G32" s="38"/>
      <c r="H32" s="38" t="str">
        <f t="shared" si="16"/>
        <v/>
      </c>
      <c r="I32" s="38" t="str">
        <f t="shared" si="17"/>
        <v/>
      </c>
      <c r="J32" s="26"/>
      <c r="K32" s="38"/>
      <c r="L32" s="38" t="str">
        <f t="shared" si="18"/>
        <v/>
      </c>
      <c r="M32" s="38" t="str">
        <f t="shared" si="19"/>
        <v/>
      </c>
      <c r="N32" s="26"/>
      <c r="O32" s="38"/>
      <c r="P32" s="38" t="str">
        <f t="shared" si="20"/>
        <v/>
      </c>
      <c r="Q32" s="38" t="str">
        <f t="shared" si="21"/>
        <v/>
      </c>
      <c r="R32" s="26"/>
      <c r="S32" s="26"/>
      <c r="T32" s="27"/>
      <c r="U32" s="27"/>
      <c r="V32" s="26"/>
      <c r="W32" s="26"/>
      <c r="X32" s="26"/>
      <c r="Y32" s="26"/>
      <c r="Z32" s="38"/>
      <c r="AA32" s="38" t="str">
        <f t="shared" si="22"/>
        <v/>
      </c>
      <c r="AB32" s="38" t="str">
        <f t="shared" si="23"/>
        <v/>
      </c>
      <c r="AC32" s="26"/>
      <c r="AD32" s="38"/>
      <c r="AE32" s="38" t="str">
        <f t="shared" si="24"/>
        <v/>
      </c>
      <c r="AF32" s="38" t="str">
        <f t="shared" si="25"/>
        <v/>
      </c>
      <c r="AG32" s="26"/>
      <c r="AH32" s="72" t="str">
        <f t="shared" ca="1" si="15"/>
        <v/>
      </c>
      <c r="AI32" s="72" t="str">
        <f ca="1">IF(A32="","",IF(OR(W32='02_マスタ'!$E$10,W32='02_マスタ'!$E$12),"",IF(V32="High","High",IF(AND(U32&lt;&gt;"",U32&lt;TODAY()),INDEX(_翻訳マスタ!$B$117:$D$247,MATCH("ALERT_OVERDUE",_翻訳マスタ!$A$117:$A$247,0),MATCH(言語切替!$B$3,_翻訳マスタ!$B$1:$D$1,0)),IF(AND(U32&lt;&gt;"",U32-TODAY()&lt;=7),INDEX(_翻訳マスタ!$B$117:$D$247,MATCH("ALERT_APPROACHING",_翻訳マスタ!$A$117:$A$247,0),MATCH(言語切替!$B$3,_翻訳マスタ!$B$1:$D$1,0)),IF(OR(W32='02_マスタ'!$E$7,W32='02_マスタ'!$E$8),INDEX(_翻訳マスタ!$B$117:$D$247,MATCH("ALERT_CHECK",_翻訳マスタ!$A$117:$A$247,0),MATCH(言語切替!$B$3,_翻訳マスタ!$B$1:$D$1,0)),""))))))</f>
        <v/>
      </c>
      <c r="AJ32" s="73"/>
    </row>
    <row r="33" spans="1:36" s="21" customFormat="1" x14ac:dyDescent="0.25">
      <c r="A33" s="83"/>
      <c r="B33" s="84"/>
      <c r="C33" s="84"/>
      <c r="D33" s="84"/>
      <c r="E33" s="84"/>
      <c r="F33" s="29"/>
      <c r="G33" s="39"/>
      <c r="H33" s="39" t="str">
        <f t="shared" si="16"/>
        <v/>
      </c>
      <c r="I33" s="39" t="str">
        <f t="shared" si="17"/>
        <v/>
      </c>
      <c r="J33" s="29"/>
      <c r="K33" s="39"/>
      <c r="L33" s="39" t="str">
        <f t="shared" si="18"/>
        <v/>
      </c>
      <c r="M33" s="39" t="str">
        <f t="shared" si="19"/>
        <v/>
      </c>
      <c r="N33" s="29"/>
      <c r="O33" s="39"/>
      <c r="P33" s="39" t="str">
        <f t="shared" si="20"/>
        <v/>
      </c>
      <c r="Q33" s="39" t="str">
        <f t="shared" si="21"/>
        <v/>
      </c>
      <c r="R33" s="29"/>
      <c r="S33" s="29"/>
      <c r="T33" s="30"/>
      <c r="U33" s="30"/>
      <c r="V33" s="29"/>
      <c r="W33" s="29"/>
      <c r="X33" s="29"/>
      <c r="Y33" s="29"/>
      <c r="Z33" s="39"/>
      <c r="AA33" s="39" t="str">
        <f t="shared" si="22"/>
        <v/>
      </c>
      <c r="AB33" s="39" t="str">
        <f t="shared" si="23"/>
        <v/>
      </c>
      <c r="AC33" s="29"/>
      <c r="AD33" s="39"/>
      <c r="AE33" s="39" t="str">
        <f t="shared" si="24"/>
        <v/>
      </c>
      <c r="AF33" s="39" t="str">
        <f t="shared" si="25"/>
        <v/>
      </c>
      <c r="AG33" s="29"/>
      <c r="AH33" s="74" t="str">
        <f t="shared" ca="1" si="15"/>
        <v/>
      </c>
      <c r="AI33" s="74" t="str">
        <f ca="1">IF(A33="","",IF(OR(W33='02_マスタ'!$E$10,W33='02_マスタ'!$E$12),"",IF(V33="High","High",IF(AND(U33&lt;&gt;"",U33&lt;TODAY()),INDEX(_翻訳マスタ!$B$117:$D$247,MATCH("ALERT_OVERDUE",_翻訳マスタ!$A$117:$A$247,0),MATCH(言語切替!$B$3,_翻訳マスタ!$B$1:$D$1,0)),IF(AND(U33&lt;&gt;"",U33-TODAY()&lt;=7),INDEX(_翻訳マスタ!$B$117:$D$247,MATCH("ALERT_APPROACHING",_翻訳マスタ!$A$117:$A$247,0),MATCH(言語切替!$B$3,_翻訳マスタ!$B$1:$D$1,0)),IF(OR(W33='02_マスタ'!$E$7,W33='02_マスタ'!$E$8),INDEX(_翻訳マスタ!$B$117:$D$247,MATCH("ALERT_CHECK",_翻訳マスタ!$A$117:$A$247,0),MATCH(言語切替!$B$3,_翻訳マスタ!$B$1:$D$1,0)),""))))))</f>
        <v/>
      </c>
      <c r="AJ33" s="75"/>
    </row>
    <row r="34" spans="1:36" s="21" customFormat="1" x14ac:dyDescent="0.25">
      <c r="A34" s="81"/>
      <c r="B34" s="82"/>
      <c r="C34" s="82"/>
      <c r="D34" s="82"/>
      <c r="E34" s="82"/>
      <c r="F34" s="26"/>
      <c r="G34" s="38"/>
      <c r="H34" s="38" t="str">
        <f t="shared" si="16"/>
        <v/>
      </c>
      <c r="I34" s="38" t="str">
        <f t="shared" si="17"/>
        <v/>
      </c>
      <c r="J34" s="26"/>
      <c r="K34" s="38"/>
      <c r="L34" s="38" t="str">
        <f t="shared" si="18"/>
        <v/>
      </c>
      <c r="M34" s="38" t="str">
        <f t="shared" si="19"/>
        <v/>
      </c>
      <c r="N34" s="26"/>
      <c r="O34" s="38"/>
      <c r="P34" s="38" t="str">
        <f t="shared" si="20"/>
        <v/>
      </c>
      <c r="Q34" s="38" t="str">
        <f t="shared" si="21"/>
        <v/>
      </c>
      <c r="R34" s="26"/>
      <c r="S34" s="26"/>
      <c r="T34" s="27"/>
      <c r="U34" s="27"/>
      <c r="V34" s="26"/>
      <c r="W34" s="26"/>
      <c r="X34" s="26"/>
      <c r="Y34" s="26"/>
      <c r="Z34" s="38"/>
      <c r="AA34" s="38" t="str">
        <f t="shared" si="22"/>
        <v/>
      </c>
      <c r="AB34" s="38" t="str">
        <f t="shared" si="23"/>
        <v/>
      </c>
      <c r="AC34" s="26"/>
      <c r="AD34" s="38"/>
      <c r="AE34" s="38" t="str">
        <f t="shared" si="24"/>
        <v/>
      </c>
      <c r="AF34" s="38" t="str">
        <f t="shared" si="25"/>
        <v/>
      </c>
      <c r="AG34" s="26"/>
      <c r="AH34" s="72" t="str">
        <f t="shared" ca="1" si="15"/>
        <v/>
      </c>
      <c r="AI34" s="72" t="str">
        <f ca="1">IF(A34="","",IF(OR(W34='02_マスタ'!$E$10,W34='02_マスタ'!$E$12),"",IF(V34="High","High",IF(AND(U34&lt;&gt;"",U34&lt;TODAY()),INDEX(_翻訳マスタ!$B$117:$D$247,MATCH("ALERT_OVERDUE",_翻訳マスタ!$A$117:$A$247,0),MATCH(言語切替!$B$3,_翻訳マスタ!$B$1:$D$1,0)),IF(AND(U34&lt;&gt;"",U34-TODAY()&lt;=7),INDEX(_翻訳マスタ!$B$117:$D$247,MATCH("ALERT_APPROACHING",_翻訳マスタ!$A$117:$A$247,0),MATCH(言語切替!$B$3,_翻訳マスタ!$B$1:$D$1,0)),IF(OR(W34='02_マスタ'!$E$7,W34='02_マスタ'!$E$8),INDEX(_翻訳マスタ!$B$117:$D$247,MATCH("ALERT_CHECK",_翻訳マスタ!$A$117:$A$247,0),MATCH(言語切替!$B$3,_翻訳マスタ!$B$1:$D$1,0)),""))))))</f>
        <v/>
      </c>
      <c r="AJ34" s="73"/>
    </row>
    <row r="35" spans="1:36" s="21" customFormat="1" x14ac:dyDescent="0.25">
      <c r="A35" s="83"/>
      <c r="B35" s="84"/>
      <c r="C35" s="84"/>
      <c r="D35" s="84"/>
      <c r="E35" s="84"/>
      <c r="F35" s="29"/>
      <c r="G35" s="39"/>
      <c r="H35" s="39" t="str">
        <f t="shared" si="16"/>
        <v/>
      </c>
      <c r="I35" s="39" t="str">
        <f t="shared" si="17"/>
        <v/>
      </c>
      <c r="J35" s="29"/>
      <c r="K35" s="39"/>
      <c r="L35" s="39" t="str">
        <f t="shared" si="18"/>
        <v/>
      </c>
      <c r="M35" s="39" t="str">
        <f t="shared" si="19"/>
        <v/>
      </c>
      <c r="N35" s="29"/>
      <c r="O35" s="39"/>
      <c r="P35" s="39" t="str">
        <f t="shared" si="20"/>
        <v/>
      </c>
      <c r="Q35" s="39" t="str">
        <f t="shared" si="21"/>
        <v/>
      </c>
      <c r="R35" s="29"/>
      <c r="S35" s="29"/>
      <c r="T35" s="30"/>
      <c r="U35" s="30"/>
      <c r="V35" s="29"/>
      <c r="W35" s="29"/>
      <c r="X35" s="29"/>
      <c r="Y35" s="29"/>
      <c r="Z35" s="39"/>
      <c r="AA35" s="39" t="str">
        <f t="shared" si="22"/>
        <v/>
      </c>
      <c r="AB35" s="39" t="str">
        <f t="shared" si="23"/>
        <v/>
      </c>
      <c r="AC35" s="29"/>
      <c r="AD35" s="39"/>
      <c r="AE35" s="39" t="str">
        <f t="shared" si="24"/>
        <v/>
      </c>
      <c r="AF35" s="39" t="str">
        <f t="shared" si="25"/>
        <v/>
      </c>
      <c r="AG35" s="29"/>
      <c r="AH35" s="74" t="str">
        <f t="shared" ca="1" si="15"/>
        <v/>
      </c>
      <c r="AI35" s="74" t="str">
        <f ca="1">IF(A35="","",IF(OR(W35='02_マスタ'!$E$10,W35='02_マスタ'!$E$12),"",IF(V35="High","High",IF(AND(U35&lt;&gt;"",U35&lt;TODAY()),INDEX(_翻訳マスタ!$B$117:$D$247,MATCH("ALERT_OVERDUE",_翻訳マスタ!$A$117:$A$247,0),MATCH(言語切替!$B$3,_翻訳マスタ!$B$1:$D$1,0)),IF(AND(U35&lt;&gt;"",U35-TODAY()&lt;=7),INDEX(_翻訳マスタ!$B$117:$D$247,MATCH("ALERT_APPROACHING",_翻訳マスタ!$A$117:$A$247,0),MATCH(言語切替!$B$3,_翻訳マスタ!$B$1:$D$1,0)),IF(OR(W35='02_マスタ'!$E$7,W35='02_マスタ'!$E$8),INDEX(_翻訳マスタ!$B$117:$D$247,MATCH("ALERT_CHECK",_翻訳マスタ!$A$117:$A$247,0),MATCH(言語切替!$B$3,_翻訳マスタ!$B$1:$D$1,0)),""))))))</f>
        <v/>
      </c>
      <c r="AJ35" s="75"/>
    </row>
    <row r="36" spans="1:36" s="21" customFormat="1" x14ac:dyDescent="0.25">
      <c r="A36" s="81"/>
      <c r="B36" s="82"/>
      <c r="C36" s="82"/>
      <c r="D36" s="82"/>
      <c r="E36" s="82"/>
      <c r="F36" s="26"/>
      <c r="G36" s="38"/>
      <c r="H36" s="38" t="str">
        <f t="shared" si="16"/>
        <v/>
      </c>
      <c r="I36" s="38" t="str">
        <f t="shared" si="17"/>
        <v/>
      </c>
      <c r="J36" s="26"/>
      <c r="K36" s="38"/>
      <c r="L36" s="38" t="str">
        <f t="shared" si="18"/>
        <v/>
      </c>
      <c r="M36" s="38" t="str">
        <f t="shared" si="19"/>
        <v/>
      </c>
      <c r="N36" s="26"/>
      <c r="O36" s="38"/>
      <c r="P36" s="38" t="str">
        <f t="shared" si="20"/>
        <v/>
      </c>
      <c r="Q36" s="38" t="str">
        <f t="shared" si="21"/>
        <v/>
      </c>
      <c r="R36" s="26"/>
      <c r="S36" s="26"/>
      <c r="T36" s="27"/>
      <c r="U36" s="27"/>
      <c r="V36" s="26"/>
      <c r="W36" s="26"/>
      <c r="X36" s="26"/>
      <c r="Y36" s="26"/>
      <c r="Z36" s="38"/>
      <c r="AA36" s="38" t="str">
        <f t="shared" si="22"/>
        <v/>
      </c>
      <c r="AB36" s="38" t="str">
        <f t="shared" si="23"/>
        <v/>
      </c>
      <c r="AC36" s="26"/>
      <c r="AD36" s="38"/>
      <c r="AE36" s="38" t="str">
        <f t="shared" si="24"/>
        <v/>
      </c>
      <c r="AF36" s="38" t="str">
        <f t="shared" si="25"/>
        <v/>
      </c>
      <c r="AG36" s="26"/>
      <c r="AH36" s="72" t="str">
        <f t="shared" ca="1" si="15"/>
        <v/>
      </c>
      <c r="AI36" s="72" t="str">
        <f ca="1">IF(A36="","",IF(OR(W36='02_マスタ'!$E$10,W36='02_マスタ'!$E$12),"",IF(V36="High","High",IF(AND(U36&lt;&gt;"",U36&lt;TODAY()),INDEX(_翻訳マスタ!$B$117:$D$247,MATCH("ALERT_OVERDUE",_翻訳マスタ!$A$117:$A$247,0),MATCH(言語切替!$B$3,_翻訳マスタ!$B$1:$D$1,0)),IF(AND(U36&lt;&gt;"",U36-TODAY()&lt;=7),INDEX(_翻訳マスタ!$B$117:$D$247,MATCH("ALERT_APPROACHING",_翻訳マスタ!$A$117:$A$247,0),MATCH(言語切替!$B$3,_翻訳マスタ!$B$1:$D$1,0)),IF(OR(W36='02_マスタ'!$E$7,W36='02_マスタ'!$E$8),INDEX(_翻訳マスタ!$B$117:$D$247,MATCH("ALERT_CHECK",_翻訳マスタ!$A$117:$A$247,0),MATCH(言語切替!$B$3,_翻訳マスタ!$B$1:$D$1,0)),""))))))</f>
        <v/>
      </c>
      <c r="AJ36" s="73"/>
    </row>
    <row r="37" spans="1:36" s="21" customFormat="1" x14ac:dyDescent="0.25">
      <c r="A37" s="83"/>
      <c r="B37" s="84"/>
      <c r="C37" s="84"/>
      <c r="D37" s="84"/>
      <c r="E37" s="84"/>
      <c r="F37" s="29"/>
      <c r="G37" s="39"/>
      <c r="H37" s="39" t="str">
        <f t="shared" si="16"/>
        <v/>
      </c>
      <c r="I37" s="39" t="str">
        <f t="shared" si="17"/>
        <v/>
      </c>
      <c r="J37" s="29"/>
      <c r="K37" s="39"/>
      <c r="L37" s="39" t="str">
        <f t="shared" si="18"/>
        <v/>
      </c>
      <c r="M37" s="39" t="str">
        <f t="shared" si="19"/>
        <v/>
      </c>
      <c r="N37" s="29"/>
      <c r="O37" s="39"/>
      <c r="P37" s="39" t="str">
        <f t="shared" si="20"/>
        <v/>
      </c>
      <c r="Q37" s="39" t="str">
        <f t="shared" si="21"/>
        <v/>
      </c>
      <c r="R37" s="29"/>
      <c r="S37" s="29"/>
      <c r="T37" s="30"/>
      <c r="U37" s="30"/>
      <c r="V37" s="29"/>
      <c r="W37" s="29"/>
      <c r="X37" s="29"/>
      <c r="Y37" s="29"/>
      <c r="Z37" s="39"/>
      <c r="AA37" s="39" t="str">
        <f t="shared" si="22"/>
        <v/>
      </c>
      <c r="AB37" s="39" t="str">
        <f t="shared" si="23"/>
        <v/>
      </c>
      <c r="AC37" s="29"/>
      <c r="AD37" s="39"/>
      <c r="AE37" s="39" t="str">
        <f t="shared" si="24"/>
        <v/>
      </c>
      <c r="AF37" s="39" t="str">
        <f t="shared" si="25"/>
        <v/>
      </c>
      <c r="AG37" s="29"/>
      <c r="AH37" s="74" t="str">
        <f t="shared" ca="1" si="15"/>
        <v/>
      </c>
      <c r="AI37" s="74" t="str">
        <f ca="1">IF(A37="","",IF(OR(W37='02_マスタ'!$E$10,W37='02_マスタ'!$E$12),"",IF(V37="High","High",IF(AND(U37&lt;&gt;"",U37&lt;TODAY()),INDEX(_翻訳マスタ!$B$117:$D$247,MATCH("ALERT_OVERDUE",_翻訳マスタ!$A$117:$A$247,0),MATCH(言語切替!$B$3,_翻訳マスタ!$B$1:$D$1,0)),IF(AND(U37&lt;&gt;"",U37-TODAY()&lt;=7),INDEX(_翻訳マスタ!$B$117:$D$247,MATCH("ALERT_APPROACHING",_翻訳マスタ!$A$117:$A$247,0),MATCH(言語切替!$B$3,_翻訳マスタ!$B$1:$D$1,0)),IF(OR(W37='02_マスタ'!$E$7,W37='02_マスタ'!$E$8),INDEX(_翻訳マスタ!$B$117:$D$247,MATCH("ALERT_CHECK",_翻訳マスタ!$A$117:$A$247,0),MATCH(言語切替!$B$3,_翻訳マスタ!$B$1:$D$1,0)),""))))))</f>
        <v/>
      </c>
      <c r="AJ37" s="75"/>
    </row>
    <row r="38" spans="1:36" s="21" customFormat="1" x14ac:dyDescent="0.25">
      <c r="A38" s="81"/>
      <c r="B38" s="82"/>
      <c r="C38" s="82"/>
      <c r="D38" s="82"/>
      <c r="E38" s="82"/>
      <c r="F38" s="26"/>
      <c r="G38" s="38"/>
      <c r="H38" s="38" t="str">
        <f t="shared" si="16"/>
        <v/>
      </c>
      <c r="I38" s="38" t="str">
        <f t="shared" si="17"/>
        <v/>
      </c>
      <c r="J38" s="26"/>
      <c r="K38" s="38"/>
      <c r="L38" s="38" t="str">
        <f t="shared" si="18"/>
        <v/>
      </c>
      <c r="M38" s="38" t="str">
        <f t="shared" si="19"/>
        <v/>
      </c>
      <c r="N38" s="26"/>
      <c r="O38" s="38"/>
      <c r="P38" s="38" t="str">
        <f t="shared" si="20"/>
        <v/>
      </c>
      <c r="Q38" s="38" t="str">
        <f t="shared" si="21"/>
        <v/>
      </c>
      <c r="R38" s="26"/>
      <c r="S38" s="26"/>
      <c r="T38" s="27"/>
      <c r="U38" s="27"/>
      <c r="V38" s="26"/>
      <c r="W38" s="26"/>
      <c r="X38" s="26"/>
      <c r="Y38" s="26"/>
      <c r="Z38" s="38"/>
      <c r="AA38" s="38" t="str">
        <f t="shared" si="22"/>
        <v/>
      </c>
      <c r="AB38" s="38" t="str">
        <f t="shared" si="23"/>
        <v/>
      </c>
      <c r="AC38" s="26"/>
      <c r="AD38" s="38"/>
      <c r="AE38" s="38" t="str">
        <f t="shared" si="24"/>
        <v/>
      </c>
      <c r="AF38" s="38" t="str">
        <f t="shared" si="25"/>
        <v/>
      </c>
      <c r="AG38" s="26"/>
      <c r="AH38" s="72" t="str">
        <f t="shared" ca="1" si="15"/>
        <v/>
      </c>
      <c r="AI38" s="72" t="str">
        <f ca="1">IF(A38="","",IF(OR(W38='02_マスタ'!$E$10,W38='02_マスタ'!$E$12),"",IF(V38="High","High",IF(AND(U38&lt;&gt;"",U38&lt;TODAY()),INDEX(_翻訳マスタ!$B$117:$D$247,MATCH("ALERT_OVERDUE",_翻訳マスタ!$A$117:$A$247,0),MATCH(言語切替!$B$3,_翻訳マスタ!$B$1:$D$1,0)),IF(AND(U38&lt;&gt;"",U38-TODAY()&lt;=7),INDEX(_翻訳マスタ!$B$117:$D$247,MATCH("ALERT_APPROACHING",_翻訳マスタ!$A$117:$A$247,0),MATCH(言語切替!$B$3,_翻訳マスタ!$B$1:$D$1,0)),IF(OR(W38='02_マスタ'!$E$7,W38='02_マスタ'!$E$8),INDEX(_翻訳マスタ!$B$117:$D$247,MATCH("ALERT_CHECK",_翻訳マスタ!$A$117:$A$247,0),MATCH(言語切替!$B$3,_翻訳マスタ!$B$1:$D$1,0)),""))))))</f>
        <v/>
      </c>
      <c r="AJ38" s="73"/>
    </row>
    <row r="39" spans="1:36" s="21" customFormat="1" x14ac:dyDescent="0.25">
      <c r="A39" s="83"/>
      <c r="B39" s="84"/>
      <c r="C39" s="84"/>
      <c r="D39" s="84"/>
      <c r="E39" s="84"/>
      <c r="F39" s="29"/>
      <c r="G39" s="39"/>
      <c r="H39" s="39" t="str">
        <f t="shared" si="16"/>
        <v/>
      </c>
      <c r="I39" s="39" t="str">
        <f t="shared" si="17"/>
        <v/>
      </c>
      <c r="J39" s="29"/>
      <c r="K39" s="39"/>
      <c r="L39" s="39" t="str">
        <f t="shared" si="18"/>
        <v/>
      </c>
      <c r="M39" s="39" t="str">
        <f t="shared" si="19"/>
        <v/>
      </c>
      <c r="N39" s="29"/>
      <c r="O39" s="39"/>
      <c r="P39" s="39" t="str">
        <f t="shared" si="20"/>
        <v/>
      </c>
      <c r="Q39" s="39" t="str">
        <f t="shared" si="21"/>
        <v/>
      </c>
      <c r="R39" s="29"/>
      <c r="S39" s="29"/>
      <c r="T39" s="30"/>
      <c r="U39" s="30"/>
      <c r="V39" s="29"/>
      <c r="W39" s="29"/>
      <c r="X39" s="29"/>
      <c r="Y39" s="29"/>
      <c r="Z39" s="39"/>
      <c r="AA39" s="39" t="str">
        <f t="shared" si="22"/>
        <v/>
      </c>
      <c r="AB39" s="39" t="str">
        <f t="shared" si="23"/>
        <v/>
      </c>
      <c r="AC39" s="29"/>
      <c r="AD39" s="39"/>
      <c r="AE39" s="39" t="str">
        <f t="shared" si="24"/>
        <v/>
      </c>
      <c r="AF39" s="39" t="str">
        <f t="shared" si="25"/>
        <v/>
      </c>
      <c r="AG39" s="29"/>
      <c r="AH39" s="74" t="str">
        <f t="shared" ca="1" si="15"/>
        <v/>
      </c>
      <c r="AI39" s="74" t="str">
        <f ca="1">IF(A39="","",IF(OR(W39='02_マスタ'!$E$10,W39='02_マスタ'!$E$12),"",IF(V39="High","High",IF(AND(U39&lt;&gt;"",U39&lt;TODAY()),INDEX(_翻訳マスタ!$B$117:$D$247,MATCH("ALERT_OVERDUE",_翻訳マスタ!$A$117:$A$247,0),MATCH(言語切替!$B$3,_翻訳マスタ!$B$1:$D$1,0)),IF(AND(U39&lt;&gt;"",U39-TODAY()&lt;=7),INDEX(_翻訳マスタ!$B$117:$D$247,MATCH("ALERT_APPROACHING",_翻訳マスタ!$A$117:$A$247,0),MATCH(言語切替!$B$3,_翻訳マスタ!$B$1:$D$1,0)),IF(OR(W39='02_マスタ'!$E$7,W39='02_マスタ'!$E$8),INDEX(_翻訳マスタ!$B$117:$D$247,MATCH("ALERT_CHECK",_翻訳マスタ!$A$117:$A$247,0),MATCH(言語切替!$B$3,_翻訳マスタ!$B$1:$D$1,0)),""))))))</f>
        <v/>
      </c>
      <c r="AJ39" s="75"/>
    </row>
    <row r="40" spans="1:36" s="21" customFormat="1" x14ac:dyDescent="0.25">
      <c r="A40" s="81"/>
      <c r="B40" s="82"/>
      <c r="C40" s="82"/>
      <c r="D40" s="82"/>
      <c r="E40" s="82"/>
      <c r="F40" s="26"/>
      <c r="G40" s="38"/>
      <c r="H40" s="38" t="str">
        <f t="shared" si="16"/>
        <v/>
      </c>
      <c r="I40" s="38" t="str">
        <f t="shared" si="17"/>
        <v/>
      </c>
      <c r="J40" s="26"/>
      <c r="K40" s="38"/>
      <c r="L40" s="38" t="str">
        <f t="shared" si="18"/>
        <v/>
      </c>
      <c r="M40" s="38" t="str">
        <f t="shared" si="19"/>
        <v/>
      </c>
      <c r="N40" s="26"/>
      <c r="O40" s="38"/>
      <c r="P40" s="38" t="str">
        <f t="shared" si="20"/>
        <v/>
      </c>
      <c r="Q40" s="38" t="str">
        <f t="shared" si="21"/>
        <v/>
      </c>
      <c r="R40" s="26"/>
      <c r="S40" s="26"/>
      <c r="T40" s="27"/>
      <c r="U40" s="27"/>
      <c r="V40" s="26"/>
      <c r="W40" s="26"/>
      <c r="X40" s="26"/>
      <c r="Y40" s="26"/>
      <c r="Z40" s="38"/>
      <c r="AA40" s="38" t="str">
        <f t="shared" si="22"/>
        <v/>
      </c>
      <c r="AB40" s="38" t="str">
        <f t="shared" si="23"/>
        <v/>
      </c>
      <c r="AC40" s="26"/>
      <c r="AD40" s="38"/>
      <c r="AE40" s="38" t="str">
        <f t="shared" si="24"/>
        <v/>
      </c>
      <c r="AF40" s="38" t="str">
        <f t="shared" si="25"/>
        <v/>
      </c>
      <c r="AG40" s="26"/>
      <c r="AH40" s="72" t="str">
        <f t="shared" ca="1" si="15"/>
        <v/>
      </c>
      <c r="AI40" s="72" t="str">
        <f ca="1">IF(A40="","",IF(OR(W40='02_マスタ'!$E$10,W40='02_マスタ'!$E$12),"",IF(V40="High","High",IF(AND(U40&lt;&gt;"",U40&lt;TODAY()),INDEX(_翻訳マスタ!$B$117:$D$247,MATCH("ALERT_OVERDUE",_翻訳マスタ!$A$117:$A$247,0),MATCH(言語切替!$B$3,_翻訳マスタ!$B$1:$D$1,0)),IF(AND(U40&lt;&gt;"",U40-TODAY()&lt;=7),INDEX(_翻訳マスタ!$B$117:$D$247,MATCH("ALERT_APPROACHING",_翻訳マスタ!$A$117:$A$247,0),MATCH(言語切替!$B$3,_翻訳マスタ!$B$1:$D$1,0)),IF(OR(W40='02_マスタ'!$E$7,W40='02_マスタ'!$E$8),INDEX(_翻訳マスタ!$B$117:$D$247,MATCH("ALERT_CHECK",_翻訳マスタ!$A$117:$A$247,0),MATCH(言語切替!$B$3,_翻訳マスタ!$B$1:$D$1,0)),""))))))</f>
        <v/>
      </c>
      <c r="AJ40" s="73"/>
    </row>
    <row r="41" spans="1:36" s="21" customFormat="1" x14ac:dyDescent="0.25">
      <c r="A41" s="83"/>
      <c r="B41" s="84"/>
      <c r="C41" s="84"/>
      <c r="D41" s="84"/>
      <c r="E41" s="84"/>
      <c r="F41" s="29"/>
      <c r="G41" s="39"/>
      <c r="H41" s="39" t="str">
        <f t="shared" si="16"/>
        <v/>
      </c>
      <c r="I41" s="39" t="str">
        <f t="shared" si="17"/>
        <v/>
      </c>
      <c r="J41" s="29"/>
      <c r="K41" s="39"/>
      <c r="L41" s="39" t="str">
        <f t="shared" si="18"/>
        <v/>
      </c>
      <c r="M41" s="39" t="str">
        <f t="shared" si="19"/>
        <v/>
      </c>
      <c r="N41" s="29"/>
      <c r="O41" s="39"/>
      <c r="P41" s="39" t="str">
        <f t="shared" si="20"/>
        <v/>
      </c>
      <c r="Q41" s="39" t="str">
        <f t="shared" si="21"/>
        <v/>
      </c>
      <c r="R41" s="29"/>
      <c r="S41" s="29"/>
      <c r="T41" s="30"/>
      <c r="U41" s="30"/>
      <c r="V41" s="29"/>
      <c r="W41" s="29"/>
      <c r="X41" s="29"/>
      <c r="Y41" s="29"/>
      <c r="Z41" s="39"/>
      <c r="AA41" s="39" t="str">
        <f t="shared" si="22"/>
        <v/>
      </c>
      <c r="AB41" s="39" t="str">
        <f t="shared" si="23"/>
        <v/>
      </c>
      <c r="AC41" s="29"/>
      <c r="AD41" s="39"/>
      <c r="AE41" s="39" t="str">
        <f t="shared" si="24"/>
        <v/>
      </c>
      <c r="AF41" s="39" t="str">
        <f t="shared" si="25"/>
        <v/>
      </c>
      <c r="AG41" s="29"/>
      <c r="AH41" s="74" t="str">
        <f t="shared" ca="1" si="15"/>
        <v/>
      </c>
      <c r="AI41" s="74" t="str">
        <f ca="1">IF(A41="","",IF(OR(W41='02_マスタ'!$E$10,W41='02_マスタ'!$E$12),"",IF(V41="High","High",IF(AND(U41&lt;&gt;"",U41&lt;TODAY()),INDEX(_翻訳マスタ!$B$117:$D$247,MATCH("ALERT_OVERDUE",_翻訳マスタ!$A$117:$A$247,0),MATCH(言語切替!$B$3,_翻訳マスタ!$B$1:$D$1,0)),IF(AND(U41&lt;&gt;"",U41-TODAY()&lt;=7),INDEX(_翻訳マスタ!$B$117:$D$247,MATCH("ALERT_APPROACHING",_翻訳マスタ!$A$117:$A$247,0),MATCH(言語切替!$B$3,_翻訳マスタ!$B$1:$D$1,0)),IF(OR(W41='02_マスタ'!$E$7,W41='02_マスタ'!$E$8),INDEX(_翻訳マスタ!$B$117:$D$247,MATCH("ALERT_CHECK",_翻訳マスタ!$A$117:$A$247,0),MATCH(言語切替!$B$3,_翻訳マスタ!$B$1:$D$1,0)),""))))))</f>
        <v/>
      </c>
      <c r="AJ41" s="75"/>
    </row>
    <row r="42" spans="1:36" s="21" customFormat="1" x14ac:dyDescent="0.25">
      <c r="A42" s="81"/>
      <c r="B42" s="82"/>
      <c r="C42" s="82"/>
      <c r="D42" s="82"/>
      <c r="E42" s="82"/>
      <c r="F42" s="26"/>
      <c r="G42" s="38"/>
      <c r="H42" s="38" t="str">
        <f t="shared" si="16"/>
        <v/>
      </c>
      <c r="I42" s="38" t="str">
        <f t="shared" si="17"/>
        <v/>
      </c>
      <c r="J42" s="26"/>
      <c r="K42" s="38"/>
      <c r="L42" s="38" t="str">
        <f t="shared" si="18"/>
        <v/>
      </c>
      <c r="M42" s="38" t="str">
        <f t="shared" si="19"/>
        <v/>
      </c>
      <c r="N42" s="26"/>
      <c r="O42" s="38"/>
      <c r="P42" s="38" t="str">
        <f t="shared" si="20"/>
        <v/>
      </c>
      <c r="Q42" s="38" t="str">
        <f t="shared" si="21"/>
        <v/>
      </c>
      <c r="R42" s="26"/>
      <c r="S42" s="26"/>
      <c r="T42" s="27"/>
      <c r="U42" s="27"/>
      <c r="V42" s="26"/>
      <c r="W42" s="26"/>
      <c r="X42" s="26"/>
      <c r="Y42" s="26"/>
      <c r="Z42" s="38"/>
      <c r="AA42" s="38" t="str">
        <f t="shared" si="22"/>
        <v/>
      </c>
      <c r="AB42" s="38" t="str">
        <f t="shared" si="23"/>
        <v/>
      </c>
      <c r="AC42" s="26"/>
      <c r="AD42" s="38"/>
      <c r="AE42" s="38" t="str">
        <f t="shared" si="24"/>
        <v/>
      </c>
      <c r="AF42" s="38" t="str">
        <f t="shared" si="25"/>
        <v/>
      </c>
      <c r="AG42" s="26"/>
      <c r="AH42" s="72" t="str">
        <f t="shared" ca="1" si="15"/>
        <v/>
      </c>
      <c r="AI42" s="72" t="str">
        <f ca="1">IF(A42="","",IF(OR(W42='02_マスタ'!$E$10,W42='02_マスタ'!$E$12),"",IF(V42="High","High",IF(AND(U42&lt;&gt;"",U42&lt;TODAY()),INDEX(_翻訳マスタ!$B$117:$D$247,MATCH("ALERT_OVERDUE",_翻訳マスタ!$A$117:$A$247,0),MATCH(言語切替!$B$3,_翻訳マスタ!$B$1:$D$1,0)),IF(AND(U42&lt;&gt;"",U42-TODAY()&lt;=7),INDEX(_翻訳マスタ!$B$117:$D$247,MATCH("ALERT_APPROACHING",_翻訳マスタ!$A$117:$A$247,0),MATCH(言語切替!$B$3,_翻訳マスタ!$B$1:$D$1,0)),IF(OR(W42='02_マスタ'!$E$7,W42='02_マスタ'!$E$8),INDEX(_翻訳マスタ!$B$117:$D$247,MATCH("ALERT_CHECK",_翻訳マスタ!$A$117:$A$247,0),MATCH(言語切替!$B$3,_翻訳マスタ!$B$1:$D$1,0)),""))))))</f>
        <v/>
      </c>
      <c r="AJ42" s="73"/>
    </row>
    <row r="43" spans="1:36" s="21" customFormat="1" x14ac:dyDescent="0.25">
      <c r="A43" s="83"/>
      <c r="B43" s="84"/>
      <c r="C43" s="84"/>
      <c r="D43" s="84"/>
      <c r="E43" s="84"/>
      <c r="F43" s="29"/>
      <c r="G43" s="39"/>
      <c r="H43" s="39" t="str">
        <f t="shared" si="16"/>
        <v/>
      </c>
      <c r="I43" s="39" t="str">
        <f t="shared" si="17"/>
        <v/>
      </c>
      <c r="J43" s="29"/>
      <c r="K43" s="39"/>
      <c r="L43" s="39" t="str">
        <f t="shared" si="18"/>
        <v/>
      </c>
      <c r="M43" s="39" t="str">
        <f t="shared" si="19"/>
        <v/>
      </c>
      <c r="N43" s="29"/>
      <c r="O43" s="39"/>
      <c r="P43" s="39" t="str">
        <f t="shared" si="20"/>
        <v/>
      </c>
      <c r="Q43" s="39" t="str">
        <f t="shared" si="21"/>
        <v/>
      </c>
      <c r="R43" s="29"/>
      <c r="S43" s="29"/>
      <c r="T43" s="30"/>
      <c r="U43" s="30"/>
      <c r="V43" s="29"/>
      <c r="W43" s="29"/>
      <c r="X43" s="29"/>
      <c r="Y43" s="29"/>
      <c r="Z43" s="39"/>
      <c r="AA43" s="39" t="str">
        <f t="shared" si="22"/>
        <v/>
      </c>
      <c r="AB43" s="39" t="str">
        <f t="shared" si="23"/>
        <v/>
      </c>
      <c r="AC43" s="29"/>
      <c r="AD43" s="39"/>
      <c r="AE43" s="39" t="str">
        <f t="shared" si="24"/>
        <v/>
      </c>
      <c r="AF43" s="39" t="str">
        <f t="shared" si="25"/>
        <v/>
      </c>
      <c r="AG43" s="29"/>
      <c r="AH43" s="74" t="str">
        <f t="shared" ca="1" si="15"/>
        <v/>
      </c>
      <c r="AI43" s="74" t="str">
        <f ca="1">IF(A43="","",IF(OR(W43='02_マスタ'!$E$10,W43='02_マスタ'!$E$12),"",IF(V43="High","High",IF(AND(U43&lt;&gt;"",U43&lt;TODAY()),INDEX(_翻訳マスタ!$B$117:$D$247,MATCH("ALERT_OVERDUE",_翻訳マスタ!$A$117:$A$247,0),MATCH(言語切替!$B$3,_翻訳マスタ!$B$1:$D$1,0)),IF(AND(U43&lt;&gt;"",U43-TODAY()&lt;=7),INDEX(_翻訳マスタ!$B$117:$D$247,MATCH("ALERT_APPROACHING",_翻訳マスタ!$A$117:$A$247,0),MATCH(言語切替!$B$3,_翻訳マスタ!$B$1:$D$1,0)),IF(OR(W43='02_マスタ'!$E$7,W43='02_マスタ'!$E$8),INDEX(_翻訳マスタ!$B$117:$D$247,MATCH("ALERT_CHECK",_翻訳マスタ!$A$117:$A$247,0),MATCH(言語切替!$B$3,_翻訳マスタ!$B$1:$D$1,0)),""))))))</f>
        <v/>
      </c>
      <c r="AJ43" s="75"/>
    </row>
    <row r="44" spans="1:36" s="21" customFormat="1" x14ac:dyDescent="0.25">
      <c r="A44" s="81"/>
      <c r="B44" s="82"/>
      <c r="C44" s="82"/>
      <c r="D44" s="82"/>
      <c r="E44" s="82"/>
      <c r="F44" s="26"/>
      <c r="G44" s="38"/>
      <c r="H44" s="38" t="str">
        <f t="shared" si="16"/>
        <v/>
      </c>
      <c r="I44" s="38" t="str">
        <f t="shared" si="17"/>
        <v/>
      </c>
      <c r="J44" s="26"/>
      <c r="K44" s="38"/>
      <c r="L44" s="38" t="str">
        <f t="shared" si="18"/>
        <v/>
      </c>
      <c r="M44" s="38" t="str">
        <f t="shared" si="19"/>
        <v/>
      </c>
      <c r="N44" s="26"/>
      <c r="O44" s="38"/>
      <c r="P44" s="38" t="str">
        <f t="shared" si="20"/>
        <v/>
      </c>
      <c r="Q44" s="38" t="str">
        <f t="shared" si="21"/>
        <v/>
      </c>
      <c r="R44" s="26"/>
      <c r="S44" s="26"/>
      <c r="T44" s="27"/>
      <c r="U44" s="27"/>
      <c r="V44" s="26"/>
      <c r="W44" s="26"/>
      <c r="X44" s="26"/>
      <c r="Y44" s="26"/>
      <c r="Z44" s="38"/>
      <c r="AA44" s="38" t="str">
        <f t="shared" si="22"/>
        <v/>
      </c>
      <c r="AB44" s="38" t="str">
        <f t="shared" si="23"/>
        <v/>
      </c>
      <c r="AC44" s="26"/>
      <c r="AD44" s="38"/>
      <c r="AE44" s="38" t="str">
        <f t="shared" si="24"/>
        <v/>
      </c>
      <c r="AF44" s="38" t="str">
        <f t="shared" si="25"/>
        <v/>
      </c>
      <c r="AG44" s="26"/>
      <c r="AH44" s="72" t="str">
        <f t="shared" ca="1" si="15"/>
        <v/>
      </c>
      <c r="AI44" s="72" t="str">
        <f ca="1">IF(A44="","",IF(OR(W44='02_マスタ'!$E$10,W44='02_マスタ'!$E$12),"",IF(V44="High","High",IF(AND(U44&lt;&gt;"",U44&lt;TODAY()),INDEX(_翻訳マスタ!$B$117:$D$247,MATCH("ALERT_OVERDUE",_翻訳マスタ!$A$117:$A$247,0),MATCH(言語切替!$B$3,_翻訳マスタ!$B$1:$D$1,0)),IF(AND(U44&lt;&gt;"",U44-TODAY()&lt;=7),INDEX(_翻訳マスタ!$B$117:$D$247,MATCH("ALERT_APPROACHING",_翻訳マスタ!$A$117:$A$247,0),MATCH(言語切替!$B$3,_翻訳マスタ!$B$1:$D$1,0)),IF(OR(W44='02_マスタ'!$E$7,W44='02_マスタ'!$E$8),INDEX(_翻訳マスタ!$B$117:$D$247,MATCH("ALERT_CHECK",_翻訳マスタ!$A$117:$A$247,0),MATCH(言語切替!$B$3,_翻訳マスタ!$B$1:$D$1,0)),""))))))</f>
        <v/>
      </c>
      <c r="AJ44" s="73"/>
    </row>
    <row r="45" spans="1:36" s="21" customFormat="1" x14ac:dyDescent="0.25">
      <c r="A45" s="83"/>
      <c r="B45" s="84"/>
      <c r="C45" s="84"/>
      <c r="D45" s="84"/>
      <c r="E45" s="84"/>
      <c r="F45" s="29"/>
      <c r="G45" s="39"/>
      <c r="H45" s="39" t="str">
        <f t="shared" si="16"/>
        <v/>
      </c>
      <c r="I45" s="39" t="str">
        <f t="shared" si="17"/>
        <v/>
      </c>
      <c r="J45" s="29"/>
      <c r="K45" s="39"/>
      <c r="L45" s="39" t="str">
        <f t="shared" si="18"/>
        <v/>
      </c>
      <c r="M45" s="39" t="str">
        <f t="shared" si="19"/>
        <v/>
      </c>
      <c r="N45" s="29"/>
      <c r="O45" s="39"/>
      <c r="P45" s="39" t="str">
        <f t="shared" si="20"/>
        <v/>
      </c>
      <c r="Q45" s="39" t="str">
        <f t="shared" si="21"/>
        <v/>
      </c>
      <c r="R45" s="29"/>
      <c r="S45" s="29"/>
      <c r="T45" s="30"/>
      <c r="U45" s="30"/>
      <c r="V45" s="29"/>
      <c r="W45" s="29"/>
      <c r="X45" s="29"/>
      <c r="Y45" s="29"/>
      <c r="Z45" s="39"/>
      <c r="AA45" s="39" t="str">
        <f t="shared" si="22"/>
        <v/>
      </c>
      <c r="AB45" s="39" t="str">
        <f t="shared" si="23"/>
        <v/>
      </c>
      <c r="AC45" s="29"/>
      <c r="AD45" s="39"/>
      <c r="AE45" s="39" t="str">
        <f t="shared" si="24"/>
        <v/>
      </c>
      <c r="AF45" s="39" t="str">
        <f t="shared" si="25"/>
        <v/>
      </c>
      <c r="AG45" s="29"/>
      <c r="AH45" s="74" t="str">
        <f t="shared" ca="1" si="15"/>
        <v/>
      </c>
      <c r="AI45" s="74" t="str">
        <f ca="1">IF(A45="","",IF(OR(W45='02_マスタ'!$E$10,W45='02_マスタ'!$E$12),"",IF(V45="High","High",IF(AND(U45&lt;&gt;"",U45&lt;TODAY()),INDEX(_翻訳マスタ!$B$117:$D$247,MATCH("ALERT_OVERDUE",_翻訳マスタ!$A$117:$A$247,0),MATCH(言語切替!$B$3,_翻訳マスタ!$B$1:$D$1,0)),IF(AND(U45&lt;&gt;"",U45-TODAY()&lt;=7),INDEX(_翻訳マスタ!$B$117:$D$247,MATCH("ALERT_APPROACHING",_翻訳マスタ!$A$117:$A$247,0),MATCH(言語切替!$B$3,_翻訳マスタ!$B$1:$D$1,0)),IF(OR(W45='02_マスタ'!$E$7,W45='02_マスタ'!$E$8),INDEX(_翻訳マスタ!$B$117:$D$247,MATCH("ALERT_CHECK",_翻訳マスタ!$A$117:$A$247,0),MATCH(言語切替!$B$3,_翻訳マスタ!$B$1:$D$1,0)),""))))))</f>
        <v/>
      </c>
      <c r="AJ45" s="75"/>
    </row>
    <row r="46" spans="1:36" s="21" customFormat="1" x14ac:dyDescent="0.25">
      <c r="A46" s="81"/>
      <c r="B46" s="82"/>
      <c r="C46" s="82"/>
      <c r="D46" s="82"/>
      <c r="E46" s="82"/>
      <c r="F46" s="26"/>
      <c r="G46" s="38"/>
      <c r="H46" s="38" t="str">
        <f t="shared" si="16"/>
        <v/>
      </c>
      <c r="I46" s="38" t="str">
        <f t="shared" si="17"/>
        <v/>
      </c>
      <c r="J46" s="26"/>
      <c r="K46" s="38"/>
      <c r="L46" s="38" t="str">
        <f t="shared" si="18"/>
        <v/>
      </c>
      <c r="M46" s="38" t="str">
        <f t="shared" si="19"/>
        <v/>
      </c>
      <c r="N46" s="26"/>
      <c r="O46" s="38"/>
      <c r="P46" s="38" t="str">
        <f t="shared" si="20"/>
        <v/>
      </c>
      <c r="Q46" s="38" t="str">
        <f t="shared" si="21"/>
        <v/>
      </c>
      <c r="R46" s="26"/>
      <c r="S46" s="26"/>
      <c r="T46" s="27"/>
      <c r="U46" s="27"/>
      <c r="V46" s="26"/>
      <c r="W46" s="26"/>
      <c r="X46" s="26"/>
      <c r="Y46" s="26"/>
      <c r="Z46" s="38"/>
      <c r="AA46" s="38" t="str">
        <f t="shared" si="22"/>
        <v/>
      </c>
      <c r="AB46" s="38" t="str">
        <f t="shared" si="23"/>
        <v/>
      </c>
      <c r="AC46" s="26"/>
      <c r="AD46" s="38"/>
      <c r="AE46" s="38" t="str">
        <f t="shared" si="24"/>
        <v/>
      </c>
      <c r="AF46" s="38" t="str">
        <f t="shared" si="25"/>
        <v/>
      </c>
      <c r="AG46" s="26"/>
      <c r="AH46" s="72" t="str">
        <f t="shared" ca="1" si="15"/>
        <v/>
      </c>
      <c r="AI46" s="72" t="str">
        <f ca="1">IF(A46="","",IF(OR(W46='02_マスタ'!$E$10,W46='02_マスタ'!$E$12),"",IF(V46="High","High",IF(AND(U46&lt;&gt;"",U46&lt;TODAY()),INDEX(_翻訳マスタ!$B$117:$D$247,MATCH("ALERT_OVERDUE",_翻訳マスタ!$A$117:$A$247,0),MATCH(言語切替!$B$3,_翻訳マスタ!$B$1:$D$1,0)),IF(AND(U46&lt;&gt;"",U46-TODAY()&lt;=7),INDEX(_翻訳マスタ!$B$117:$D$247,MATCH("ALERT_APPROACHING",_翻訳マスタ!$A$117:$A$247,0),MATCH(言語切替!$B$3,_翻訳マスタ!$B$1:$D$1,0)),IF(OR(W46='02_マスタ'!$E$7,W46='02_マスタ'!$E$8),INDEX(_翻訳マスタ!$B$117:$D$247,MATCH("ALERT_CHECK",_翻訳マスタ!$A$117:$A$247,0),MATCH(言語切替!$B$3,_翻訳マスタ!$B$1:$D$1,0)),""))))))</f>
        <v/>
      </c>
      <c r="AJ46" s="73"/>
    </row>
    <row r="47" spans="1:36" s="21" customFormat="1" x14ac:dyDescent="0.25">
      <c r="A47" s="83"/>
      <c r="B47" s="84"/>
      <c r="C47" s="84"/>
      <c r="D47" s="84"/>
      <c r="E47" s="84"/>
      <c r="F47" s="29"/>
      <c r="G47" s="39"/>
      <c r="H47" s="39" t="str">
        <f t="shared" si="16"/>
        <v/>
      </c>
      <c r="I47" s="39" t="str">
        <f t="shared" si="17"/>
        <v/>
      </c>
      <c r="J47" s="29"/>
      <c r="K47" s="39"/>
      <c r="L47" s="39" t="str">
        <f t="shared" si="18"/>
        <v/>
      </c>
      <c r="M47" s="39" t="str">
        <f t="shared" si="19"/>
        <v/>
      </c>
      <c r="N47" s="29"/>
      <c r="O47" s="39"/>
      <c r="P47" s="39" t="str">
        <f t="shared" si="20"/>
        <v/>
      </c>
      <c r="Q47" s="39" t="str">
        <f t="shared" si="21"/>
        <v/>
      </c>
      <c r="R47" s="29"/>
      <c r="S47" s="29"/>
      <c r="T47" s="30"/>
      <c r="U47" s="30"/>
      <c r="V47" s="29"/>
      <c r="W47" s="29"/>
      <c r="X47" s="29"/>
      <c r="Y47" s="29"/>
      <c r="Z47" s="39"/>
      <c r="AA47" s="39" t="str">
        <f t="shared" si="22"/>
        <v/>
      </c>
      <c r="AB47" s="39" t="str">
        <f t="shared" si="23"/>
        <v/>
      </c>
      <c r="AC47" s="29"/>
      <c r="AD47" s="39"/>
      <c r="AE47" s="39" t="str">
        <f t="shared" si="24"/>
        <v/>
      </c>
      <c r="AF47" s="39" t="str">
        <f t="shared" si="25"/>
        <v/>
      </c>
      <c r="AG47" s="29"/>
      <c r="AH47" s="74" t="str">
        <f t="shared" ca="1" si="15"/>
        <v/>
      </c>
      <c r="AI47" s="74" t="str">
        <f ca="1">IF(A47="","",IF(OR(W47='02_マスタ'!$E$10,W47='02_マスタ'!$E$12),"",IF(V47="High","High",IF(AND(U47&lt;&gt;"",U47&lt;TODAY()),INDEX(_翻訳マスタ!$B$117:$D$247,MATCH("ALERT_OVERDUE",_翻訳マスタ!$A$117:$A$247,0),MATCH(言語切替!$B$3,_翻訳マスタ!$B$1:$D$1,0)),IF(AND(U47&lt;&gt;"",U47-TODAY()&lt;=7),INDEX(_翻訳マスタ!$B$117:$D$247,MATCH("ALERT_APPROACHING",_翻訳マスタ!$A$117:$A$247,0),MATCH(言語切替!$B$3,_翻訳マスタ!$B$1:$D$1,0)),IF(OR(W47='02_マスタ'!$E$7,W47='02_マスタ'!$E$8),INDEX(_翻訳マスタ!$B$117:$D$247,MATCH("ALERT_CHECK",_翻訳マスタ!$A$117:$A$247,0),MATCH(言語切替!$B$3,_翻訳マスタ!$B$1:$D$1,0)),""))))))</f>
        <v/>
      </c>
      <c r="AJ47" s="75"/>
    </row>
    <row r="48" spans="1:36" s="21" customFormat="1" x14ac:dyDescent="0.25">
      <c r="A48" s="81"/>
      <c r="B48" s="82"/>
      <c r="C48" s="82"/>
      <c r="D48" s="82"/>
      <c r="E48" s="82"/>
      <c r="F48" s="26"/>
      <c r="G48" s="38"/>
      <c r="H48" s="38" t="str">
        <f t="shared" si="16"/>
        <v/>
      </c>
      <c r="I48" s="38" t="str">
        <f t="shared" si="17"/>
        <v/>
      </c>
      <c r="J48" s="26"/>
      <c r="K48" s="38"/>
      <c r="L48" s="38" t="str">
        <f t="shared" si="18"/>
        <v/>
      </c>
      <c r="M48" s="38" t="str">
        <f t="shared" si="19"/>
        <v/>
      </c>
      <c r="N48" s="26"/>
      <c r="O48" s="38"/>
      <c r="P48" s="38" t="str">
        <f t="shared" si="20"/>
        <v/>
      </c>
      <c r="Q48" s="38" t="str">
        <f t="shared" si="21"/>
        <v/>
      </c>
      <c r="R48" s="26"/>
      <c r="S48" s="26"/>
      <c r="T48" s="27"/>
      <c r="U48" s="27"/>
      <c r="V48" s="26"/>
      <c r="W48" s="26"/>
      <c r="X48" s="26"/>
      <c r="Y48" s="26"/>
      <c r="Z48" s="38"/>
      <c r="AA48" s="38" t="str">
        <f t="shared" si="22"/>
        <v/>
      </c>
      <c r="AB48" s="38" t="str">
        <f t="shared" si="23"/>
        <v/>
      </c>
      <c r="AC48" s="26"/>
      <c r="AD48" s="38"/>
      <c r="AE48" s="38" t="str">
        <f t="shared" si="24"/>
        <v/>
      </c>
      <c r="AF48" s="38" t="str">
        <f t="shared" si="25"/>
        <v/>
      </c>
      <c r="AG48" s="26"/>
      <c r="AH48" s="72" t="str">
        <f t="shared" ca="1" si="15"/>
        <v/>
      </c>
      <c r="AI48" s="72" t="str">
        <f ca="1">IF(A48="","",IF(OR(W48='02_マスタ'!$E$10,W48='02_マスタ'!$E$12),"",IF(V48="High","High",IF(AND(U48&lt;&gt;"",U48&lt;TODAY()),INDEX(_翻訳マスタ!$B$117:$D$247,MATCH("ALERT_OVERDUE",_翻訳マスタ!$A$117:$A$247,0),MATCH(言語切替!$B$3,_翻訳マスタ!$B$1:$D$1,0)),IF(AND(U48&lt;&gt;"",U48-TODAY()&lt;=7),INDEX(_翻訳マスタ!$B$117:$D$247,MATCH("ALERT_APPROACHING",_翻訳マスタ!$A$117:$A$247,0),MATCH(言語切替!$B$3,_翻訳マスタ!$B$1:$D$1,0)),IF(OR(W48='02_マスタ'!$E$7,W48='02_マスタ'!$E$8),INDEX(_翻訳マスタ!$B$117:$D$247,MATCH("ALERT_CHECK",_翻訳マスタ!$A$117:$A$247,0),MATCH(言語切替!$B$3,_翻訳マスタ!$B$1:$D$1,0)),""))))))</f>
        <v/>
      </c>
      <c r="AJ48" s="73"/>
    </row>
    <row r="49" spans="1:36" s="21" customFormat="1" x14ac:dyDescent="0.25">
      <c r="A49" s="83"/>
      <c r="B49" s="84"/>
      <c r="C49" s="84"/>
      <c r="D49" s="84"/>
      <c r="E49" s="84"/>
      <c r="F49" s="29"/>
      <c r="G49" s="39"/>
      <c r="H49" s="39" t="str">
        <f t="shared" si="16"/>
        <v/>
      </c>
      <c r="I49" s="39" t="str">
        <f t="shared" si="17"/>
        <v/>
      </c>
      <c r="J49" s="29"/>
      <c r="K49" s="39"/>
      <c r="L49" s="39" t="str">
        <f t="shared" si="18"/>
        <v/>
      </c>
      <c r="M49" s="39" t="str">
        <f t="shared" si="19"/>
        <v/>
      </c>
      <c r="N49" s="29"/>
      <c r="O49" s="39"/>
      <c r="P49" s="39" t="str">
        <f t="shared" si="20"/>
        <v/>
      </c>
      <c r="Q49" s="39" t="str">
        <f t="shared" si="21"/>
        <v/>
      </c>
      <c r="R49" s="29"/>
      <c r="S49" s="29"/>
      <c r="T49" s="30"/>
      <c r="U49" s="30"/>
      <c r="V49" s="29"/>
      <c r="W49" s="29"/>
      <c r="X49" s="29"/>
      <c r="Y49" s="29"/>
      <c r="Z49" s="39"/>
      <c r="AA49" s="39" t="str">
        <f t="shared" si="22"/>
        <v/>
      </c>
      <c r="AB49" s="39" t="str">
        <f t="shared" si="23"/>
        <v/>
      </c>
      <c r="AC49" s="29"/>
      <c r="AD49" s="39"/>
      <c r="AE49" s="39" t="str">
        <f t="shared" si="24"/>
        <v/>
      </c>
      <c r="AF49" s="39" t="str">
        <f t="shared" si="25"/>
        <v/>
      </c>
      <c r="AG49" s="29"/>
      <c r="AH49" s="74" t="str">
        <f t="shared" ca="1" si="15"/>
        <v/>
      </c>
      <c r="AI49" s="74" t="str">
        <f ca="1">IF(A49="","",IF(OR(W49='02_マスタ'!$E$10,W49='02_マスタ'!$E$12),"",IF(V49="High","High",IF(AND(U49&lt;&gt;"",U49&lt;TODAY()),INDEX(_翻訳マスタ!$B$117:$D$247,MATCH("ALERT_OVERDUE",_翻訳マスタ!$A$117:$A$247,0),MATCH(言語切替!$B$3,_翻訳マスタ!$B$1:$D$1,0)),IF(AND(U49&lt;&gt;"",U49-TODAY()&lt;=7),INDEX(_翻訳マスタ!$B$117:$D$247,MATCH("ALERT_APPROACHING",_翻訳マスタ!$A$117:$A$247,0),MATCH(言語切替!$B$3,_翻訳マスタ!$B$1:$D$1,0)),IF(OR(W49='02_マスタ'!$E$7,W49='02_マスタ'!$E$8),INDEX(_翻訳マスタ!$B$117:$D$247,MATCH("ALERT_CHECK",_翻訳マスタ!$A$117:$A$247,0),MATCH(言語切替!$B$3,_翻訳マスタ!$B$1:$D$1,0)),""))))))</f>
        <v/>
      </c>
      <c r="AJ49" s="75"/>
    </row>
    <row r="50" spans="1:36" s="21" customFormat="1" x14ac:dyDescent="0.25">
      <c r="A50" s="81"/>
      <c r="B50" s="82"/>
      <c r="C50" s="82"/>
      <c r="D50" s="82"/>
      <c r="E50" s="82"/>
      <c r="F50" s="26"/>
      <c r="G50" s="38"/>
      <c r="H50" s="38" t="str">
        <f t="shared" si="16"/>
        <v/>
      </c>
      <c r="I50" s="38" t="str">
        <f t="shared" si="17"/>
        <v/>
      </c>
      <c r="J50" s="26"/>
      <c r="K50" s="38"/>
      <c r="L50" s="38" t="str">
        <f t="shared" si="18"/>
        <v/>
      </c>
      <c r="M50" s="38" t="str">
        <f t="shared" si="19"/>
        <v/>
      </c>
      <c r="N50" s="26"/>
      <c r="O50" s="38"/>
      <c r="P50" s="38" t="str">
        <f t="shared" si="20"/>
        <v/>
      </c>
      <c r="Q50" s="38" t="str">
        <f t="shared" si="21"/>
        <v/>
      </c>
      <c r="R50" s="26"/>
      <c r="S50" s="26"/>
      <c r="T50" s="27"/>
      <c r="U50" s="27"/>
      <c r="V50" s="26"/>
      <c r="W50" s="26"/>
      <c r="X50" s="26"/>
      <c r="Y50" s="26"/>
      <c r="Z50" s="38"/>
      <c r="AA50" s="38" t="str">
        <f t="shared" si="22"/>
        <v/>
      </c>
      <c r="AB50" s="38" t="str">
        <f t="shared" si="23"/>
        <v/>
      </c>
      <c r="AC50" s="26"/>
      <c r="AD50" s="38"/>
      <c r="AE50" s="38" t="str">
        <f t="shared" si="24"/>
        <v/>
      </c>
      <c r="AF50" s="38" t="str">
        <f t="shared" si="25"/>
        <v/>
      </c>
      <c r="AG50" s="26"/>
      <c r="AH50" s="72" t="str">
        <f t="shared" ca="1" si="15"/>
        <v/>
      </c>
      <c r="AI50" s="72" t="str">
        <f ca="1">IF(A50="","",IF(OR(W50='02_マスタ'!$E$10,W50='02_マスタ'!$E$12),"",IF(V50="High","High",IF(AND(U50&lt;&gt;"",U50&lt;TODAY()),INDEX(_翻訳マスタ!$B$117:$D$247,MATCH("ALERT_OVERDUE",_翻訳マスタ!$A$117:$A$247,0),MATCH(言語切替!$B$3,_翻訳マスタ!$B$1:$D$1,0)),IF(AND(U50&lt;&gt;"",U50-TODAY()&lt;=7),INDEX(_翻訳マスタ!$B$117:$D$247,MATCH("ALERT_APPROACHING",_翻訳マスタ!$A$117:$A$247,0),MATCH(言語切替!$B$3,_翻訳マスタ!$B$1:$D$1,0)),IF(OR(W50='02_マスタ'!$E$7,W50='02_マスタ'!$E$8),INDEX(_翻訳マスタ!$B$117:$D$247,MATCH("ALERT_CHECK",_翻訳マスタ!$A$117:$A$247,0),MATCH(言語切替!$B$3,_翻訳マスタ!$B$1:$D$1,0)),""))))))</f>
        <v/>
      </c>
      <c r="AJ50" s="73"/>
    </row>
    <row r="51" spans="1:36" s="21" customFormat="1" x14ac:dyDescent="0.25">
      <c r="A51" s="83"/>
      <c r="B51" s="84"/>
      <c r="C51" s="84"/>
      <c r="D51" s="84"/>
      <c r="E51" s="84"/>
      <c r="F51" s="29"/>
      <c r="G51" s="39"/>
      <c r="H51" s="39" t="str">
        <f t="shared" si="16"/>
        <v/>
      </c>
      <c r="I51" s="39" t="str">
        <f t="shared" si="17"/>
        <v/>
      </c>
      <c r="J51" s="29"/>
      <c r="K51" s="39"/>
      <c r="L51" s="39" t="str">
        <f t="shared" si="18"/>
        <v/>
      </c>
      <c r="M51" s="39" t="str">
        <f t="shared" si="19"/>
        <v/>
      </c>
      <c r="N51" s="29"/>
      <c r="O51" s="39"/>
      <c r="P51" s="39" t="str">
        <f t="shared" si="20"/>
        <v/>
      </c>
      <c r="Q51" s="39" t="str">
        <f t="shared" si="21"/>
        <v/>
      </c>
      <c r="R51" s="29"/>
      <c r="S51" s="29"/>
      <c r="T51" s="30"/>
      <c r="U51" s="30"/>
      <c r="V51" s="29"/>
      <c r="W51" s="29"/>
      <c r="X51" s="29"/>
      <c r="Y51" s="29"/>
      <c r="Z51" s="39"/>
      <c r="AA51" s="39" t="str">
        <f t="shared" si="22"/>
        <v/>
      </c>
      <c r="AB51" s="39" t="str">
        <f t="shared" si="23"/>
        <v/>
      </c>
      <c r="AC51" s="29"/>
      <c r="AD51" s="39"/>
      <c r="AE51" s="39" t="str">
        <f t="shared" si="24"/>
        <v/>
      </c>
      <c r="AF51" s="39" t="str">
        <f t="shared" si="25"/>
        <v/>
      </c>
      <c r="AG51" s="29"/>
      <c r="AH51" s="74" t="str">
        <f t="shared" ca="1" si="15"/>
        <v/>
      </c>
      <c r="AI51" s="74" t="str">
        <f ca="1">IF(A51="","",IF(OR(W51='02_マスタ'!$E$10,W51='02_マスタ'!$E$12),"",IF(V51="High","High",IF(AND(U51&lt;&gt;"",U51&lt;TODAY()),INDEX(_翻訳マスタ!$B$117:$D$247,MATCH("ALERT_OVERDUE",_翻訳マスタ!$A$117:$A$247,0),MATCH(言語切替!$B$3,_翻訳マスタ!$B$1:$D$1,0)),IF(AND(U51&lt;&gt;"",U51-TODAY()&lt;=7),INDEX(_翻訳マスタ!$B$117:$D$247,MATCH("ALERT_APPROACHING",_翻訳マスタ!$A$117:$A$247,0),MATCH(言語切替!$B$3,_翻訳マスタ!$B$1:$D$1,0)),IF(OR(W51='02_マスタ'!$E$7,W51='02_マスタ'!$E$8),INDEX(_翻訳マスタ!$B$117:$D$247,MATCH("ALERT_CHECK",_翻訳マスタ!$A$117:$A$247,0),MATCH(言語切替!$B$3,_翻訳マスタ!$B$1:$D$1,0)),""))))))</f>
        <v/>
      </c>
      <c r="AJ51" s="75"/>
    </row>
    <row r="52" spans="1:36" s="21" customFormat="1" x14ac:dyDescent="0.25">
      <c r="A52" s="81"/>
      <c r="B52" s="82"/>
      <c r="C52" s="82"/>
      <c r="D52" s="82"/>
      <c r="E52" s="82"/>
      <c r="F52" s="26"/>
      <c r="G52" s="38"/>
      <c r="H52" s="38" t="str">
        <f t="shared" si="16"/>
        <v/>
      </c>
      <c r="I52" s="38" t="str">
        <f t="shared" si="17"/>
        <v/>
      </c>
      <c r="J52" s="26"/>
      <c r="K52" s="38"/>
      <c r="L52" s="38" t="str">
        <f t="shared" si="18"/>
        <v/>
      </c>
      <c r="M52" s="38" t="str">
        <f t="shared" si="19"/>
        <v/>
      </c>
      <c r="N52" s="26"/>
      <c r="O52" s="38"/>
      <c r="P52" s="38" t="str">
        <f t="shared" si="20"/>
        <v/>
      </c>
      <c r="Q52" s="38" t="str">
        <f t="shared" si="21"/>
        <v/>
      </c>
      <c r="R52" s="26"/>
      <c r="S52" s="26"/>
      <c r="T52" s="27"/>
      <c r="U52" s="27"/>
      <c r="V52" s="26"/>
      <c r="W52" s="26"/>
      <c r="X52" s="26"/>
      <c r="Y52" s="26"/>
      <c r="Z52" s="38"/>
      <c r="AA52" s="38" t="str">
        <f t="shared" si="22"/>
        <v/>
      </c>
      <c r="AB52" s="38" t="str">
        <f t="shared" si="23"/>
        <v/>
      </c>
      <c r="AC52" s="26"/>
      <c r="AD52" s="38"/>
      <c r="AE52" s="38" t="str">
        <f t="shared" si="24"/>
        <v/>
      </c>
      <c r="AF52" s="38" t="str">
        <f t="shared" si="25"/>
        <v/>
      </c>
      <c r="AG52" s="26"/>
      <c r="AH52" s="72" t="str">
        <f t="shared" ca="1" si="15"/>
        <v/>
      </c>
      <c r="AI52" s="72" t="str">
        <f ca="1">IF(A52="","",IF(OR(W52='02_マスタ'!$E$10,W52='02_マスタ'!$E$12),"",IF(V52="High","High",IF(AND(U52&lt;&gt;"",U52&lt;TODAY()),INDEX(_翻訳マスタ!$B$117:$D$247,MATCH("ALERT_OVERDUE",_翻訳マスタ!$A$117:$A$247,0),MATCH(言語切替!$B$3,_翻訳マスタ!$B$1:$D$1,0)),IF(AND(U52&lt;&gt;"",U52-TODAY()&lt;=7),INDEX(_翻訳マスタ!$B$117:$D$247,MATCH("ALERT_APPROACHING",_翻訳マスタ!$A$117:$A$247,0),MATCH(言語切替!$B$3,_翻訳マスタ!$B$1:$D$1,0)),IF(OR(W52='02_マスタ'!$E$7,W52='02_マスタ'!$E$8),INDEX(_翻訳マスタ!$B$117:$D$247,MATCH("ALERT_CHECK",_翻訳マスタ!$A$117:$A$247,0),MATCH(言語切替!$B$3,_翻訳マスタ!$B$1:$D$1,0)),""))))))</f>
        <v/>
      </c>
      <c r="AJ52" s="73"/>
    </row>
    <row r="53" spans="1:36" s="21" customFormat="1" x14ac:dyDescent="0.25">
      <c r="A53" s="83"/>
      <c r="B53" s="84"/>
      <c r="C53" s="84"/>
      <c r="D53" s="84"/>
      <c r="E53" s="84"/>
      <c r="F53" s="29"/>
      <c r="G53" s="39"/>
      <c r="H53" s="39" t="str">
        <f t="shared" si="16"/>
        <v/>
      </c>
      <c r="I53" s="39" t="str">
        <f t="shared" si="17"/>
        <v/>
      </c>
      <c r="J53" s="29"/>
      <c r="K53" s="39"/>
      <c r="L53" s="39" t="str">
        <f t="shared" si="18"/>
        <v/>
      </c>
      <c r="M53" s="39" t="str">
        <f t="shared" si="19"/>
        <v/>
      </c>
      <c r="N53" s="29"/>
      <c r="O53" s="39"/>
      <c r="P53" s="39" t="str">
        <f t="shared" si="20"/>
        <v/>
      </c>
      <c r="Q53" s="39" t="str">
        <f t="shared" si="21"/>
        <v/>
      </c>
      <c r="R53" s="29"/>
      <c r="S53" s="29"/>
      <c r="T53" s="30"/>
      <c r="U53" s="30"/>
      <c r="V53" s="29"/>
      <c r="W53" s="29"/>
      <c r="X53" s="29"/>
      <c r="Y53" s="29"/>
      <c r="Z53" s="39"/>
      <c r="AA53" s="39" t="str">
        <f t="shared" si="22"/>
        <v/>
      </c>
      <c r="AB53" s="39" t="str">
        <f t="shared" si="23"/>
        <v/>
      </c>
      <c r="AC53" s="29"/>
      <c r="AD53" s="39"/>
      <c r="AE53" s="39" t="str">
        <f t="shared" si="24"/>
        <v/>
      </c>
      <c r="AF53" s="39" t="str">
        <f t="shared" si="25"/>
        <v/>
      </c>
      <c r="AG53" s="29"/>
      <c r="AH53" s="74" t="str">
        <f t="shared" ca="1" si="15"/>
        <v/>
      </c>
      <c r="AI53" s="74" t="str">
        <f ca="1">IF(A53="","",IF(OR(W53='02_マスタ'!$E$10,W53='02_マスタ'!$E$12),"",IF(V53="High","High",IF(AND(U53&lt;&gt;"",U53&lt;TODAY()),INDEX(_翻訳マスタ!$B$117:$D$247,MATCH("ALERT_OVERDUE",_翻訳マスタ!$A$117:$A$247,0),MATCH(言語切替!$B$3,_翻訳マスタ!$B$1:$D$1,0)),IF(AND(U53&lt;&gt;"",U53-TODAY()&lt;=7),INDEX(_翻訳マスタ!$B$117:$D$247,MATCH("ALERT_APPROACHING",_翻訳マスタ!$A$117:$A$247,0),MATCH(言語切替!$B$3,_翻訳マスタ!$B$1:$D$1,0)),IF(OR(W53='02_マスタ'!$E$7,W53='02_マスタ'!$E$8),INDEX(_翻訳マスタ!$B$117:$D$247,MATCH("ALERT_CHECK",_翻訳マスタ!$A$117:$A$247,0),MATCH(言語切替!$B$3,_翻訳マスタ!$B$1:$D$1,0)),""))))))</f>
        <v/>
      </c>
      <c r="AJ53" s="75"/>
    </row>
    <row r="54" spans="1:36" s="21" customFormat="1" x14ac:dyDescent="0.25">
      <c r="A54" s="81"/>
      <c r="B54" s="82"/>
      <c r="C54" s="82"/>
      <c r="D54" s="82"/>
      <c r="E54" s="82"/>
      <c r="F54" s="26"/>
      <c r="G54" s="38"/>
      <c r="H54" s="38" t="str">
        <f t="shared" si="16"/>
        <v/>
      </c>
      <c r="I54" s="38" t="str">
        <f t="shared" si="17"/>
        <v/>
      </c>
      <c r="J54" s="26"/>
      <c r="K54" s="38"/>
      <c r="L54" s="38" t="str">
        <f t="shared" si="18"/>
        <v/>
      </c>
      <c r="M54" s="38" t="str">
        <f t="shared" si="19"/>
        <v/>
      </c>
      <c r="N54" s="26"/>
      <c r="O54" s="38"/>
      <c r="P54" s="38" t="str">
        <f t="shared" si="20"/>
        <v/>
      </c>
      <c r="Q54" s="38" t="str">
        <f t="shared" si="21"/>
        <v/>
      </c>
      <c r="R54" s="26"/>
      <c r="S54" s="26"/>
      <c r="T54" s="27"/>
      <c r="U54" s="27"/>
      <c r="V54" s="26"/>
      <c r="W54" s="26"/>
      <c r="X54" s="26"/>
      <c r="Y54" s="26"/>
      <c r="Z54" s="38"/>
      <c r="AA54" s="38" t="str">
        <f t="shared" si="22"/>
        <v/>
      </c>
      <c r="AB54" s="38" t="str">
        <f t="shared" si="23"/>
        <v/>
      </c>
      <c r="AC54" s="26"/>
      <c r="AD54" s="38"/>
      <c r="AE54" s="38" t="str">
        <f t="shared" si="24"/>
        <v/>
      </c>
      <c r="AF54" s="38" t="str">
        <f t="shared" si="25"/>
        <v/>
      </c>
      <c r="AG54" s="26"/>
      <c r="AH54" s="72" t="str">
        <f t="shared" ca="1" si="15"/>
        <v/>
      </c>
      <c r="AI54" s="72" t="str">
        <f ca="1">IF(A54="","",IF(OR(W54='02_マスタ'!$E$10,W54='02_マスタ'!$E$12),"",IF(V54="High","High",IF(AND(U54&lt;&gt;"",U54&lt;TODAY()),INDEX(_翻訳マスタ!$B$117:$D$247,MATCH("ALERT_OVERDUE",_翻訳マスタ!$A$117:$A$247,0),MATCH(言語切替!$B$3,_翻訳マスタ!$B$1:$D$1,0)),IF(AND(U54&lt;&gt;"",U54-TODAY()&lt;=7),INDEX(_翻訳マスタ!$B$117:$D$247,MATCH("ALERT_APPROACHING",_翻訳マスタ!$A$117:$A$247,0),MATCH(言語切替!$B$3,_翻訳マスタ!$B$1:$D$1,0)),IF(OR(W54='02_マスタ'!$E$7,W54='02_マスタ'!$E$8),INDEX(_翻訳マスタ!$B$117:$D$247,MATCH("ALERT_CHECK",_翻訳マスタ!$A$117:$A$247,0),MATCH(言語切替!$B$3,_翻訳マスタ!$B$1:$D$1,0)),""))))))</f>
        <v/>
      </c>
      <c r="AJ54" s="73"/>
    </row>
    <row r="55" spans="1:36" s="21" customFormat="1" x14ac:dyDescent="0.25">
      <c r="A55" s="83"/>
      <c r="B55" s="84"/>
      <c r="C55" s="84"/>
      <c r="D55" s="84"/>
      <c r="E55" s="84"/>
      <c r="F55" s="29"/>
      <c r="G55" s="39"/>
      <c r="H55" s="39" t="str">
        <f t="shared" si="16"/>
        <v/>
      </c>
      <c r="I55" s="39" t="str">
        <f t="shared" si="17"/>
        <v/>
      </c>
      <c r="J55" s="29"/>
      <c r="K55" s="39"/>
      <c r="L55" s="39" t="str">
        <f t="shared" si="18"/>
        <v/>
      </c>
      <c r="M55" s="39" t="str">
        <f t="shared" si="19"/>
        <v/>
      </c>
      <c r="N55" s="29"/>
      <c r="O55" s="39"/>
      <c r="P55" s="39" t="str">
        <f t="shared" si="20"/>
        <v/>
      </c>
      <c r="Q55" s="39" t="str">
        <f t="shared" si="21"/>
        <v/>
      </c>
      <c r="R55" s="29"/>
      <c r="S55" s="29"/>
      <c r="T55" s="30"/>
      <c r="U55" s="30"/>
      <c r="V55" s="29"/>
      <c r="W55" s="29"/>
      <c r="X55" s="29"/>
      <c r="Y55" s="29"/>
      <c r="Z55" s="39"/>
      <c r="AA55" s="39" t="str">
        <f t="shared" si="22"/>
        <v/>
      </c>
      <c r="AB55" s="39" t="str">
        <f t="shared" si="23"/>
        <v/>
      </c>
      <c r="AC55" s="29"/>
      <c r="AD55" s="39"/>
      <c r="AE55" s="39" t="str">
        <f t="shared" si="24"/>
        <v/>
      </c>
      <c r="AF55" s="39" t="str">
        <f t="shared" si="25"/>
        <v/>
      </c>
      <c r="AG55" s="29"/>
      <c r="AH55" s="74" t="str">
        <f t="shared" ca="1" si="15"/>
        <v/>
      </c>
      <c r="AI55" s="74" t="str">
        <f ca="1">IF(A55="","",IF(OR(W55='02_マスタ'!$E$10,W55='02_マスタ'!$E$12),"",IF(V55="High","High",IF(AND(U55&lt;&gt;"",U55&lt;TODAY()),INDEX(_翻訳マスタ!$B$117:$D$247,MATCH("ALERT_OVERDUE",_翻訳マスタ!$A$117:$A$247,0),MATCH(言語切替!$B$3,_翻訳マスタ!$B$1:$D$1,0)),IF(AND(U55&lt;&gt;"",U55-TODAY()&lt;=7),INDEX(_翻訳マスタ!$B$117:$D$247,MATCH("ALERT_APPROACHING",_翻訳マスタ!$A$117:$A$247,0),MATCH(言語切替!$B$3,_翻訳マスタ!$B$1:$D$1,0)),IF(OR(W55='02_マスタ'!$E$7,W55='02_マスタ'!$E$8),INDEX(_翻訳マスタ!$B$117:$D$247,MATCH("ALERT_CHECK",_翻訳マスタ!$A$117:$A$247,0),MATCH(言語切替!$B$3,_翻訳マスタ!$B$1:$D$1,0)),""))))))</f>
        <v/>
      </c>
      <c r="AJ55" s="75"/>
    </row>
    <row r="56" spans="1:36" s="21" customFormat="1" x14ac:dyDescent="0.25">
      <c r="A56" s="81"/>
      <c r="B56" s="82"/>
      <c r="C56" s="82"/>
      <c r="D56" s="82"/>
      <c r="E56" s="82"/>
      <c r="F56" s="26"/>
      <c r="G56" s="38"/>
      <c r="H56" s="38" t="str">
        <f t="shared" si="16"/>
        <v/>
      </c>
      <c r="I56" s="38" t="str">
        <f t="shared" si="17"/>
        <v/>
      </c>
      <c r="J56" s="26"/>
      <c r="K56" s="38"/>
      <c r="L56" s="38" t="str">
        <f t="shared" si="18"/>
        <v/>
      </c>
      <c r="M56" s="38" t="str">
        <f t="shared" si="19"/>
        <v/>
      </c>
      <c r="N56" s="26"/>
      <c r="O56" s="38"/>
      <c r="P56" s="38" t="str">
        <f t="shared" si="20"/>
        <v/>
      </c>
      <c r="Q56" s="38" t="str">
        <f t="shared" si="21"/>
        <v/>
      </c>
      <c r="R56" s="26"/>
      <c r="S56" s="26"/>
      <c r="T56" s="27"/>
      <c r="U56" s="27"/>
      <c r="V56" s="26"/>
      <c r="W56" s="26"/>
      <c r="X56" s="26"/>
      <c r="Y56" s="26"/>
      <c r="Z56" s="38"/>
      <c r="AA56" s="38" t="str">
        <f t="shared" si="22"/>
        <v/>
      </c>
      <c r="AB56" s="38" t="str">
        <f t="shared" si="23"/>
        <v/>
      </c>
      <c r="AC56" s="26"/>
      <c r="AD56" s="38"/>
      <c r="AE56" s="38" t="str">
        <f t="shared" si="24"/>
        <v/>
      </c>
      <c r="AF56" s="38" t="str">
        <f t="shared" si="25"/>
        <v/>
      </c>
      <c r="AG56" s="26"/>
      <c r="AH56" s="72" t="str">
        <f t="shared" ca="1" si="15"/>
        <v/>
      </c>
      <c r="AI56" s="72" t="str">
        <f ca="1">IF(A56="","",IF(OR(W56='02_マスタ'!$E$10,W56='02_マスタ'!$E$12),"",IF(V56="High","High",IF(AND(U56&lt;&gt;"",U56&lt;TODAY()),INDEX(_翻訳マスタ!$B$117:$D$247,MATCH("ALERT_OVERDUE",_翻訳マスタ!$A$117:$A$247,0),MATCH(言語切替!$B$3,_翻訳マスタ!$B$1:$D$1,0)),IF(AND(U56&lt;&gt;"",U56-TODAY()&lt;=7),INDEX(_翻訳マスタ!$B$117:$D$247,MATCH("ALERT_APPROACHING",_翻訳マスタ!$A$117:$A$247,0),MATCH(言語切替!$B$3,_翻訳マスタ!$B$1:$D$1,0)),IF(OR(W56='02_マスタ'!$E$7,W56='02_マスタ'!$E$8),INDEX(_翻訳マスタ!$B$117:$D$247,MATCH("ALERT_CHECK",_翻訳マスタ!$A$117:$A$247,0),MATCH(言語切替!$B$3,_翻訳マスタ!$B$1:$D$1,0)),""))))))</f>
        <v/>
      </c>
      <c r="AJ56" s="73"/>
    </row>
    <row r="57" spans="1:36" s="21" customFormat="1" x14ac:dyDescent="0.25">
      <c r="A57" s="83"/>
      <c r="B57" s="84"/>
      <c r="C57" s="84"/>
      <c r="D57" s="84"/>
      <c r="E57" s="84"/>
      <c r="F57" s="29"/>
      <c r="G57" s="39"/>
      <c r="H57" s="39" t="str">
        <f t="shared" si="16"/>
        <v/>
      </c>
      <c r="I57" s="39" t="str">
        <f t="shared" si="17"/>
        <v/>
      </c>
      <c r="J57" s="29"/>
      <c r="K57" s="39"/>
      <c r="L57" s="39" t="str">
        <f t="shared" si="18"/>
        <v/>
      </c>
      <c r="M57" s="39" t="str">
        <f t="shared" si="19"/>
        <v/>
      </c>
      <c r="N57" s="29"/>
      <c r="O57" s="39"/>
      <c r="P57" s="39" t="str">
        <f t="shared" si="20"/>
        <v/>
      </c>
      <c r="Q57" s="39" t="str">
        <f t="shared" si="21"/>
        <v/>
      </c>
      <c r="R57" s="29"/>
      <c r="S57" s="29"/>
      <c r="T57" s="30"/>
      <c r="U57" s="30"/>
      <c r="V57" s="29"/>
      <c r="W57" s="29"/>
      <c r="X57" s="29"/>
      <c r="Y57" s="29"/>
      <c r="Z57" s="39"/>
      <c r="AA57" s="39" t="str">
        <f t="shared" si="22"/>
        <v/>
      </c>
      <c r="AB57" s="39" t="str">
        <f t="shared" si="23"/>
        <v/>
      </c>
      <c r="AC57" s="29"/>
      <c r="AD57" s="39"/>
      <c r="AE57" s="39" t="str">
        <f t="shared" si="24"/>
        <v/>
      </c>
      <c r="AF57" s="39" t="str">
        <f t="shared" si="25"/>
        <v/>
      </c>
      <c r="AG57" s="29"/>
      <c r="AH57" s="74" t="str">
        <f t="shared" ca="1" si="15"/>
        <v/>
      </c>
      <c r="AI57" s="74" t="str">
        <f ca="1">IF(A57="","",IF(OR(W57='02_マスタ'!$E$10,W57='02_マスタ'!$E$12),"",IF(V57="High","High",IF(AND(U57&lt;&gt;"",U57&lt;TODAY()),INDEX(_翻訳マスタ!$B$117:$D$247,MATCH("ALERT_OVERDUE",_翻訳マスタ!$A$117:$A$247,0),MATCH(言語切替!$B$3,_翻訳マスタ!$B$1:$D$1,0)),IF(AND(U57&lt;&gt;"",U57-TODAY()&lt;=7),INDEX(_翻訳マスタ!$B$117:$D$247,MATCH("ALERT_APPROACHING",_翻訳マスタ!$A$117:$A$247,0),MATCH(言語切替!$B$3,_翻訳マスタ!$B$1:$D$1,0)),IF(OR(W57='02_マスタ'!$E$7,W57='02_マスタ'!$E$8),INDEX(_翻訳マスタ!$B$117:$D$247,MATCH("ALERT_CHECK",_翻訳マスタ!$A$117:$A$247,0),MATCH(言語切替!$B$3,_翻訳マスタ!$B$1:$D$1,0)),""))))))</f>
        <v/>
      </c>
      <c r="AJ57" s="75"/>
    </row>
    <row r="58" spans="1:36" s="21" customFormat="1" x14ac:dyDescent="0.25">
      <c r="A58" s="81"/>
      <c r="B58" s="82"/>
      <c r="C58" s="82"/>
      <c r="D58" s="82"/>
      <c r="E58" s="82"/>
      <c r="F58" s="26"/>
      <c r="G58" s="38"/>
      <c r="H58" s="38" t="str">
        <f t="shared" si="16"/>
        <v/>
      </c>
      <c r="I58" s="38" t="str">
        <f t="shared" si="17"/>
        <v/>
      </c>
      <c r="J58" s="26"/>
      <c r="K58" s="38"/>
      <c r="L58" s="38" t="str">
        <f t="shared" si="18"/>
        <v/>
      </c>
      <c r="M58" s="38" t="str">
        <f t="shared" si="19"/>
        <v/>
      </c>
      <c r="N58" s="26"/>
      <c r="O58" s="38"/>
      <c r="P58" s="38" t="str">
        <f t="shared" si="20"/>
        <v/>
      </c>
      <c r="Q58" s="38" t="str">
        <f t="shared" si="21"/>
        <v/>
      </c>
      <c r="R58" s="26"/>
      <c r="S58" s="26"/>
      <c r="T58" s="27"/>
      <c r="U58" s="27"/>
      <c r="V58" s="26"/>
      <c r="W58" s="26"/>
      <c r="X58" s="26"/>
      <c r="Y58" s="26"/>
      <c r="Z58" s="38"/>
      <c r="AA58" s="38" t="str">
        <f t="shared" si="22"/>
        <v/>
      </c>
      <c r="AB58" s="38" t="str">
        <f t="shared" si="23"/>
        <v/>
      </c>
      <c r="AC58" s="26"/>
      <c r="AD58" s="38"/>
      <c r="AE58" s="38" t="str">
        <f t="shared" si="24"/>
        <v/>
      </c>
      <c r="AF58" s="38" t="str">
        <f t="shared" si="25"/>
        <v/>
      </c>
      <c r="AG58" s="26"/>
      <c r="AH58" s="72" t="str">
        <f t="shared" ca="1" si="15"/>
        <v/>
      </c>
      <c r="AI58" s="72" t="str">
        <f ca="1">IF(A58="","",IF(OR(W58='02_マスタ'!$E$10,W58='02_マスタ'!$E$12),"",IF(V58="High","High",IF(AND(U58&lt;&gt;"",U58&lt;TODAY()),INDEX(_翻訳マスタ!$B$117:$D$247,MATCH("ALERT_OVERDUE",_翻訳マスタ!$A$117:$A$247,0),MATCH(言語切替!$B$3,_翻訳マスタ!$B$1:$D$1,0)),IF(AND(U58&lt;&gt;"",U58-TODAY()&lt;=7),INDEX(_翻訳マスタ!$B$117:$D$247,MATCH("ALERT_APPROACHING",_翻訳マスタ!$A$117:$A$247,0),MATCH(言語切替!$B$3,_翻訳マスタ!$B$1:$D$1,0)),IF(OR(W58='02_マスタ'!$E$7,W58='02_マスタ'!$E$8),INDEX(_翻訳マスタ!$B$117:$D$247,MATCH("ALERT_CHECK",_翻訳マスタ!$A$117:$A$247,0),MATCH(言語切替!$B$3,_翻訳マスタ!$B$1:$D$1,0)),""))))))</f>
        <v/>
      </c>
      <c r="AJ58" s="73"/>
    </row>
    <row r="59" spans="1:36" s="21" customFormat="1" x14ac:dyDescent="0.25">
      <c r="A59" s="83"/>
      <c r="B59" s="84"/>
      <c r="C59" s="84"/>
      <c r="D59" s="84"/>
      <c r="E59" s="84"/>
      <c r="F59" s="29"/>
      <c r="G59" s="39"/>
      <c r="H59" s="39" t="str">
        <f t="shared" si="16"/>
        <v/>
      </c>
      <c r="I59" s="39" t="str">
        <f t="shared" si="17"/>
        <v/>
      </c>
      <c r="J59" s="29"/>
      <c r="K59" s="39"/>
      <c r="L59" s="39" t="str">
        <f t="shared" si="18"/>
        <v/>
      </c>
      <c r="M59" s="39" t="str">
        <f t="shared" si="19"/>
        <v/>
      </c>
      <c r="N59" s="29"/>
      <c r="O59" s="39"/>
      <c r="P59" s="39" t="str">
        <f t="shared" si="20"/>
        <v/>
      </c>
      <c r="Q59" s="39" t="str">
        <f t="shared" si="21"/>
        <v/>
      </c>
      <c r="R59" s="29"/>
      <c r="S59" s="29"/>
      <c r="T59" s="30"/>
      <c r="U59" s="30"/>
      <c r="V59" s="29"/>
      <c r="W59" s="29"/>
      <c r="X59" s="29"/>
      <c r="Y59" s="29"/>
      <c r="Z59" s="39"/>
      <c r="AA59" s="39" t="str">
        <f t="shared" si="22"/>
        <v/>
      </c>
      <c r="AB59" s="39" t="str">
        <f t="shared" si="23"/>
        <v/>
      </c>
      <c r="AC59" s="29"/>
      <c r="AD59" s="39"/>
      <c r="AE59" s="39" t="str">
        <f t="shared" si="24"/>
        <v/>
      </c>
      <c r="AF59" s="39" t="str">
        <f t="shared" si="25"/>
        <v/>
      </c>
      <c r="AG59" s="29"/>
      <c r="AH59" s="74" t="str">
        <f t="shared" ca="1" si="15"/>
        <v/>
      </c>
      <c r="AI59" s="74" t="str">
        <f ca="1">IF(A59="","",IF(OR(W59='02_マスタ'!$E$10,W59='02_マスタ'!$E$12),"",IF(V59="High","High",IF(AND(U59&lt;&gt;"",U59&lt;TODAY()),INDEX(_翻訳マスタ!$B$117:$D$247,MATCH("ALERT_OVERDUE",_翻訳マスタ!$A$117:$A$247,0),MATCH(言語切替!$B$3,_翻訳マスタ!$B$1:$D$1,0)),IF(AND(U59&lt;&gt;"",U59-TODAY()&lt;=7),INDEX(_翻訳マスタ!$B$117:$D$247,MATCH("ALERT_APPROACHING",_翻訳マスタ!$A$117:$A$247,0),MATCH(言語切替!$B$3,_翻訳マスタ!$B$1:$D$1,0)),IF(OR(W59='02_マスタ'!$E$7,W59='02_マスタ'!$E$8),INDEX(_翻訳マスタ!$B$117:$D$247,MATCH("ALERT_CHECK",_翻訳マスタ!$A$117:$A$247,0),MATCH(言語切替!$B$3,_翻訳マスタ!$B$1:$D$1,0)),""))))))</f>
        <v/>
      </c>
      <c r="AJ59" s="75"/>
    </row>
    <row r="60" spans="1:36" s="21" customFormat="1" x14ac:dyDescent="0.25">
      <c r="A60" s="81"/>
      <c r="B60" s="82"/>
      <c r="C60" s="82"/>
      <c r="D60" s="82"/>
      <c r="E60" s="82"/>
      <c r="F60" s="26"/>
      <c r="G60" s="38"/>
      <c r="H60" s="38" t="str">
        <f t="shared" si="16"/>
        <v/>
      </c>
      <c r="I60" s="38" t="str">
        <f t="shared" si="17"/>
        <v/>
      </c>
      <c r="J60" s="26"/>
      <c r="K60" s="38"/>
      <c r="L60" s="38" t="str">
        <f t="shared" si="18"/>
        <v/>
      </c>
      <c r="M60" s="38" t="str">
        <f t="shared" si="19"/>
        <v/>
      </c>
      <c r="N60" s="26"/>
      <c r="O60" s="38"/>
      <c r="P60" s="38" t="str">
        <f t="shared" si="20"/>
        <v/>
      </c>
      <c r="Q60" s="38" t="str">
        <f t="shared" si="21"/>
        <v/>
      </c>
      <c r="R60" s="26"/>
      <c r="S60" s="26"/>
      <c r="T60" s="27"/>
      <c r="U60" s="27"/>
      <c r="V60" s="26"/>
      <c r="W60" s="26"/>
      <c r="X60" s="26"/>
      <c r="Y60" s="26"/>
      <c r="Z60" s="38"/>
      <c r="AA60" s="38" t="str">
        <f t="shared" si="22"/>
        <v/>
      </c>
      <c r="AB60" s="38" t="str">
        <f t="shared" si="23"/>
        <v/>
      </c>
      <c r="AC60" s="26"/>
      <c r="AD60" s="38"/>
      <c r="AE60" s="38" t="str">
        <f t="shared" si="24"/>
        <v/>
      </c>
      <c r="AF60" s="38" t="str">
        <f t="shared" si="25"/>
        <v/>
      </c>
      <c r="AG60" s="26"/>
      <c r="AH60" s="72" t="str">
        <f t="shared" ca="1" si="15"/>
        <v/>
      </c>
      <c r="AI60" s="72" t="str">
        <f ca="1">IF(A60="","",IF(OR(W60='02_マスタ'!$E$10,W60='02_マスタ'!$E$12),"",IF(V60="High","High",IF(AND(U60&lt;&gt;"",U60&lt;TODAY()),INDEX(_翻訳マスタ!$B$117:$D$247,MATCH("ALERT_OVERDUE",_翻訳マスタ!$A$117:$A$247,0),MATCH(言語切替!$B$3,_翻訳マスタ!$B$1:$D$1,0)),IF(AND(U60&lt;&gt;"",U60-TODAY()&lt;=7),INDEX(_翻訳マスタ!$B$117:$D$247,MATCH("ALERT_APPROACHING",_翻訳マスタ!$A$117:$A$247,0),MATCH(言語切替!$B$3,_翻訳マスタ!$B$1:$D$1,0)),IF(OR(W60='02_マスタ'!$E$7,W60='02_マスタ'!$E$8),INDEX(_翻訳マスタ!$B$117:$D$247,MATCH("ALERT_CHECK",_翻訳マスタ!$A$117:$A$247,0),MATCH(言語切替!$B$3,_翻訳マスタ!$B$1:$D$1,0)),""))))))</f>
        <v/>
      </c>
      <c r="AJ60" s="73"/>
    </row>
    <row r="61" spans="1:36" s="21" customFormat="1" x14ac:dyDescent="0.25">
      <c r="A61" s="83"/>
      <c r="B61" s="84"/>
      <c r="C61" s="84"/>
      <c r="D61" s="84"/>
      <c r="E61" s="84"/>
      <c r="F61" s="29"/>
      <c r="G61" s="39"/>
      <c r="H61" s="39" t="str">
        <f t="shared" si="16"/>
        <v/>
      </c>
      <c r="I61" s="39" t="str">
        <f t="shared" si="17"/>
        <v/>
      </c>
      <c r="J61" s="29"/>
      <c r="K61" s="39"/>
      <c r="L61" s="39" t="str">
        <f t="shared" si="18"/>
        <v/>
      </c>
      <c r="M61" s="39" t="str">
        <f t="shared" si="19"/>
        <v/>
      </c>
      <c r="N61" s="29"/>
      <c r="O61" s="39"/>
      <c r="P61" s="39" t="str">
        <f t="shared" si="20"/>
        <v/>
      </c>
      <c r="Q61" s="39" t="str">
        <f t="shared" si="21"/>
        <v/>
      </c>
      <c r="R61" s="29"/>
      <c r="S61" s="29"/>
      <c r="T61" s="30"/>
      <c r="U61" s="30"/>
      <c r="V61" s="29"/>
      <c r="W61" s="29"/>
      <c r="X61" s="29"/>
      <c r="Y61" s="29"/>
      <c r="Z61" s="39"/>
      <c r="AA61" s="39" t="str">
        <f t="shared" si="22"/>
        <v/>
      </c>
      <c r="AB61" s="39" t="str">
        <f t="shared" si="23"/>
        <v/>
      </c>
      <c r="AC61" s="29"/>
      <c r="AD61" s="39"/>
      <c r="AE61" s="39" t="str">
        <f t="shared" si="24"/>
        <v/>
      </c>
      <c r="AF61" s="39" t="str">
        <f t="shared" si="25"/>
        <v/>
      </c>
      <c r="AG61" s="29"/>
      <c r="AH61" s="74" t="str">
        <f t="shared" ca="1" si="15"/>
        <v/>
      </c>
      <c r="AI61" s="74" t="str">
        <f ca="1">IF(A61="","",IF(OR(W61='02_マスタ'!$E$10,W61='02_マスタ'!$E$12),"",IF(V61="High","High",IF(AND(U61&lt;&gt;"",U61&lt;TODAY()),INDEX(_翻訳マスタ!$B$117:$D$247,MATCH("ALERT_OVERDUE",_翻訳マスタ!$A$117:$A$247,0),MATCH(言語切替!$B$3,_翻訳マスタ!$B$1:$D$1,0)),IF(AND(U61&lt;&gt;"",U61-TODAY()&lt;=7),INDEX(_翻訳マスタ!$B$117:$D$247,MATCH("ALERT_APPROACHING",_翻訳マスタ!$A$117:$A$247,0),MATCH(言語切替!$B$3,_翻訳マスタ!$B$1:$D$1,0)),IF(OR(W61='02_マスタ'!$E$7,W61='02_マスタ'!$E$8),INDEX(_翻訳マスタ!$B$117:$D$247,MATCH("ALERT_CHECK",_翻訳マスタ!$A$117:$A$247,0),MATCH(言語切替!$B$3,_翻訳マスタ!$B$1:$D$1,0)),""))))))</f>
        <v/>
      </c>
      <c r="AJ61" s="75"/>
    </row>
    <row r="62" spans="1:36" s="21" customFormat="1" x14ac:dyDescent="0.25">
      <c r="A62" s="81"/>
      <c r="B62" s="82"/>
      <c r="C62" s="82"/>
      <c r="D62" s="82"/>
      <c r="E62" s="82"/>
      <c r="F62" s="26"/>
      <c r="G62" s="38"/>
      <c r="H62" s="38" t="str">
        <f t="shared" si="16"/>
        <v/>
      </c>
      <c r="I62" s="38" t="str">
        <f t="shared" si="17"/>
        <v/>
      </c>
      <c r="J62" s="26"/>
      <c r="K62" s="38"/>
      <c r="L62" s="38" t="str">
        <f t="shared" si="18"/>
        <v/>
      </c>
      <c r="M62" s="38" t="str">
        <f t="shared" si="19"/>
        <v/>
      </c>
      <c r="N62" s="26"/>
      <c r="O62" s="38"/>
      <c r="P62" s="38" t="str">
        <f t="shared" si="20"/>
        <v/>
      </c>
      <c r="Q62" s="38" t="str">
        <f t="shared" si="21"/>
        <v/>
      </c>
      <c r="R62" s="26"/>
      <c r="S62" s="26"/>
      <c r="T62" s="27"/>
      <c r="U62" s="27"/>
      <c r="V62" s="26"/>
      <c r="W62" s="26"/>
      <c r="X62" s="26"/>
      <c r="Y62" s="26"/>
      <c r="Z62" s="38"/>
      <c r="AA62" s="38" t="str">
        <f t="shared" si="22"/>
        <v/>
      </c>
      <c r="AB62" s="38" t="str">
        <f t="shared" si="23"/>
        <v/>
      </c>
      <c r="AC62" s="26"/>
      <c r="AD62" s="38"/>
      <c r="AE62" s="38" t="str">
        <f t="shared" si="24"/>
        <v/>
      </c>
      <c r="AF62" s="38" t="str">
        <f t="shared" si="25"/>
        <v/>
      </c>
      <c r="AG62" s="26"/>
      <c r="AH62" s="72" t="str">
        <f t="shared" ca="1" si="15"/>
        <v/>
      </c>
      <c r="AI62" s="72" t="str">
        <f ca="1">IF(A62="","",IF(OR(W62='02_マスタ'!$E$10,W62='02_マスタ'!$E$12),"",IF(V62="High","High",IF(AND(U62&lt;&gt;"",U62&lt;TODAY()),INDEX(_翻訳マスタ!$B$117:$D$247,MATCH("ALERT_OVERDUE",_翻訳マスタ!$A$117:$A$247,0),MATCH(言語切替!$B$3,_翻訳マスタ!$B$1:$D$1,0)),IF(AND(U62&lt;&gt;"",U62-TODAY()&lt;=7),INDEX(_翻訳マスタ!$B$117:$D$247,MATCH("ALERT_APPROACHING",_翻訳マスタ!$A$117:$A$247,0),MATCH(言語切替!$B$3,_翻訳マスタ!$B$1:$D$1,0)),IF(OR(W62='02_マスタ'!$E$7,W62='02_マスタ'!$E$8),INDEX(_翻訳マスタ!$B$117:$D$247,MATCH("ALERT_CHECK",_翻訳マスタ!$A$117:$A$247,0),MATCH(言語切替!$B$3,_翻訳マスタ!$B$1:$D$1,0)),""))))))</f>
        <v/>
      </c>
      <c r="AJ62" s="73"/>
    </row>
    <row r="63" spans="1:36" s="21" customFormat="1" x14ac:dyDescent="0.25">
      <c r="A63" s="83"/>
      <c r="B63" s="84"/>
      <c r="C63" s="84"/>
      <c r="D63" s="84"/>
      <c r="E63" s="84"/>
      <c r="F63" s="29"/>
      <c r="G63" s="39"/>
      <c r="H63" s="39" t="str">
        <f t="shared" si="16"/>
        <v/>
      </c>
      <c r="I63" s="39" t="str">
        <f t="shared" si="17"/>
        <v/>
      </c>
      <c r="J63" s="29"/>
      <c r="K63" s="39"/>
      <c r="L63" s="39" t="str">
        <f t="shared" si="18"/>
        <v/>
      </c>
      <c r="M63" s="39" t="str">
        <f t="shared" si="19"/>
        <v/>
      </c>
      <c r="N63" s="29"/>
      <c r="O63" s="39"/>
      <c r="P63" s="39" t="str">
        <f t="shared" si="20"/>
        <v/>
      </c>
      <c r="Q63" s="39" t="str">
        <f t="shared" si="21"/>
        <v/>
      </c>
      <c r="R63" s="29"/>
      <c r="S63" s="29"/>
      <c r="T63" s="30"/>
      <c r="U63" s="30"/>
      <c r="V63" s="29"/>
      <c r="W63" s="29"/>
      <c r="X63" s="29"/>
      <c r="Y63" s="29"/>
      <c r="Z63" s="39"/>
      <c r="AA63" s="39" t="str">
        <f t="shared" si="22"/>
        <v/>
      </c>
      <c r="AB63" s="39" t="str">
        <f t="shared" si="23"/>
        <v/>
      </c>
      <c r="AC63" s="29"/>
      <c r="AD63" s="39"/>
      <c r="AE63" s="39" t="str">
        <f t="shared" si="24"/>
        <v/>
      </c>
      <c r="AF63" s="39" t="str">
        <f t="shared" si="25"/>
        <v/>
      </c>
      <c r="AG63" s="29"/>
      <c r="AH63" s="74" t="str">
        <f t="shared" ca="1" si="15"/>
        <v/>
      </c>
      <c r="AI63" s="74" t="str">
        <f ca="1">IF(A63="","",IF(OR(W63='02_マスタ'!$E$10,W63='02_マスタ'!$E$12),"",IF(V63="High","High",IF(AND(U63&lt;&gt;"",U63&lt;TODAY()),INDEX(_翻訳マスタ!$B$117:$D$247,MATCH("ALERT_OVERDUE",_翻訳マスタ!$A$117:$A$247,0),MATCH(言語切替!$B$3,_翻訳マスタ!$B$1:$D$1,0)),IF(AND(U63&lt;&gt;"",U63-TODAY()&lt;=7),INDEX(_翻訳マスタ!$B$117:$D$247,MATCH("ALERT_APPROACHING",_翻訳マスタ!$A$117:$A$247,0),MATCH(言語切替!$B$3,_翻訳マスタ!$B$1:$D$1,0)),IF(OR(W63='02_マスタ'!$E$7,W63='02_マスタ'!$E$8),INDEX(_翻訳マスタ!$B$117:$D$247,MATCH("ALERT_CHECK",_翻訳マスタ!$A$117:$A$247,0),MATCH(言語切替!$B$3,_翻訳マスタ!$B$1:$D$1,0)),""))))))</f>
        <v/>
      </c>
      <c r="AJ63" s="75"/>
    </row>
    <row r="64" spans="1:36" s="21" customFormat="1" x14ac:dyDescent="0.25">
      <c r="A64" s="81"/>
      <c r="B64" s="82"/>
      <c r="C64" s="82"/>
      <c r="D64" s="82"/>
      <c r="E64" s="82"/>
      <c r="F64" s="26"/>
      <c r="G64" s="38"/>
      <c r="H64" s="38" t="str">
        <f t="shared" si="16"/>
        <v/>
      </c>
      <c r="I64" s="38" t="str">
        <f t="shared" si="17"/>
        <v/>
      </c>
      <c r="J64" s="26"/>
      <c r="K64" s="38"/>
      <c r="L64" s="38" t="str">
        <f t="shared" si="18"/>
        <v/>
      </c>
      <c r="M64" s="38" t="str">
        <f t="shared" si="19"/>
        <v/>
      </c>
      <c r="N64" s="26"/>
      <c r="O64" s="38"/>
      <c r="P64" s="38" t="str">
        <f t="shared" si="20"/>
        <v/>
      </c>
      <c r="Q64" s="38" t="str">
        <f t="shared" si="21"/>
        <v/>
      </c>
      <c r="R64" s="26"/>
      <c r="S64" s="26"/>
      <c r="T64" s="27"/>
      <c r="U64" s="27"/>
      <c r="V64" s="26"/>
      <c r="W64" s="26"/>
      <c r="X64" s="26"/>
      <c r="Y64" s="26"/>
      <c r="Z64" s="38"/>
      <c r="AA64" s="38" t="str">
        <f t="shared" si="22"/>
        <v/>
      </c>
      <c r="AB64" s="38" t="str">
        <f t="shared" si="23"/>
        <v/>
      </c>
      <c r="AC64" s="26"/>
      <c r="AD64" s="38"/>
      <c r="AE64" s="38" t="str">
        <f t="shared" si="24"/>
        <v/>
      </c>
      <c r="AF64" s="38" t="str">
        <f t="shared" si="25"/>
        <v/>
      </c>
      <c r="AG64" s="26"/>
      <c r="AH64" s="72" t="str">
        <f t="shared" ca="1" si="15"/>
        <v/>
      </c>
      <c r="AI64" s="72" t="str">
        <f ca="1">IF(A64="","",IF(OR(W64='02_マスタ'!$E$10,W64='02_マスタ'!$E$12),"",IF(V64="High","High",IF(AND(U64&lt;&gt;"",U64&lt;TODAY()),INDEX(_翻訳マスタ!$B$117:$D$247,MATCH("ALERT_OVERDUE",_翻訳マスタ!$A$117:$A$247,0),MATCH(言語切替!$B$3,_翻訳マスタ!$B$1:$D$1,0)),IF(AND(U64&lt;&gt;"",U64-TODAY()&lt;=7),INDEX(_翻訳マスタ!$B$117:$D$247,MATCH("ALERT_APPROACHING",_翻訳マスタ!$A$117:$A$247,0),MATCH(言語切替!$B$3,_翻訳マスタ!$B$1:$D$1,0)),IF(OR(W64='02_マスタ'!$E$7,W64='02_マスタ'!$E$8),INDEX(_翻訳マスタ!$B$117:$D$247,MATCH("ALERT_CHECK",_翻訳マスタ!$A$117:$A$247,0),MATCH(言語切替!$B$3,_翻訳マスタ!$B$1:$D$1,0)),""))))))</f>
        <v/>
      </c>
      <c r="AJ64" s="73"/>
    </row>
    <row r="65" spans="1:36" s="21" customFormat="1" x14ac:dyDescent="0.25">
      <c r="A65" s="83"/>
      <c r="B65" s="84"/>
      <c r="C65" s="84"/>
      <c r="D65" s="84"/>
      <c r="E65" s="84"/>
      <c r="F65" s="29"/>
      <c r="G65" s="39"/>
      <c r="H65" s="39" t="str">
        <f t="shared" si="16"/>
        <v/>
      </c>
      <c r="I65" s="39" t="str">
        <f t="shared" si="17"/>
        <v/>
      </c>
      <c r="J65" s="29"/>
      <c r="K65" s="39"/>
      <c r="L65" s="39" t="str">
        <f t="shared" si="18"/>
        <v/>
      </c>
      <c r="M65" s="39" t="str">
        <f t="shared" si="19"/>
        <v/>
      </c>
      <c r="N65" s="29"/>
      <c r="O65" s="39"/>
      <c r="P65" s="39" t="str">
        <f t="shared" si="20"/>
        <v/>
      </c>
      <c r="Q65" s="39" t="str">
        <f t="shared" si="21"/>
        <v/>
      </c>
      <c r="R65" s="29"/>
      <c r="S65" s="29"/>
      <c r="T65" s="30"/>
      <c r="U65" s="30"/>
      <c r="V65" s="29"/>
      <c r="W65" s="29"/>
      <c r="X65" s="29"/>
      <c r="Y65" s="29"/>
      <c r="Z65" s="39"/>
      <c r="AA65" s="39" t="str">
        <f t="shared" si="22"/>
        <v/>
      </c>
      <c r="AB65" s="39" t="str">
        <f t="shared" si="23"/>
        <v/>
      </c>
      <c r="AC65" s="29"/>
      <c r="AD65" s="39"/>
      <c r="AE65" s="39" t="str">
        <f t="shared" si="24"/>
        <v/>
      </c>
      <c r="AF65" s="39" t="str">
        <f t="shared" si="25"/>
        <v/>
      </c>
      <c r="AG65" s="29"/>
      <c r="AH65" s="74" t="str">
        <f t="shared" ca="1" si="15"/>
        <v/>
      </c>
      <c r="AI65" s="74" t="str">
        <f ca="1">IF(A65="","",IF(OR(W65='02_マスタ'!$E$10,W65='02_マスタ'!$E$12),"",IF(V65="High","High",IF(AND(U65&lt;&gt;"",U65&lt;TODAY()),INDEX(_翻訳マスタ!$B$117:$D$247,MATCH("ALERT_OVERDUE",_翻訳マスタ!$A$117:$A$247,0),MATCH(言語切替!$B$3,_翻訳マスタ!$B$1:$D$1,0)),IF(AND(U65&lt;&gt;"",U65-TODAY()&lt;=7),INDEX(_翻訳マスタ!$B$117:$D$247,MATCH("ALERT_APPROACHING",_翻訳マスタ!$A$117:$A$247,0),MATCH(言語切替!$B$3,_翻訳マスタ!$B$1:$D$1,0)),IF(OR(W65='02_マスタ'!$E$7,W65='02_マスタ'!$E$8),INDEX(_翻訳マスタ!$B$117:$D$247,MATCH("ALERT_CHECK",_翻訳マスタ!$A$117:$A$247,0),MATCH(言語切替!$B$3,_翻訳マスタ!$B$1:$D$1,0)),""))))))</f>
        <v/>
      </c>
      <c r="AJ65" s="75"/>
    </row>
    <row r="66" spans="1:36" s="21" customFormat="1" x14ac:dyDescent="0.25">
      <c r="A66" s="81"/>
      <c r="B66" s="82"/>
      <c r="C66" s="82"/>
      <c r="D66" s="82"/>
      <c r="E66" s="82"/>
      <c r="F66" s="26"/>
      <c r="G66" s="38"/>
      <c r="H66" s="38" t="str">
        <f t="shared" si="16"/>
        <v/>
      </c>
      <c r="I66" s="38" t="str">
        <f t="shared" si="17"/>
        <v/>
      </c>
      <c r="J66" s="26"/>
      <c r="K66" s="38"/>
      <c r="L66" s="38" t="str">
        <f t="shared" si="18"/>
        <v/>
      </c>
      <c r="M66" s="38" t="str">
        <f t="shared" si="19"/>
        <v/>
      </c>
      <c r="N66" s="26"/>
      <c r="O66" s="38"/>
      <c r="P66" s="38" t="str">
        <f t="shared" si="20"/>
        <v/>
      </c>
      <c r="Q66" s="38" t="str">
        <f t="shared" si="21"/>
        <v/>
      </c>
      <c r="R66" s="26"/>
      <c r="S66" s="26"/>
      <c r="T66" s="27"/>
      <c r="U66" s="27"/>
      <c r="V66" s="26"/>
      <c r="W66" s="26"/>
      <c r="X66" s="26"/>
      <c r="Y66" s="26"/>
      <c r="Z66" s="38"/>
      <c r="AA66" s="38" t="str">
        <f t="shared" si="22"/>
        <v/>
      </c>
      <c r="AB66" s="38" t="str">
        <f t="shared" si="23"/>
        <v/>
      </c>
      <c r="AC66" s="26"/>
      <c r="AD66" s="38"/>
      <c r="AE66" s="38" t="str">
        <f t="shared" si="24"/>
        <v/>
      </c>
      <c r="AF66" s="38" t="str">
        <f t="shared" si="25"/>
        <v/>
      </c>
      <c r="AG66" s="26"/>
      <c r="AH66" s="72" t="str">
        <f t="shared" ca="1" si="15"/>
        <v/>
      </c>
      <c r="AI66" s="72" t="str">
        <f ca="1">IF(A66="","",IF(OR(W66='02_マスタ'!$E$10,W66='02_マスタ'!$E$12),"",IF(V66="High","High",IF(AND(U66&lt;&gt;"",U66&lt;TODAY()),INDEX(_翻訳マスタ!$B$117:$D$247,MATCH("ALERT_OVERDUE",_翻訳マスタ!$A$117:$A$247,0),MATCH(言語切替!$B$3,_翻訳マスタ!$B$1:$D$1,0)),IF(AND(U66&lt;&gt;"",U66-TODAY()&lt;=7),INDEX(_翻訳マスタ!$B$117:$D$247,MATCH("ALERT_APPROACHING",_翻訳マスタ!$A$117:$A$247,0),MATCH(言語切替!$B$3,_翻訳マスタ!$B$1:$D$1,0)),IF(OR(W66='02_マスタ'!$E$7,W66='02_マスタ'!$E$8),INDEX(_翻訳マスタ!$B$117:$D$247,MATCH("ALERT_CHECK",_翻訳マスタ!$A$117:$A$247,0),MATCH(言語切替!$B$3,_翻訳マスタ!$B$1:$D$1,0)),""))))))</f>
        <v/>
      </c>
      <c r="AJ66" s="73"/>
    </row>
    <row r="67" spans="1:36" s="21" customFormat="1" x14ac:dyDescent="0.25">
      <c r="A67" s="83"/>
      <c r="B67" s="84"/>
      <c r="C67" s="84"/>
      <c r="D67" s="84"/>
      <c r="E67" s="84"/>
      <c r="F67" s="29"/>
      <c r="G67" s="39"/>
      <c r="H67" s="39" t="str">
        <f t="shared" si="16"/>
        <v/>
      </c>
      <c r="I67" s="39" t="str">
        <f t="shared" si="17"/>
        <v/>
      </c>
      <c r="J67" s="29"/>
      <c r="K67" s="39"/>
      <c r="L67" s="39" t="str">
        <f t="shared" si="18"/>
        <v/>
      </c>
      <c r="M67" s="39" t="str">
        <f t="shared" si="19"/>
        <v/>
      </c>
      <c r="N67" s="29"/>
      <c r="O67" s="39"/>
      <c r="P67" s="39" t="str">
        <f t="shared" si="20"/>
        <v/>
      </c>
      <c r="Q67" s="39" t="str">
        <f t="shared" si="21"/>
        <v/>
      </c>
      <c r="R67" s="29"/>
      <c r="S67" s="29"/>
      <c r="T67" s="30"/>
      <c r="U67" s="30"/>
      <c r="V67" s="29"/>
      <c r="W67" s="29"/>
      <c r="X67" s="29"/>
      <c r="Y67" s="29"/>
      <c r="Z67" s="39"/>
      <c r="AA67" s="39" t="str">
        <f t="shared" si="22"/>
        <v/>
      </c>
      <c r="AB67" s="39" t="str">
        <f t="shared" si="23"/>
        <v/>
      </c>
      <c r="AC67" s="29"/>
      <c r="AD67" s="39"/>
      <c r="AE67" s="39" t="str">
        <f t="shared" si="24"/>
        <v/>
      </c>
      <c r="AF67" s="39" t="str">
        <f t="shared" si="25"/>
        <v/>
      </c>
      <c r="AG67" s="29"/>
      <c r="AH67" s="74" t="str">
        <f t="shared" ca="1" si="15"/>
        <v/>
      </c>
      <c r="AI67" s="74" t="str">
        <f ca="1">IF(A67="","",IF(OR(W67='02_マスタ'!$E$10,W67='02_マスタ'!$E$12),"",IF(V67="High","High",IF(AND(U67&lt;&gt;"",U67&lt;TODAY()),INDEX(_翻訳マスタ!$B$117:$D$247,MATCH("ALERT_OVERDUE",_翻訳マスタ!$A$117:$A$247,0),MATCH(言語切替!$B$3,_翻訳マスタ!$B$1:$D$1,0)),IF(AND(U67&lt;&gt;"",U67-TODAY()&lt;=7),INDEX(_翻訳マスタ!$B$117:$D$247,MATCH("ALERT_APPROACHING",_翻訳マスタ!$A$117:$A$247,0),MATCH(言語切替!$B$3,_翻訳マスタ!$B$1:$D$1,0)),IF(OR(W67='02_マスタ'!$E$7,W67='02_マスタ'!$E$8),INDEX(_翻訳マスタ!$B$117:$D$247,MATCH("ALERT_CHECK",_翻訳マスタ!$A$117:$A$247,0),MATCH(言語切替!$B$3,_翻訳マスタ!$B$1:$D$1,0)),""))))))</f>
        <v/>
      </c>
      <c r="AJ67" s="75"/>
    </row>
    <row r="68" spans="1:36" s="21" customFormat="1" x14ac:dyDescent="0.25">
      <c r="A68" s="81"/>
      <c r="B68" s="82"/>
      <c r="C68" s="82"/>
      <c r="D68" s="82"/>
      <c r="E68" s="82"/>
      <c r="F68" s="26"/>
      <c r="G68" s="38"/>
      <c r="H68" s="38" t="str">
        <f t="shared" si="16"/>
        <v/>
      </c>
      <c r="I68" s="38" t="str">
        <f t="shared" si="17"/>
        <v/>
      </c>
      <c r="J68" s="26"/>
      <c r="K68" s="38"/>
      <c r="L68" s="38" t="str">
        <f t="shared" si="18"/>
        <v/>
      </c>
      <c r="M68" s="38" t="str">
        <f t="shared" si="19"/>
        <v/>
      </c>
      <c r="N68" s="26"/>
      <c r="O68" s="38"/>
      <c r="P68" s="38" t="str">
        <f t="shared" si="20"/>
        <v/>
      </c>
      <c r="Q68" s="38" t="str">
        <f t="shared" si="21"/>
        <v/>
      </c>
      <c r="R68" s="26"/>
      <c r="S68" s="26"/>
      <c r="T68" s="27"/>
      <c r="U68" s="27"/>
      <c r="V68" s="26"/>
      <c r="W68" s="26"/>
      <c r="X68" s="26"/>
      <c r="Y68" s="26"/>
      <c r="Z68" s="38"/>
      <c r="AA68" s="38" t="str">
        <f t="shared" si="22"/>
        <v/>
      </c>
      <c r="AB68" s="38" t="str">
        <f t="shared" si="23"/>
        <v/>
      </c>
      <c r="AC68" s="26"/>
      <c r="AD68" s="38"/>
      <c r="AE68" s="38" t="str">
        <f t="shared" si="24"/>
        <v/>
      </c>
      <c r="AF68" s="38" t="str">
        <f t="shared" si="25"/>
        <v/>
      </c>
      <c r="AG68" s="26"/>
      <c r="AH68" s="72" t="str">
        <f t="shared" ca="1" si="15"/>
        <v/>
      </c>
      <c r="AI68" s="72" t="str">
        <f ca="1">IF(A68="","",IF(OR(W68='02_マスタ'!$E$10,W68='02_マスタ'!$E$12),"",IF(V68="High","High",IF(AND(U68&lt;&gt;"",U68&lt;TODAY()),INDEX(_翻訳マスタ!$B$117:$D$247,MATCH("ALERT_OVERDUE",_翻訳マスタ!$A$117:$A$247,0),MATCH(言語切替!$B$3,_翻訳マスタ!$B$1:$D$1,0)),IF(AND(U68&lt;&gt;"",U68-TODAY()&lt;=7),INDEX(_翻訳マスタ!$B$117:$D$247,MATCH("ALERT_APPROACHING",_翻訳マスタ!$A$117:$A$247,0),MATCH(言語切替!$B$3,_翻訳マスタ!$B$1:$D$1,0)),IF(OR(W68='02_マスタ'!$E$7,W68='02_マスタ'!$E$8),INDEX(_翻訳マスタ!$B$117:$D$247,MATCH("ALERT_CHECK",_翻訳マスタ!$A$117:$A$247,0),MATCH(言語切替!$B$3,_翻訳マスタ!$B$1:$D$1,0)),""))))))</f>
        <v/>
      </c>
      <c r="AJ68" s="73"/>
    </row>
    <row r="69" spans="1:36" s="21" customFormat="1" x14ac:dyDescent="0.25">
      <c r="A69" s="83"/>
      <c r="B69" s="84"/>
      <c r="C69" s="84"/>
      <c r="D69" s="84"/>
      <c r="E69" s="84"/>
      <c r="F69" s="29"/>
      <c r="G69" s="39"/>
      <c r="H69" s="39" t="str">
        <f t="shared" si="16"/>
        <v/>
      </c>
      <c r="I69" s="39" t="str">
        <f t="shared" si="17"/>
        <v/>
      </c>
      <c r="J69" s="29"/>
      <c r="K69" s="39"/>
      <c r="L69" s="39" t="str">
        <f t="shared" si="18"/>
        <v/>
      </c>
      <c r="M69" s="39" t="str">
        <f t="shared" si="19"/>
        <v/>
      </c>
      <c r="N69" s="29"/>
      <c r="O69" s="39"/>
      <c r="P69" s="39" t="str">
        <f t="shared" si="20"/>
        <v/>
      </c>
      <c r="Q69" s="39" t="str">
        <f t="shared" si="21"/>
        <v/>
      </c>
      <c r="R69" s="29"/>
      <c r="S69" s="29"/>
      <c r="T69" s="30"/>
      <c r="U69" s="30"/>
      <c r="V69" s="29"/>
      <c r="W69" s="29"/>
      <c r="X69" s="29"/>
      <c r="Y69" s="29"/>
      <c r="Z69" s="39"/>
      <c r="AA69" s="39" t="str">
        <f t="shared" si="22"/>
        <v/>
      </c>
      <c r="AB69" s="39" t="str">
        <f t="shared" si="23"/>
        <v/>
      </c>
      <c r="AC69" s="29"/>
      <c r="AD69" s="39"/>
      <c r="AE69" s="39" t="str">
        <f t="shared" ref="AE69:AE132" si="26">IF(AC69="","",_xlfn.TRANSLATE(AC69,"vi","ja"))</f>
        <v/>
      </c>
      <c r="AF69" s="39" t="str">
        <f t="shared" ref="AF69:AF132" si="27">IF(AC69="","",_xlfn.TRANSLATE(AC69,"vi","zh-Hans"))</f>
        <v/>
      </c>
      <c r="AG69" s="29"/>
      <c r="AH69" s="74" t="str">
        <f t="shared" ref="AH69:AH132" ca="1" si="28">IF(U69="","",U69-TODAY())</f>
        <v/>
      </c>
      <c r="AI69" s="74" t="str">
        <f ca="1">IF(A69="","",IF(OR(W69='02_マスタ'!$E$10,W69='02_マスタ'!$E$12),"",IF(V69="High","High",IF(AND(U69&lt;&gt;"",U69&lt;TODAY()),INDEX(_翻訳マスタ!$B$117:$D$247,MATCH("ALERT_OVERDUE",_翻訳マスタ!$A$117:$A$247,0),MATCH(言語切替!$B$3,_翻訳マスタ!$B$1:$D$1,0)),IF(AND(U69&lt;&gt;"",U69-TODAY()&lt;=7),INDEX(_翻訳マスタ!$B$117:$D$247,MATCH("ALERT_APPROACHING",_翻訳マスタ!$A$117:$A$247,0),MATCH(言語切替!$B$3,_翻訳マスタ!$B$1:$D$1,0)),IF(OR(W69='02_マスタ'!$E$7,W69='02_マスタ'!$E$8),INDEX(_翻訳マスタ!$B$117:$D$247,MATCH("ALERT_CHECK",_翻訳マスタ!$A$117:$A$247,0),MATCH(言語切替!$B$3,_翻訳マスタ!$B$1:$D$1,0)),""))))))</f>
        <v/>
      </c>
      <c r="AJ69" s="75"/>
    </row>
    <row r="70" spans="1:36" s="21" customFormat="1" x14ac:dyDescent="0.25">
      <c r="A70" s="81"/>
      <c r="B70" s="82"/>
      <c r="C70" s="82"/>
      <c r="D70" s="82"/>
      <c r="E70" s="82"/>
      <c r="F70" s="26"/>
      <c r="G70" s="38"/>
      <c r="H70" s="38" t="str">
        <f t="shared" si="16"/>
        <v/>
      </c>
      <c r="I70" s="38" t="str">
        <f t="shared" si="17"/>
        <v/>
      </c>
      <c r="J70" s="26"/>
      <c r="K70" s="38"/>
      <c r="L70" s="38" t="str">
        <f t="shared" si="18"/>
        <v/>
      </c>
      <c r="M70" s="38" t="str">
        <f t="shared" si="19"/>
        <v/>
      </c>
      <c r="N70" s="26"/>
      <c r="O70" s="38"/>
      <c r="P70" s="38" t="str">
        <f t="shared" si="20"/>
        <v/>
      </c>
      <c r="Q70" s="38" t="str">
        <f t="shared" si="21"/>
        <v/>
      </c>
      <c r="R70" s="26"/>
      <c r="S70" s="26"/>
      <c r="T70" s="27"/>
      <c r="U70" s="27"/>
      <c r="V70" s="26"/>
      <c r="W70" s="26"/>
      <c r="X70" s="26"/>
      <c r="Y70" s="26"/>
      <c r="Z70" s="38"/>
      <c r="AA70" s="38" t="str">
        <f t="shared" si="22"/>
        <v/>
      </c>
      <c r="AB70" s="38" t="str">
        <f t="shared" si="23"/>
        <v/>
      </c>
      <c r="AC70" s="26"/>
      <c r="AD70" s="38"/>
      <c r="AE70" s="38" t="str">
        <f t="shared" si="26"/>
        <v/>
      </c>
      <c r="AF70" s="38" t="str">
        <f t="shared" si="27"/>
        <v/>
      </c>
      <c r="AG70" s="26"/>
      <c r="AH70" s="72" t="str">
        <f t="shared" ca="1" si="28"/>
        <v/>
      </c>
      <c r="AI70" s="72" t="str">
        <f ca="1">IF(A70="","",IF(OR(W70='02_マスタ'!$E$10,W70='02_マスタ'!$E$12),"",IF(V70="High","High",IF(AND(U70&lt;&gt;"",U70&lt;TODAY()),INDEX(_翻訳マスタ!$B$117:$D$247,MATCH("ALERT_OVERDUE",_翻訳マスタ!$A$117:$A$247,0),MATCH(言語切替!$B$3,_翻訳マスタ!$B$1:$D$1,0)),IF(AND(U70&lt;&gt;"",U70-TODAY()&lt;=7),INDEX(_翻訳マスタ!$B$117:$D$247,MATCH("ALERT_APPROACHING",_翻訳マスタ!$A$117:$A$247,0),MATCH(言語切替!$B$3,_翻訳マスタ!$B$1:$D$1,0)),IF(OR(W70='02_マスタ'!$E$7,W70='02_マスタ'!$E$8),INDEX(_翻訳マスタ!$B$117:$D$247,MATCH("ALERT_CHECK",_翻訳マスタ!$A$117:$A$247,0),MATCH(言語切替!$B$3,_翻訳マスタ!$B$1:$D$1,0)),""))))))</f>
        <v/>
      </c>
      <c r="AJ70" s="73"/>
    </row>
    <row r="71" spans="1:36" s="21" customFormat="1" x14ac:dyDescent="0.25">
      <c r="A71" s="83"/>
      <c r="B71" s="84"/>
      <c r="C71" s="84"/>
      <c r="D71" s="84"/>
      <c r="E71" s="84"/>
      <c r="F71" s="29"/>
      <c r="G71" s="39"/>
      <c r="H71" s="39" t="str">
        <f t="shared" si="16"/>
        <v/>
      </c>
      <c r="I71" s="39" t="str">
        <f t="shared" si="17"/>
        <v/>
      </c>
      <c r="J71" s="29"/>
      <c r="K71" s="39"/>
      <c r="L71" s="39" t="str">
        <f t="shared" si="18"/>
        <v/>
      </c>
      <c r="M71" s="39" t="str">
        <f t="shared" si="19"/>
        <v/>
      </c>
      <c r="N71" s="29"/>
      <c r="O71" s="39"/>
      <c r="P71" s="39" t="str">
        <f t="shared" si="20"/>
        <v/>
      </c>
      <c r="Q71" s="39" t="str">
        <f t="shared" si="21"/>
        <v/>
      </c>
      <c r="R71" s="29"/>
      <c r="S71" s="29"/>
      <c r="T71" s="30"/>
      <c r="U71" s="30"/>
      <c r="V71" s="29"/>
      <c r="W71" s="29"/>
      <c r="X71" s="29"/>
      <c r="Y71" s="29"/>
      <c r="Z71" s="39"/>
      <c r="AA71" s="39" t="str">
        <f t="shared" si="22"/>
        <v/>
      </c>
      <c r="AB71" s="39" t="str">
        <f t="shared" si="23"/>
        <v/>
      </c>
      <c r="AC71" s="29"/>
      <c r="AD71" s="39"/>
      <c r="AE71" s="39" t="str">
        <f t="shared" si="26"/>
        <v/>
      </c>
      <c r="AF71" s="39" t="str">
        <f t="shared" si="27"/>
        <v/>
      </c>
      <c r="AG71" s="29"/>
      <c r="AH71" s="74" t="str">
        <f t="shared" ca="1" si="28"/>
        <v/>
      </c>
      <c r="AI71" s="74" t="str">
        <f ca="1">IF(A71="","",IF(OR(W71='02_マスタ'!$E$10,W71='02_マスタ'!$E$12),"",IF(V71="High","High",IF(AND(U71&lt;&gt;"",U71&lt;TODAY()),INDEX(_翻訳マスタ!$B$117:$D$247,MATCH("ALERT_OVERDUE",_翻訳マスタ!$A$117:$A$247,0),MATCH(言語切替!$B$3,_翻訳マスタ!$B$1:$D$1,0)),IF(AND(U71&lt;&gt;"",U71-TODAY()&lt;=7),INDEX(_翻訳マスタ!$B$117:$D$247,MATCH("ALERT_APPROACHING",_翻訳マスタ!$A$117:$A$247,0),MATCH(言語切替!$B$3,_翻訳マスタ!$B$1:$D$1,0)),IF(OR(W71='02_マスタ'!$E$7,W71='02_マスタ'!$E$8),INDEX(_翻訳マスタ!$B$117:$D$247,MATCH("ALERT_CHECK",_翻訳マスタ!$A$117:$A$247,0),MATCH(言語切替!$B$3,_翻訳マスタ!$B$1:$D$1,0)),""))))))</f>
        <v/>
      </c>
      <c r="AJ71" s="75"/>
    </row>
    <row r="72" spans="1:36" s="21" customFormat="1" x14ac:dyDescent="0.25">
      <c r="A72" s="81"/>
      <c r="B72" s="82"/>
      <c r="C72" s="82"/>
      <c r="D72" s="82"/>
      <c r="E72" s="82"/>
      <c r="F72" s="26"/>
      <c r="G72" s="38"/>
      <c r="H72" s="38" t="str">
        <f t="shared" si="16"/>
        <v/>
      </c>
      <c r="I72" s="38" t="str">
        <f t="shared" si="17"/>
        <v/>
      </c>
      <c r="J72" s="26"/>
      <c r="K72" s="38"/>
      <c r="L72" s="38" t="str">
        <f t="shared" si="18"/>
        <v/>
      </c>
      <c r="M72" s="38" t="str">
        <f t="shared" si="19"/>
        <v/>
      </c>
      <c r="N72" s="26"/>
      <c r="O72" s="38"/>
      <c r="P72" s="38" t="str">
        <f t="shared" si="20"/>
        <v/>
      </c>
      <c r="Q72" s="38" t="str">
        <f t="shared" si="21"/>
        <v/>
      </c>
      <c r="R72" s="26"/>
      <c r="S72" s="26"/>
      <c r="T72" s="27"/>
      <c r="U72" s="27"/>
      <c r="V72" s="26"/>
      <c r="W72" s="26"/>
      <c r="X72" s="26"/>
      <c r="Y72" s="26"/>
      <c r="Z72" s="38"/>
      <c r="AA72" s="38" t="str">
        <f t="shared" si="22"/>
        <v/>
      </c>
      <c r="AB72" s="38" t="str">
        <f t="shared" si="23"/>
        <v/>
      </c>
      <c r="AC72" s="26"/>
      <c r="AD72" s="38"/>
      <c r="AE72" s="38" t="str">
        <f t="shared" si="26"/>
        <v/>
      </c>
      <c r="AF72" s="38" t="str">
        <f t="shared" si="27"/>
        <v/>
      </c>
      <c r="AG72" s="26"/>
      <c r="AH72" s="72" t="str">
        <f t="shared" ca="1" si="28"/>
        <v/>
      </c>
      <c r="AI72" s="72" t="str">
        <f ca="1">IF(A72="","",IF(OR(W72='02_マスタ'!$E$10,W72='02_マスタ'!$E$12),"",IF(V72="High","High",IF(AND(U72&lt;&gt;"",U72&lt;TODAY()),INDEX(_翻訳マスタ!$B$117:$D$247,MATCH("ALERT_OVERDUE",_翻訳マスタ!$A$117:$A$247,0),MATCH(言語切替!$B$3,_翻訳マスタ!$B$1:$D$1,0)),IF(AND(U72&lt;&gt;"",U72-TODAY()&lt;=7),INDEX(_翻訳マスタ!$B$117:$D$247,MATCH("ALERT_APPROACHING",_翻訳マスタ!$A$117:$A$247,0),MATCH(言語切替!$B$3,_翻訳マスタ!$B$1:$D$1,0)),IF(OR(W72='02_マスタ'!$E$7,W72='02_マスタ'!$E$8),INDEX(_翻訳マスタ!$B$117:$D$247,MATCH("ALERT_CHECK",_翻訳マスタ!$A$117:$A$247,0),MATCH(言語切替!$B$3,_翻訳マスタ!$B$1:$D$1,0)),""))))))</f>
        <v/>
      </c>
      <c r="AJ72" s="73"/>
    </row>
    <row r="73" spans="1:36" s="21" customFormat="1" x14ac:dyDescent="0.25">
      <c r="A73" s="83"/>
      <c r="B73" s="84"/>
      <c r="C73" s="84"/>
      <c r="D73" s="84"/>
      <c r="E73" s="84"/>
      <c r="F73" s="29"/>
      <c r="G73" s="39"/>
      <c r="H73" s="39" t="str">
        <f t="shared" ref="H73:H136" si="29">IF(F73="","",_xlfn.TRANSLATE(F73,"vi","ja"))</f>
        <v/>
      </c>
      <c r="I73" s="39" t="str">
        <f t="shared" ref="I73:I136" si="30">IF(F73="","",_xlfn.TRANSLATE(F73,"vi","zh-Hans"))</f>
        <v/>
      </c>
      <c r="J73" s="29"/>
      <c r="K73" s="39"/>
      <c r="L73" s="39" t="str">
        <f t="shared" ref="L73:L136" si="31">IF(J73="","",_xlfn.TRANSLATE(J73,"vi","ja"))</f>
        <v/>
      </c>
      <c r="M73" s="39" t="str">
        <f t="shared" ref="M73:M136" si="32">IF(J73="","",_xlfn.TRANSLATE(J73,"vi","zh-Hans"))</f>
        <v/>
      </c>
      <c r="N73" s="29"/>
      <c r="O73" s="39"/>
      <c r="P73" s="39" t="str">
        <f t="shared" ref="P73:P136" si="33">IF(N73="","",_xlfn.TRANSLATE(N73,"vi","ja"))</f>
        <v/>
      </c>
      <c r="Q73" s="39" t="str">
        <f t="shared" ref="Q73:Q136" si="34">IF(N73="","",_xlfn.TRANSLATE(N73,"vi","zh-Hans"))</f>
        <v/>
      </c>
      <c r="R73" s="29"/>
      <c r="S73" s="29"/>
      <c r="T73" s="30"/>
      <c r="U73" s="30"/>
      <c r="V73" s="29"/>
      <c r="W73" s="29"/>
      <c r="X73" s="29"/>
      <c r="Y73" s="29"/>
      <c r="Z73" s="39"/>
      <c r="AA73" s="39" t="str">
        <f t="shared" ref="AA73:AA136" si="35">IF(Y73="","",_xlfn.TRANSLATE(Y73,"vi","ja"))</f>
        <v/>
      </c>
      <c r="AB73" s="39" t="str">
        <f t="shared" ref="AB73:AB136" si="36">IF(Y73="","",_xlfn.TRANSLATE(Y73,"vi","zh-Hans"))</f>
        <v/>
      </c>
      <c r="AC73" s="29"/>
      <c r="AD73" s="39"/>
      <c r="AE73" s="39" t="str">
        <f t="shared" si="26"/>
        <v/>
      </c>
      <c r="AF73" s="39" t="str">
        <f t="shared" si="27"/>
        <v/>
      </c>
      <c r="AG73" s="29"/>
      <c r="AH73" s="74" t="str">
        <f t="shared" ca="1" si="28"/>
        <v/>
      </c>
      <c r="AI73" s="74" t="str">
        <f ca="1">IF(A73="","",IF(OR(W73='02_マスタ'!$E$10,W73='02_マスタ'!$E$12),"",IF(V73="High","High",IF(AND(U73&lt;&gt;"",U73&lt;TODAY()),INDEX(_翻訳マスタ!$B$117:$D$247,MATCH("ALERT_OVERDUE",_翻訳マスタ!$A$117:$A$247,0),MATCH(言語切替!$B$3,_翻訳マスタ!$B$1:$D$1,0)),IF(AND(U73&lt;&gt;"",U73-TODAY()&lt;=7),INDEX(_翻訳マスタ!$B$117:$D$247,MATCH("ALERT_APPROACHING",_翻訳マスタ!$A$117:$A$247,0),MATCH(言語切替!$B$3,_翻訳マスタ!$B$1:$D$1,0)),IF(OR(W73='02_マスタ'!$E$7,W73='02_マスタ'!$E$8),INDEX(_翻訳マスタ!$B$117:$D$247,MATCH("ALERT_CHECK",_翻訳マスタ!$A$117:$A$247,0),MATCH(言語切替!$B$3,_翻訳マスタ!$B$1:$D$1,0)),""))))))</f>
        <v/>
      </c>
      <c r="AJ73" s="75"/>
    </row>
    <row r="74" spans="1:36" s="21" customFormat="1" x14ac:dyDescent="0.25">
      <c r="A74" s="81"/>
      <c r="B74" s="82"/>
      <c r="C74" s="82"/>
      <c r="D74" s="82"/>
      <c r="E74" s="82"/>
      <c r="F74" s="26"/>
      <c r="G74" s="38"/>
      <c r="H74" s="38" t="str">
        <f t="shared" si="29"/>
        <v/>
      </c>
      <c r="I74" s="38" t="str">
        <f t="shared" si="30"/>
        <v/>
      </c>
      <c r="J74" s="26"/>
      <c r="K74" s="38"/>
      <c r="L74" s="38" t="str">
        <f t="shared" si="31"/>
        <v/>
      </c>
      <c r="M74" s="38" t="str">
        <f t="shared" si="32"/>
        <v/>
      </c>
      <c r="N74" s="26"/>
      <c r="O74" s="38"/>
      <c r="P74" s="38" t="str">
        <f t="shared" si="33"/>
        <v/>
      </c>
      <c r="Q74" s="38" t="str">
        <f t="shared" si="34"/>
        <v/>
      </c>
      <c r="R74" s="26"/>
      <c r="S74" s="26"/>
      <c r="T74" s="27"/>
      <c r="U74" s="27"/>
      <c r="V74" s="26"/>
      <c r="W74" s="26"/>
      <c r="X74" s="26"/>
      <c r="Y74" s="26"/>
      <c r="Z74" s="38"/>
      <c r="AA74" s="38" t="str">
        <f t="shared" si="35"/>
        <v/>
      </c>
      <c r="AB74" s="38" t="str">
        <f t="shared" si="36"/>
        <v/>
      </c>
      <c r="AC74" s="26"/>
      <c r="AD74" s="38"/>
      <c r="AE74" s="38" t="str">
        <f t="shared" si="26"/>
        <v/>
      </c>
      <c r="AF74" s="38" t="str">
        <f t="shared" si="27"/>
        <v/>
      </c>
      <c r="AG74" s="26"/>
      <c r="AH74" s="72" t="str">
        <f t="shared" ca="1" si="28"/>
        <v/>
      </c>
      <c r="AI74" s="72" t="str">
        <f ca="1">IF(A74="","",IF(OR(W74='02_マスタ'!$E$10,W74='02_マスタ'!$E$12),"",IF(V74="High","High",IF(AND(U74&lt;&gt;"",U74&lt;TODAY()),INDEX(_翻訳マスタ!$B$117:$D$247,MATCH("ALERT_OVERDUE",_翻訳マスタ!$A$117:$A$247,0),MATCH(言語切替!$B$3,_翻訳マスタ!$B$1:$D$1,0)),IF(AND(U74&lt;&gt;"",U74-TODAY()&lt;=7),INDEX(_翻訳マスタ!$B$117:$D$247,MATCH("ALERT_APPROACHING",_翻訳マスタ!$A$117:$A$247,0),MATCH(言語切替!$B$3,_翻訳マスタ!$B$1:$D$1,0)),IF(OR(W74='02_マスタ'!$E$7,W74='02_マスタ'!$E$8),INDEX(_翻訳マスタ!$B$117:$D$247,MATCH("ALERT_CHECK",_翻訳マスタ!$A$117:$A$247,0),MATCH(言語切替!$B$3,_翻訳マスタ!$B$1:$D$1,0)),""))))))</f>
        <v/>
      </c>
      <c r="AJ74" s="73"/>
    </row>
    <row r="75" spans="1:36" s="21" customFormat="1" x14ac:dyDescent="0.25">
      <c r="A75" s="83"/>
      <c r="B75" s="84"/>
      <c r="C75" s="84"/>
      <c r="D75" s="84"/>
      <c r="E75" s="84"/>
      <c r="F75" s="29"/>
      <c r="G75" s="39"/>
      <c r="H75" s="39" t="str">
        <f t="shared" si="29"/>
        <v/>
      </c>
      <c r="I75" s="39" t="str">
        <f t="shared" si="30"/>
        <v/>
      </c>
      <c r="J75" s="29"/>
      <c r="K75" s="39"/>
      <c r="L75" s="39" t="str">
        <f t="shared" si="31"/>
        <v/>
      </c>
      <c r="M75" s="39" t="str">
        <f t="shared" si="32"/>
        <v/>
      </c>
      <c r="N75" s="29"/>
      <c r="O75" s="39"/>
      <c r="P75" s="39" t="str">
        <f t="shared" si="33"/>
        <v/>
      </c>
      <c r="Q75" s="39" t="str">
        <f t="shared" si="34"/>
        <v/>
      </c>
      <c r="R75" s="29"/>
      <c r="S75" s="29"/>
      <c r="T75" s="30"/>
      <c r="U75" s="30"/>
      <c r="V75" s="29"/>
      <c r="W75" s="29"/>
      <c r="X75" s="29"/>
      <c r="Y75" s="29"/>
      <c r="Z75" s="39"/>
      <c r="AA75" s="39" t="str">
        <f t="shared" si="35"/>
        <v/>
      </c>
      <c r="AB75" s="39" t="str">
        <f t="shared" si="36"/>
        <v/>
      </c>
      <c r="AC75" s="29"/>
      <c r="AD75" s="39"/>
      <c r="AE75" s="39" t="str">
        <f t="shared" si="26"/>
        <v/>
      </c>
      <c r="AF75" s="39" t="str">
        <f t="shared" si="27"/>
        <v/>
      </c>
      <c r="AG75" s="29"/>
      <c r="AH75" s="74" t="str">
        <f t="shared" ca="1" si="28"/>
        <v/>
      </c>
      <c r="AI75" s="74" t="str">
        <f ca="1">IF(A75="","",IF(OR(W75='02_マスタ'!$E$10,W75='02_マスタ'!$E$12),"",IF(V75="High","High",IF(AND(U75&lt;&gt;"",U75&lt;TODAY()),INDEX(_翻訳マスタ!$B$117:$D$247,MATCH("ALERT_OVERDUE",_翻訳マスタ!$A$117:$A$247,0),MATCH(言語切替!$B$3,_翻訳マスタ!$B$1:$D$1,0)),IF(AND(U75&lt;&gt;"",U75-TODAY()&lt;=7),INDEX(_翻訳マスタ!$B$117:$D$247,MATCH("ALERT_APPROACHING",_翻訳マスタ!$A$117:$A$247,0),MATCH(言語切替!$B$3,_翻訳マスタ!$B$1:$D$1,0)),IF(OR(W75='02_マスタ'!$E$7,W75='02_マスタ'!$E$8),INDEX(_翻訳マスタ!$B$117:$D$247,MATCH("ALERT_CHECK",_翻訳マスタ!$A$117:$A$247,0),MATCH(言語切替!$B$3,_翻訳マスタ!$B$1:$D$1,0)),""))))))</f>
        <v/>
      </c>
      <c r="AJ75" s="75"/>
    </row>
    <row r="76" spans="1:36" s="21" customFormat="1" x14ac:dyDescent="0.25">
      <c r="A76" s="81"/>
      <c r="B76" s="82"/>
      <c r="C76" s="82"/>
      <c r="D76" s="82"/>
      <c r="E76" s="82"/>
      <c r="F76" s="26"/>
      <c r="G76" s="38"/>
      <c r="H76" s="38" t="str">
        <f t="shared" si="29"/>
        <v/>
      </c>
      <c r="I76" s="38" t="str">
        <f t="shared" si="30"/>
        <v/>
      </c>
      <c r="J76" s="26"/>
      <c r="K76" s="38"/>
      <c r="L76" s="38" t="str">
        <f t="shared" si="31"/>
        <v/>
      </c>
      <c r="M76" s="38" t="str">
        <f t="shared" si="32"/>
        <v/>
      </c>
      <c r="N76" s="26"/>
      <c r="O76" s="38"/>
      <c r="P76" s="38" t="str">
        <f t="shared" si="33"/>
        <v/>
      </c>
      <c r="Q76" s="38" t="str">
        <f t="shared" si="34"/>
        <v/>
      </c>
      <c r="R76" s="26"/>
      <c r="S76" s="26"/>
      <c r="T76" s="27"/>
      <c r="U76" s="27"/>
      <c r="V76" s="26"/>
      <c r="W76" s="26"/>
      <c r="X76" s="26"/>
      <c r="Y76" s="26"/>
      <c r="Z76" s="38"/>
      <c r="AA76" s="38" t="str">
        <f t="shared" si="35"/>
        <v/>
      </c>
      <c r="AB76" s="38" t="str">
        <f t="shared" si="36"/>
        <v/>
      </c>
      <c r="AC76" s="26"/>
      <c r="AD76" s="38"/>
      <c r="AE76" s="38" t="str">
        <f t="shared" si="26"/>
        <v/>
      </c>
      <c r="AF76" s="38" t="str">
        <f t="shared" si="27"/>
        <v/>
      </c>
      <c r="AG76" s="26"/>
      <c r="AH76" s="72" t="str">
        <f t="shared" ca="1" si="28"/>
        <v/>
      </c>
      <c r="AI76" s="72" t="str">
        <f ca="1">IF(A76="","",IF(OR(W76='02_マスタ'!$E$10,W76='02_マスタ'!$E$12),"",IF(V76="High","High",IF(AND(U76&lt;&gt;"",U76&lt;TODAY()),INDEX(_翻訳マスタ!$B$117:$D$247,MATCH("ALERT_OVERDUE",_翻訳マスタ!$A$117:$A$247,0),MATCH(言語切替!$B$3,_翻訳マスタ!$B$1:$D$1,0)),IF(AND(U76&lt;&gt;"",U76-TODAY()&lt;=7),INDEX(_翻訳マスタ!$B$117:$D$247,MATCH("ALERT_APPROACHING",_翻訳マスタ!$A$117:$A$247,0),MATCH(言語切替!$B$3,_翻訳マスタ!$B$1:$D$1,0)),IF(OR(W76='02_マスタ'!$E$7,W76='02_マスタ'!$E$8),INDEX(_翻訳マスタ!$B$117:$D$247,MATCH("ALERT_CHECK",_翻訳マスタ!$A$117:$A$247,0),MATCH(言語切替!$B$3,_翻訳マスタ!$B$1:$D$1,0)),""))))))</f>
        <v/>
      </c>
      <c r="AJ76" s="73"/>
    </row>
    <row r="77" spans="1:36" s="21" customFormat="1" x14ac:dyDescent="0.25">
      <c r="A77" s="83"/>
      <c r="B77" s="84"/>
      <c r="C77" s="84"/>
      <c r="D77" s="84"/>
      <c r="E77" s="84"/>
      <c r="F77" s="29"/>
      <c r="G77" s="39"/>
      <c r="H77" s="39" t="str">
        <f t="shared" si="29"/>
        <v/>
      </c>
      <c r="I77" s="39" t="str">
        <f t="shared" si="30"/>
        <v/>
      </c>
      <c r="J77" s="29"/>
      <c r="K77" s="39"/>
      <c r="L77" s="39" t="str">
        <f t="shared" si="31"/>
        <v/>
      </c>
      <c r="M77" s="39" t="str">
        <f t="shared" si="32"/>
        <v/>
      </c>
      <c r="N77" s="29"/>
      <c r="O77" s="39"/>
      <c r="P77" s="39" t="str">
        <f t="shared" si="33"/>
        <v/>
      </c>
      <c r="Q77" s="39" t="str">
        <f t="shared" si="34"/>
        <v/>
      </c>
      <c r="R77" s="29"/>
      <c r="S77" s="29"/>
      <c r="T77" s="30"/>
      <c r="U77" s="30"/>
      <c r="V77" s="29"/>
      <c r="W77" s="29"/>
      <c r="X77" s="29"/>
      <c r="Y77" s="29"/>
      <c r="Z77" s="39"/>
      <c r="AA77" s="39" t="str">
        <f t="shared" si="35"/>
        <v/>
      </c>
      <c r="AB77" s="39" t="str">
        <f t="shared" si="36"/>
        <v/>
      </c>
      <c r="AC77" s="29"/>
      <c r="AD77" s="39"/>
      <c r="AE77" s="39" t="str">
        <f t="shared" si="26"/>
        <v/>
      </c>
      <c r="AF77" s="39" t="str">
        <f t="shared" si="27"/>
        <v/>
      </c>
      <c r="AG77" s="29"/>
      <c r="AH77" s="74" t="str">
        <f t="shared" ca="1" si="28"/>
        <v/>
      </c>
      <c r="AI77" s="74" t="str">
        <f ca="1">IF(A77="","",IF(OR(W77='02_マスタ'!$E$10,W77='02_マスタ'!$E$12),"",IF(V77="High","High",IF(AND(U77&lt;&gt;"",U77&lt;TODAY()),INDEX(_翻訳マスタ!$B$117:$D$247,MATCH("ALERT_OVERDUE",_翻訳マスタ!$A$117:$A$247,0),MATCH(言語切替!$B$3,_翻訳マスタ!$B$1:$D$1,0)),IF(AND(U77&lt;&gt;"",U77-TODAY()&lt;=7),INDEX(_翻訳マスタ!$B$117:$D$247,MATCH("ALERT_APPROACHING",_翻訳マスタ!$A$117:$A$247,0),MATCH(言語切替!$B$3,_翻訳マスタ!$B$1:$D$1,0)),IF(OR(W77='02_マスタ'!$E$7,W77='02_マスタ'!$E$8),INDEX(_翻訳マスタ!$B$117:$D$247,MATCH("ALERT_CHECK",_翻訳マスタ!$A$117:$A$247,0),MATCH(言語切替!$B$3,_翻訳マスタ!$B$1:$D$1,0)),""))))))</f>
        <v/>
      </c>
      <c r="AJ77" s="75"/>
    </row>
    <row r="78" spans="1:36" s="21" customFormat="1" x14ac:dyDescent="0.25">
      <c r="A78" s="81"/>
      <c r="B78" s="82"/>
      <c r="C78" s="82"/>
      <c r="D78" s="82"/>
      <c r="E78" s="82"/>
      <c r="F78" s="26"/>
      <c r="G78" s="38"/>
      <c r="H78" s="38" t="str">
        <f t="shared" si="29"/>
        <v/>
      </c>
      <c r="I78" s="38" t="str">
        <f t="shared" si="30"/>
        <v/>
      </c>
      <c r="J78" s="26"/>
      <c r="K78" s="38"/>
      <c r="L78" s="38" t="str">
        <f t="shared" si="31"/>
        <v/>
      </c>
      <c r="M78" s="38" t="str">
        <f t="shared" si="32"/>
        <v/>
      </c>
      <c r="N78" s="26"/>
      <c r="O78" s="38"/>
      <c r="P78" s="38" t="str">
        <f t="shared" si="33"/>
        <v/>
      </c>
      <c r="Q78" s="38" t="str">
        <f t="shared" si="34"/>
        <v/>
      </c>
      <c r="R78" s="26"/>
      <c r="S78" s="26"/>
      <c r="T78" s="27"/>
      <c r="U78" s="27"/>
      <c r="V78" s="26"/>
      <c r="W78" s="26"/>
      <c r="X78" s="26"/>
      <c r="Y78" s="26"/>
      <c r="Z78" s="38"/>
      <c r="AA78" s="38" t="str">
        <f t="shared" si="35"/>
        <v/>
      </c>
      <c r="AB78" s="38" t="str">
        <f t="shared" si="36"/>
        <v/>
      </c>
      <c r="AC78" s="26"/>
      <c r="AD78" s="38"/>
      <c r="AE78" s="38" t="str">
        <f t="shared" si="26"/>
        <v/>
      </c>
      <c r="AF78" s="38" t="str">
        <f t="shared" si="27"/>
        <v/>
      </c>
      <c r="AG78" s="26"/>
      <c r="AH78" s="72" t="str">
        <f t="shared" ca="1" si="28"/>
        <v/>
      </c>
      <c r="AI78" s="72" t="str">
        <f ca="1">IF(A78="","",IF(OR(W78='02_マスタ'!$E$10,W78='02_マスタ'!$E$12),"",IF(V78="High","High",IF(AND(U78&lt;&gt;"",U78&lt;TODAY()),INDEX(_翻訳マスタ!$B$117:$D$247,MATCH("ALERT_OVERDUE",_翻訳マスタ!$A$117:$A$247,0),MATCH(言語切替!$B$3,_翻訳マスタ!$B$1:$D$1,0)),IF(AND(U78&lt;&gt;"",U78-TODAY()&lt;=7),INDEX(_翻訳マスタ!$B$117:$D$247,MATCH("ALERT_APPROACHING",_翻訳マスタ!$A$117:$A$247,0),MATCH(言語切替!$B$3,_翻訳マスタ!$B$1:$D$1,0)),IF(OR(W78='02_マスタ'!$E$7,W78='02_マスタ'!$E$8),INDEX(_翻訳マスタ!$B$117:$D$247,MATCH("ALERT_CHECK",_翻訳マスタ!$A$117:$A$247,0),MATCH(言語切替!$B$3,_翻訳マスタ!$B$1:$D$1,0)),""))))))</f>
        <v/>
      </c>
      <c r="AJ78" s="73"/>
    </row>
    <row r="79" spans="1:36" s="21" customFormat="1" x14ac:dyDescent="0.25">
      <c r="A79" s="83"/>
      <c r="B79" s="84"/>
      <c r="C79" s="84"/>
      <c r="D79" s="84"/>
      <c r="E79" s="84"/>
      <c r="F79" s="29"/>
      <c r="G79" s="39"/>
      <c r="H79" s="39" t="str">
        <f t="shared" si="29"/>
        <v/>
      </c>
      <c r="I79" s="39" t="str">
        <f t="shared" si="30"/>
        <v/>
      </c>
      <c r="J79" s="29"/>
      <c r="K79" s="39"/>
      <c r="L79" s="39" t="str">
        <f t="shared" si="31"/>
        <v/>
      </c>
      <c r="M79" s="39" t="str">
        <f t="shared" si="32"/>
        <v/>
      </c>
      <c r="N79" s="29"/>
      <c r="O79" s="39"/>
      <c r="P79" s="39" t="str">
        <f t="shared" si="33"/>
        <v/>
      </c>
      <c r="Q79" s="39" t="str">
        <f t="shared" si="34"/>
        <v/>
      </c>
      <c r="R79" s="29"/>
      <c r="S79" s="29"/>
      <c r="T79" s="30"/>
      <c r="U79" s="30"/>
      <c r="V79" s="29"/>
      <c r="W79" s="29"/>
      <c r="X79" s="29"/>
      <c r="Y79" s="29"/>
      <c r="Z79" s="39"/>
      <c r="AA79" s="39" t="str">
        <f t="shared" si="35"/>
        <v/>
      </c>
      <c r="AB79" s="39" t="str">
        <f t="shared" si="36"/>
        <v/>
      </c>
      <c r="AC79" s="29"/>
      <c r="AD79" s="39"/>
      <c r="AE79" s="39" t="str">
        <f t="shared" si="26"/>
        <v/>
      </c>
      <c r="AF79" s="39" t="str">
        <f t="shared" si="27"/>
        <v/>
      </c>
      <c r="AG79" s="29"/>
      <c r="AH79" s="74" t="str">
        <f t="shared" ca="1" si="28"/>
        <v/>
      </c>
      <c r="AI79" s="74" t="str">
        <f ca="1">IF(A79="","",IF(OR(W79='02_マスタ'!$E$10,W79='02_マスタ'!$E$12),"",IF(V79="High","High",IF(AND(U79&lt;&gt;"",U79&lt;TODAY()),INDEX(_翻訳マスタ!$B$117:$D$247,MATCH("ALERT_OVERDUE",_翻訳マスタ!$A$117:$A$247,0),MATCH(言語切替!$B$3,_翻訳マスタ!$B$1:$D$1,0)),IF(AND(U79&lt;&gt;"",U79-TODAY()&lt;=7),INDEX(_翻訳マスタ!$B$117:$D$247,MATCH("ALERT_APPROACHING",_翻訳マスタ!$A$117:$A$247,0),MATCH(言語切替!$B$3,_翻訳マスタ!$B$1:$D$1,0)),IF(OR(W79='02_マスタ'!$E$7,W79='02_マスタ'!$E$8),INDEX(_翻訳マスタ!$B$117:$D$247,MATCH("ALERT_CHECK",_翻訳マスタ!$A$117:$A$247,0),MATCH(言語切替!$B$3,_翻訳マスタ!$B$1:$D$1,0)),""))))))</f>
        <v/>
      </c>
      <c r="AJ79" s="75"/>
    </row>
    <row r="80" spans="1:36" s="21" customFormat="1" x14ac:dyDescent="0.25">
      <c r="A80" s="81"/>
      <c r="B80" s="82"/>
      <c r="C80" s="82"/>
      <c r="D80" s="82"/>
      <c r="E80" s="82"/>
      <c r="F80" s="26"/>
      <c r="G80" s="38"/>
      <c r="H80" s="38" t="str">
        <f t="shared" si="29"/>
        <v/>
      </c>
      <c r="I80" s="38" t="str">
        <f t="shared" si="30"/>
        <v/>
      </c>
      <c r="J80" s="26"/>
      <c r="K80" s="38"/>
      <c r="L80" s="38" t="str">
        <f t="shared" si="31"/>
        <v/>
      </c>
      <c r="M80" s="38" t="str">
        <f t="shared" si="32"/>
        <v/>
      </c>
      <c r="N80" s="26"/>
      <c r="O80" s="38"/>
      <c r="P80" s="38" t="str">
        <f t="shared" si="33"/>
        <v/>
      </c>
      <c r="Q80" s="38" t="str">
        <f t="shared" si="34"/>
        <v/>
      </c>
      <c r="R80" s="26"/>
      <c r="S80" s="26"/>
      <c r="T80" s="27"/>
      <c r="U80" s="27"/>
      <c r="V80" s="26"/>
      <c r="W80" s="26"/>
      <c r="X80" s="26"/>
      <c r="Y80" s="26"/>
      <c r="Z80" s="38"/>
      <c r="AA80" s="38" t="str">
        <f t="shared" si="35"/>
        <v/>
      </c>
      <c r="AB80" s="38" t="str">
        <f t="shared" si="36"/>
        <v/>
      </c>
      <c r="AC80" s="26"/>
      <c r="AD80" s="38"/>
      <c r="AE80" s="38" t="str">
        <f t="shared" si="26"/>
        <v/>
      </c>
      <c r="AF80" s="38" t="str">
        <f t="shared" si="27"/>
        <v/>
      </c>
      <c r="AG80" s="26"/>
      <c r="AH80" s="72" t="str">
        <f t="shared" ca="1" si="28"/>
        <v/>
      </c>
      <c r="AI80" s="72" t="str">
        <f ca="1">IF(A80="","",IF(OR(W80='02_マスタ'!$E$10,W80='02_マスタ'!$E$12),"",IF(V80="High","High",IF(AND(U80&lt;&gt;"",U80&lt;TODAY()),INDEX(_翻訳マスタ!$B$117:$D$247,MATCH("ALERT_OVERDUE",_翻訳マスタ!$A$117:$A$247,0),MATCH(言語切替!$B$3,_翻訳マスタ!$B$1:$D$1,0)),IF(AND(U80&lt;&gt;"",U80-TODAY()&lt;=7),INDEX(_翻訳マスタ!$B$117:$D$247,MATCH("ALERT_APPROACHING",_翻訳マスタ!$A$117:$A$247,0),MATCH(言語切替!$B$3,_翻訳マスタ!$B$1:$D$1,0)),IF(OR(W80='02_マスタ'!$E$7,W80='02_マスタ'!$E$8),INDEX(_翻訳マスタ!$B$117:$D$247,MATCH("ALERT_CHECK",_翻訳マスタ!$A$117:$A$247,0),MATCH(言語切替!$B$3,_翻訳マスタ!$B$1:$D$1,0)),""))))))</f>
        <v/>
      </c>
      <c r="AJ80" s="73"/>
    </row>
    <row r="81" spans="1:36" s="21" customFormat="1" x14ac:dyDescent="0.25">
      <c r="A81" s="83"/>
      <c r="B81" s="84"/>
      <c r="C81" s="84"/>
      <c r="D81" s="84"/>
      <c r="E81" s="84"/>
      <c r="F81" s="29"/>
      <c r="G81" s="39"/>
      <c r="H81" s="39" t="str">
        <f t="shared" si="29"/>
        <v/>
      </c>
      <c r="I81" s="39" t="str">
        <f t="shared" si="30"/>
        <v/>
      </c>
      <c r="J81" s="29"/>
      <c r="K81" s="39"/>
      <c r="L81" s="39" t="str">
        <f t="shared" si="31"/>
        <v/>
      </c>
      <c r="M81" s="39" t="str">
        <f t="shared" si="32"/>
        <v/>
      </c>
      <c r="N81" s="29"/>
      <c r="O81" s="39"/>
      <c r="P81" s="39" t="str">
        <f t="shared" si="33"/>
        <v/>
      </c>
      <c r="Q81" s="39" t="str">
        <f t="shared" si="34"/>
        <v/>
      </c>
      <c r="R81" s="29"/>
      <c r="S81" s="29"/>
      <c r="T81" s="30"/>
      <c r="U81" s="30"/>
      <c r="V81" s="29"/>
      <c r="W81" s="29"/>
      <c r="X81" s="29"/>
      <c r="Y81" s="29"/>
      <c r="Z81" s="39"/>
      <c r="AA81" s="39" t="str">
        <f t="shared" si="35"/>
        <v/>
      </c>
      <c r="AB81" s="39" t="str">
        <f t="shared" si="36"/>
        <v/>
      </c>
      <c r="AC81" s="29"/>
      <c r="AD81" s="39"/>
      <c r="AE81" s="39" t="str">
        <f t="shared" si="26"/>
        <v/>
      </c>
      <c r="AF81" s="39" t="str">
        <f t="shared" si="27"/>
        <v/>
      </c>
      <c r="AG81" s="29"/>
      <c r="AH81" s="74" t="str">
        <f t="shared" ca="1" si="28"/>
        <v/>
      </c>
      <c r="AI81" s="74" t="str">
        <f ca="1">IF(A81="","",IF(OR(W81='02_マスタ'!$E$10,W81='02_マスタ'!$E$12),"",IF(V81="High","High",IF(AND(U81&lt;&gt;"",U81&lt;TODAY()),INDEX(_翻訳マスタ!$B$117:$D$247,MATCH("ALERT_OVERDUE",_翻訳マスタ!$A$117:$A$247,0),MATCH(言語切替!$B$3,_翻訳マスタ!$B$1:$D$1,0)),IF(AND(U81&lt;&gt;"",U81-TODAY()&lt;=7),INDEX(_翻訳マスタ!$B$117:$D$247,MATCH("ALERT_APPROACHING",_翻訳マスタ!$A$117:$A$247,0),MATCH(言語切替!$B$3,_翻訳マスタ!$B$1:$D$1,0)),IF(OR(W81='02_マスタ'!$E$7,W81='02_マスタ'!$E$8),INDEX(_翻訳マスタ!$B$117:$D$247,MATCH("ALERT_CHECK",_翻訳マスタ!$A$117:$A$247,0),MATCH(言語切替!$B$3,_翻訳マスタ!$B$1:$D$1,0)),""))))))</f>
        <v/>
      </c>
      <c r="AJ81" s="75"/>
    </row>
    <row r="82" spans="1:36" s="21" customFormat="1" x14ac:dyDescent="0.25">
      <c r="A82" s="81"/>
      <c r="B82" s="82"/>
      <c r="C82" s="82"/>
      <c r="D82" s="82"/>
      <c r="E82" s="82"/>
      <c r="F82" s="26"/>
      <c r="G82" s="38"/>
      <c r="H82" s="38" t="str">
        <f t="shared" si="29"/>
        <v/>
      </c>
      <c r="I82" s="38" t="str">
        <f t="shared" si="30"/>
        <v/>
      </c>
      <c r="J82" s="26"/>
      <c r="K82" s="38"/>
      <c r="L82" s="38" t="str">
        <f t="shared" si="31"/>
        <v/>
      </c>
      <c r="M82" s="38" t="str">
        <f t="shared" si="32"/>
        <v/>
      </c>
      <c r="N82" s="26"/>
      <c r="O82" s="38"/>
      <c r="P82" s="38" t="str">
        <f t="shared" si="33"/>
        <v/>
      </c>
      <c r="Q82" s="38" t="str">
        <f t="shared" si="34"/>
        <v/>
      </c>
      <c r="R82" s="26"/>
      <c r="S82" s="26"/>
      <c r="T82" s="27"/>
      <c r="U82" s="27"/>
      <c r="V82" s="26"/>
      <c r="W82" s="26"/>
      <c r="X82" s="26"/>
      <c r="Y82" s="26"/>
      <c r="Z82" s="38"/>
      <c r="AA82" s="38" t="str">
        <f t="shared" si="35"/>
        <v/>
      </c>
      <c r="AB82" s="38" t="str">
        <f t="shared" si="36"/>
        <v/>
      </c>
      <c r="AC82" s="26"/>
      <c r="AD82" s="38"/>
      <c r="AE82" s="38" t="str">
        <f t="shared" si="26"/>
        <v/>
      </c>
      <c r="AF82" s="38" t="str">
        <f t="shared" si="27"/>
        <v/>
      </c>
      <c r="AG82" s="26"/>
      <c r="AH82" s="72" t="str">
        <f t="shared" ca="1" si="28"/>
        <v/>
      </c>
      <c r="AI82" s="72" t="str">
        <f ca="1">IF(A82="","",IF(OR(W82='02_マスタ'!$E$10,W82='02_マスタ'!$E$12),"",IF(V82="High","High",IF(AND(U82&lt;&gt;"",U82&lt;TODAY()),INDEX(_翻訳マスタ!$B$117:$D$247,MATCH("ALERT_OVERDUE",_翻訳マスタ!$A$117:$A$247,0),MATCH(言語切替!$B$3,_翻訳マスタ!$B$1:$D$1,0)),IF(AND(U82&lt;&gt;"",U82-TODAY()&lt;=7),INDEX(_翻訳マスタ!$B$117:$D$247,MATCH("ALERT_APPROACHING",_翻訳マスタ!$A$117:$A$247,0),MATCH(言語切替!$B$3,_翻訳マスタ!$B$1:$D$1,0)),IF(OR(W82='02_マスタ'!$E$7,W82='02_マスタ'!$E$8),INDEX(_翻訳マスタ!$B$117:$D$247,MATCH("ALERT_CHECK",_翻訳マスタ!$A$117:$A$247,0),MATCH(言語切替!$B$3,_翻訳マスタ!$B$1:$D$1,0)),""))))))</f>
        <v/>
      </c>
      <c r="AJ82" s="73"/>
    </row>
    <row r="83" spans="1:36" s="21" customFormat="1" x14ac:dyDescent="0.25">
      <c r="A83" s="83"/>
      <c r="B83" s="84"/>
      <c r="C83" s="84"/>
      <c r="D83" s="84"/>
      <c r="E83" s="84"/>
      <c r="F83" s="29"/>
      <c r="G83" s="39"/>
      <c r="H83" s="39" t="str">
        <f t="shared" si="29"/>
        <v/>
      </c>
      <c r="I83" s="39" t="str">
        <f t="shared" si="30"/>
        <v/>
      </c>
      <c r="J83" s="29"/>
      <c r="K83" s="39"/>
      <c r="L83" s="39" t="str">
        <f t="shared" si="31"/>
        <v/>
      </c>
      <c r="M83" s="39" t="str">
        <f t="shared" si="32"/>
        <v/>
      </c>
      <c r="N83" s="29"/>
      <c r="O83" s="39"/>
      <c r="P83" s="39" t="str">
        <f t="shared" si="33"/>
        <v/>
      </c>
      <c r="Q83" s="39" t="str">
        <f t="shared" si="34"/>
        <v/>
      </c>
      <c r="R83" s="29"/>
      <c r="S83" s="29"/>
      <c r="T83" s="30"/>
      <c r="U83" s="30"/>
      <c r="V83" s="29"/>
      <c r="W83" s="29"/>
      <c r="X83" s="29"/>
      <c r="Y83" s="29"/>
      <c r="Z83" s="39"/>
      <c r="AA83" s="39" t="str">
        <f t="shared" si="35"/>
        <v/>
      </c>
      <c r="AB83" s="39" t="str">
        <f t="shared" si="36"/>
        <v/>
      </c>
      <c r="AC83" s="29"/>
      <c r="AD83" s="39"/>
      <c r="AE83" s="39" t="str">
        <f t="shared" si="26"/>
        <v/>
      </c>
      <c r="AF83" s="39" t="str">
        <f t="shared" si="27"/>
        <v/>
      </c>
      <c r="AG83" s="29"/>
      <c r="AH83" s="74" t="str">
        <f t="shared" ca="1" si="28"/>
        <v/>
      </c>
      <c r="AI83" s="74" t="str">
        <f ca="1">IF(A83="","",IF(OR(W83='02_マスタ'!$E$10,W83='02_マスタ'!$E$12),"",IF(V83="High","High",IF(AND(U83&lt;&gt;"",U83&lt;TODAY()),INDEX(_翻訳マスタ!$B$117:$D$247,MATCH("ALERT_OVERDUE",_翻訳マスタ!$A$117:$A$247,0),MATCH(言語切替!$B$3,_翻訳マスタ!$B$1:$D$1,0)),IF(AND(U83&lt;&gt;"",U83-TODAY()&lt;=7),INDEX(_翻訳マスタ!$B$117:$D$247,MATCH("ALERT_APPROACHING",_翻訳マスタ!$A$117:$A$247,0),MATCH(言語切替!$B$3,_翻訳マスタ!$B$1:$D$1,0)),IF(OR(W83='02_マスタ'!$E$7,W83='02_マスタ'!$E$8),INDEX(_翻訳マスタ!$B$117:$D$247,MATCH("ALERT_CHECK",_翻訳マスタ!$A$117:$A$247,0),MATCH(言語切替!$B$3,_翻訳マスタ!$B$1:$D$1,0)),""))))))</f>
        <v/>
      </c>
      <c r="AJ83" s="75"/>
    </row>
    <row r="84" spans="1:36" s="21" customFormat="1" x14ac:dyDescent="0.25">
      <c r="A84" s="81"/>
      <c r="B84" s="82"/>
      <c r="C84" s="82"/>
      <c r="D84" s="82"/>
      <c r="E84" s="82"/>
      <c r="F84" s="26"/>
      <c r="G84" s="38"/>
      <c r="H84" s="38" t="str">
        <f t="shared" si="29"/>
        <v/>
      </c>
      <c r="I84" s="38" t="str">
        <f t="shared" si="30"/>
        <v/>
      </c>
      <c r="J84" s="26"/>
      <c r="K84" s="38"/>
      <c r="L84" s="38" t="str">
        <f t="shared" si="31"/>
        <v/>
      </c>
      <c r="M84" s="38" t="str">
        <f t="shared" si="32"/>
        <v/>
      </c>
      <c r="N84" s="26"/>
      <c r="O84" s="38"/>
      <c r="P84" s="38" t="str">
        <f t="shared" si="33"/>
        <v/>
      </c>
      <c r="Q84" s="38" t="str">
        <f t="shared" si="34"/>
        <v/>
      </c>
      <c r="R84" s="26"/>
      <c r="S84" s="26"/>
      <c r="T84" s="27"/>
      <c r="U84" s="27"/>
      <c r="V84" s="26"/>
      <c r="W84" s="26"/>
      <c r="X84" s="26"/>
      <c r="Y84" s="26"/>
      <c r="Z84" s="38"/>
      <c r="AA84" s="38" t="str">
        <f t="shared" si="35"/>
        <v/>
      </c>
      <c r="AB84" s="38" t="str">
        <f t="shared" si="36"/>
        <v/>
      </c>
      <c r="AC84" s="26"/>
      <c r="AD84" s="38"/>
      <c r="AE84" s="38" t="str">
        <f t="shared" si="26"/>
        <v/>
      </c>
      <c r="AF84" s="38" t="str">
        <f t="shared" si="27"/>
        <v/>
      </c>
      <c r="AG84" s="26"/>
      <c r="AH84" s="72" t="str">
        <f t="shared" ca="1" si="28"/>
        <v/>
      </c>
      <c r="AI84" s="72" t="str">
        <f ca="1">IF(A84="","",IF(OR(W84='02_マスタ'!$E$10,W84='02_マスタ'!$E$12),"",IF(V84="High","High",IF(AND(U84&lt;&gt;"",U84&lt;TODAY()),INDEX(_翻訳マスタ!$B$117:$D$247,MATCH("ALERT_OVERDUE",_翻訳マスタ!$A$117:$A$247,0),MATCH(言語切替!$B$3,_翻訳マスタ!$B$1:$D$1,0)),IF(AND(U84&lt;&gt;"",U84-TODAY()&lt;=7),INDEX(_翻訳マスタ!$B$117:$D$247,MATCH("ALERT_APPROACHING",_翻訳マスタ!$A$117:$A$247,0),MATCH(言語切替!$B$3,_翻訳マスタ!$B$1:$D$1,0)),IF(OR(W84='02_マスタ'!$E$7,W84='02_マスタ'!$E$8),INDEX(_翻訳マスタ!$B$117:$D$247,MATCH("ALERT_CHECK",_翻訳マスタ!$A$117:$A$247,0),MATCH(言語切替!$B$3,_翻訳マスタ!$B$1:$D$1,0)),""))))))</f>
        <v/>
      </c>
      <c r="AJ84" s="73"/>
    </row>
    <row r="85" spans="1:36" s="21" customFormat="1" x14ac:dyDescent="0.25">
      <c r="A85" s="83"/>
      <c r="B85" s="84"/>
      <c r="C85" s="84"/>
      <c r="D85" s="84"/>
      <c r="E85" s="84"/>
      <c r="F85" s="29"/>
      <c r="G85" s="39"/>
      <c r="H85" s="39" t="str">
        <f t="shared" si="29"/>
        <v/>
      </c>
      <c r="I85" s="39" t="str">
        <f t="shared" si="30"/>
        <v/>
      </c>
      <c r="J85" s="29"/>
      <c r="K85" s="39"/>
      <c r="L85" s="39" t="str">
        <f t="shared" si="31"/>
        <v/>
      </c>
      <c r="M85" s="39" t="str">
        <f t="shared" si="32"/>
        <v/>
      </c>
      <c r="N85" s="29"/>
      <c r="O85" s="39"/>
      <c r="P85" s="39" t="str">
        <f t="shared" si="33"/>
        <v/>
      </c>
      <c r="Q85" s="39" t="str">
        <f t="shared" si="34"/>
        <v/>
      </c>
      <c r="R85" s="29"/>
      <c r="S85" s="29"/>
      <c r="T85" s="30"/>
      <c r="U85" s="30"/>
      <c r="V85" s="29"/>
      <c r="W85" s="29"/>
      <c r="X85" s="29"/>
      <c r="Y85" s="29"/>
      <c r="Z85" s="39"/>
      <c r="AA85" s="39" t="str">
        <f t="shared" si="35"/>
        <v/>
      </c>
      <c r="AB85" s="39" t="str">
        <f t="shared" si="36"/>
        <v/>
      </c>
      <c r="AC85" s="29"/>
      <c r="AD85" s="39"/>
      <c r="AE85" s="39" t="str">
        <f t="shared" si="26"/>
        <v/>
      </c>
      <c r="AF85" s="39" t="str">
        <f t="shared" si="27"/>
        <v/>
      </c>
      <c r="AG85" s="29"/>
      <c r="AH85" s="74" t="str">
        <f t="shared" ca="1" si="28"/>
        <v/>
      </c>
      <c r="AI85" s="74" t="str">
        <f ca="1">IF(A85="","",IF(OR(W85='02_マスタ'!$E$10,W85='02_マスタ'!$E$12),"",IF(V85="High","High",IF(AND(U85&lt;&gt;"",U85&lt;TODAY()),INDEX(_翻訳マスタ!$B$117:$D$247,MATCH("ALERT_OVERDUE",_翻訳マスタ!$A$117:$A$247,0),MATCH(言語切替!$B$3,_翻訳マスタ!$B$1:$D$1,0)),IF(AND(U85&lt;&gt;"",U85-TODAY()&lt;=7),INDEX(_翻訳マスタ!$B$117:$D$247,MATCH("ALERT_APPROACHING",_翻訳マスタ!$A$117:$A$247,0),MATCH(言語切替!$B$3,_翻訳マスタ!$B$1:$D$1,0)),IF(OR(W85='02_マスタ'!$E$7,W85='02_マスタ'!$E$8),INDEX(_翻訳マスタ!$B$117:$D$247,MATCH("ALERT_CHECK",_翻訳マスタ!$A$117:$A$247,0),MATCH(言語切替!$B$3,_翻訳マスタ!$B$1:$D$1,0)),""))))))</f>
        <v/>
      </c>
      <c r="AJ85" s="75"/>
    </row>
    <row r="86" spans="1:36" s="21" customFormat="1" x14ac:dyDescent="0.25">
      <c r="A86" s="81"/>
      <c r="B86" s="82"/>
      <c r="C86" s="82"/>
      <c r="D86" s="82"/>
      <c r="E86" s="82"/>
      <c r="F86" s="26"/>
      <c r="G86" s="38"/>
      <c r="H86" s="38" t="str">
        <f t="shared" si="29"/>
        <v/>
      </c>
      <c r="I86" s="38" t="str">
        <f t="shared" si="30"/>
        <v/>
      </c>
      <c r="J86" s="26"/>
      <c r="K86" s="38"/>
      <c r="L86" s="38" t="str">
        <f t="shared" si="31"/>
        <v/>
      </c>
      <c r="M86" s="38" t="str">
        <f t="shared" si="32"/>
        <v/>
      </c>
      <c r="N86" s="26"/>
      <c r="O86" s="38"/>
      <c r="P86" s="38" t="str">
        <f t="shared" si="33"/>
        <v/>
      </c>
      <c r="Q86" s="38" t="str">
        <f t="shared" si="34"/>
        <v/>
      </c>
      <c r="R86" s="26"/>
      <c r="S86" s="26"/>
      <c r="T86" s="27"/>
      <c r="U86" s="27"/>
      <c r="V86" s="26"/>
      <c r="W86" s="26"/>
      <c r="X86" s="26"/>
      <c r="Y86" s="26"/>
      <c r="Z86" s="38"/>
      <c r="AA86" s="38" t="str">
        <f t="shared" si="35"/>
        <v/>
      </c>
      <c r="AB86" s="38" t="str">
        <f t="shared" si="36"/>
        <v/>
      </c>
      <c r="AC86" s="26"/>
      <c r="AD86" s="38"/>
      <c r="AE86" s="38" t="str">
        <f t="shared" si="26"/>
        <v/>
      </c>
      <c r="AF86" s="38" t="str">
        <f t="shared" si="27"/>
        <v/>
      </c>
      <c r="AG86" s="26"/>
      <c r="AH86" s="72" t="str">
        <f t="shared" ca="1" si="28"/>
        <v/>
      </c>
      <c r="AI86" s="72" t="str">
        <f ca="1">IF(A86="","",IF(OR(W86='02_マスタ'!$E$10,W86='02_マスタ'!$E$12),"",IF(V86="High","High",IF(AND(U86&lt;&gt;"",U86&lt;TODAY()),INDEX(_翻訳マスタ!$B$117:$D$247,MATCH("ALERT_OVERDUE",_翻訳マスタ!$A$117:$A$247,0),MATCH(言語切替!$B$3,_翻訳マスタ!$B$1:$D$1,0)),IF(AND(U86&lt;&gt;"",U86-TODAY()&lt;=7),INDEX(_翻訳マスタ!$B$117:$D$247,MATCH("ALERT_APPROACHING",_翻訳マスタ!$A$117:$A$247,0),MATCH(言語切替!$B$3,_翻訳マスタ!$B$1:$D$1,0)),IF(OR(W86='02_マスタ'!$E$7,W86='02_マスタ'!$E$8),INDEX(_翻訳マスタ!$B$117:$D$247,MATCH("ALERT_CHECK",_翻訳マスタ!$A$117:$A$247,0),MATCH(言語切替!$B$3,_翻訳マスタ!$B$1:$D$1,0)),""))))))</f>
        <v/>
      </c>
      <c r="AJ86" s="73"/>
    </row>
    <row r="87" spans="1:36" s="21" customFormat="1" x14ac:dyDescent="0.25">
      <c r="A87" s="83"/>
      <c r="B87" s="84"/>
      <c r="C87" s="84"/>
      <c r="D87" s="84"/>
      <c r="E87" s="84"/>
      <c r="F87" s="29"/>
      <c r="G87" s="39"/>
      <c r="H87" s="39" t="str">
        <f t="shared" si="29"/>
        <v/>
      </c>
      <c r="I87" s="39" t="str">
        <f t="shared" si="30"/>
        <v/>
      </c>
      <c r="J87" s="29"/>
      <c r="K87" s="39"/>
      <c r="L87" s="39" t="str">
        <f t="shared" si="31"/>
        <v/>
      </c>
      <c r="M87" s="39" t="str">
        <f t="shared" si="32"/>
        <v/>
      </c>
      <c r="N87" s="29"/>
      <c r="O87" s="39"/>
      <c r="P87" s="39" t="str">
        <f t="shared" si="33"/>
        <v/>
      </c>
      <c r="Q87" s="39" t="str">
        <f t="shared" si="34"/>
        <v/>
      </c>
      <c r="R87" s="29"/>
      <c r="S87" s="29"/>
      <c r="T87" s="30"/>
      <c r="U87" s="30"/>
      <c r="V87" s="29"/>
      <c r="W87" s="29"/>
      <c r="X87" s="29"/>
      <c r="Y87" s="29"/>
      <c r="Z87" s="39"/>
      <c r="AA87" s="39" t="str">
        <f t="shared" si="35"/>
        <v/>
      </c>
      <c r="AB87" s="39" t="str">
        <f t="shared" si="36"/>
        <v/>
      </c>
      <c r="AC87" s="29"/>
      <c r="AD87" s="39"/>
      <c r="AE87" s="39" t="str">
        <f t="shared" si="26"/>
        <v/>
      </c>
      <c r="AF87" s="39" t="str">
        <f t="shared" si="27"/>
        <v/>
      </c>
      <c r="AG87" s="29"/>
      <c r="AH87" s="74" t="str">
        <f t="shared" ca="1" si="28"/>
        <v/>
      </c>
      <c r="AI87" s="74" t="str">
        <f ca="1">IF(A87="","",IF(OR(W87='02_マスタ'!$E$10,W87='02_マスタ'!$E$12),"",IF(V87="High","High",IF(AND(U87&lt;&gt;"",U87&lt;TODAY()),INDEX(_翻訳マスタ!$B$117:$D$247,MATCH("ALERT_OVERDUE",_翻訳マスタ!$A$117:$A$247,0),MATCH(言語切替!$B$3,_翻訳マスタ!$B$1:$D$1,0)),IF(AND(U87&lt;&gt;"",U87-TODAY()&lt;=7),INDEX(_翻訳マスタ!$B$117:$D$247,MATCH("ALERT_APPROACHING",_翻訳マスタ!$A$117:$A$247,0),MATCH(言語切替!$B$3,_翻訳マスタ!$B$1:$D$1,0)),IF(OR(W87='02_マスタ'!$E$7,W87='02_マスタ'!$E$8),INDEX(_翻訳マスタ!$B$117:$D$247,MATCH("ALERT_CHECK",_翻訳マスタ!$A$117:$A$247,0),MATCH(言語切替!$B$3,_翻訳マスタ!$B$1:$D$1,0)),""))))))</f>
        <v/>
      </c>
      <c r="AJ87" s="75"/>
    </row>
    <row r="88" spans="1:36" s="21" customFormat="1" x14ac:dyDescent="0.25">
      <c r="A88" s="81"/>
      <c r="B88" s="82"/>
      <c r="C88" s="82"/>
      <c r="D88" s="82"/>
      <c r="E88" s="82"/>
      <c r="F88" s="26"/>
      <c r="G88" s="38"/>
      <c r="H88" s="38" t="str">
        <f t="shared" si="29"/>
        <v/>
      </c>
      <c r="I88" s="38" t="str">
        <f t="shared" si="30"/>
        <v/>
      </c>
      <c r="J88" s="26"/>
      <c r="K88" s="38"/>
      <c r="L88" s="38" t="str">
        <f t="shared" si="31"/>
        <v/>
      </c>
      <c r="M88" s="38" t="str">
        <f t="shared" si="32"/>
        <v/>
      </c>
      <c r="N88" s="26"/>
      <c r="O88" s="38"/>
      <c r="P88" s="38" t="str">
        <f t="shared" si="33"/>
        <v/>
      </c>
      <c r="Q88" s="38" t="str">
        <f t="shared" si="34"/>
        <v/>
      </c>
      <c r="R88" s="26"/>
      <c r="S88" s="26"/>
      <c r="T88" s="27"/>
      <c r="U88" s="27"/>
      <c r="V88" s="26"/>
      <c r="W88" s="26"/>
      <c r="X88" s="26"/>
      <c r="Y88" s="26"/>
      <c r="Z88" s="38"/>
      <c r="AA88" s="38" t="str">
        <f t="shared" si="35"/>
        <v/>
      </c>
      <c r="AB88" s="38" t="str">
        <f t="shared" si="36"/>
        <v/>
      </c>
      <c r="AC88" s="26"/>
      <c r="AD88" s="38"/>
      <c r="AE88" s="38" t="str">
        <f t="shared" si="26"/>
        <v/>
      </c>
      <c r="AF88" s="38" t="str">
        <f t="shared" si="27"/>
        <v/>
      </c>
      <c r="AG88" s="26"/>
      <c r="AH88" s="72" t="str">
        <f t="shared" ca="1" si="28"/>
        <v/>
      </c>
      <c r="AI88" s="72" t="str">
        <f ca="1">IF(A88="","",IF(OR(W88='02_マスタ'!$E$10,W88='02_マスタ'!$E$12),"",IF(V88="High","High",IF(AND(U88&lt;&gt;"",U88&lt;TODAY()),INDEX(_翻訳マスタ!$B$117:$D$247,MATCH("ALERT_OVERDUE",_翻訳マスタ!$A$117:$A$247,0),MATCH(言語切替!$B$3,_翻訳マスタ!$B$1:$D$1,0)),IF(AND(U88&lt;&gt;"",U88-TODAY()&lt;=7),INDEX(_翻訳マスタ!$B$117:$D$247,MATCH("ALERT_APPROACHING",_翻訳マスタ!$A$117:$A$247,0),MATCH(言語切替!$B$3,_翻訳マスタ!$B$1:$D$1,0)),IF(OR(W88='02_マスタ'!$E$7,W88='02_マスタ'!$E$8),INDEX(_翻訳マスタ!$B$117:$D$247,MATCH("ALERT_CHECK",_翻訳マスタ!$A$117:$A$247,0),MATCH(言語切替!$B$3,_翻訳マスタ!$B$1:$D$1,0)),""))))))</f>
        <v/>
      </c>
      <c r="AJ88" s="73"/>
    </row>
    <row r="89" spans="1:36" s="21" customFormat="1" x14ac:dyDescent="0.25">
      <c r="A89" s="83"/>
      <c r="B89" s="84"/>
      <c r="C89" s="84"/>
      <c r="D89" s="84"/>
      <c r="E89" s="84"/>
      <c r="F89" s="29"/>
      <c r="G89" s="39"/>
      <c r="H89" s="39" t="str">
        <f t="shared" si="29"/>
        <v/>
      </c>
      <c r="I89" s="39" t="str">
        <f t="shared" si="30"/>
        <v/>
      </c>
      <c r="J89" s="29"/>
      <c r="K89" s="39"/>
      <c r="L89" s="39" t="str">
        <f t="shared" si="31"/>
        <v/>
      </c>
      <c r="M89" s="39" t="str">
        <f t="shared" si="32"/>
        <v/>
      </c>
      <c r="N89" s="29"/>
      <c r="O89" s="39"/>
      <c r="P89" s="39" t="str">
        <f t="shared" si="33"/>
        <v/>
      </c>
      <c r="Q89" s="39" t="str">
        <f t="shared" si="34"/>
        <v/>
      </c>
      <c r="R89" s="29"/>
      <c r="S89" s="29"/>
      <c r="T89" s="30"/>
      <c r="U89" s="30"/>
      <c r="V89" s="29"/>
      <c r="W89" s="29"/>
      <c r="X89" s="29"/>
      <c r="Y89" s="29"/>
      <c r="Z89" s="39"/>
      <c r="AA89" s="39" t="str">
        <f t="shared" si="35"/>
        <v/>
      </c>
      <c r="AB89" s="39" t="str">
        <f t="shared" si="36"/>
        <v/>
      </c>
      <c r="AC89" s="29"/>
      <c r="AD89" s="39"/>
      <c r="AE89" s="39" t="str">
        <f t="shared" si="26"/>
        <v/>
      </c>
      <c r="AF89" s="39" t="str">
        <f t="shared" si="27"/>
        <v/>
      </c>
      <c r="AG89" s="29"/>
      <c r="AH89" s="74" t="str">
        <f t="shared" ca="1" si="28"/>
        <v/>
      </c>
      <c r="AI89" s="74" t="str">
        <f ca="1">IF(A89="","",IF(OR(W89='02_マスタ'!$E$10,W89='02_マスタ'!$E$12),"",IF(V89="High","High",IF(AND(U89&lt;&gt;"",U89&lt;TODAY()),INDEX(_翻訳マスタ!$B$117:$D$247,MATCH("ALERT_OVERDUE",_翻訳マスタ!$A$117:$A$247,0),MATCH(言語切替!$B$3,_翻訳マスタ!$B$1:$D$1,0)),IF(AND(U89&lt;&gt;"",U89-TODAY()&lt;=7),INDEX(_翻訳マスタ!$B$117:$D$247,MATCH("ALERT_APPROACHING",_翻訳マスタ!$A$117:$A$247,0),MATCH(言語切替!$B$3,_翻訳マスタ!$B$1:$D$1,0)),IF(OR(W89='02_マスタ'!$E$7,W89='02_マスタ'!$E$8),INDEX(_翻訳マスタ!$B$117:$D$247,MATCH("ALERT_CHECK",_翻訳マスタ!$A$117:$A$247,0),MATCH(言語切替!$B$3,_翻訳マスタ!$B$1:$D$1,0)),""))))))</f>
        <v/>
      </c>
      <c r="AJ89" s="75"/>
    </row>
    <row r="90" spans="1:36" s="21" customFormat="1" x14ac:dyDescent="0.25">
      <c r="A90" s="81"/>
      <c r="B90" s="82"/>
      <c r="C90" s="82"/>
      <c r="D90" s="82"/>
      <c r="E90" s="82"/>
      <c r="F90" s="26"/>
      <c r="G90" s="38"/>
      <c r="H90" s="38" t="str">
        <f t="shared" si="29"/>
        <v/>
      </c>
      <c r="I90" s="38" t="str">
        <f t="shared" si="30"/>
        <v/>
      </c>
      <c r="J90" s="26"/>
      <c r="K90" s="38"/>
      <c r="L90" s="38" t="str">
        <f t="shared" si="31"/>
        <v/>
      </c>
      <c r="M90" s="38" t="str">
        <f t="shared" si="32"/>
        <v/>
      </c>
      <c r="N90" s="26"/>
      <c r="O90" s="38"/>
      <c r="P90" s="38" t="str">
        <f t="shared" si="33"/>
        <v/>
      </c>
      <c r="Q90" s="38" t="str">
        <f t="shared" si="34"/>
        <v/>
      </c>
      <c r="R90" s="26"/>
      <c r="S90" s="26"/>
      <c r="T90" s="27"/>
      <c r="U90" s="27"/>
      <c r="V90" s="26"/>
      <c r="W90" s="26"/>
      <c r="X90" s="26"/>
      <c r="Y90" s="26"/>
      <c r="Z90" s="38"/>
      <c r="AA90" s="38" t="str">
        <f t="shared" si="35"/>
        <v/>
      </c>
      <c r="AB90" s="38" t="str">
        <f t="shared" si="36"/>
        <v/>
      </c>
      <c r="AC90" s="26"/>
      <c r="AD90" s="38"/>
      <c r="AE90" s="38" t="str">
        <f t="shared" si="26"/>
        <v/>
      </c>
      <c r="AF90" s="38" t="str">
        <f t="shared" si="27"/>
        <v/>
      </c>
      <c r="AG90" s="26"/>
      <c r="AH90" s="72" t="str">
        <f t="shared" ca="1" si="28"/>
        <v/>
      </c>
      <c r="AI90" s="72" t="str">
        <f ca="1">IF(A90="","",IF(OR(W90='02_マスタ'!$E$10,W90='02_マスタ'!$E$12),"",IF(V90="High","High",IF(AND(U90&lt;&gt;"",U90&lt;TODAY()),INDEX(_翻訳マスタ!$B$117:$D$247,MATCH("ALERT_OVERDUE",_翻訳マスタ!$A$117:$A$247,0),MATCH(言語切替!$B$3,_翻訳マスタ!$B$1:$D$1,0)),IF(AND(U90&lt;&gt;"",U90-TODAY()&lt;=7),INDEX(_翻訳マスタ!$B$117:$D$247,MATCH("ALERT_APPROACHING",_翻訳マスタ!$A$117:$A$247,0),MATCH(言語切替!$B$3,_翻訳マスタ!$B$1:$D$1,0)),IF(OR(W90='02_マスタ'!$E$7,W90='02_マスタ'!$E$8),INDEX(_翻訳マスタ!$B$117:$D$247,MATCH("ALERT_CHECK",_翻訳マスタ!$A$117:$A$247,0),MATCH(言語切替!$B$3,_翻訳マスタ!$B$1:$D$1,0)),""))))))</f>
        <v/>
      </c>
      <c r="AJ90" s="73"/>
    </row>
    <row r="91" spans="1:36" s="21" customFormat="1" x14ac:dyDescent="0.25">
      <c r="A91" s="83"/>
      <c r="B91" s="84"/>
      <c r="C91" s="84"/>
      <c r="D91" s="84"/>
      <c r="E91" s="84"/>
      <c r="F91" s="29"/>
      <c r="G91" s="39"/>
      <c r="H91" s="39" t="str">
        <f t="shared" si="29"/>
        <v/>
      </c>
      <c r="I91" s="39" t="str">
        <f t="shared" si="30"/>
        <v/>
      </c>
      <c r="J91" s="29"/>
      <c r="K91" s="39"/>
      <c r="L91" s="39" t="str">
        <f t="shared" si="31"/>
        <v/>
      </c>
      <c r="M91" s="39" t="str">
        <f t="shared" si="32"/>
        <v/>
      </c>
      <c r="N91" s="29"/>
      <c r="O91" s="39"/>
      <c r="P91" s="39" t="str">
        <f t="shared" si="33"/>
        <v/>
      </c>
      <c r="Q91" s="39" t="str">
        <f t="shared" si="34"/>
        <v/>
      </c>
      <c r="R91" s="29"/>
      <c r="S91" s="29"/>
      <c r="T91" s="30"/>
      <c r="U91" s="30"/>
      <c r="V91" s="29"/>
      <c r="W91" s="29"/>
      <c r="X91" s="29"/>
      <c r="Y91" s="29"/>
      <c r="Z91" s="39"/>
      <c r="AA91" s="39" t="str">
        <f t="shared" si="35"/>
        <v/>
      </c>
      <c r="AB91" s="39" t="str">
        <f t="shared" si="36"/>
        <v/>
      </c>
      <c r="AC91" s="29"/>
      <c r="AD91" s="39"/>
      <c r="AE91" s="39" t="str">
        <f t="shared" si="26"/>
        <v/>
      </c>
      <c r="AF91" s="39" t="str">
        <f t="shared" si="27"/>
        <v/>
      </c>
      <c r="AG91" s="29"/>
      <c r="AH91" s="74" t="str">
        <f t="shared" ca="1" si="28"/>
        <v/>
      </c>
      <c r="AI91" s="74" t="str">
        <f ca="1">IF(A91="","",IF(OR(W91='02_マスタ'!$E$10,W91='02_マスタ'!$E$12),"",IF(V91="High","High",IF(AND(U91&lt;&gt;"",U91&lt;TODAY()),INDEX(_翻訳マスタ!$B$117:$D$247,MATCH("ALERT_OVERDUE",_翻訳マスタ!$A$117:$A$247,0),MATCH(言語切替!$B$3,_翻訳マスタ!$B$1:$D$1,0)),IF(AND(U91&lt;&gt;"",U91-TODAY()&lt;=7),INDEX(_翻訳マスタ!$B$117:$D$247,MATCH("ALERT_APPROACHING",_翻訳マスタ!$A$117:$A$247,0),MATCH(言語切替!$B$3,_翻訳マスタ!$B$1:$D$1,0)),IF(OR(W91='02_マスタ'!$E$7,W91='02_マスタ'!$E$8),INDEX(_翻訳マスタ!$B$117:$D$247,MATCH("ALERT_CHECK",_翻訳マスタ!$A$117:$A$247,0),MATCH(言語切替!$B$3,_翻訳マスタ!$B$1:$D$1,0)),""))))))</f>
        <v/>
      </c>
      <c r="AJ91" s="75"/>
    </row>
    <row r="92" spans="1:36" s="21" customFormat="1" x14ac:dyDescent="0.25">
      <c r="A92" s="81"/>
      <c r="B92" s="82"/>
      <c r="C92" s="82"/>
      <c r="D92" s="82"/>
      <c r="E92" s="82"/>
      <c r="F92" s="26"/>
      <c r="G92" s="38"/>
      <c r="H92" s="38" t="str">
        <f t="shared" si="29"/>
        <v/>
      </c>
      <c r="I92" s="38" t="str">
        <f t="shared" si="30"/>
        <v/>
      </c>
      <c r="J92" s="26"/>
      <c r="K92" s="38"/>
      <c r="L92" s="38" t="str">
        <f t="shared" si="31"/>
        <v/>
      </c>
      <c r="M92" s="38" t="str">
        <f t="shared" si="32"/>
        <v/>
      </c>
      <c r="N92" s="26"/>
      <c r="O92" s="38"/>
      <c r="P92" s="38" t="str">
        <f t="shared" si="33"/>
        <v/>
      </c>
      <c r="Q92" s="38" t="str">
        <f t="shared" si="34"/>
        <v/>
      </c>
      <c r="R92" s="26"/>
      <c r="S92" s="26"/>
      <c r="T92" s="27"/>
      <c r="U92" s="27"/>
      <c r="V92" s="26"/>
      <c r="W92" s="26"/>
      <c r="X92" s="26"/>
      <c r="Y92" s="26"/>
      <c r="Z92" s="38"/>
      <c r="AA92" s="38" t="str">
        <f t="shared" si="35"/>
        <v/>
      </c>
      <c r="AB92" s="38" t="str">
        <f t="shared" si="36"/>
        <v/>
      </c>
      <c r="AC92" s="26"/>
      <c r="AD92" s="38"/>
      <c r="AE92" s="38" t="str">
        <f t="shared" si="26"/>
        <v/>
      </c>
      <c r="AF92" s="38" t="str">
        <f t="shared" si="27"/>
        <v/>
      </c>
      <c r="AG92" s="26"/>
      <c r="AH92" s="72" t="str">
        <f t="shared" ca="1" si="28"/>
        <v/>
      </c>
      <c r="AI92" s="72" t="str">
        <f ca="1">IF(A92="","",IF(OR(W92='02_マスタ'!$E$10,W92='02_マスタ'!$E$12),"",IF(V92="High","High",IF(AND(U92&lt;&gt;"",U92&lt;TODAY()),INDEX(_翻訳マスタ!$B$117:$D$247,MATCH("ALERT_OVERDUE",_翻訳マスタ!$A$117:$A$247,0),MATCH(言語切替!$B$3,_翻訳マスタ!$B$1:$D$1,0)),IF(AND(U92&lt;&gt;"",U92-TODAY()&lt;=7),INDEX(_翻訳マスタ!$B$117:$D$247,MATCH("ALERT_APPROACHING",_翻訳マスタ!$A$117:$A$247,0),MATCH(言語切替!$B$3,_翻訳マスタ!$B$1:$D$1,0)),IF(OR(W92='02_マスタ'!$E$7,W92='02_マスタ'!$E$8),INDEX(_翻訳マスタ!$B$117:$D$247,MATCH("ALERT_CHECK",_翻訳マスタ!$A$117:$A$247,0),MATCH(言語切替!$B$3,_翻訳マスタ!$B$1:$D$1,0)),""))))))</f>
        <v/>
      </c>
      <c r="AJ92" s="73"/>
    </row>
    <row r="93" spans="1:36" s="21" customFormat="1" x14ac:dyDescent="0.25">
      <c r="A93" s="83"/>
      <c r="B93" s="84"/>
      <c r="C93" s="84"/>
      <c r="D93" s="84"/>
      <c r="E93" s="84"/>
      <c r="F93" s="29"/>
      <c r="G93" s="39"/>
      <c r="H93" s="39" t="str">
        <f t="shared" si="29"/>
        <v/>
      </c>
      <c r="I93" s="39" t="str">
        <f t="shared" si="30"/>
        <v/>
      </c>
      <c r="J93" s="29"/>
      <c r="K93" s="39"/>
      <c r="L93" s="39" t="str">
        <f t="shared" si="31"/>
        <v/>
      </c>
      <c r="M93" s="39" t="str">
        <f t="shared" si="32"/>
        <v/>
      </c>
      <c r="N93" s="29"/>
      <c r="O93" s="39"/>
      <c r="P93" s="39" t="str">
        <f t="shared" si="33"/>
        <v/>
      </c>
      <c r="Q93" s="39" t="str">
        <f t="shared" si="34"/>
        <v/>
      </c>
      <c r="R93" s="29"/>
      <c r="S93" s="29"/>
      <c r="T93" s="30"/>
      <c r="U93" s="30"/>
      <c r="V93" s="29"/>
      <c r="W93" s="29"/>
      <c r="X93" s="29"/>
      <c r="Y93" s="29"/>
      <c r="Z93" s="39"/>
      <c r="AA93" s="39" t="str">
        <f t="shared" si="35"/>
        <v/>
      </c>
      <c r="AB93" s="39" t="str">
        <f t="shared" si="36"/>
        <v/>
      </c>
      <c r="AC93" s="29"/>
      <c r="AD93" s="39"/>
      <c r="AE93" s="39" t="str">
        <f t="shared" si="26"/>
        <v/>
      </c>
      <c r="AF93" s="39" t="str">
        <f t="shared" si="27"/>
        <v/>
      </c>
      <c r="AG93" s="29"/>
      <c r="AH93" s="74" t="str">
        <f t="shared" ca="1" si="28"/>
        <v/>
      </c>
      <c r="AI93" s="74" t="str">
        <f ca="1">IF(A93="","",IF(OR(W93='02_マスタ'!$E$10,W93='02_マスタ'!$E$12),"",IF(V93="High","High",IF(AND(U93&lt;&gt;"",U93&lt;TODAY()),INDEX(_翻訳マスタ!$B$117:$D$247,MATCH("ALERT_OVERDUE",_翻訳マスタ!$A$117:$A$247,0),MATCH(言語切替!$B$3,_翻訳マスタ!$B$1:$D$1,0)),IF(AND(U93&lt;&gt;"",U93-TODAY()&lt;=7),INDEX(_翻訳マスタ!$B$117:$D$247,MATCH("ALERT_APPROACHING",_翻訳マスタ!$A$117:$A$247,0),MATCH(言語切替!$B$3,_翻訳マスタ!$B$1:$D$1,0)),IF(OR(W93='02_マスタ'!$E$7,W93='02_マスタ'!$E$8),INDEX(_翻訳マスタ!$B$117:$D$247,MATCH("ALERT_CHECK",_翻訳マスタ!$A$117:$A$247,0),MATCH(言語切替!$B$3,_翻訳マスタ!$B$1:$D$1,0)),""))))))</f>
        <v/>
      </c>
      <c r="AJ93" s="75"/>
    </row>
    <row r="94" spans="1:36" s="21" customFormat="1" x14ac:dyDescent="0.25">
      <c r="A94" s="81"/>
      <c r="B94" s="82"/>
      <c r="C94" s="82"/>
      <c r="D94" s="82"/>
      <c r="E94" s="82"/>
      <c r="F94" s="26"/>
      <c r="G94" s="38"/>
      <c r="H94" s="38" t="str">
        <f t="shared" si="29"/>
        <v/>
      </c>
      <c r="I94" s="38" t="str">
        <f t="shared" si="30"/>
        <v/>
      </c>
      <c r="J94" s="26"/>
      <c r="K94" s="38"/>
      <c r="L94" s="38" t="str">
        <f t="shared" si="31"/>
        <v/>
      </c>
      <c r="M94" s="38" t="str">
        <f t="shared" si="32"/>
        <v/>
      </c>
      <c r="N94" s="26"/>
      <c r="O94" s="38"/>
      <c r="P94" s="38" t="str">
        <f t="shared" si="33"/>
        <v/>
      </c>
      <c r="Q94" s="38" t="str">
        <f t="shared" si="34"/>
        <v/>
      </c>
      <c r="R94" s="26"/>
      <c r="S94" s="26"/>
      <c r="T94" s="27"/>
      <c r="U94" s="27"/>
      <c r="V94" s="26"/>
      <c r="W94" s="26"/>
      <c r="X94" s="26"/>
      <c r="Y94" s="26"/>
      <c r="Z94" s="38"/>
      <c r="AA94" s="38" t="str">
        <f t="shared" si="35"/>
        <v/>
      </c>
      <c r="AB94" s="38" t="str">
        <f t="shared" si="36"/>
        <v/>
      </c>
      <c r="AC94" s="26"/>
      <c r="AD94" s="38"/>
      <c r="AE94" s="38" t="str">
        <f t="shared" si="26"/>
        <v/>
      </c>
      <c r="AF94" s="38" t="str">
        <f t="shared" si="27"/>
        <v/>
      </c>
      <c r="AG94" s="26"/>
      <c r="AH94" s="72" t="str">
        <f t="shared" ca="1" si="28"/>
        <v/>
      </c>
      <c r="AI94" s="72" t="str">
        <f ca="1">IF(A94="","",IF(OR(W94='02_マスタ'!$E$10,W94='02_マスタ'!$E$12),"",IF(V94="High","High",IF(AND(U94&lt;&gt;"",U94&lt;TODAY()),INDEX(_翻訳マスタ!$B$117:$D$247,MATCH("ALERT_OVERDUE",_翻訳マスタ!$A$117:$A$247,0),MATCH(言語切替!$B$3,_翻訳マスタ!$B$1:$D$1,0)),IF(AND(U94&lt;&gt;"",U94-TODAY()&lt;=7),INDEX(_翻訳マスタ!$B$117:$D$247,MATCH("ALERT_APPROACHING",_翻訳マスタ!$A$117:$A$247,0),MATCH(言語切替!$B$3,_翻訳マスタ!$B$1:$D$1,0)),IF(OR(W94='02_マスタ'!$E$7,W94='02_マスタ'!$E$8),INDEX(_翻訳マスタ!$B$117:$D$247,MATCH("ALERT_CHECK",_翻訳マスタ!$A$117:$A$247,0),MATCH(言語切替!$B$3,_翻訳マスタ!$B$1:$D$1,0)),""))))))</f>
        <v/>
      </c>
      <c r="AJ94" s="73"/>
    </row>
    <row r="95" spans="1:36" s="21" customFormat="1" x14ac:dyDescent="0.25">
      <c r="A95" s="83"/>
      <c r="B95" s="84"/>
      <c r="C95" s="84"/>
      <c r="D95" s="84"/>
      <c r="E95" s="84"/>
      <c r="F95" s="29"/>
      <c r="G95" s="39"/>
      <c r="H95" s="39" t="str">
        <f t="shared" si="29"/>
        <v/>
      </c>
      <c r="I95" s="39" t="str">
        <f t="shared" si="30"/>
        <v/>
      </c>
      <c r="J95" s="29"/>
      <c r="K95" s="39"/>
      <c r="L95" s="39" t="str">
        <f t="shared" si="31"/>
        <v/>
      </c>
      <c r="M95" s="39" t="str">
        <f t="shared" si="32"/>
        <v/>
      </c>
      <c r="N95" s="29"/>
      <c r="O95" s="39"/>
      <c r="P95" s="39" t="str">
        <f t="shared" si="33"/>
        <v/>
      </c>
      <c r="Q95" s="39" t="str">
        <f t="shared" si="34"/>
        <v/>
      </c>
      <c r="R95" s="29"/>
      <c r="S95" s="29"/>
      <c r="T95" s="30"/>
      <c r="U95" s="30"/>
      <c r="V95" s="29"/>
      <c r="W95" s="29"/>
      <c r="X95" s="29"/>
      <c r="Y95" s="29"/>
      <c r="Z95" s="39"/>
      <c r="AA95" s="39" t="str">
        <f t="shared" si="35"/>
        <v/>
      </c>
      <c r="AB95" s="39" t="str">
        <f t="shared" si="36"/>
        <v/>
      </c>
      <c r="AC95" s="29"/>
      <c r="AD95" s="39"/>
      <c r="AE95" s="39" t="str">
        <f t="shared" si="26"/>
        <v/>
      </c>
      <c r="AF95" s="39" t="str">
        <f t="shared" si="27"/>
        <v/>
      </c>
      <c r="AG95" s="29"/>
      <c r="AH95" s="74" t="str">
        <f t="shared" ca="1" si="28"/>
        <v/>
      </c>
      <c r="AI95" s="74" t="str">
        <f ca="1">IF(A95="","",IF(OR(W95='02_マスタ'!$E$10,W95='02_マスタ'!$E$12),"",IF(V95="High","High",IF(AND(U95&lt;&gt;"",U95&lt;TODAY()),INDEX(_翻訳マスタ!$B$117:$D$247,MATCH("ALERT_OVERDUE",_翻訳マスタ!$A$117:$A$247,0),MATCH(言語切替!$B$3,_翻訳マスタ!$B$1:$D$1,0)),IF(AND(U95&lt;&gt;"",U95-TODAY()&lt;=7),INDEX(_翻訳マスタ!$B$117:$D$247,MATCH("ALERT_APPROACHING",_翻訳マスタ!$A$117:$A$247,0),MATCH(言語切替!$B$3,_翻訳マスタ!$B$1:$D$1,0)),IF(OR(W95='02_マスタ'!$E$7,W95='02_マスタ'!$E$8),INDEX(_翻訳マスタ!$B$117:$D$247,MATCH("ALERT_CHECK",_翻訳マスタ!$A$117:$A$247,0),MATCH(言語切替!$B$3,_翻訳マスタ!$B$1:$D$1,0)),""))))))</f>
        <v/>
      </c>
      <c r="AJ95" s="75"/>
    </row>
    <row r="96" spans="1:36" s="21" customFormat="1" x14ac:dyDescent="0.25">
      <c r="A96" s="81"/>
      <c r="B96" s="82"/>
      <c r="C96" s="82"/>
      <c r="D96" s="82"/>
      <c r="E96" s="82"/>
      <c r="F96" s="26"/>
      <c r="G96" s="38"/>
      <c r="H96" s="38" t="str">
        <f t="shared" si="29"/>
        <v/>
      </c>
      <c r="I96" s="38" t="str">
        <f t="shared" si="30"/>
        <v/>
      </c>
      <c r="J96" s="26"/>
      <c r="K96" s="38"/>
      <c r="L96" s="38" t="str">
        <f t="shared" si="31"/>
        <v/>
      </c>
      <c r="M96" s="38" t="str">
        <f t="shared" si="32"/>
        <v/>
      </c>
      <c r="N96" s="26"/>
      <c r="O96" s="38"/>
      <c r="P96" s="38" t="str">
        <f t="shared" si="33"/>
        <v/>
      </c>
      <c r="Q96" s="38" t="str">
        <f t="shared" si="34"/>
        <v/>
      </c>
      <c r="R96" s="26"/>
      <c r="S96" s="26"/>
      <c r="T96" s="27"/>
      <c r="U96" s="27"/>
      <c r="V96" s="26"/>
      <c r="W96" s="26"/>
      <c r="X96" s="26"/>
      <c r="Y96" s="26"/>
      <c r="Z96" s="38"/>
      <c r="AA96" s="38" t="str">
        <f t="shared" si="35"/>
        <v/>
      </c>
      <c r="AB96" s="38" t="str">
        <f t="shared" si="36"/>
        <v/>
      </c>
      <c r="AC96" s="26"/>
      <c r="AD96" s="38"/>
      <c r="AE96" s="38" t="str">
        <f t="shared" si="26"/>
        <v/>
      </c>
      <c r="AF96" s="38" t="str">
        <f t="shared" si="27"/>
        <v/>
      </c>
      <c r="AG96" s="26"/>
      <c r="AH96" s="72" t="str">
        <f t="shared" ca="1" si="28"/>
        <v/>
      </c>
      <c r="AI96" s="72" t="str">
        <f ca="1">IF(A96="","",IF(OR(W96='02_マスタ'!$E$10,W96='02_マスタ'!$E$12),"",IF(V96="High","High",IF(AND(U96&lt;&gt;"",U96&lt;TODAY()),INDEX(_翻訳マスタ!$B$117:$D$247,MATCH("ALERT_OVERDUE",_翻訳マスタ!$A$117:$A$247,0),MATCH(言語切替!$B$3,_翻訳マスタ!$B$1:$D$1,0)),IF(AND(U96&lt;&gt;"",U96-TODAY()&lt;=7),INDEX(_翻訳マスタ!$B$117:$D$247,MATCH("ALERT_APPROACHING",_翻訳マスタ!$A$117:$A$247,0),MATCH(言語切替!$B$3,_翻訳マスタ!$B$1:$D$1,0)),IF(OR(W96='02_マスタ'!$E$7,W96='02_マスタ'!$E$8),INDEX(_翻訳マスタ!$B$117:$D$247,MATCH("ALERT_CHECK",_翻訳マスタ!$A$117:$A$247,0),MATCH(言語切替!$B$3,_翻訳マスタ!$B$1:$D$1,0)),""))))))</f>
        <v/>
      </c>
      <c r="AJ96" s="73"/>
    </row>
    <row r="97" spans="1:36" s="21" customFormat="1" x14ac:dyDescent="0.25">
      <c r="A97" s="83"/>
      <c r="B97" s="84"/>
      <c r="C97" s="84"/>
      <c r="D97" s="84"/>
      <c r="E97" s="84"/>
      <c r="F97" s="29"/>
      <c r="G97" s="39"/>
      <c r="H97" s="39" t="str">
        <f t="shared" si="29"/>
        <v/>
      </c>
      <c r="I97" s="39" t="str">
        <f t="shared" si="30"/>
        <v/>
      </c>
      <c r="J97" s="29"/>
      <c r="K97" s="39"/>
      <c r="L97" s="39" t="str">
        <f t="shared" si="31"/>
        <v/>
      </c>
      <c r="M97" s="39" t="str">
        <f t="shared" si="32"/>
        <v/>
      </c>
      <c r="N97" s="29"/>
      <c r="O97" s="39"/>
      <c r="P97" s="39" t="str">
        <f t="shared" si="33"/>
        <v/>
      </c>
      <c r="Q97" s="39" t="str">
        <f t="shared" si="34"/>
        <v/>
      </c>
      <c r="R97" s="29"/>
      <c r="S97" s="29"/>
      <c r="T97" s="30"/>
      <c r="U97" s="30"/>
      <c r="V97" s="29"/>
      <c r="W97" s="29"/>
      <c r="X97" s="29"/>
      <c r="Y97" s="29"/>
      <c r="Z97" s="39"/>
      <c r="AA97" s="39" t="str">
        <f t="shared" si="35"/>
        <v/>
      </c>
      <c r="AB97" s="39" t="str">
        <f t="shared" si="36"/>
        <v/>
      </c>
      <c r="AC97" s="29"/>
      <c r="AD97" s="39"/>
      <c r="AE97" s="39" t="str">
        <f t="shared" si="26"/>
        <v/>
      </c>
      <c r="AF97" s="39" t="str">
        <f t="shared" si="27"/>
        <v/>
      </c>
      <c r="AG97" s="29"/>
      <c r="AH97" s="74" t="str">
        <f t="shared" ca="1" si="28"/>
        <v/>
      </c>
      <c r="AI97" s="74" t="str">
        <f ca="1">IF(A97="","",IF(OR(W97='02_マスタ'!$E$10,W97='02_マスタ'!$E$12),"",IF(V97="High","High",IF(AND(U97&lt;&gt;"",U97&lt;TODAY()),INDEX(_翻訳マスタ!$B$117:$D$247,MATCH("ALERT_OVERDUE",_翻訳マスタ!$A$117:$A$247,0),MATCH(言語切替!$B$3,_翻訳マスタ!$B$1:$D$1,0)),IF(AND(U97&lt;&gt;"",U97-TODAY()&lt;=7),INDEX(_翻訳マスタ!$B$117:$D$247,MATCH("ALERT_APPROACHING",_翻訳マスタ!$A$117:$A$247,0),MATCH(言語切替!$B$3,_翻訳マスタ!$B$1:$D$1,0)),IF(OR(W97='02_マスタ'!$E$7,W97='02_マスタ'!$E$8),INDEX(_翻訳マスタ!$B$117:$D$247,MATCH("ALERT_CHECK",_翻訳マスタ!$A$117:$A$247,0),MATCH(言語切替!$B$3,_翻訳マスタ!$B$1:$D$1,0)),""))))))</f>
        <v/>
      </c>
      <c r="AJ97" s="75"/>
    </row>
    <row r="98" spans="1:36" s="21" customFormat="1" x14ac:dyDescent="0.25">
      <c r="A98" s="81"/>
      <c r="B98" s="82"/>
      <c r="C98" s="82"/>
      <c r="D98" s="82"/>
      <c r="E98" s="82"/>
      <c r="F98" s="26"/>
      <c r="G98" s="38"/>
      <c r="H98" s="38" t="str">
        <f t="shared" si="29"/>
        <v/>
      </c>
      <c r="I98" s="38" t="str">
        <f t="shared" si="30"/>
        <v/>
      </c>
      <c r="J98" s="26"/>
      <c r="K98" s="38"/>
      <c r="L98" s="38" t="str">
        <f t="shared" si="31"/>
        <v/>
      </c>
      <c r="M98" s="38" t="str">
        <f t="shared" si="32"/>
        <v/>
      </c>
      <c r="N98" s="26"/>
      <c r="O98" s="38"/>
      <c r="P98" s="38" t="str">
        <f t="shared" si="33"/>
        <v/>
      </c>
      <c r="Q98" s="38" t="str">
        <f t="shared" si="34"/>
        <v/>
      </c>
      <c r="R98" s="26"/>
      <c r="S98" s="26"/>
      <c r="T98" s="27"/>
      <c r="U98" s="27"/>
      <c r="V98" s="26"/>
      <c r="W98" s="26"/>
      <c r="X98" s="26"/>
      <c r="Y98" s="26"/>
      <c r="Z98" s="38"/>
      <c r="AA98" s="38" t="str">
        <f t="shared" si="35"/>
        <v/>
      </c>
      <c r="AB98" s="38" t="str">
        <f t="shared" si="36"/>
        <v/>
      </c>
      <c r="AC98" s="26"/>
      <c r="AD98" s="38"/>
      <c r="AE98" s="38" t="str">
        <f t="shared" si="26"/>
        <v/>
      </c>
      <c r="AF98" s="38" t="str">
        <f t="shared" si="27"/>
        <v/>
      </c>
      <c r="AG98" s="26"/>
      <c r="AH98" s="72" t="str">
        <f t="shared" ca="1" si="28"/>
        <v/>
      </c>
      <c r="AI98" s="72" t="str">
        <f ca="1">IF(A98="","",IF(OR(W98='02_マスタ'!$E$10,W98='02_マスタ'!$E$12),"",IF(V98="High","High",IF(AND(U98&lt;&gt;"",U98&lt;TODAY()),INDEX(_翻訳マスタ!$B$117:$D$247,MATCH("ALERT_OVERDUE",_翻訳マスタ!$A$117:$A$247,0),MATCH(言語切替!$B$3,_翻訳マスタ!$B$1:$D$1,0)),IF(AND(U98&lt;&gt;"",U98-TODAY()&lt;=7),INDEX(_翻訳マスタ!$B$117:$D$247,MATCH("ALERT_APPROACHING",_翻訳マスタ!$A$117:$A$247,0),MATCH(言語切替!$B$3,_翻訳マスタ!$B$1:$D$1,0)),IF(OR(W98='02_マスタ'!$E$7,W98='02_マスタ'!$E$8),INDEX(_翻訳マスタ!$B$117:$D$247,MATCH("ALERT_CHECK",_翻訳マスタ!$A$117:$A$247,0),MATCH(言語切替!$B$3,_翻訳マスタ!$B$1:$D$1,0)),""))))))</f>
        <v/>
      </c>
      <c r="AJ98" s="73"/>
    </row>
    <row r="99" spans="1:36" s="21" customFormat="1" x14ac:dyDescent="0.25">
      <c r="A99" s="83"/>
      <c r="B99" s="84"/>
      <c r="C99" s="84"/>
      <c r="D99" s="84"/>
      <c r="E99" s="84"/>
      <c r="F99" s="29"/>
      <c r="G99" s="39"/>
      <c r="H99" s="39" t="str">
        <f t="shared" si="29"/>
        <v/>
      </c>
      <c r="I99" s="39" t="str">
        <f t="shared" si="30"/>
        <v/>
      </c>
      <c r="J99" s="29"/>
      <c r="K99" s="39"/>
      <c r="L99" s="39" t="str">
        <f t="shared" si="31"/>
        <v/>
      </c>
      <c r="M99" s="39" t="str">
        <f t="shared" si="32"/>
        <v/>
      </c>
      <c r="N99" s="29"/>
      <c r="O99" s="39"/>
      <c r="P99" s="39" t="str">
        <f t="shared" si="33"/>
        <v/>
      </c>
      <c r="Q99" s="39" t="str">
        <f t="shared" si="34"/>
        <v/>
      </c>
      <c r="R99" s="29"/>
      <c r="S99" s="29"/>
      <c r="T99" s="30"/>
      <c r="U99" s="30"/>
      <c r="V99" s="29"/>
      <c r="W99" s="29"/>
      <c r="X99" s="29"/>
      <c r="Y99" s="29"/>
      <c r="Z99" s="39"/>
      <c r="AA99" s="39" t="str">
        <f t="shared" si="35"/>
        <v/>
      </c>
      <c r="AB99" s="39" t="str">
        <f t="shared" si="36"/>
        <v/>
      </c>
      <c r="AC99" s="29"/>
      <c r="AD99" s="39"/>
      <c r="AE99" s="39" t="str">
        <f t="shared" si="26"/>
        <v/>
      </c>
      <c r="AF99" s="39" t="str">
        <f t="shared" si="27"/>
        <v/>
      </c>
      <c r="AG99" s="29"/>
      <c r="AH99" s="74" t="str">
        <f t="shared" ca="1" si="28"/>
        <v/>
      </c>
      <c r="AI99" s="74" t="str">
        <f ca="1">IF(A99="","",IF(OR(W99='02_マスタ'!$E$10,W99='02_マスタ'!$E$12),"",IF(V99="High","High",IF(AND(U99&lt;&gt;"",U99&lt;TODAY()),INDEX(_翻訳マスタ!$B$117:$D$247,MATCH("ALERT_OVERDUE",_翻訳マスタ!$A$117:$A$247,0),MATCH(言語切替!$B$3,_翻訳マスタ!$B$1:$D$1,0)),IF(AND(U99&lt;&gt;"",U99-TODAY()&lt;=7),INDEX(_翻訳マスタ!$B$117:$D$247,MATCH("ALERT_APPROACHING",_翻訳マスタ!$A$117:$A$247,0),MATCH(言語切替!$B$3,_翻訳マスタ!$B$1:$D$1,0)),IF(OR(W99='02_マスタ'!$E$7,W99='02_マスタ'!$E$8),INDEX(_翻訳マスタ!$B$117:$D$247,MATCH("ALERT_CHECK",_翻訳マスタ!$A$117:$A$247,0),MATCH(言語切替!$B$3,_翻訳マスタ!$B$1:$D$1,0)),""))))))</f>
        <v/>
      </c>
      <c r="AJ99" s="75"/>
    </row>
    <row r="100" spans="1:36" s="21" customFormat="1" x14ac:dyDescent="0.25">
      <c r="A100" s="81"/>
      <c r="B100" s="82"/>
      <c r="C100" s="82"/>
      <c r="D100" s="82"/>
      <c r="E100" s="82"/>
      <c r="F100" s="26"/>
      <c r="G100" s="38"/>
      <c r="H100" s="38" t="str">
        <f t="shared" si="29"/>
        <v/>
      </c>
      <c r="I100" s="38" t="str">
        <f t="shared" si="30"/>
        <v/>
      </c>
      <c r="J100" s="26"/>
      <c r="K100" s="38"/>
      <c r="L100" s="38" t="str">
        <f t="shared" si="31"/>
        <v/>
      </c>
      <c r="M100" s="38" t="str">
        <f t="shared" si="32"/>
        <v/>
      </c>
      <c r="N100" s="26"/>
      <c r="O100" s="38"/>
      <c r="P100" s="38" t="str">
        <f t="shared" si="33"/>
        <v/>
      </c>
      <c r="Q100" s="38" t="str">
        <f t="shared" si="34"/>
        <v/>
      </c>
      <c r="R100" s="26"/>
      <c r="S100" s="26"/>
      <c r="T100" s="27"/>
      <c r="U100" s="27"/>
      <c r="V100" s="26"/>
      <c r="W100" s="26"/>
      <c r="X100" s="26"/>
      <c r="Y100" s="26"/>
      <c r="Z100" s="38"/>
      <c r="AA100" s="38" t="str">
        <f t="shared" si="35"/>
        <v/>
      </c>
      <c r="AB100" s="38" t="str">
        <f t="shared" si="36"/>
        <v/>
      </c>
      <c r="AC100" s="26"/>
      <c r="AD100" s="38"/>
      <c r="AE100" s="38" t="str">
        <f t="shared" si="26"/>
        <v/>
      </c>
      <c r="AF100" s="38" t="str">
        <f t="shared" si="27"/>
        <v/>
      </c>
      <c r="AG100" s="26"/>
      <c r="AH100" s="72" t="str">
        <f t="shared" ca="1" si="28"/>
        <v/>
      </c>
      <c r="AI100" s="72" t="str">
        <f ca="1">IF(A100="","",IF(OR(W100='02_マスタ'!$E$10,W100='02_マスタ'!$E$12),"",IF(V100="High","High",IF(AND(U100&lt;&gt;"",U100&lt;TODAY()),INDEX(_翻訳マスタ!$B$117:$D$247,MATCH("ALERT_OVERDUE",_翻訳マスタ!$A$117:$A$247,0),MATCH(言語切替!$B$3,_翻訳マスタ!$B$1:$D$1,0)),IF(AND(U100&lt;&gt;"",U100-TODAY()&lt;=7),INDEX(_翻訳マスタ!$B$117:$D$247,MATCH("ALERT_APPROACHING",_翻訳マスタ!$A$117:$A$247,0),MATCH(言語切替!$B$3,_翻訳マスタ!$B$1:$D$1,0)),IF(OR(W100='02_マスタ'!$E$7,W100='02_マスタ'!$E$8),INDEX(_翻訳マスタ!$B$117:$D$247,MATCH("ALERT_CHECK",_翻訳マスタ!$A$117:$A$247,0),MATCH(言語切替!$B$3,_翻訳マスタ!$B$1:$D$1,0)),""))))))</f>
        <v/>
      </c>
      <c r="AJ100" s="73"/>
    </row>
    <row r="101" spans="1:36" s="21" customFormat="1" x14ac:dyDescent="0.25">
      <c r="A101" s="83"/>
      <c r="B101" s="84"/>
      <c r="C101" s="84"/>
      <c r="D101" s="84"/>
      <c r="E101" s="84"/>
      <c r="F101" s="29"/>
      <c r="G101" s="29"/>
      <c r="H101" s="39" t="str">
        <f t="shared" si="29"/>
        <v/>
      </c>
      <c r="I101" s="39" t="str">
        <f t="shared" si="30"/>
        <v/>
      </c>
      <c r="J101" s="29"/>
      <c r="K101" s="29"/>
      <c r="L101" s="39" t="str">
        <f t="shared" si="31"/>
        <v/>
      </c>
      <c r="M101" s="39" t="str">
        <f t="shared" si="32"/>
        <v/>
      </c>
      <c r="N101" s="29"/>
      <c r="O101" s="29"/>
      <c r="P101" s="39" t="str">
        <f t="shared" si="33"/>
        <v/>
      </c>
      <c r="Q101" s="39" t="str">
        <f t="shared" si="34"/>
        <v/>
      </c>
      <c r="R101" s="29"/>
      <c r="S101" s="29"/>
      <c r="T101" s="30"/>
      <c r="U101" s="30"/>
      <c r="V101" s="29"/>
      <c r="W101" s="29"/>
      <c r="X101" s="29"/>
      <c r="Y101" s="29"/>
      <c r="Z101" s="29"/>
      <c r="AA101" s="39" t="str">
        <f t="shared" si="35"/>
        <v/>
      </c>
      <c r="AB101" s="39" t="str">
        <f t="shared" si="36"/>
        <v/>
      </c>
      <c r="AC101" s="29"/>
      <c r="AD101" s="29"/>
      <c r="AE101" s="39" t="str">
        <f t="shared" si="26"/>
        <v/>
      </c>
      <c r="AF101" s="39" t="str">
        <f t="shared" si="27"/>
        <v/>
      </c>
      <c r="AG101" s="29"/>
      <c r="AH101" s="74" t="str">
        <f t="shared" ca="1" si="28"/>
        <v/>
      </c>
      <c r="AI101" s="74" t="str">
        <f ca="1">IF(A101="","",IF(OR(W101='02_マスタ'!$E$10,W101='02_マスタ'!$E$12),"",IF(V101="High","High",IF(AND(U101&lt;&gt;"",U101&lt;TODAY()),INDEX(_翻訳マスタ!$B$117:$D$247,MATCH("ALERT_OVERDUE",_翻訳マスタ!$A$117:$A$247,0),MATCH(言語切替!$B$3,_翻訳マスタ!$B$1:$D$1,0)),IF(AND(U101&lt;&gt;"",U101-TODAY()&lt;=7),INDEX(_翻訳マスタ!$B$117:$D$247,MATCH("ALERT_APPROACHING",_翻訳マスタ!$A$117:$A$247,0),MATCH(言語切替!$B$3,_翻訳マスタ!$B$1:$D$1,0)),IF(OR(W101='02_マスタ'!$E$7,W101='02_マスタ'!$E$8),INDEX(_翻訳マスタ!$B$117:$D$247,MATCH("ALERT_CHECK",_翻訳マスタ!$A$117:$A$247,0),MATCH(言語切替!$B$3,_翻訳マスタ!$B$1:$D$1,0)),""))))))</f>
        <v/>
      </c>
      <c r="AJ101" s="75"/>
    </row>
    <row r="102" spans="1:36" s="21" customFormat="1" x14ac:dyDescent="0.25">
      <c r="A102" s="81"/>
      <c r="B102" s="82"/>
      <c r="C102" s="82"/>
      <c r="D102" s="82"/>
      <c r="E102" s="82"/>
      <c r="F102" s="26"/>
      <c r="G102" s="26"/>
      <c r="H102" s="38" t="str">
        <f t="shared" si="29"/>
        <v/>
      </c>
      <c r="I102" s="38" t="str">
        <f t="shared" si="30"/>
        <v/>
      </c>
      <c r="J102" s="26"/>
      <c r="K102" s="26"/>
      <c r="L102" s="38" t="str">
        <f t="shared" si="31"/>
        <v/>
      </c>
      <c r="M102" s="38" t="str">
        <f t="shared" si="32"/>
        <v/>
      </c>
      <c r="N102" s="26"/>
      <c r="O102" s="26"/>
      <c r="P102" s="38" t="str">
        <f t="shared" si="33"/>
        <v/>
      </c>
      <c r="Q102" s="38" t="str">
        <f t="shared" si="34"/>
        <v/>
      </c>
      <c r="R102" s="26"/>
      <c r="S102" s="26"/>
      <c r="T102" s="27"/>
      <c r="U102" s="27"/>
      <c r="V102" s="26"/>
      <c r="W102" s="26"/>
      <c r="X102" s="26"/>
      <c r="Y102" s="26"/>
      <c r="Z102" s="26"/>
      <c r="AA102" s="38" t="str">
        <f t="shared" si="35"/>
        <v/>
      </c>
      <c r="AB102" s="38" t="str">
        <f t="shared" si="36"/>
        <v/>
      </c>
      <c r="AC102" s="26"/>
      <c r="AD102" s="26"/>
      <c r="AE102" s="38" t="str">
        <f t="shared" si="26"/>
        <v/>
      </c>
      <c r="AF102" s="38" t="str">
        <f t="shared" si="27"/>
        <v/>
      </c>
      <c r="AG102" s="26"/>
      <c r="AH102" s="72" t="str">
        <f t="shared" ca="1" si="28"/>
        <v/>
      </c>
      <c r="AI102" s="72" t="str">
        <f ca="1">IF(A102="","",IF(OR(W102='02_マスタ'!$E$10,W102='02_マスタ'!$E$12),"",IF(V102="High","High",IF(AND(U102&lt;&gt;"",U102&lt;TODAY()),INDEX(_翻訳マスタ!$B$117:$D$247,MATCH("ALERT_OVERDUE",_翻訳マスタ!$A$117:$A$247,0),MATCH(言語切替!$B$3,_翻訳マスタ!$B$1:$D$1,0)),IF(AND(U102&lt;&gt;"",U102-TODAY()&lt;=7),INDEX(_翻訳マスタ!$B$117:$D$247,MATCH("ALERT_APPROACHING",_翻訳マスタ!$A$117:$A$247,0),MATCH(言語切替!$B$3,_翻訳マスタ!$B$1:$D$1,0)),IF(OR(W102='02_マスタ'!$E$7,W102='02_マスタ'!$E$8),INDEX(_翻訳マスタ!$B$117:$D$247,MATCH("ALERT_CHECK",_翻訳マスタ!$A$117:$A$247,0),MATCH(言語切替!$B$3,_翻訳マスタ!$B$1:$D$1,0)),""))))))</f>
        <v/>
      </c>
      <c r="AJ102" s="73"/>
    </row>
    <row r="103" spans="1:36" s="21" customFormat="1" x14ac:dyDescent="0.25">
      <c r="A103" s="83"/>
      <c r="B103" s="84"/>
      <c r="C103" s="84"/>
      <c r="D103" s="84"/>
      <c r="E103" s="84"/>
      <c r="F103" s="29"/>
      <c r="G103" s="29"/>
      <c r="H103" s="39" t="str">
        <f t="shared" si="29"/>
        <v/>
      </c>
      <c r="I103" s="39" t="str">
        <f t="shared" si="30"/>
        <v/>
      </c>
      <c r="J103" s="29"/>
      <c r="K103" s="29"/>
      <c r="L103" s="39" t="str">
        <f t="shared" si="31"/>
        <v/>
      </c>
      <c r="M103" s="39" t="str">
        <f t="shared" si="32"/>
        <v/>
      </c>
      <c r="N103" s="29"/>
      <c r="O103" s="29"/>
      <c r="P103" s="39" t="str">
        <f t="shared" si="33"/>
        <v/>
      </c>
      <c r="Q103" s="39" t="str">
        <f t="shared" si="34"/>
        <v/>
      </c>
      <c r="R103" s="29"/>
      <c r="S103" s="29"/>
      <c r="T103" s="30"/>
      <c r="U103" s="30"/>
      <c r="V103" s="29"/>
      <c r="W103" s="29"/>
      <c r="X103" s="29"/>
      <c r="Y103" s="29"/>
      <c r="Z103" s="29"/>
      <c r="AA103" s="39" t="str">
        <f t="shared" si="35"/>
        <v/>
      </c>
      <c r="AB103" s="39" t="str">
        <f t="shared" si="36"/>
        <v/>
      </c>
      <c r="AC103" s="29"/>
      <c r="AD103" s="29"/>
      <c r="AE103" s="39" t="str">
        <f t="shared" si="26"/>
        <v/>
      </c>
      <c r="AF103" s="39" t="str">
        <f t="shared" si="27"/>
        <v/>
      </c>
      <c r="AG103" s="29"/>
      <c r="AH103" s="74" t="str">
        <f t="shared" ca="1" si="28"/>
        <v/>
      </c>
      <c r="AI103" s="74" t="str">
        <f ca="1">IF(A103="","",IF(OR(W103='02_マスタ'!$E$10,W103='02_マスタ'!$E$12),"",IF(V103="High","High",IF(AND(U103&lt;&gt;"",U103&lt;TODAY()),INDEX(_翻訳マスタ!$B$117:$D$247,MATCH("ALERT_OVERDUE",_翻訳マスタ!$A$117:$A$247,0),MATCH(言語切替!$B$3,_翻訳マスタ!$B$1:$D$1,0)),IF(AND(U103&lt;&gt;"",U103-TODAY()&lt;=7),INDEX(_翻訳マスタ!$B$117:$D$247,MATCH("ALERT_APPROACHING",_翻訳マスタ!$A$117:$A$247,0),MATCH(言語切替!$B$3,_翻訳マスタ!$B$1:$D$1,0)),IF(OR(W103='02_マスタ'!$E$7,W103='02_マスタ'!$E$8),INDEX(_翻訳マスタ!$B$117:$D$247,MATCH("ALERT_CHECK",_翻訳マスタ!$A$117:$A$247,0),MATCH(言語切替!$B$3,_翻訳マスタ!$B$1:$D$1,0)),""))))))</f>
        <v/>
      </c>
      <c r="AJ103" s="75"/>
    </row>
    <row r="104" spans="1:36" s="21" customFormat="1" x14ac:dyDescent="0.25">
      <c r="A104" s="81"/>
      <c r="B104" s="82"/>
      <c r="C104" s="82"/>
      <c r="D104" s="82"/>
      <c r="E104" s="82"/>
      <c r="F104" s="26"/>
      <c r="G104" s="26"/>
      <c r="H104" s="38" t="str">
        <f t="shared" si="29"/>
        <v/>
      </c>
      <c r="I104" s="38" t="str">
        <f t="shared" si="30"/>
        <v/>
      </c>
      <c r="J104" s="26"/>
      <c r="K104" s="26"/>
      <c r="L104" s="38" t="str">
        <f t="shared" si="31"/>
        <v/>
      </c>
      <c r="M104" s="38" t="str">
        <f t="shared" si="32"/>
        <v/>
      </c>
      <c r="N104" s="26"/>
      <c r="O104" s="26"/>
      <c r="P104" s="38" t="str">
        <f t="shared" si="33"/>
        <v/>
      </c>
      <c r="Q104" s="38" t="str">
        <f t="shared" si="34"/>
        <v/>
      </c>
      <c r="R104" s="26"/>
      <c r="S104" s="26"/>
      <c r="T104" s="27"/>
      <c r="U104" s="27"/>
      <c r="V104" s="26"/>
      <c r="W104" s="26"/>
      <c r="X104" s="26"/>
      <c r="Y104" s="26"/>
      <c r="Z104" s="26"/>
      <c r="AA104" s="38" t="str">
        <f t="shared" si="35"/>
        <v/>
      </c>
      <c r="AB104" s="38" t="str">
        <f t="shared" si="36"/>
        <v/>
      </c>
      <c r="AC104" s="26"/>
      <c r="AD104" s="26"/>
      <c r="AE104" s="38" t="str">
        <f t="shared" si="26"/>
        <v/>
      </c>
      <c r="AF104" s="38" t="str">
        <f t="shared" si="27"/>
        <v/>
      </c>
      <c r="AG104" s="26"/>
      <c r="AH104" s="72" t="str">
        <f t="shared" ca="1" si="28"/>
        <v/>
      </c>
      <c r="AI104" s="72" t="str">
        <f ca="1">IF(A104="","",IF(OR(W104='02_マスタ'!$E$10,W104='02_マスタ'!$E$12),"",IF(V104="High","High",IF(AND(U104&lt;&gt;"",U104&lt;TODAY()),INDEX(_翻訳マスタ!$B$117:$D$247,MATCH("ALERT_OVERDUE",_翻訳マスタ!$A$117:$A$247,0),MATCH(言語切替!$B$3,_翻訳マスタ!$B$1:$D$1,0)),IF(AND(U104&lt;&gt;"",U104-TODAY()&lt;=7),INDEX(_翻訳マスタ!$B$117:$D$247,MATCH("ALERT_APPROACHING",_翻訳マスタ!$A$117:$A$247,0),MATCH(言語切替!$B$3,_翻訳マスタ!$B$1:$D$1,0)),IF(OR(W104='02_マスタ'!$E$7,W104='02_マスタ'!$E$8),INDEX(_翻訳マスタ!$B$117:$D$247,MATCH("ALERT_CHECK",_翻訳マスタ!$A$117:$A$247,0),MATCH(言語切替!$B$3,_翻訳マスタ!$B$1:$D$1,0)),""))))))</f>
        <v/>
      </c>
      <c r="AJ104" s="73"/>
    </row>
    <row r="105" spans="1:36" s="21" customFormat="1" x14ac:dyDescent="0.25">
      <c r="A105" s="83"/>
      <c r="B105" s="84"/>
      <c r="C105" s="84"/>
      <c r="D105" s="84"/>
      <c r="E105" s="84"/>
      <c r="F105" s="29"/>
      <c r="G105" s="29"/>
      <c r="H105" s="39" t="str">
        <f t="shared" si="29"/>
        <v/>
      </c>
      <c r="I105" s="39" t="str">
        <f t="shared" si="30"/>
        <v/>
      </c>
      <c r="J105" s="29"/>
      <c r="K105" s="29"/>
      <c r="L105" s="39" t="str">
        <f t="shared" si="31"/>
        <v/>
      </c>
      <c r="M105" s="39" t="str">
        <f t="shared" si="32"/>
        <v/>
      </c>
      <c r="N105" s="29"/>
      <c r="O105" s="29"/>
      <c r="P105" s="39" t="str">
        <f t="shared" si="33"/>
        <v/>
      </c>
      <c r="Q105" s="39" t="str">
        <f t="shared" si="34"/>
        <v/>
      </c>
      <c r="R105" s="29"/>
      <c r="S105" s="29"/>
      <c r="T105" s="30"/>
      <c r="U105" s="30"/>
      <c r="V105" s="29"/>
      <c r="W105" s="29"/>
      <c r="X105" s="29"/>
      <c r="Y105" s="29"/>
      <c r="Z105" s="29"/>
      <c r="AA105" s="39" t="str">
        <f t="shared" si="35"/>
        <v/>
      </c>
      <c r="AB105" s="39" t="str">
        <f t="shared" si="36"/>
        <v/>
      </c>
      <c r="AC105" s="29"/>
      <c r="AD105" s="29"/>
      <c r="AE105" s="39" t="str">
        <f t="shared" si="26"/>
        <v/>
      </c>
      <c r="AF105" s="39" t="str">
        <f t="shared" si="27"/>
        <v/>
      </c>
      <c r="AG105" s="29"/>
      <c r="AH105" s="74" t="str">
        <f t="shared" ca="1" si="28"/>
        <v/>
      </c>
      <c r="AI105" s="74" t="str">
        <f ca="1">IF(A105="","",IF(OR(W105='02_マスタ'!$E$10,W105='02_マスタ'!$E$12),"",IF(V105="High","High",IF(AND(U105&lt;&gt;"",U105&lt;TODAY()),INDEX(_翻訳マスタ!$B$117:$D$247,MATCH("ALERT_OVERDUE",_翻訳マスタ!$A$117:$A$247,0),MATCH(言語切替!$B$3,_翻訳マスタ!$B$1:$D$1,0)),IF(AND(U105&lt;&gt;"",U105-TODAY()&lt;=7),INDEX(_翻訳マスタ!$B$117:$D$247,MATCH("ALERT_APPROACHING",_翻訳マスタ!$A$117:$A$247,0),MATCH(言語切替!$B$3,_翻訳マスタ!$B$1:$D$1,0)),IF(OR(W105='02_マスタ'!$E$7,W105='02_マスタ'!$E$8),INDEX(_翻訳マスタ!$B$117:$D$247,MATCH("ALERT_CHECK",_翻訳マスタ!$A$117:$A$247,0),MATCH(言語切替!$B$3,_翻訳マスタ!$B$1:$D$1,0)),""))))))</f>
        <v/>
      </c>
      <c r="AJ105" s="75"/>
    </row>
    <row r="106" spans="1:36" s="21" customFormat="1" x14ac:dyDescent="0.25">
      <c r="A106" s="81"/>
      <c r="B106" s="82"/>
      <c r="C106" s="82"/>
      <c r="D106" s="82"/>
      <c r="E106" s="82"/>
      <c r="F106" s="26"/>
      <c r="G106" s="26"/>
      <c r="H106" s="38" t="str">
        <f t="shared" si="29"/>
        <v/>
      </c>
      <c r="I106" s="38" t="str">
        <f t="shared" si="30"/>
        <v/>
      </c>
      <c r="J106" s="26"/>
      <c r="K106" s="26"/>
      <c r="L106" s="38" t="str">
        <f t="shared" si="31"/>
        <v/>
      </c>
      <c r="M106" s="38" t="str">
        <f t="shared" si="32"/>
        <v/>
      </c>
      <c r="N106" s="26"/>
      <c r="O106" s="26"/>
      <c r="P106" s="38" t="str">
        <f t="shared" si="33"/>
        <v/>
      </c>
      <c r="Q106" s="38" t="str">
        <f t="shared" si="34"/>
        <v/>
      </c>
      <c r="R106" s="26"/>
      <c r="S106" s="26"/>
      <c r="T106" s="27"/>
      <c r="U106" s="27"/>
      <c r="V106" s="26"/>
      <c r="W106" s="26"/>
      <c r="X106" s="26"/>
      <c r="Y106" s="26"/>
      <c r="Z106" s="26"/>
      <c r="AA106" s="38" t="str">
        <f t="shared" si="35"/>
        <v/>
      </c>
      <c r="AB106" s="38" t="str">
        <f t="shared" si="36"/>
        <v/>
      </c>
      <c r="AC106" s="26"/>
      <c r="AD106" s="26"/>
      <c r="AE106" s="38" t="str">
        <f t="shared" si="26"/>
        <v/>
      </c>
      <c r="AF106" s="38" t="str">
        <f t="shared" si="27"/>
        <v/>
      </c>
      <c r="AG106" s="26"/>
      <c r="AH106" s="72" t="str">
        <f t="shared" ca="1" si="28"/>
        <v/>
      </c>
      <c r="AI106" s="72" t="str">
        <f ca="1">IF(A106="","",IF(OR(W106='02_マスタ'!$E$10,W106='02_マスタ'!$E$12),"",IF(V106="High","High",IF(AND(U106&lt;&gt;"",U106&lt;TODAY()),INDEX(_翻訳マスタ!$B$117:$D$247,MATCH("ALERT_OVERDUE",_翻訳マスタ!$A$117:$A$247,0),MATCH(言語切替!$B$3,_翻訳マスタ!$B$1:$D$1,0)),IF(AND(U106&lt;&gt;"",U106-TODAY()&lt;=7),INDEX(_翻訳マスタ!$B$117:$D$247,MATCH("ALERT_APPROACHING",_翻訳マスタ!$A$117:$A$247,0),MATCH(言語切替!$B$3,_翻訳マスタ!$B$1:$D$1,0)),IF(OR(W106='02_マスタ'!$E$7,W106='02_マスタ'!$E$8),INDEX(_翻訳マスタ!$B$117:$D$247,MATCH("ALERT_CHECK",_翻訳マスタ!$A$117:$A$247,0),MATCH(言語切替!$B$3,_翻訳マスタ!$B$1:$D$1,0)),""))))))</f>
        <v/>
      </c>
      <c r="AJ106" s="73"/>
    </row>
    <row r="107" spans="1:36" s="21" customFormat="1" x14ac:dyDescent="0.25">
      <c r="A107" s="83"/>
      <c r="B107" s="84"/>
      <c r="C107" s="84"/>
      <c r="D107" s="84"/>
      <c r="E107" s="84"/>
      <c r="F107" s="29"/>
      <c r="G107" s="29"/>
      <c r="H107" s="39" t="str">
        <f t="shared" si="29"/>
        <v/>
      </c>
      <c r="I107" s="39" t="str">
        <f t="shared" si="30"/>
        <v/>
      </c>
      <c r="J107" s="29"/>
      <c r="K107" s="29"/>
      <c r="L107" s="39" t="str">
        <f t="shared" si="31"/>
        <v/>
      </c>
      <c r="M107" s="39" t="str">
        <f t="shared" si="32"/>
        <v/>
      </c>
      <c r="N107" s="29"/>
      <c r="O107" s="29"/>
      <c r="P107" s="39" t="str">
        <f t="shared" si="33"/>
        <v/>
      </c>
      <c r="Q107" s="39" t="str">
        <f t="shared" si="34"/>
        <v/>
      </c>
      <c r="R107" s="29"/>
      <c r="S107" s="29"/>
      <c r="T107" s="30"/>
      <c r="U107" s="30"/>
      <c r="V107" s="29"/>
      <c r="W107" s="29"/>
      <c r="X107" s="29"/>
      <c r="Y107" s="29"/>
      <c r="Z107" s="29"/>
      <c r="AA107" s="39" t="str">
        <f t="shared" si="35"/>
        <v/>
      </c>
      <c r="AB107" s="39" t="str">
        <f t="shared" si="36"/>
        <v/>
      </c>
      <c r="AC107" s="29"/>
      <c r="AD107" s="29"/>
      <c r="AE107" s="39" t="str">
        <f t="shared" si="26"/>
        <v/>
      </c>
      <c r="AF107" s="39" t="str">
        <f t="shared" si="27"/>
        <v/>
      </c>
      <c r="AG107" s="29"/>
      <c r="AH107" s="74" t="str">
        <f t="shared" ca="1" si="28"/>
        <v/>
      </c>
      <c r="AI107" s="74" t="str">
        <f ca="1">IF(A107="","",IF(OR(W107='02_マスタ'!$E$10,W107='02_マスタ'!$E$12),"",IF(V107="High","High",IF(AND(U107&lt;&gt;"",U107&lt;TODAY()),INDEX(_翻訳マスタ!$B$117:$D$247,MATCH("ALERT_OVERDUE",_翻訳マスタ!$A$117:$A$247,0),MATCH(言語切替!$B$3,_翻訳マスタ!$B$1:$D$1,0)),IF(AND(U107&lt;&gt;"",U107-TODAY()&lt;=7),INDEX(_翻訳マスタ!$B$117:$D$247,MATCH("ALERT_APPROACHING",_翻訳マスタ!$A$117:$A$247,0),MATCH(言語切替!$B$3,_翻訳マスタ!$B$1:$D$1,0)),IF(OR(W107='02_マスタ'!$E$7,W107='02_マスタ'!$E$8),INDEX(_翻訳マスタ!$B$117:$D$247,MATCH("ALERT_CHECK",_翻訳マスタ!$A$117:$A$247,0),MATCH(言語切替!$B$3,_翻訳マスタ!$B$1:$D$1,0)),""))))))</f>
        <v/>
      </c>
      <c r="AJ107" s="75"/>
    </row>
    <row r="108" spans="1:36" s="21" customFormat="1" x14ac:dyDescent="0.25">
      <c r="A108" s="81"/>
      <c r="B108" s="82"/>
      <c r="C108" s="82"/>
      <c r="D108" s="82"/>
      <c r="E108" s="82"/>
      <c r="F108" s="26"/>
      <c r="G108" s="26"/>
      <c r="H108" s="38" t="str">
        <f t="shared" si="29"/>
        <v/>
      </c>
      <c r="I108" s="38" t="str">
        <f t="shared" si="30"/>
        <v/>
      </c>
      <c r="J108" s="26"/>
      <c r="K108" s="26"/>
      <c r="L108" s="38" t="str">
        <f t="shared" si="31"/>
        <v/>
      </c>
      <c r="M108" s="38" t="str">
        <f t="shared" si="32"/>
        <v/>
      </c>
      <c r="N108" s="26"/>
      <c r="O108" s="26"/>
      <c r="P108" s="38" t="str">
        <f t="shared" si="33"/>
        <v/>
      </c>
      <c r="Q108" s="38" t="str">
        <f t="shared" si="34"/>
        <v/>
      </c>
      <c r="R108" s="26"/>
      <c r="S108" s="26"/>
      <c r="T108" s="27"/>
      <c r="U108" s="27"/>
      <c r="V108" s="26"/>
      <c r="W108" s="26"/>
      <c r="X108" s="26"/>
      <c r="Y108" s="26"/>
      <c r="Z108" s="26"/>
      <c r="AA108" s="38" t="str">
        <f t="shared" si="35"/>
        <v/>
      </c>
      <c r="AB108" s="38" t="str">
        <f t="shared" si="36"/>
        <v/>
      </c>
      <c r="AC108" s="26"/>
      <c r="AD108" s="26"/>
      <c r="AE108" s="38" t="str">
        <f t="shared" si="26"/>
        <v/>
      </c>
      <c r="AF108" s="38" t="str">
        <f t="shared" si="27"/>
        <v/>
      </c>
      <c r="AG108" s="26"/>
      <c r="AH108" s="72" t="str">
        <f t="shared" ca="1" si="28"/>
        <v/>
      </c>
      <c r="AI108" s="72" t="str">
        <f ca="1">IF(A108="","",IF(OR(W108='02_マスタ'!$E$10,W108='02_マスタ'!$E$12),"",IF(V108="High","High",IF(AND(U108&lt;&gt;"",U108&lt;TODAY()),INDEX(_翻訳マスタ!$B$117:$D$247,MATCH("ALERT_OVERDUE",_翻訳マスタ!$A$117:$A$247,0),MATCH(言語切替!$B$3,_翻訳マスタ!$B$1:$D$1,0)),IF(AND(U108&lt;&gt;"",U108-TODAY()&lt;=7),INDEX(_翻訳マスタ!$B$117:$D$247,MATCH("ALERT_APPROACHING",_翻訳マスタ!$A$117:$A$247,0),MATCH(言語切替!$B$3,_翻訳マスタ!$B$1:$D$1,0)),IF(OR(W108='02_マスタ'!$E$7,W108='02_マスタ'!$E$8),INDEX(_翻訳マスタ!$B$117:$D$247,MATCH("ALERT_CHECK",_翻訳マスタ!$A$117:$A$247,0),MATCH(言語切替!$B$3,_翻訳マスタ!$B$1:$D$1,0)),""))))))</f>
        <v/>
      </c>
      <c r="AJ108" s="73"/>
    </row>
    <row r="109" spans="1:36" s="21" customFormat="1" x14ac:dyDescent="0.25">
      <c r="A109" s="83"/>
      <c r="B109" s="84"/>
      <c r="C109" s="84"/>
      <c r="D109" s="84"/>
      <c r="E109" s="84"/>
      <c r="F109" s="29"/>
      <c r="G109" s="29"/>
      <c r="H109" s="39" t="str">
        <f t="shared" si="29"/>
        <v/>
      </c>
      <c r="I109" s="39" t="str">
        <f t="shared" si="30"/>
        <v/>
      </c>
      <c r="J109" s="29"/>
      <c r="K109" s="29"/>
      <c r="L109" s="39" t="str">
        <f t="shared" si="31"/>
        <v/>
      </c>
      <c r="M109" s="39" t="str">
        <f t="shared" si="32"/>
        <v/>
      </c>
      <c r="N109" s="29"/>
      <c r="O109" s="29"/>
      <c r="P109" s="39" t="str">
        <f t="shared" si="33"/>
        <v/>
      </c>
      <c r="Q109" s="39" t="str">
        <f t="shared" si="34"/>
        <v/>
      </c>
      <c r="R109" s="29"/>
      <c r="S109" s="29"/>
      <c r="T109" s="30"/>
      <c r="U109" s="30"/>
      <c r="V109" s="29"/>
      <c r="W109" s="29"/>
      <c r="X109" s="29"/>
      <c r="Y109" s="29"/>
      <c r="Z109" s="29"/>
      <c r="AA109" s="39" t="str">
        <f t="shared" si="35"/>
        <v/>
      </c>
      <c r="AB109" s="39" t="str">
        <f t="shared" si="36"/>
        <v/>
      </c>
      <c r="AC109" s="29"/>
      <c r="AD109" s="29"/>
      <c r="AE109" s="39" t="str">
        <f t="shared" si="26"/>
        <v/>
      </c>
      <c r="AF109" s="39" t="str">
        <f t="shared" si="27"/>
        <v/>
      </c>
      <c r="AG109" s="29"/>
      <c r="AH109" s="74" t="str">
        <f t="shared" ca="1" si="28"/>
        <v/>
      </c>
      <c r="AI109" s="74" t="str">
        <f ca="1">IF(A109="","",IF(OR(W109='02_マスタ'!$E$10,W109='02_マスタ'!$E$12),"",IF(V109="High","High",IF(AND(U109&lt;&gt;"",U109&lt;TODAY()),INDEX(_翻訳マスタ!$B$117:$D$247,MATCH("ALERT_OVERDUE",_翻訳マスタ!$A$117:$A$247,0),MATCH(言語切替!$B$3,_翻訳マスタ!$B$1:$D$1,0)),IF(AND(U109&lt;&gt;"",U109-TODAY()&lt;=7),INDEX(_翻訳マスタ!$B$117:$D$247,MATCH("ALERT_APPROACHING",_翻訳マスタ!$A$117:$A$247,0),MATCH(言語切替!$B$3,_翻訳マスタ!$B$1:$D$1,0)),IF(OR(W109='02_マスタ'!$E$7,W109='02_マスタ'!$E$8),INDEX(_翻訳マスタ!$B$117:$D$247,MATCH("ALERT_CHECK",_翻訳マスタ!$A$117:$A$247,0),MATCH(言語切替!$B$3,_翻訳マスタ!$B$1:$D$1,0)),""))))))</f>
        <v/>
      </c>
      <c r="AJ109" s="75"/>
    </row>
    <row r="110" spans="1:36" s="21" customFormat="1" x14ac:dyDescent="0.25">
      <c r="A110" s="81"/>
      <c r="B110" s="82"/>
      <c r="C110" s="82"/>
      <c r="D110" s="82"/>
      <c r="E110" s="82"/>
      <c r="F110" s="26"/>
      <c r="G110" s="26"/>
      <c r="H110" s="38" t="str">
        <f t="shared" si="29"/>
        <v/>
      </c>
      <c r="I110" s="38" t="str">
        <f t="shared" si="30"/>
        <v/>
      </c>
      <c r="J110" s="26"/>
      <c r="K110" s="26"/>
      <c r="L110" s="38" t="str">
        <f t="shared" si="31"/>
        <v/>
      </c>
      <c r="M110" s="38" t="str">
        <f t="shared" si="32"/>
        <v/>
      </c>
      <c r="N110" s="26"/>
      <c r="O110" s="26"/>
      <c r="P110" s="38" t="str">
        <f t="shared" si="33"/>
        <v/>
      </c>
      <c r="Q110" s="38" t="str">
        <f t="shared" si="34"/>
        <v/>
      </c>
      <c r="R110" s="26"/>
      <c r="S110" s="26"/>
      <c r="T110" s="27"/>
      <c r="U110" s="27"/>
      <c r="V110" s="26"/>
      <c r="W110" s="26"/>
      <c r="X110" s="26"/>
      <c r="Y110" s="26"/>
      <c r="Z110" s="26"/>
      <c r="AA110" s="38" t="str">
        <f t="shared" si="35"/>
        <v/>
      </c>
      <c r="AB110" s="38" t="str">
        <f t="shared" si="36"/>
        <v/>
      </c>
      <c r="AC110" s="26"/>
      <c r="AD110" s="26"/>
      <c r="AE110" s="38" t="str">
        <f t="shared" si="26"/>
        <v/>
      </c>
      <c r="AF110" s="38" t="str">
        <f t="shared" si="27"/>
        <v/>
      </c>
      <c r="AG110" s="26"/>
      <c r="AH110" s="72" t="str">
        <f t="shared" ca="1" si="28"/>
        <v/>
      </c>
      <c r="AI110" s="72" t="str">
        <f ca="1">IF(A110="","",IF(OR(W110='02_マスタ'!$E$10,W110='02_マスタ'!$E$12),"",IF(V110="High","High",IF(AND(U110&lt;&gt;"",U110&lt;TODAY()),INDEX(_翻訳マスタ!$B$117:$D$247,MATCH("ALERT_OVERDUE",_翻訳マスタ!$A$117:$A$247,0),MATCH(言語切替!$B$3,_翻訳マスタ!$B$1:$D$1,0)),IF(AND(U110&lt;&gt;"",U110-TODAY()&lt;=7),INDEX(_翻訳マスタ!$B$117:$D$247,MATCH("ALERT_APPROACHING",_翻訳マスタ!$A$117:$A$247,0),MATCH(言語切替!$B$3,_翻訳マスタ!$B$1:$D$1,0)),IF(OR(W110='02_マスタ'!$E$7,W110='02_マスタ'!$E$8),INDEX(_翻訳マスタ!$B$117:$D$247,MATCH("ALERT_CHECK",_翻訳マスタ!$A$117:$A$247,0),MATCH(言語切替!$B$3,_翻訳マスタ!$B$1:$D$1,0)),""))))))</f>
        <v/>
      </c>
      <c r="AJ110" s="73"/>
    </row>
    <row r="111" spans="1:36" s="21" customFormat="1" x14ac:dyDescent="0.25">
      <c r="A111" s="83"/>
      <c r="B111" s="84"/>
      <c r="C111" s="84"/>
      <c r="D111" s="84"/>
      <c r="E111" s="84"/>
      <c r="F111" s="29"/>
      <c r="G111" s="29"/>
      <c r="H111" s="39" t="str">
        <f t="shared" si="29"/>
        <v/>
      </c>
      <c r="I111" s="39" t="str">
        <f t="shared" si="30"/>
        <v/>
      </c>
      <c r="J111" s="29"/>
      <c r="K111" s="29"/>
      <c r="L111" s="39" t="str">
        <f t="shared" si="31"/>
        <v/>
      </c>
      <c r="M111" s="39" t="str">
        <f t="shared" si="32"/>
        <v/>
      </c>
      <c r="N111" s="29"/>
      <c r="O111" s="29"/>
      <c r="P111" s="39" t="str">
        <f t="shared" si="33"/>
        <v/>
      </c>
      <c r="Q111" s="39" t="str">
        <f t="shared" si="34"/>
        <v/>
      </c>
      <c r="R111" s="29"/>
      <c r="S111" s="29"/>
      <c r="T111" s="30"/>
      <c r="U111" s="30"/>
      <c r="V111" s="29"/>
      <c r="W111" s="29"/>
      <c r="X111" s="29"/>
      <c r="Y111" s="29"/>
      <c r="Z111" s="29"/>
      <c r="AA111" s="39" t="str">
        <f t="shared" si="35"/>
        <v/>
      </c>
      <c r="AB111" s="39" t="str">
        <f t="shared" si="36"/>
        <v/>
      </c>
      <c r="AC111" s="29"/>
      <c r="AD111" s="29"/>
      <c r="AE111" s="39" t="str">
        <f t="shared" si="26"/>
        <v/>
      </c>
      <c r="AF111" s="39" t="str">
        <f t="shared" si="27"/>
        <v/>
      </c>
      <c r="AG111" s="29"/>
      <c r="AH111" s="74" t="str">
        <f t="shared" ca="1" si="28"/>
        <v/>
      </c>
      <c r="AI111" s="74" t="str">
        <f ca="1">IF(A111="","",IF(OR(W111='02_マスタ'!$E$10,W111='02_マスタ'!$E$12),"",IF(V111="High","High",IF(AND(U111&lt;&gt;"",U111&lt;TODAY()),INDEX(_翻訳マスタ!$B$117:$D$247,MATCH("ALERT_OVERDUE",_翻訳マスタ!$A$117:$A$247,0),MATCH(言語切替!$B$3,_翻訳マスタ!$B$1:$D$1,0)),IF(AND(U111&lt;&gt;"",U111-TODAY()&lt;=7),INDEX(_翻訳マスタ!$B$117:$D$247,MATCH("ALERT_APPROACHING",_翻訳マスタ!$A$117:$A$247,0),MATCH(言語切替!$B$3,_翻訳マスタ!$B$1:$D$1,0)),IF(OR(W111='02_マスタ'!$E$7,W111='02_マスタ'!$E$8),INDEX(_翻訳マスタ!$B$117:$D$247,MATCH("ALERT_CHECK",_翻訳マスタ!$A$117:$A$247,0),MATCH(言語切替!$B$3,_翻訳マスタ!$B$1:$D$1,0)),""))))))</f>
        <v/>
      </c>
      <c r="AJ111" s="75"/>
    </row>
    <row r="112" spans="1:36" s="21" customFormat="1" x14ac:dyDescent="0.25">
      <c r="A112" s="81"/>
      <c r="B112" s="82"/>
      <c r="C112" s="82"/>
      <c r="D112" s="82"/>
      <c r="E112" s="82"/>
      <c r="F112" s="26"/>
      <c r="G112" s="26"/>
      <c r="H112" s="38" t="str">
        <f t="shared" si="29"/>
        <v/>
      </c>
      <c r="I112" s="38" t="str">
        <f t="shared" si="30"/>
        <v/>
      </c>
      <c r="J112" s="26"/>
      <c r="K112" s="26"/>
      <c r="L112" s="38" t="str">
        <f t="shared" si="31"/>
        <v/>
      </c>
      <c r="M112" s="38" t="str">
        <f t="shared" si="32"/>
        <v/>
      </c>
      <c r="N112" s="26"/>
      <c r="O112" s="26"/>
      <c r="P112" s="38" t="str">
        <f t="shared" si="33"/>
        <v/>
      </c>
      <c r="Q112" s="38" t="str">
        <f t="shared" si="34"/>
        <v/>
      </c>
      <c r="R112" s="26"/>
      <c r="S112" s="26"/>
      <c r="T112" s="27"/>
      <c r="U112" s="27"/>
      <c r="V112" s="26"/>
      <c r="W112" s="26"/>
      <c r="X112" s="26"/>
      <c r="Y112" s="26"/>
      <c r="Z112" s="26"/>
      <c r="AA112" s="38" t="str">
        <f t="shared" si="35"/>
        <v/>
      </c>
      <c r="AB112" s="38" t="str">
        <f t="shared" si="36"/>
        <v/>
      </c>
      <c r="AC112" s="26"/>
      <c r="AD112" s="26"/>
      <c r="AE112" s="38" t="str">
        <f t="shared" si="26"/>
        <v/>
      </c>
      <c r="AF112" s="38" t="str">
        <f t="shared" si="27"/>
        <v/>
      </c>
      <c r="AG112" s="26"/>
      <c r="AH112" s="72" t="str">
        <f t="shared" ca="1" si="28"/>
        <v/>
      </c>
      <c r="AI112" s="72" t="str">
        <f ca="1">IF(A112="","",IF(OR(W112='02_マスタ'!$E$10,W112='02_マスタ'!$E$12),"",IF(V112="High","High",IF(AND(U112&lt;&gt;"",U112&lt;TODAY()),INDEX(_翻訳マスタ!$B$117:$D$247,MATCH("ALERT_OVERDUE",_翻訳マスタ!$A$117:$A$247,0),MATCH(言語切替!$B$3,_翻訳マスタ!$B$1:$D$1,0)),IF(AND(U112&lt;&gt;"",U112-TODAY()&lt;=7),INDEX(_翻訳マスタ!$B$117:$D$247,MATCH("ALERT_APPROACHING",_翻訳マスタ!$A$117:$A$247,0),MATCH(言語切替!$B$3,_翻訳マスタ!$B$1:$D$1,0)),IF(OR(W112='02_マスタ'!$E$7,W112='02_マスタ'!$E$8),INDEX(_翻訳マスタ!$B$117:$D$247,MATCH("ALERT_CHECK",_翻訳マスタ!$A$117:$A$247,0),MATCH(言語切替!$B$3,_翻訳マスタ!$B$1:$D$1,0)),""))))))</f>
        <v/>
      </c>
      <c r="AJ112" s="73"/>
    </row>
    <row r="113" spans="1:36" s="21" customFormat="1" x14ac:dyDescent="0.25">
      <c r="A113" s="83"/>
      <c r="B113" s="84"/>
      <c r="C113" s="84"/>
      <c r="D113" s="84"/>
      <c r="E113" s="84"/>
      <c r="F113" s="29"/>
      <c r="G113" s="29"/>
      <c r="H113" s="39" t="str">
        <f t="shared" si="29"/>
        <v/>
      </c>
      <c r="I113" s="39" t="str">
        <f t="shared" si="30"/>
        <v/>
      </c>
      <c r="J113" s="29"/>
      <c r="K113" s="29"/>
      <c r="L113" s="39" t="str">
        <f t="shared" si="31"/>
        <v/>
      </c>
      <c r="M113" s="39" t="str">
        <f t="shared" si="32"/>
        <v/>
      </c>
      <c r="N113" s="29"/>
      <c r="O113" s="29"/>
      <c r="P113" s="39" t="str">
        <f t="shared" si="33"/>
        <v/>
      </c>
      <c r="Q113" s="39" t="str">
        <f t="shared" si="34"/>
        <v/>
      </c>
      <c r="R113" s="29"/>
      <c r="S113" s="29"/>
      <c r="T113" s="30"/>
      <c r="U113" s="30"/>
      <c r="V113" s="29"/>
      <c r="W113" s="29"/>
      <c r="X113" s="29"/>
      <c r="Y113" s="29"/>
      <c r="Z113" s="29"/>
      <c r="AA113" s="39" t="str">
        <f t="shared" si="35"/>
        <v/>
      </c>
      <c r="AB113" s="39" t="str">
        <f t="shared" si="36"/>
        <v/>
      </c>
      <c r="AC113" s="29"/>
      <c r="AD113" s="29"/>
      <c r="AE113" s="39" t="str">
        <f t="shared" si="26"/>
        <v/>
      </c>
      <c r="AF113" s="39" t="str">
        <f t="shared" si="27"/>
        <v/>
      </c>
      <c r="AG113" s="29"/>
      <c r="AH113" s="74" t="str">
        <f t="shared" ca="1" si="28"/>
        <v/>
      </c>
      <c r="AI113" s="74" t="str">
        <f ca="1">IF(A113="","",IF(OR(W113='02_マスタ'!$E$10,W113='02_マスタ'!$E$12),"",IF(V113="High","High",IF(AND(U113&lt;&gt;"",U113&lt;TODAY()),INDEX(_翻訳マスタ!$B$117:$D$247,MATCH("ALERT_OVERDUE",_翻訳マスタ!$A$117:$A$247,0),MATCH(言語切替!$B$3,_翻訳マスタ!$B$1:$D$1,0)),IF(AND(U113&lt;&gt;"",U113-TODAY()&lt;=7),INDEX(_翻訳マスタ!$B$117:$D$247,MATCH("ALERT_APPROACHING",_翻訳マスタ!$A$117:$A$247,0),MATCH(言語切替!$B$3,_翻訳マスタ!$B$1:$D$1,0)),IF(OR(W113='02_マスタ'!$E$7,W113='02_マスタ'!$E$8),INDEX(_翻訳マスタ!$B$117:$D$247,MATCH("ALERT_CHECK",_翻訳マスタ!$A$117:$A$247,0),MATCH(言語切替!$B$3,_翻訳マスタ!$B$1:$D$1,0)),""))))))</f>
        <v/>
      </c>
      <c r="AJ113" s="75"/>
    </row>
    <row r="114" spans="1:36" s="21" customFormat="1" x14ac:dyDescent="0.25">
      <c r="A114" s="81"/>
      <c r="B114" s="82"/>
      <c r="C114" s="82"/>
      <c r="D114" s="82"/>
      <c r="E114" s="82"/>
      <c r="F114" s="26"/>
      <c r="G114" s="26"/>
      <c r="H114" s="38" t="str">
        <f t="shared" si="29"/>
        <v/>
      </c>
      <c r="I114" s="38" t="str">
        <f t="shared" si="30"/>
        <v/>
      </c>
      <c r="J114" s="26"/>
      <c r="K114" s="26"/>
      <c r="L114" s="38" t="str">
        <f t="shared" si="31"/>
        <v/>
      </c>
      <c r="M114" s="38" t="str">
        <f t="shared" si="32"/>
        <v/>
      </c>
      <c r="N114" s="26"/>
      <c r="O114" s="26"/>
      <c r="P114" s="38" t="str">
        <f t="shared" si="33"/>
        <v/>
      </c>
      <c r="Q114" s="38" t="str">
        <f t="shared" si="34"/>
        <v/>
      </c>
      <c r="R114" s="26"/>
      <c r="S114" s="26"/>
      <c r="T114" s="27"/>
      <c r="U114" s="27"/>
      <c r="V114" s="26"/>
      <c r="W114" s="26"/>
      <c r="X114" s="26"/>
      <c r="Y114" s="26"/>
      <c r="Z114" s="26"/>
      <c r="AA114" s="38" t="str">
        <f t="shared" si="35"/>
        <v/>
      </c>
      <c r="AB114" s="38" t="str">
        <f t="shared" si="36"/>
        <v/>
      </c>
      <c r="AC114" s="26"/>
      <c r="AD114" s="26"/>
      <c r="AE114" s="38" t="str">
        <f t="shared" si="26"/>
        <v/>
      </c>
      <c r="AF114" s="38" t="str">
        <f t="shared" si="27"/>
        <v/>
      </c>
      <c r="AG114" s="26"/>
      <c r="AH114" s="72" t="str">
        <f t="shared" ca="1" si="28"/>
        <v/>
      </c>
      <c r="AI114" s="72" t="str">
        <f ca="1">IF(A114="","",IF(OR(W114='02_マスタ'!$E$10,W114='02_マスタ'!$E$12),"",IF(V114="High","High",IF(AND(U114&lt;&gt;"",U114&lt;TODAY()),INDEX(_翻訳マスタ!$B$117:$D$247,MATCH("ALERT_OVERDUE",_翻訳マスタ!$A$117:$A$247,0),MATCH(言語切替!$B$3,_翻訳マスタ!$B$1:$D$1,0)),IF(AND(U114&lt;&gt;"",U114-TODAY()&lt;=7),INDEX(_翻訳マスタ!$B$117:$D$247,MATCH("ALERT_APPROACHING",_翻訳マスタ!$A$117:$A$247,0),MATCH(言語切替!$B$3,_翻訳マスタ!$B$1:$D$1,0)),IF(OR(W114='02_マスタ'!$E$7,W114='02_マスタ'!$E$8),INDEX(_翻訳マスタ!$B$117:$D$247,MATCH("ALERT_CHECK",_翻訳マスタ!$A$117:$A$247,0),MATCH(言語切替!$B$3,_翻訳マスタ!$B$1:$D$1,0)),""))))))</f>
        <v/>
      </c>
      <c r="AJ114" s="73"/>
    </row>
    <row r="115" spans="1:36" s="21" customFormat="1" x14ac:dyDescent="0.25">
      <c r="A115" s="83"/>
      <c r="B115" s="84"/>
      <c r="C115" s="84"/>
      <c r="D115" s="84"/>
      <c r="E115" s="84"/>
      <c r="F115" s="29"/>
      <c r="G115" s="29"/>
      <c r="H115" s="39" t="str">
        <f t="shared" si="29"/>
        <v/>
      </c>
      <c r="I115" s="39" t="str">
        <f t="shared" si="30"/>
        <v/>
      </c>
      <c r="J115" s="29"/>
      <c r="K115" s="29"/>
      <c r="L115" s="39" t="str">
        <f t="shared" si="31"/>
        <v/>
      </c>
      <c r="M115" s="39" t="str">
        <f t="shared" si="32"/>
        <v/>
      </c>
      <c r="N115" s="29"/>
      <c r="O115" s="29"/>
      <c r="P115" s="39" t="str">
        <f t="shared" si="33"/>
        <v/>
      </c>
      <c r="Q115" s="39" t="str">
        <f t="shared" si="34"/>
        <v/>
      </c>
      <c r="R115" s="29"/>
      <c r="S115" s="29"/>
      <c r="T115" s="30"/>
      <c r="U115" s="30"/>
      <c r="V115" s="29"/>
      <c r="W115" s="29"/>
      <c r="X115" s="29"/>
      <c r="Y115" s="29"/>
      <c r="Z115" s="29"/>
      <c r="AA115" s="39" t="str">
        <f t="shared" si="35"/>
        <v/>
      </c>
      <c r="AB115" s="39" t="str">
        <f t="shared" si="36"/>
        <v/>
      </c>
      <c r="AC115" s="29"/>
      <c r="AD115" s="29"/>
      <c r="AE115" s="39" t="str">
        <f t="shared" si="26"/>
        <v/>
      </c>
      <c r="AF115" s="39" t="str">
        <f t="shared" si="27"/>
        <v/>
      </c>
      <c r="AG115" s="29"/>
      <c r="AH115" s="74" t="str">
        <f t="shared" ca="1" si="28"/>
        <v/>
      </c>
      <c r="AI115" s="74" t="str">
        <f ca="1">IF(A115="","",IF(OR(W115='02_マスタ'!$E$10,W115='02_マスタ'!$E$12),"",IF(V115="High","High",IF(AND(U115&lt;&gt;"",U115&lt;TODAY()),INDEX(_翻訳マスタ!$B$117:$D$247,MATCH("ALERT_OVERDUE",_翻訳マスタ!$A$117:$A$247,0),MATCH(言語切替!$B$3,_翻訳マスタ!$B$1:$D$1,0)),IF(AND(U115&lt;&gt;"",U115-TODAY()&lt;=7),INDEX(_翻訳マスタ!$B$117:$D$247,MATCH("ALERT_APPROACHING",_翻訳マスタ!$A$117:$A$247,0),MATCH(言語切替!$B$3,_翻訳マスタ!$B$1:$D$1,0)),IF(OR(W115='02_マスタ'!$E$7,W115='02_マスタ'!$E$8),INDEX(_翻訳マスタ!$B$117:$D$247,MATCH("ALERT_CHECK",_翻訳マスタ!$A$117:$A$247,0),MATCH(言語切替!$B$3,_翻訳マスタ!$B$1:$D$1,0)),""))))))</f>
        <v/>
      </c>
      <c r="AJ115" s="75"/>
    </row>
    <row r="116" spans="1:36" s="21" customFormat="1" x14ac:dyDescent="0.25">
      <c r="A116" s="81"/>
      <c r="B116" s="82"/>
      <c r="C116" s="82"/>
      <c r="D116" s="82"/>
      <c r="E116" s="82"/>
      <c r="F116" s="26"/>
      <c r="G116" s="26"/>
      <c r="H116" s="38" t="str">
        <f t="shared" si="29"/>
        <v/>
      </c>
      <c r="I116" s="38" t="str">
        <f t="shared" si="30"/>
        <v/>
      </c>
      <c r="J116" s="26"/>
      <c r="K116" s="26"/>
      <c r="L116" s="38" t="str">
        <f t="shared" si="31"/>
        <v/>
      </c>
      <c r="M116" s="38" t="str">
        <f t="shared" si="32"/>
        <v/>
      </c>
      <c r="N116" s="26"/>
      <c r="O116" s="26"/>
      <c r="P116" s="38" t="str">
        <f t="shared" si="33"/>
        <v/>
      </c>
      <c r="Q116" s="38" t="str">
        <f t="shared" si="34"/>
        <v/>
      </c>
      <c r="R116" s="26"/>
      <c r="S116" s="26"/>
      <c r="T116" s="27"/>
      <c r="U116" s="27"/>
      <c r="V116" s="26"/>
      <c r="W116" s="26"/>
      <c r="X116" s="26"/>
      <c r="Y116" s="26"/>
      <c r="Z116" s="26"/>
      <c r="AA116" s="38" t="str">
        <f t="shared" si="35"/>
        <v/>
      </c>
      <c r="AB116" s="38" t="str">
        <f t="shared" si="36"/>
        <v/>
      </c>
      <c r="AC116" s="26"/>
      <c r="AD116" s="26"/>
      <c r="AE116" s="38" t="str">
        <f t="shared" si="26"/>
        <v/>
      </c>
      <c r="AF116" s="38" t="str">
        <f t="shared" si="27"/>
        <v/>
      </c>
      <c r="AG116" s="26"/>
      <c r="AH116" s="72" t="str">
        <f t="shared" ca="1" si="28"/>
        <v/>
      </c>
      <c r="AI116" s="72" t="str">
        <f ca="1">IF(A116="","",IF(OR(W116='02_マスタ'!$E$10,W116='02_マスタ'!$E$12),"",IF(V116="High","High",IF(AND(U116&lt;&gt;"",U116&lt;TODAY()),INDEX(_翻訳マスタ!$B$117:$D$247,MATCH("ALERT_OVERDUE",_翻訳マスタ!$A$117:$A$247,0),MATCH(言語切替!$B$3,_翻訳マスタ!$B$1:$D$1,0)),IF(AND(U116&lt;&gt;"",U116-TODAY()&lt;=7),INDEX(_翻訳マスタ!$B$117:$D$247,MATCH("ALERT_APPROACHING",_翻訳マスタ!$A$117:$A$247,0),MATCH(言語切替!$B$3,_翻訳マスタ!$B$1:$D$1,0)),IF(OR(W116='02_マスタ'!$E$7,W116='02_マスタ'!$E$8),INDEX(_翻訳マスタ!$B$117:$D$247,MATCH("ALERT_CHECK",_翻訳マスタ!$A$117:$A$247,0),MATCH(言語切替!$B$3,_翻訳マスタ!$B$1:$D$1,0)),""))))))</f>
        <v/>
      </c>
      <c r="AJ116" s="73"/>
    </row>
    <row r="117" spans="1:36" s="21" customFormat="1" x14ac:dyDescent="0.25">
      <c r="A117" s="83"/>
      <c r="B117" s="84"/>
      <c r="C117" s="84"/>
      <c r="D117" s="84"/>
      <c r="E117" s="84"/>
      <c r="F117" s="29"/>
      <c r="G117" s="29"/>
      <c r="H117" s="39" t="str">
        <f t="shared" si="29"/>
        <v/>
      </c>
      <c r="I117" s="39" t="str">
        <f t="shared" si="30"/>
        <v/>
      </c>
      <c r="J117" s="29"/>
      <c r="K117" s="29"/>
      <c r="L117" s="39" t="str">
        <f t="shared" si="31"/>
        <v/>
      </c>
      <c r="M117" s="39" t="str">
        <f t="shared" si="32"/>
        <v/>
      </c>
      <c r="N117" s="29"/>
      <c r="O117" s="29"/>
      <c r="P117" s="39" t="str">
        <f t="shared" si="33"/>
        <v/>
      </c>
      <c r="Q117" s="39" t="str">
        <f t="shared" si="34"/>
        <v/>
      </c>
      <c r="R117" s="29"/>
      <c r="S117" s="29"/>
      <c r="T117" s="30"/>
      <c r="U117" s="30"/>
      <c r="V117" s="29"/>
      <c r="W117" s="29"/>
      <c r="X117" s="29"/>
      <c r="Y117" s="29"/>
      <c r="Z117" s="29"/>
      <c r="AA117" s="39" t="str">
        <f t="shared" si="35"/>
        <v/>
      </c>
      <c r="AB117" s="39" t="str">
        <f t="shared" si="36"/>
        <v/>
      </c>
      <c r="AC117" s="29"/>
      <c r="AD117" s="29"/>
      <c r="AE117" s="39" t="str">
        <f t="shared" si="26"/>
        <v/>
      </c>
      <c r="AF117" s="39" t="str">
        <f t="shared" si="27"/>
        <v/>
      </c>
      <c r="AG117" s="29"/>
      <c r="AH117" s="74" t="str">
        <f t="shared" ca="1" si="28"/>
        <v/>
      </c>
      <c r="AI117" s="74" t="str">
        <f ca="1">IF(A117="","",IF(OR(W117='02_マスタ'!$E$10,W117='02_マスタ'!$E$12),"",IF(V117="High","High",IF(AND(U117&lt;&gt;"",U117&lt;TODAY()),INDEX(_翻訳マスタ!$B$117:$D$247,MATCH("ALERT_OVERDUE",_翻訳マスタ!$A$117:$A$247,0),MATCH(言語切替!$B$3,_翻訳マスタ!$B$1:$D$1,0)),IF(AND(U117&lt;&gt;"",U117-TODAY()&lt;=7),INDEX(_翻訳マスタ!$B$117:$D$247,MATCH("ALERT_APPROACHING",_翻訳マスタ!$A$117:$A$247,0),MATCH(言語切替!$B$3,_翻訳マスタ!$B$1:$D$1,0)),IF(OR(W117='02_マスタ'!$E$7,W117='02_マスタ'!$E$8),INDEX(_翻訳マスタ!$B$117:$D$247,MATCH("ALERT_CHECK",_翻訳マスタ!$A$117:$A$247,0),MATCH(言語切替!$B$3,_翻訳マスタ!$B$1:$D$1,0)),""))))))</f>
        <v/>
      </c>
      <c r="AJ117" s="75"/>
    </row>
    <row r="118" spans="1:36" s="21" customFormat="1" x14ac:dyDescent="0.25">
      <c r="A118" s="81"/>
      <c r="B118" s="82"/>
      <c r="C118" s="82"/>
      <c r="D118" s="82"/>
      <c r="E118" s="82"/>
      <c r="F118" s="26"/>
      <c r="G118" s="26"/>
      <c r="H118" s="38" t="str">
        <f t="shared" si="29"/>
        <v/>
      </c>
      <c r="I118" s="38" t="str">
        <f t="shared" si="30"/>
        <v/>
      </c>
      <c r="J118" s="26"/>
      <c r="K118" s="26"/>
      <c r="L118" s="38" t="str">
        <f t="shared" si="31"/>
        <v/>
      </c>
      <c r="M118" s="38" t="str">
        <f t="shared" si="32"/>
        <v/>
      </c>
      <c r="N118" s="26"/>
      <c r="O118" s="26"/>
      <c r="P118" s="38" t="str">
        <f t="shared" si="33"/>
        <v/>
      </c>
      <c r="Q118" s="38" t="str">
        <f t="shared" si="34"/>
        <v/>
      </c>
      <c r="R118" s="26"/>
      <c r="S118" s="26"/>
      <c r="T118" s="27"/>
      <c r="U118" s="27"/>
      <c r="V118" s="26"/>
      <c r="W118" s="26"/>
      <c r="X118" s="26"/>
      <c r="Y118" s="26"/>
      <c r="Z118" s="26"/>
      <c r="AA118" s="38" t="str">
        <f t="shared" si="35"/>
        <v/>
      </c>
      <c r="AB118" s="38" t="str">
        <f t="shared" si="36"/>
        <v/>
      </c>
      <c r="AC118" s="26"/>
      <c r="AD118" s="26"/>
      <c r="AE118" s="38" t="str">
        <f t="shared" si="26"/>
        <v/>
      </c>
      <c r="AF118" s="38" t="str">
        <f t="shared" si="27"/>
        <v/>
      </c>
      <c r="AG118" s="26"/>
      <c r="AH118" s="72" t="str">
        <f t="shared" ca="1" si="28"/>
        <v/>
      </c>
      <c r="AI118" s="72" t="str">
        <f ca="1">IF(A118="","",IF(OR(W118='02_マスタ'!$E$10,W118='02_マスタ'!$E$12),"",IF(V118="High","High",IF(AND(U118&lt;&gt;"",U118&lt;TODAY()),INDEX(_翻訳マスタ!$B$117:$D$247,MATCH("ALERT_OVERDUE",_翻訳マスタ!$A$117:$A$247,0),MATCH(言語切替!$B$3,_翻訳マスタ!$B$1:$D$1,0)),IF(AND(U118&lt;&gt;"",U118-TODAY()&lt;=7),INDEX(_翻訳マスタ!$B$117:$D$247,MATCH("ALERT_APPROACHING",_翻訳マスタ!$A$117:$A$247,0),MATCH(言語切替!$B$3,_翻訳マスタ!$B$1:$D$1,0)),IF(OR(W118='02_マスタ'!$E$7,W118='02_マスタ'!$E$8),INDEX(_翻訳マスタ!$B$117:$D$247,MATCH("ALERT_CHECK",_翻訳マスタ!$A$117:$A$247,0),MATCH(言語切替!$B$3,_翻訳マスタ!$B$1:$D$1,0)),""))))))</f>
        <v/>
      </c>
      <c r="AJ118" s="73"/>
    </row>
    <row r="119" spans="1:36" s="21" customFormat="1" x14ac:dyDescent="0.25">
      <c r="A119" s="83"/>
      <c r="B119" s="84"/>
      <c r="C119" s="84"/>
      <c r="D119" s="84"/>
      <c r="E119" s="84"/>
      <c r="F119" s="29"/>
      <c r="G119" s="29"/>
      <c r="H119" s="39" t="str">
        <f t="shared" si="29"/>
        <v/>
      </c>
      <c r="I119" s="39" t="str">
        <f t="shared" si="30"/>
        <v/>
      </c>
      <c r="J119" s="29"/>
      <c r="K119" s="29"/>
      <c r="L119" s="39" t="str">
        <f t="shared" si="31"/>
        <v/>
      </c>
      <c r="M119" s="39" t="str">
        <f t="shared" si="32"/>
        <v/>
      </c>
      <c r="N119" s="29"/>
      <c r="O119" s="29"/>
      <c r="P119" s="39" t="str">
        <f t="shared" si="33"/>
        <v/>
      </c>
      <c r="Q119" s="39" t="str">
        <f t="shared" si="34"/>
        <v/>
      </c>
      <c r="R119" s="29"/>
      <c r="S119" s="29"/>
      <c r="T119" s="30"/>
      <c r="U119" s="30"/>
      <c r="V119" s="29"/>
      <c r="W119" s="29"/>
      <c r="X119" s="29"/>
      <c r="Y119" s="29"/>
      <c r="Z119" s="29"/>
      <c r="AA119" s="39" t="str">
        <f t="shared" si="35"/>
        <v/>
      </c>
      <c r="AB119" s="39" t="str">
        <f t="shared" si="36"/>
        <v/>
      </c>
      <c r="AC119" s="29"/>
      <c r="AD119" s="29"/>
      <c r="AE119" s="39" t="str">
        <f t="shared" si="26"/>
        <v/>
      </c>
      <c r="AF119" s="39" t="str">
        <f t="shared" si="27"/>
        <v/>
      </c>
      <c r="AG119" s="29"/>
      <c r="AH119" s="74" t="str">
        <f t="shared" ca="1" si="28"/>
        <v/>
      </c>
      <c r="AI119" s="74" t="str">
        <f ca="1">IF(A119="","",IF(OR(W119='02_マスタ'!$E$10,W119='02_マスタ'!$E$12),"",IF(V119="High","High",IF(AND(U119&lt;&gt;"",U119&lt;TODAY()),INDEX(_翻訳マスタ!$B$117:$D$247,MATCH("ALERT_OVERDUE",_翻訳マスタ!$A$117:$A$247,0),MATCH(言語切替!$B$3,_翻訳マスタ!$B$1:$D$1,0)),IF(AND(U119&lt;&gt;"",U119-TODAY()&lt;=7),INDEX(_翻訳マスタ!$B$117:$D$247,MATCH("ALERT_APPROACHING",_翻訳マスタ!$A$117:$A$247,0),MATCH(言語切替!$B$3,_翻訳マスタ!$B$1:$D$1,0)),IF(OR(W119='02_マスタ'!$E$7,W119='02_マスタ'!$E$8),INDEX(_翻訳マスタ!$B$117:$D$247,MATCH("ALERT_CHECK",_翻訳マスタ!$A$117:$A$247,0),MATCH(言語切替!$B$3,_翻訳マスタ!$B$1:$D$1,0)),""))))))</f>
        <v/>
      </c>
      <c r="AJ119" s="75"/>
    </row>
    <row r="120" spans="1:36" s="21" customFormat="1" x14ac:dyDescent="0.25">
      <c r="A120" s="81"/>
      <c r="B120" s="82"/>
      <c r="C120" s="82"/>
      <c r="D120" s="82"/>
      <c r="E120" s="82"/>
      <c r="F120" s="26"/>
      <c r="G120" s="26"/>
      <c r="H120" s="38" t="str">
        <f t="shared" si="29"/>
        <v/>
      </c>
      <c r="I120" s="38" t="str">
        <f t="shared" si="30"/>
        <v/>
      </c>
      <c r="J120" s="26"/>
      <c r="K120" s="26"/>
      <c r="L120" s="38" t="str">
        <f t="shared" si="31"/>
        <v/>
      </c>
      <c r="M120" s="38" t="str">
        <f t="shared" si="32"/>
        <v/>
      </c>
      <c r="N120" s="26"/>
      <c r="O120" s="26"/>
      <c r="P120" s="38" t="str">
        <f t="shared" si="33"/>
        <v/>
      </c>
      <c r="Q120" s="38" t="str">
        <f t="shared" si="34"/>
        <v/>
      </c>
      <c r="R120" s="26"/>
      <c r="S120" s="26"/>
      <c r="T120" s="27"/>
      <c r="U120" s="27"/>
      <c r="V120" s="26"/>
      <c r="W120" s="26"/>
      <c r="X120" s="26"/>
      <c r="Y120" s="26"/>
      <c r="Z120" s="26"/>
      <c r="AA120" s="38" t="str">
        <f t="shared" si="35"/>
        <v/>
      </c>
      <c r="AB120" s="38" t="str">
        <f t="shared" si="36"/>
        <v/>
      </c>
      <c r="AC120" s="26"/>
      <c r="AD120" s="26"/>
      <c r="AE120" s="38" t="str">
        <f t="shared" si="26"/>
        <v/>
      </c>
      <c r="AF120" s="38" t="str">
        <f t="shared" si="27"/>
        <v/>
      </c>
      <c r="AG120" s="26"/>
      <c r="AH120" s="72" t="str">
        <f t="shared" ca="1" si="28"/>
        <v/>
      </c>
      <c r="AI120" s="72" t="str">
        <f ca="1">IF(A120="","",IF(OR(W120='02_マスタ'!$E$10,W120='02_マスタ'!$E$12),"",IF(V120="High","High",IF(AND(U120&lt;&gt;"",U120&lt;TODAY()),INDEX(_翻訳マスタ!$B$117:$D$247,MATCH("ALERT_OVERDUE",_翻訳マスタ!$A$117:$A$247,0),MATCH(言語切替!$B$3,_翻訳マスタ!$B$1:$D$1,0)),IF(AND(U120&lt;&gt;"",U120-TODAY()&lt;=7),INDEX(_翻訳マスタ!$B$117:$D$247,MATCH("ALERT_APPROACHING",_翻訳マスタ!$A$117:$A$247,0),MATCH(言語切替!$B$3,_翻訳マスタ!$B$1:$D$1,0)),IF(OR(W120='02_マスタ'!$E$7,W120='02_マスタ'!$E$8),INDEX(_翻訳マスタ!$B$117:$D$247,MATCH("ALERT_CHECK",_翻訳マスタ!$A$117:$A$247,0),MATCH(言語切替!$B$3,_翻訳マスタ!$B$1:$D$1,0)),""))))))</f>
        <v/>
      </c>
      <c r="AJ120" s="73"/>
    </row>
    <row r="121" spans="1:36" s="21" customFormat="1" x14ac:dyDescent="0.25">
      <c r="A121" s="83"/>
      <c r="B121" s="84"/>
      <c r="C121" s="84"/>
      <c r="D121" s="84"/>
      <c r="E121" s="84"/>
      <c r="F121" s="29"/>
      <c r="G121" s="29"/>
      <c r="H121" s="39" t="str">
        <f t="shared" si="29"/>
        <v/>
      </c>
      <c r="I121" s="39" t="str">
        <f t="shared" si="30"/>
        <v/>
      </c>
      <c r="J121" s="29"/>
      <c r="K121" s="29"/>
      <c r="L121" s="39" t="str">
        <f t="shared" si="31"/>
        <v/>
      </c>
      <c r="M121" s="39" t="str">
        <f t="shared" si="32"/>
        <v/>
      </c>
      <c r="N121" s="29"/>
      <c r="O121" s="29"/>
      <c r="P121" s="39" t="str">
        <f t="shared" si="33"/>
        <v/>
      </c>
      <c r="Q121" s="39" t="str">
        <f t="shared" si="34"/>
        <v/>
      </c>
      <c r="R121" s="29"/>
      <c r="S121" s="29"/>
      <c r="T121" s="30"/>
      <c r="U121" s="30"/>
      <c r="V121" s="29"/>
      <c r="W121" s="29"/>
      <c r="X121" s="29"/>
      <c r="Y121" s="29"/>
      <c r="Z121" s="29"/>
      <c r="AA121" s="39" t="str">
        <f t="shared" si="35"/>
        <v/>
      </c>
      <c r="AB121" s="39" t="str">
        <f t="shared" si="36"/>
        <v/>
      </c>
      <c r="AC121" s="29"/>
      <c r="AD121" s="29"/>
      <c r="AE121" s="39" t="str">
        <f t="shared" si="26"/>
        <v/>
      </c>
      <c r="AF121" s="39" t="str">
        <f t="shared" si="27"/>
        <v/>
      </c>
      <c r="AG121" s="29"/>
      <c r="AH121" s="74" t="str">
        <f t="shared" ca="1" si="28"/>
        <v/>
      </c>
      <c r="AI121" s="74" t="str">
        <f ca="1">IF(A121="","",IF(OR(W121='02_マスタ'!$E$10,W121='02_マスタ'!$E$12),"",IF(V121="High","High",IF(AND(U121&lt;&gt;"",U121&lt;TODAY()),INDEX(_翻訳マスタ!$B$117:$D$247,MATCH("ALERT_OVERDUE",_翻訳マスタ!$A$117:$A$247,0),MATCH(言語切替!$B$3,_翻訳マスタ!$B$1:$D$1,0)),IF(AND(U121&lt;&gt;"",U121-TODAY()&lt;=7),INDEX(_翻訳マスタ!$B$117:$D$247,MATCH("ALERT_APPROACHING",_翻訳マスタ!$A$117:$A$247,0),MATCH(言語切替!$B$3,_翻訳マスタ!$B$1:$D$1,0)),IF(OR(W121='02_マスタ'!$E$7,W121='02_マスタ'!$E$8),INDEX(_翻訳マスタ!$B$117:$D$247,MATCH("ALERT_CHECK",_翻訳マスタ!$A$117:$A$247,0),MATCH(言語切替!$B$3,_翻訳マスタ!$B$1:$D$1,0)),""))))))</f>
        <v/>
      </c>
      <c r="AJ121" s="75"/>
    </row>
    <row r="122" spans="1:36" s="21" customFormat="1" x14ac:dyDescent="0.25">
      <c r="A122" s="81"/>
      <c r="B122" s="82"/>
      <c r="C122" s="82"/>
      <c r="D122" s="82"/>
      <c r="E122" s="82"/>
      <c r="F122" s="26"/>
      <c r="G122" s="26"/>
      <c r="H122" s="38" t="str">
        <f t="shared" si="29"/>
        <v/>
      </c>
      <c r="I122" s="38" t="str">
        <f t="shared" si="30"/>
        <v/>
      </c>
      <c r="J122" s="26"/>
      <c r="K122" s="26"/>
      <c r="L122" s="38" t="str">
        <f t="shared" si="31"/>
        <v/>
      </c>
      <c r="M122" s="38" t="str">
        <f t="shared" si="32"/>
        <v/>
      </c>
      <c r="N122" s="26"/>
      <c r="O122" s="26"/>
      <c r="P122" s="38" t="str">
        <f t="shared" si="33"/>
        <v/>
      </c>
      <c r="Q122" s="38" t="str">
        <f t="shared" si="34"/>
        <v/>
      </c>
      <c r="R122" s="26"/>
      <c r="S122" s="26"/>
      <c r="T122" s="27"/>
      <c r="U122" s="27"/>
      <c r="V122" s="26"/>
      <c r="W122" s="26"/>
      <c r="X122" s="26"/>
      <c r="Y122" s="26"/>
      <c r="Z122" s="26"/>
      <c r="AA122" s="38" t="str">
        <f t="shared" si="35"/>
        <v/>
      </c>
      <c r="AB122" s="38" t="str">
        <f t="shared" si="36"/>
        <v/>
      </c>
      <c r="AC122" s="26"/>
      <c r="AD122" s="26"/>
      <c r="AE122" s="38" t="str">
        <f t="shared" si="26"/>
        <v/>
      </c>
      <c r="AF122" s="38" t="str">
        <f t="shared" si="27"/>
        <v/>
      </c>
      <c r="AG122" s="26"/>
      <c r="AH122" s="72" t="str">
        <f t="shared" ca="1" si="28"/>
        <v/>
      </c>
      <c r="AI122" s="72" t="str">
        <f ca="1">IF(A122="","",IF(OR(W122='02_マスタ'!$E$10,W122='02_マスタ'!$E$12),"",IF(V122="High","High",IF(AND(U122&lt;&gt;"",U122&lt;TODAY()),INDEX(_翻訳マスタ!$B$117:$D$247,MATCH("ALERT_OVERDUE",_翻訳マスタ!$A$117:$A$247,0),MATCH(言語切替!$B$3,_翻訳マスタ!$B$1:$D$1,0)),IF(AND(U122&lt;&gt;"",U122-TODAY()&lt;=7),INDEX(_翻訳マスタ!$B$117:$D$247,MATCH("ALERT_APPROACHING",_翻訳マスタ!$A$117:$A$247,0),MATCH(言語切替!$B$3,_翻訳マスタ!$B$1:$D$1,0)),IF(OR(W122='02_マスタ'!$E$7,W122='02_マスタ'!$E$8),INDEX(_翻訳マスタ!$B$117:$D$247,MATCH("ALERT_CHECK",_翻訳マスタ!$A$117:$A$247,0),MATCH(言語切替!$B$3,_翻訳マスタ!$B$1:$D$1,0)),""))))))</f>
        <v/>
      </c>
      <c r="AJ122" s="73"/>
    </row>
    <row r="123" spans="1:36" s="21" customFormat="1" x14ac:dyDescent="0.25">
      <c r="A123" s="83"/>
      <c r="B123" s="84"/>
      <c r="C123" s="84"/>
      <c r="D123" s="84"/>
      <c r="E123" s="84"/>
      <c r="F123" s="29"/>
      <c r="G123" s="29"/>
      <c r="H123" s="39" t="str">
        <f t="shared" si="29"/>
        <v/>
      </c>
      <c r="I123" s="39" t="str">
        <f t="shared" si="30"/>
        <v/>
      </c>
      <c r="J123" s="29"/>
      <c r="K123" s="29"/>
      <c r="L123" s="39" t="str">
        <f t="shared" si="31"/>
        <v/>
      </c>
      <c r="M123" s="39" t="str">
        <f t="shared" si="32"/>
        <v/>
      </c>
      <c r="N123" s="29"/>
      <c r="O123" s="29"/>
      <c r="P123" s="39" t="str">
        <f t="shared" si="33"/>
        <v/>
      </c>
      <c r="Q123" s="39" t="str">
        <f t="shared" si="34"/>
        <v/>
      </c>
      <c r="R123" s="29"/>
      <c r="S123" s="29"/>
      <c r="T123" s="30"/>
      <c r="U123" s="30"/>
      <c r="V123" s="29"/>
      <c r="W123" s="29"/>
      <c r="X123" s="29"/>
      <c r="Y123" s="29"/>
      <c r="Z123" s="29"/>
      <c r="AA123" s="39" t="str">
        <f t="shared" si="35"/>
        <v/>
      </c>
      <c r="AB123" s="39" t="str">
        <f t="shared" si="36"/>
        <v/>
      </c>
      <c r="AC123" s="29"/>
      <c r="AD123" s="29"/>
      <c r="AE123" s="39" t="str">
        <f t="shared" si="26"/>
        <v/>
      </c>
      <c r="AF123" s="39" t="str">
        <f t="shared" si="27"/>
        <v/>
      </c>
      <c r="AG123" s="29"/>
      <c r="AH123" s="74" t="str">
        <f t="shared" ca="1" si="28"/>
        <v/>
      </c>
      <c r="AI123" s="74" t="str">
        <f ca="1">IF(A123="","",IF(OR(W123='02_マスタ'!$E$10,W123='02_マスタ'!$E$12),"",IF(V123="High","High",IF(AND(U123&lt;&gt;"",U123&lt;TODAY()),INDEX(_翻訳マスタ!$B$117:$D$247,MATCH("ALERT_OVERDUE",_翻訳マスタ!$A$117:$A$247,0),MATCH(言語切替!$B$3,_翻訳マスタ!$B$1:$D$1,0)),IF(AND(U123&lt;&gt;"",U123-TODAY()&lt;=7),INDEX(_翻訳マスタ!$B$117:$D$247,MATCH("ALERT_APPROACHING",_翻訳マスタ!$A$117:$A$247,0),MATCH(言語切替!$B$3,_翻訳マスタ!$B$1:$D$1,0)),IF(OR(W123='02_マスタ'!$E$7,W123='02_マスタ'!$E$8),INDEX(_翻訳マスタ!$B$117:$D$247,MATCH("ALERT_CHECK",_翻訳マスタ!$A$117:$A$247,0),MATCH(言語切替!$B$3,_翻訳マスタ!$B$1:$D$1,0)),""))))))</f>
        <v/>
      </c>
      <c r="AJ123" s="75"/>
    </row>
    <row r="124" spans="1:36" s="21" customFormat="1" x14ac:dyDescent="0.25">
      <c r="A124" s="81"/>
      <c r="B124" s="82"/>
      <c r="C124" s="82"/>
      <c r="D124" s="82"/>
      <c r="E124" s="82"/>
      <c r="F124" s="26"/>
      <c r="G124" s="26"/>
      <c r="H124" s="38" t="str">
        <f t="shared" si="29"/>
        <v/>
      </c>
      <c r="I124" s="38" t="str">
        <f t="shared" si="30"/>
        <v/>
      </c>
      <c r="J124" s="26"/>
      <c r="K124" s="26"/>
      <c r="L124" s="38" t="str">
        <f t="shared" si="31"/>
        <v/>
      </c>
      <c r="M124" s="38" t="str">
        <f t="shared" si="32"/>
        <v/>
      </c>
      <c r="N124" s="26"/>
      <c r="O124" s="26"/>
      <c r="P124" s="38" t="str">
        <f t="shared" si="33"/>
        <v/>
      </c>
      <c r="Q124" s="38" t="str">
        <f t="shared" si="34"/>
        <v/>
      </c>
      <c r="R124" s="26"/>
      <c r="S124" s="26"/>
      <c r="T124" s="27"/>
      <c r="U124" s="27"/>
      <c r="V124" s="26"/>
      <c r="W124" s="26"/>
      <c r="X124" s="26"/>
      <c r="Y124" s="26"/>
      <c r="Z124" s="26"/>
      <c r="AA124" s="38" t="str">
        <f t="shared" si="35"/>
        <v/>
      </c>
      <c r="AB124" s="38" t="str">
        <f t="shared" si="36"/>
        <v/>
      </c>
      <c r="AC124" s="26"/>
      <c r="AD124" s="26"/>
      <c r="AE124" s="38" t="str">
        <f t="shared" si="26"/>
        <v/>
      </c>
      <c r="AF124" s="38" t="str">
        <f t="shared" si="27"/>
        <v/>
      </c>
      <c r="AG124" s="26"/>
      <c r="AH124" s="72" t="str">
        <f t="shared" ca="1" si="28"/>
        <v/>
      </c>
      <c r="AI124" s="72" t="str">
        <f ca="1">IF(A124="","",IF(OR(W124='02_マスタ'!$E$10,W124='02_マスタ'!$E$12),"",IF(V124="High","High",IF(AND(U124&lt;&gt;"",U124&lt;TODAY()),INDEX(_翻訳マスタ!$B$117:$D$247,MATCH("ALERT_OVERDUE",_翻訳マスタ!$A$117:$A$247,0),MATCH(言語切替!$B$3,_翻訳マスタ!$B$1:$D$1,0)),IF(AND(U124&lt;&gt;"",U124-TODAY()&lt;=7),INDEX(_翻訳マスタ!$B$117:$D$247,MATCH("ALERT_APPROACHING",_翻訳マスタ!$A$117:$A$247,0),MATCH(言語切替!$B$3,_翻訳マスタ!$B$1:$D$1,0)),IF(OR(W124='02_マスタ'!$E$7,W124='02_マスタ'!$E$8),INDEX(_翻訳マスタ!$B$117:$D$247,MATCH("ALERT_CHECK",_翻訳マスタ!$A$117:$A$247,0),MATCH(言語切替!$B$3,_翻訳マスタ!$B$1:$D$1,0)),""))))))</f>
        <v/>
      </c>
      <c r="AJ124" s="73"/>
    </row>
    <row r="125" spans="1:36" s="21" customFormat="1" x14ac:dyDescent="0.25">
      <c r="A125" s="83"/>
      <c r="B125" s="84"/>
      <c r="C125" s="84"/>
      <c r="D125" s="84"/>
      <c r="E125" s="84"/>
      <c r="F125" s="29"/>
      <c r="G125" s="29"/>
      <c r="H125" s="39" t="str">
        <f t="shared" si="29"/>
        <v/>
      </c>
      <c r="I125" s="39" t="str">
        <f t="shared" si="30"/>
        <v/>
      </c>
      <c r="J125" s="29"/>
      <c r="K125" s="29"/>
      <c r="L125" s="39" t="str">
        <f t="shared" si="31"/>
        <v/>
      </c>
      <c r="M125" s="39" t="str">
        <f t="shared" si="32"/>
        <v/>
      </c>
      <c r="N125" s="29"/>
      <c r="O125" s="29"/>
      <c r="P125" s="39" t="str">
        <f t="shared" si="33"/>
        <v/>
      </c>
      <c r="Q125" s="39" t="str">
        <f t="shared" si="34"/>
        <v/>
      </c>
      <c r="R125" s="29"/>
      <c r="S125" s="29"/>
      <c r="T125" s="30"/>
      <c r="U125" s="30"/>
      <c r="V125" s="29"/>
      <c r="W125" s="29"/>
      <c r="X125" s="29"/>
      <c r="Y125" s="29"/>
      <c r="Z125" s="29"/>
      <c r="AA125" s="39" t="str">
        <f t="shared" si="35"/>
        <v/>
      </c>
      <c r="AB125" s="39" t="str">
        <f t="shared" si="36"/>
        <v/>
      </c>
      <c r="AC125" s="29"/>
      <c r="AD125" s="29"/>
      <c r="AE125" s="39" t="str">
        <f t="shared" si="26"/>
        <v/>
      </c>
      <c r="AF125" s="39" t="str">
        <f t="shared" si="27"/>
        <v/>
      </c>
      <c r="AG125" s="29"/>
      <c r="AH125" s="74" t="str">
        <f t="shared" ca="1" si="28"/>
        <v/>
      </c>
      <c r="AI125" s="74" t="str">
        <f ca="1">IF(A125="","",IF(OR(W125='02_マスタ'!$E$10,W125='02_マスタ'!$E$12),"",IF(V125="High","High",IF(AND(U125&lt;&gt;"",U125&lt;TODAY()),INDEX(_翻訳マスタ!$B$117:$D$247,MATCH("ALERT_OVERDUE",_翻訳マスタ!$A$117:$A$247,0),MATCH(言語切替!$B$3,_翻訳マスタ!$B$1:$D$1,0)),IF(AND(U125&lt;&gt;"",U125-TODAY()&lt;=7),INDEX(_翻訳マスタ!$B$117:$D$247,MATCH("ALERT_APPROACHING",_翻訳マスタ!$A$117:$A$247,0),MATCH(言語切替!$B$3,_翻訳マスタ!$B$1:$D$1,0)),IF(OR(W125='02_マスタ'!$E$7,W125='02_マスタ'!$E$8),INDEX(_翻訳マスタ!$B$117:$D$247,MATCH("ALERT_CHECK",_翻訳マスタ!$A$117:$A$247,0),MATCH(言語切替!$B$3,_翻訳マスタ!$B$1:$D$1,0)),""))))))</f>
        <v/>
      </c>
      <c r="AJ125" s="75"/>
    </row>
    <row r="126" spans="1:36" s="21" customFormat="1" x14ac:dyDescent="0.25">
      <c r="A126" s="81"/>
      <c r="B126" s="82"/>
      <c r="C126" s="82"/>
      <c r="D126" s="82"/>
      <c r="E126" s="82"/>
      <c r="F126" s="26"/>
      <c r="G126" s="26"/>
      <c r="H126" s="38" t="str">
        <f t="shared" si="29"/>
        <v/>
      </c>
      <c r="I126" s="38" t="str">
        <f t="shared" si="30"/>
        <v/>
      </c>
      <c r="J126" s="26"/>
      <c r="K126" s="26"/>
      <c r="L126" s="38" t="str">
        <f t="shared" si="31"/>
        <v/>
      </c>
      <c r="M126" s="38" t="str">
        <f t="shared" si="32"/>
        <v/>
      </c>
      <c r="N126" s="26"/>
      <c r="O126" s="26"/>
      <c r="P126" s="38" t="str">
        <f t="shared" si="33"/>
        <v/>
      </c>
      <c r="Q126" s="38" t="str">
        <f t="shared" si="34"/>
        <v/>
      </c>
      <c r="R126" s="26"/>
      <c r="S126" s="26"/>
      <c r="T126" s="27"/>
      <c r="U126" s="27"/>
      <c r="V126" s="26"/>
      <c r="W126" s="26"/>
      <c r="X126" s="26"/>
      <c r="Y126" s="26"/>
      <c r="Z126" s="26"/>
      <c r="AA126" s="38" t="str">
        <f t="shared" si="35"/>
        <v/>
      </c>
      <c r="AB126" s="38" t="str">
        <f t="shared" si="36"/>
        <v/>
      </c>
      <c r="AC126" s="26"/>
      <c r="AD126" s="26"/>
      <c r="AE126" s="38" t="str">
        <f t="shared" si="26"/>
        <v/>
      </c>
      <c r="AF126" s="38" t="str">
        <f t="shared" si="27"/>
        <v/>
      </c>
      <c r="AG126" s="26"/>
      <c r="AH126" s="72" t="str">
        <f t="shared" ca="1" si="28"/>
        <v/>
      </c>
      <c r="AI126" s="72" t="str">
        <f ca="1">IF(A126="","",IF(OR(W126='02_マスタ'!$E$10,W126='02_マスタ'!$E$12),"",IF(V126="High","High",IF(AND(U126&lt;&gt;"",U126&lt;TODAY()),INDEX(_翻訳マスタ!$B$117:$D$247,MATCH("ALERT_OVERDUE",_翻訳マスタ!$A$117:$A$247,0),MATCH(言語切替!$B$3,_翻訳マスタ!$B$1:$D$1,0)),IF(AND(U126&lt;&gt;"",U126-TODAY()&lt;=7),INDEX(_翻訳マスタ!$B$117:$D$247,MATCH("ALERT_APPROACHING",_翻訳マスタ!$A$117:$A$247,0),MATCH(言語切替!$B$3,_翻訳マスタ!$B$1:$D$1,0)),IF(OR(W126='02_マスタ'!$E$7,W126='02_マスタ'!$E$8),INDEX(_翻訳マスタ!$B$117:$D$247,MATCH("ALERT_CHECK",_翻訳マスタ!$A$117:$A$247,0),MATCH(言語切替!$B$3,_翻訳マスタ!$B$1:$D$1,0)),""))))))</f>
        <v/>
      </c>
      <c r="AJ126" s="73"/>
    </row>
    <row r="127" spans="1:36" s="21" customFormat="1" x14ac:dyDescent="0.25">
      <c r="A127" s="83"/>
      <c r="B127" s="84"/>
      <c r="C127" s="84"/>
      <c r="D127" s="84"/>
      <c r="E127" s="84"/>
      <c r="F127" s="29"/>
      <c r="G127" s="29"/>
      <c r="H127" s="39" t="str">
        <f t="shared" si="29"/>
        <v/>
      </c>
      <c r="I127" s="39" t="str">
        <f t="shared" si="30"/>
        <v/>
      </c>
      <c r="J127" s="29"/>
      <c r="K127" s="29"/>
      <c r="L127" s="39" t="str">
        <f t="shared" si="31"/>
        <v/>
      </c>
      <c r="M127" s="39" t="str">
        <f t="shared" si="32"/>
        <v/>
      </c>
      <c r="N127" s="29"/>
      <c r="O127" s="29"/>
      <c r="P127" s="39" t="str">
        <f t="shared" si="33"/>
        <v/>
      </c>
      <c r="Q127" s="39" t="str">
        <f t="shared" si="34"/>
        <v/>
      </c>
      <c r="R127" s="29"/>
      <c r="S127" s="29"/>
      <c r="T127" s="30"/>
      <c r="U127" s="30"/>
      <c r="V127" s="29"/>
      <c r="W127" s="29"/>
      <c r="X127" s="29"/>
      <c r="Y127" s="29"/>
      <c r="Z127" s="29"/>
      <c r="AA127" s="39" t="str">
        <f t="shared" si="35"/>
        <v/>
      </c>
      <c r="AB127" s="39" t="str">
        <f t="shared" si="36"/>
        <v/>
      </c>
      <c r="AC127" s="29"/>
      <c r="AD127" s="29"/>
      <c r="AE127" s="39" t="str">
        <f t="shared" si="26"/>
        <v/>
      </c>
      <c r="AF127" s="39" t="str">
        <f t="shared" si="27"/>
        <v/>
      </c>
      <c r="AG127" s="29"/>
      <c r="AH127" s="74" t="str">
        <f t="shared" ca="1" si="28"/>
        <v/>
      </c>
      <c r="AI127" s="74" t="str">
        <f ca="1">IF(A127="","",IF(OR(W127='02_マスタ'!$E$10,W127='02_マスタ'!$E$12),"",IF(V127="High","High",IF(AND(U127&lt;&gt;"",U127&lt;TODAY()),INDEX(_翻訳マスタ!$B$117:$D$247,MATCH("ALERT_OVERDUE",_翻訳マスタ!$A$117:$A$247,0),MATCH(言語切替!$B$3,_翻訳マスタ!$B$1:$D$1,0)),IF(AND(U127&lt;&gt;"",U127-TODAY()&lt;=7),INDEX(_翻訳マスタ!$B$117:$D$247,MATCH("ALERT_APPROACHING",_翻訳マスタ!$A$117:$A$247,0),MATCH(言語切替!$B$3,_翻訳マスタ!$B$1:$D$1,0)),IF(OR(W127='02_マスタ'!$E$7,W127='02_マスタ'!$E$8),INDEX(_翻訳マスタ!$B$117:$D$247,MATCH("ALERT_CHECK",_翻訳マスタ!$A$117:$A$247,0),MATCH(言語切替!$B$3,_翻訳マスタ!$B$1:$D$1,0)),""))))))</f>
        <v/>
      </c>
      <c r="AJ127" s="75"/>
    </row>
    <row r="128" spans="1:36" s="21" customFormat="1" x14ac:dyDescent="0.25">
      <c r="A128" s="81"/>
      <c r="B128" s="82"/>
      <c r="C128" s="82"/>
      <c r="D128" s="82"/>
      <c r="E128" s="82"/>
      <c r="F128" s="26"/>
      <c r="G128" s="26"/>
      <c r="H128" s="38" t="str">
        <f t="shared" si="29"/>
        <v/>
      </c>
      <c r="I128" s="38" t="str">
        <f t="shared" si="30"/>
        <v/>
      </c>
      <c r="J128" s="26"/>
      <c r="K128" s="26"/>
      <c r="L128" s="38" t="str">
        <f t="shared" si="31"/>
        <v/>
      </c>
      <c r="M128" s="38" t="str">
        <f t="shared" si="32"/>
        <v/>
      </c>
      <c r="N128" s="26"/>
      <c r="O128" s="26"/>
      <c r="P128" s="38" t="str">
        <f t="shared" si="33"/>
        <v/>
      </c>
      <c r="Q128" s="38" t="str">
        <f t="shared" si="34"/>
        <v/>
      </c>
      <c r="R128" s="26"/>
      <c r="S128" s="26"/>
      <c r="T128" s="27"/>
      <c r="U128" s="27"/>
      <c r="V128" s="26"/>
      <c r="W128" s="26"/>
      <c r="X128" s="26"/>
      <c r="Y128" s="26"/>
      <c r="Z128" s="26"/>
      <c r="AA128" s="38" t="str">
        <f t="shared" si="35"/>
        <v/>
      </c>
      <c r="AB128" s="38" t="str">
        <f t="shared" si="36"/>
        <v/>
      </c>
      <c r="AC128" s="26"/>
      <c r="AD128" s="26"/>
      <c r="AE128" s="38" t="str">
        <f t="shared" si="26"/>
        <v/>
      </c>
      <c r="AF128" s="38" t="str">
        <f t="shared" si="27"/>
        <v/>
      </c>
      <c r="AG128" s="26"/>
      <c r="AH128" s="72" t="str">
        <f t="shared" ca="1" si="28"/>
        <v/>
      </c>
      <c r="AI128" s="72" t="str">
        <f ca="1">IF(A128="","",IF(OR(W128='02_マスタ'!$E$10,W128='02_マスタ'!$E$12),"",IF(V128="High","High",IF(AND(U128&lt;&gt;"",U128&lt;TODAY()),INDEX(_翻訳マスタ!$B$117:$D$247,MATCH("ALERT_OVERDUE",_翻訳マスタ!$A$117:$A$247,0),MATCH(言語切替!$B$3,_翻訳マスタ!$B$1:$D$1,0)),IF(AND(U128&lt;&gt;"",U128-TODAY()&lt;=7),INDEX(_翻訳マスタ!$B$117:$D$247,MATCH("ALERT_APPROACHING",_翻訳マスタ!$A$117:$A$247,0),MATCH(言語切替!$B$3,_翻訳マスタ!$B$1:$D$1,0)),IF(OR(W128='02_マスタ'!$E$7,W128='02_マスタ'!$E$8),INDEX(_翻訳マスタ!$B$117:$D$247,MATCH("ALERT_CHECK",_翻訳マスタ!$A$117:$A$247,0),MATCH(言語切替!$B$3,_翻訳マスタ!$B$1:$D$1,0)),""))))))</f>
        <v/>
      </c>
      <c r="AJ128" s="73"/>
    </row>
    <row r="129" spans="1:36" s="21" customFormat="1" x14ac:dyDescent="0.25">
      <c r="A129" s="83"/>
      <c r="B129" s="84"/>
      <c r="C129" s="84"/>
      <c r="D129" s="84"/>
      <c r="E129" s="84"/>
      <c r="F129" s="29"/>
      <c r="G129" s="29"/>
      <c r="H129" s="39" t="str">
        <f t="shared" si="29"/>
        <v/>
      </c>
      <c r="I129" s="39" t="str">
        <f t="shared" si="30"/>
        <v/>
      </c>
      <c r="J129" s="29"/>
      <c r="K129" s="29"/>
      <c r="L129" s="39" t="str">
        <f t="shared" si="31"/>
        <v/>
      </c>
      <c r="M129" s="39" t="str">
        <f t="shared" si="32"/>
        <v/>
      </c>
      <c r="N129" s="29"/>
      <c r="O129" s="29"/>
      <c r="P129" s="39" t="str">
        <f t="shared" si="33"/>
        <v/>
      </c>
      <c r="Q129" s="39" t="str">
        <f t="shared" si="34"/>
        <v/>
      </c>
      <c r="R129" s="29"/>
      <c r="S129" s="29"/>
      <c r="T129" s="30"/>
      <c r="U129" s="30"/>
      <c r="V129" s="29"/>
      <c r="W129" s="29"/>
      <c r="X129" s="29"/>
      <c r="Y129" s="29"/>
      <c r="Z129" s="29"/>
      <c r="AA129" s="39" t="str">
        <f t="shared" si="35"/>
        <v/>
      </c>
      <c r="AB129" s="39" t="str">
        <f t="shared" si="36"/>
        <v/>
      </c>
      <c r="AC129" s="29"/>
      <c r="AD129" s="29"/>
      <c r="AE129" s="39" t="str">
        <f t="shared" si="26"/>
        <v/>
      </c>
      <c r="AF129" s="39" t="str">
        <f t="shared" si="27"/>
        <v/>
      </c>
      <c r="AG129" s="29"/>
      <c r="AH129" s="74" t="str">
        <f t="shared" ca="1" si="28"/>
        <v/>
      </c>
      <c r="AI129" s="74" t="str">
        <f ca="1">IF(A129="","",IF(OR(W129='02_マスタ'!$E$10,W129='02_マスタ'!$E$12),"",IF(V129="High","High",IF(AND(U129&lt;&gt;"",U129&lt;TODAY()),INDEX(_翻訳マスタ!$B$117:$D$247,MATCH("ALERT_OVERDUE",_翻訳マスタ!$A$117:$A$247,0),MATCH(言語切替!$B$3,_翻訳マスタ!$B$1:$D$1,0)),IF(AND(U129&lt;&gt;"",U129-TODAY()&lt;=7),INDEX(_翻訳マスタ!$B$117:$D$247,MATCH("ALERT_APPROACHING",_翻訳マスタ!$A$117:$A$247,0),MATCH(言語切替!$B$3,_翻訳マスタ!$B$1:$D$1,0)),IF(OR(W129='02_マスタ'!$E$7,W129='02_マスタ'!$E$8),INDEX(_翻訳マスタ!$B$117:$D$247,MATCH("ALERT_CHECK",_翻訳マスタ!$A$117:$A$247,0),MATCH(言語切替!$B$3,_翻訳マスタ!$B$1:$D$1,0)),""))))))</f>
        <v/>
      </c>
      <c r="AJ129" s="75"/>
    </row>
    <row r="130" spans="1:36" s="21" customFormat="1" x14ac:dyDescent="0.25">
      <c r="A130" s="81"/>
      <c r="B130" s="82"/>
      <c r="C130" s="82"/>
      <c r="D130" s="82"/>
      <c r="E130" s="82"/>
      <c r="F130" s="26"/>
      <c r="G130" s="26"/>
      <c r="H130" s="38" t="str">
        <f t="shared" si="29"/>
        <v/>
      </c>
      <c r="I130" s="38" t="str">
        <f t="shared" si="30"/>
        <v/>
      </c>
      <c r="J130" s="26"/>
      <c r="K130" s="26"/>
      <c r="L130" s="38" t="str">
        <f t="shared" si="31"/>
        <v/>
      </c>
      <c r="M130" s="38" t="str">
        <f t="shared" si="32"/>
        <v/>
      </c>
      <c r="N130" s="26"/>
      <c r="O130" s="26"/>
      <c r="P130" s="38" t="str">
        <f t="shared" si="33"/>
        <v/>
      </c>
      <c r="Q130" s="38" t="str">
        <f t="shared" si="34"/>
        <v/>
      </c>
      <c r="R130" s="26"/>
      <c r="S130" s="26"/>
      <c r="T130" s="27"/>
      <c r="U130" s="27"/>
      <c r="V130" s="26"/>
      <c r="W130" s="26"/>
      <c r="X130" s="26"/>
      <c r="Y130" s="26"/>
      <c r="Z130" s="26"/>
      <c r="AA130" s="38" t="str">
        <f t="shared" si="35"/>
        <v/>
      </c>
      <c r="AB130" s="38" t="str">
        <f t="shared" si="36"/>
        <v/>
      </c>
      <c r="AC130" s="26"/>
      <c r="AD130" s="26"/>
      <c r="AE130" s="38" t="str">
        <f t="shared" si="26"/>
        <v/>
      </c>
      <c r="AF130" s="38" t="str">
        <f t="shared" si="27"/>
        <v/>
      </c>
      <c r="AG130" s="26"/>
      <c r="AH130" s="72" t="str">
        <f t="shared" ca="1" si="28"/>
        <v/>
      </c>
      <c r="AI130" s="72" t="str">
        <f ca="1">IF(A130="","",IF(OR(W130='02_マスタ'!$E$10,W130='02_マスタ'!$E$12),"",IF(V130="High","High",IF(AND(U130&lt;&gt;"",U130&lt;TODAY()),INDEX(_翻訳マスタ!$B$117:$D$247,MATCH("ALERT_OVERDUE",_翻訳マスタ!$A$117:$A$247,0),MATCH(言語切替!$B$3,_翻訳マスタ!$B$1:$D$1,0)),IF(AND(U130&lt;&gt;"",U130-TODAY()&lt;=7),INDEX(_翻訳マスタ!$B$117:$D$247,MATCH("ALERT_APPROACHING",_翻訳マスタ!$A$117:$A$247,0),MATCH(言語切替!$B$3,_翻訳マスタ!$B$1:$D$1,0)),IF(OR(W130='02_マスタ'!$E$7,W130='02_マスタ'!$E$8),INDEX(_翻訳マスタ!$B$117:$D$247,MATCH("ALERT_CHECK",_翻訳マスタ!$A$117:$A$247,0),MATCH(言語切替!$B$3,_翻訳マスタ!$B$1:$D$1,0)),""))))))</f>
        <v/>
      </c>
      <c r="AJ130" s="73"/>
    </row>
    <row r="131" spans="1:36" s="21" customFormat="1" x14ac:dyDescent="0.25">
      <c r="A131" s="83"/>
      <c r="B131" s="84"/>
      <c r="C131" s="84"/>
      <c r="D131" s="84"/>
      <c r="E131" s="84"/>
      <c r="F131" s="29"/>
      <c r="G131" s="29"/>
      <c r="H131" s="39" t="str">
        <f t="shared" si="29"/>
        <v/>
      </c>
      <c r="I131" s="39" t="str">
        <f t="shared" si="30"/>
        <v/>
      </c>
      <c r="J131" s="29"/>
      <c r="K131" s="29"/>
      <c r="L131" s="39" t="str">
        <f t="shared" si="31"/>
        <v/>
      </c>
      <c r="M131" s="39" t="str">
        <f t="shared" si="32"/>
        <v/>
      </c>
      <c r="N131" s="29"/>
      <c r="O131" s="29"/>
      <c r="P131" s="39" t="str">
        <f t="shared" si="33"/>
        <v/>
      </c>
      <c r="Q131" s="39" t="str">
        <f t="shared" si="34"/>
        <v/>
      </c>
      <c r="R131" s="29"/>
      <c r="S131" s="29"/>
      <c r="T131" s="30"/>
      <c r="U131" s="30"/>
      <c r="V131" s="29"/>
      <c r="W131" s="29"/>
      <c r="X131" s="29"/>
      <c r="Y131" s="29"/>
      <c r="Z131" s="29"/>
      <c r="AA131" s="39" t="str">
        <f t="shared" si="35"/>
        <v/>
      </c>
      <c r="AB131" s="39" t="str">
        <f t="shared" si="36"/>
        <v/>
      </c>
      <c r="AC131" s="29"/>
      <c r="AD131" s="29"/>
      <c r="AE131" s="39" t="str">
        <f t="shared" si="26"/>
        <v/>
      </c>
      <c r="AF131" s="39" t="str">
        <f t="shared" si="27"/>
        <v/>
      </c>
      <c r="AG131" s="29"/>
      <c r="AH131" s="74" t="str">
        <f t="shared" ca="1" si="28"/>
        <v/>
      </c>
      <c r="AI131" s="74" t="str">
        <f ca="1">IF(A131="","",IF(OR(W131='02_マスタ'!$E$10,W131='02_マスタ'!$E$12),"",IF(V131="High","High",IF(AND(U131&lt;&gt;"",U131&lt;TODAY()),INDEX(_翻訳マスタ!$B$117:$D$247,MATCH("ALERT_OVERDUE",_翻訳マスタ!$A$117:$A$247,0),MATCH(言語切替!$B$3,_翻訳マスタ!$B$1:$D$1,0)),IF(AND(U131&lt;&gt;"",U131-TODAY()&lt;=7),INDEX(_翻訳マスタ!$B$117:$D$247,MATCH("ALERT_APPROACHING",_翻訳マスタ!$A$117:$A$247,0),MATCH(言語切替!$B$3,_翻訳マスタ!$B$1:$D$1,0)),IF(OR(W131='02_マスタ'!$E$7,W131='02_マスタ'!$E$8),INDEX(_翻訳マスタ!$B$117:$D$247,MATCH("ALERT_CHECK",_翻訳マスタ!$A$117:$A$247,0),MATCH(言語切替!$B$3,_翻訳マスタ!$B$1:$D$1,0)),""))))))</f>
        <v/>
      </c>
      <c r="AJ131" s="75"/>
    </row>
    <row r="132" spans="1:36" s="21" customFormat="1" x14ac:dyDescent="0.25">
      <c r="A132" s="81"/>
      <c r="B132" s="82"/>
      <c r="C132" s="82"/>
      <c r="D132" s="82"/>
      <c r="E132" s="82"/>
      <c r="F132" s="26"/>
      <c r="G132" s="26"/>
      <c r="H132" s="38" t="str">
        <f t="shared" si="29"/>
        <v/>
      </c>
      <c r="I132" s="38" t="str">
        <f t="shared" si="30"/>
        <v/>
      </c>
      <c r="J132" s="26"/>
      <c r="K132" s="26"/>
      <c r="L132" s="38" t="str">
        <f t="shared" si="31"/>
        <v/>
      </c>
      <c r="M132" s="38" t="str">
        <f t="shared" si="32"/>
        <v/>
      </c>
      <c r="N132" s="26"/>
      <c r="O132" s="26"/>
      <c r="P132" s="38" t="str">
        <f t="shared" si="33"/>
        <v/>
      </c>
      <c r="Q132" s="38" t="str">
        <f t="shared" si="34"/>
        <v/>
      </c>
      <c r="R132" s="26"/>
      <c r="S132" s="26"/>
      <c r="T132" s="27"/>
      <c r="U132" s="27"/>
      <c r="V132" s="26"/>
      <c r="W132" s="26"/>
      <c r="X132" s="26"/>
      <c r="Y132" s="26"/>
      <c r="Z132" s="26"/>
      <c r="AA132" s="38" t="str">
        <f t="shared" si="35"/>
        <v/>
      </c>
      <c r="AB132" s="38" t="str">
        <f t="shared" si="36"/>
        <v/>
      </c>
      <c r="AC132" s="26"/>
      <c r="AD132" s="26"/>
      <c r="AE132" s="38" t="str">
        <f t="shared" si="26"/>
        <v/>
      </c>
      <c r="AF132" s="38" t="str">
        <f t="shared" si="27"/>
        <v/>
      </c>
      <c r="AG132" s="26"/>
      <c r="AH132" s="72" t="str">
        <f t="shared" ca="1" si="28"/>
        <v/>
      </c>
      <c r="AI132" s="72" t="str">
        <f ca="1">IF(A132="","",IF(OR(W132='02_マスタ'!$E$10,W132='02_マスタ'!$E$12),"",IF(V132="High","High",IF(AND(U132&lt;&gt;"",U132&lt;TODAY()),INDEX(_翻訳マスタ!$B$117:$D$247,MATCH("ALERT_OVERDUE",_翻訳マスタ!$A$117:$A$247,0),MATCH(言語切替!$B$3,_翻訳マスタ!$B$1:$D$1,0)),IF(AND(U132&lt;&gt;"",U132-TODAY()&lt;=7),INDEX(_翻訳マスタ!$B$117:$D$247,MATCH("ALERT_APPROACHING",_翻訳マスタ!$A$117:$A$247,0),MATCH(言語切替!$B$3,_翻訳マスタ!$B$1:$D$1,0)),IF(OR(W132='02_マスタ'!$E$7,W132='02_マスタ'!$E$8),INDEX(_翻訳マスタ!$B$117:$D$247,MATCH("ALERT_CHECK",_翻訳マスタ!$A$117:$A$247,0),MATCH(言語切替!$B$3,_翻訳マスタ!$B$1:$D$1,0)),""))))))</f>
        <v/>
      </c>
      <c r="AJ132" s="73"/>
    </row>
    <row r="133" spans="1:36" s="21" customFormat="1" x14ac:dyDescent="0.25">
      <c r="A133" s="83"/>
      <c r="B133" s="84"/>
      <c r="C133" s="84"/>
      <c r="D133" s="84"/>
      <c r="E133" s="84"/>
      <c r="F133" s="29"/>
      <c r="G133" s="29"/>
      <c r="H133" s="39" t="str">
        <f t="shared" si="29"/>
        <v/>
      </c>
      <c r="I133" s="39" t="str">
        <f t="shared" si="30"/>
        <v/>
      </c>
      <c r="J133" s="29"/>
      <c r="K133" s="29"/>
      <c r="L133" s="39" t="str">
        <f t="shared" si="31"/>
        <v/>
      </c>
      <c r="M133" s="39" t="str">
        <f t="shared" si="32"/>
        <v/>
      </c>
      <c r="N133" s="29"/>
      <c r="O133" s="29"/>
      <c r="P133" s="39" t="str">
        <f t="shared" si="33"/>
        <v/>
      </c>
      <c r="Q133" s="39" t="str">
        <f t="shared" si="34"/>
        <v/>
      </c>
      <c r="R133" s="29"/>
      <c r="S133" s="29"/>
      <c r="T133" s="30"/>
      <c r="U133" s="30"/>
      <c r="V133" s="29"/>
      <c r="W133" s="29"/>
      <c r="X133" s="29"/>
      <c r="Y133" s="29"/>
      <c r="Z133" s="29"/>
      <c r="AA133" s="39" t="str">
        <f t="shared" si="35"/>
        <v/>
      </c>
      <c r="AB133" s="39" t="str">
        <f t="shared" si="36"/>
        <v/>
      </c>
      <c r="AC133" s="29"/>
      <c r="AD133" s="29"/>
      <c r="AE133" s="39" t="str">
        <f t="shared" ref="AE133:AE196" si="37">IF(AC133="","",_xlfn.TRANSLATE(AC133,"vi","ja"))</f>
        <v/>
      </c>
      <c r="AF133" s="39" t="str">
        <f t="shared" ref="AF133:AF196" si="38">IF(AC133="","",_xlfn.TRANSLATE(AC133,"vi","zh-Hans"))</f>
        <v/>
      </c>
      <c r="AG133" s="29"/>
      <c r="AH133" s="74" t="str">
        <f t="shared" ref="AH133:AH196" ca="1" si="39">IF(U133="","",U133-TODAY())</f>
        <v/>
      </c>
      <c r="AI133" s="74" t="str">
        <f ca="1">IF(A133="","",IF(OR(W133='02_マスタ'!$E$10,W133='02_マスタ'!$E$12),"",IF(V133="High","High",IF(AND(U133&lt;&gt;"",U133&lt;TODAY()),INDEX(_翻訳マスタ!$B$117:$D$247,MATCH("ALERT_OVERDUE",_翻訳マスタ!$A$117:$A$247,0),MATCH(言語切替!$B$3,_翻訳マスタ!$B$1:$D$1,0)),IF(AND(U133&lt;&gt;"",U133-TODAY()&lt;=7),INDEX(_翻訳マスタ!$B$117:$D$247,MATCH("ALERT_APPROACHING",_翻訳マスタ!$A$117:$A$247,0),MATCH(言語切替!$B$3,_翻訳マスタ!$B$1:$D$1,0)),IF(OR(W133='02_マスタ'!$E$7,W133='02_マスタ'!$E$8),INDEX(_翻訳マスタ!$B$117:$D$247,MATCH("ALERT_CHECK",_翻訳マスタ!$A$117:$A$247,0),MATCH(言語切替!$B$3,_翻訳マスタ!$B$1:$D$1,0)),""))))))</f>
        <v/>
      </c>
      <c r="AJ133" s="75"/>
    </row>
    <row r="134" spans="1:36" s="21" customFormat="1" x14ac:dyDescent="0.25">
      <c r="A134" s="81"/>
      <c r="B134" s="82"/>
      <c r="C134" s="82"/>
      <c r="D134" s="82"/>
      <c r="E134" s="82"/>
      <c r="F134" s="26"/>
      <c r="G134" s="26"/>
      <c r="H134" s="38" t="str">
        <f t="shared" si="29"/>
        <v/>
      </c>
      <c r="I134" s="38" t="str">
        <f t="shared" si="30"/>
        <v/>
      </c>
      <c r="J134" s="26"/>
      <c r="K134" s="26"/>
      <c r="L134" s="38" t="str">
        <f t="shared" si="31"/>
        <v/>
      </c>
      <c r="M134" s="38" t="str">
        <f t="shared" si="32"/>
        <v/>
      </c>
      <c r="N134" s="26"/>
      <c r="O134" s="26"/>
      <c r="P134" s="38" t="str">
        <f t="shared" si="33"/>
        <v/>
      </c>
      <c r="Q134" s="38" t="str">
        <f t="shared" si="34"/>
        <v/>
      </c>
      <c r="R134" s="26"/>
      <c r="S134" s="26"/>
      <c r="T134" s="27"/>
      <c r="U134" s="27"/>
      <c r="V134" s="26"/>
      <c r="W134" s="26"/>
      <c r="X134" s="26"/>
      <c r="Y134" s="26"/>
      <c r="Z134" s="26"/>
      <c r="AA134" s="38" t="str">
        <f t="shared" si="35"/>
        <v/>
      </c>
      <c r="AB134" s="38" t="str">
        <f t="shared" si="36"/>
        <v/>
      </c>
      <c r="AC134" s="26"/>
      <c r="AD134" s="26"/>
      <c r="AE134" s="38" t="str">
        <f t="shared" si="37"/>
        <v/>
      </c>
      <c r="AF134" s="38" t="str">
        <f t="shared" si="38"/>
        <v/>
      </c>
      <c r="AG134" s="26"/>
      <c r="AH134" s="72" t="str">
        <f t="shared" ca="1" si="39"/>
        <v/>
      </c>
      <c r="AI134" s="72" t="str">
        <f ca="1">IF(A134="","",IF(OR(W134='02_マスタ'!$E$10,W134='02_マスタ'!$E$12),"",IF(V134="High","High",IF(AND(U134&lt;&gt;"",U134&lt;TODAY()),INDEX(_翻訳マスタ!$B$117:$D$247,MATCH("ALERT_OVERDUE",_翻訳マスタ!$A$117:$A$247,0),MATCH(言語切替!$B$3,_翻訳マスタ!$B$1:$D$1,0)),IF(AND(U134&lt;&gt;"",U134-TODAY()&lt;=7),INDEX(_翻訳マスタ!$B$117:$D$247,MATCH("ALERT_APPROACHING",_翻訳マスタ!$A$117:$A$247,0),MATCH(言語切替!$B$3,_翻訳マスタ!$B$1:$D$1,0)),IF(OR(W134='02_マスタ'!$E$7,W134='02_マスタ'!$E$8),INDEX(_翻訳マスタ!$B$117:$D$247,MATCH("ALERT_CHECK",_翻訳マスタ!$A$117:$A$247,0),MATCH(言語切替!$B$3,_翻訳マスタ!$B$1:$D$1,0)),""))))))</f>
        <v/>
      </c>
      <c r="AJ134" s="73"/>
    </row>
    <row r="135" spans="1:36" s="21" customFormat="1" x14ac:dyDescent="0.25">
      <c r="A135" s="83"/>
      <c r="B135" s="84"/>
      <c r="C135" s="84"/>
      <c r="D135" s="84"/>
      <c r="E135" s="84"/>
      <c r="F135" s="29"/>
      <c r="G135" s="29"/>
      <c r="H135" s="39" t="str">
        <f t="shared" si="29"/>
        <v/>
      </c>
      <c r="I135" s="39" t="str">
        <f t="shared" si="30"/>
        <v/>
      </c>
      <c r="J135" s="29"/>
      <c r="K135" s="29"/>
      <c r="L135" s="39" t="str">
        <f t="shared" si="31"/>
        <v/>
      </c>
      <c r="M135" s="39" t="str">
        <f t="shared" si="32"/>
        <v/>
      </c>
      <c r="N135" s="29"/>
      <c r="O135" s="29"/>
      <c r="P135" s="39" t="str">
        <f t="shared" si="33"/>
        <v/>
      </c>
      <c r="Q135" s="39" t="str">
        <f t="shared" si="34"/>
        <v/>
      </c>
      <c r="R135" s="29"/>
      <c r="S135" s="29"/>
      <c r="T135" s="30"/>
      <c r="U135" s="30"/>
      <c r="V135" s="29"/>
      <c r="W135" s="29"/>
      <c r="X135" s="29"/>
      <c r="Y135" s="29"/>
      <c r="Z135" s="29"/>
      <c r="AA135" s="39" t="str">
        <f t="shared" si="35"/>
        <v/>
      </c>
      <c r="AB135" s="39" t="str">
        <f t="shared" si="36"/>
        <v/>
      </c>
      <c r="AC135" s="29"/>
      <c r="AD135" s="29"/>
      <c r="AE135" s="39" t="str">
        <f t="shared" si="37"/>
        <v/>
      </c>
      <c r="AF135" s="39" t="str">
        <f t="shared" si="38"/>
        <v/>
      </c>
      <c r="AG135" s="29"/>
      <c r="AH135" s="74" t="str">
        <f t="shared" ca="1" si="39"/>
        <v/>
      </c>
      <c r="AI135" s="74" t="str">
        <f ca="1">IF(A135="","",IF(OR(W135='02_マスタ'!$E$10,W135='02_マスタ'!$E$12),"",IF(V135="High","High",IF(AND(U135&lt;&gt;"",U135&lt;TODAY()),INDEX(_翻訳マスタ!$B$117:$D$247,MATCH("ALERT_OVERDUE",_翻訳マスタ!$A$117:$A$247,0),MATCH(言語切替!$B$3,_翻訳マスタ!$B$1:$D$1,0)),IF(AND(U135&lt;&gt;"",U135-TODAY()&lt;=7),INDEX(_翻訳マスタ!$B$117:$D$247,MATCH("ALERT_APPROACHING",_翻訳マスタ!$A$117:$A$247,0),MATCH(言語切替!$B$3,_翻訳マスタ!$B$1:$D$1,0)),IF(OR(W135='02_マスタ'!$E$7,W135='02_マスタ'!$E$8),INDEX(_翻訳マスタ!$B$117:$D$247,MATCH("ALERT_CHECK",_翻訳マスタ!$A$117:$A$247,0),MATCH(言語切替!$B$3,_翻訳マスタ!$B$1:$D$1,0)),""))))))</f>
        <v/>
      </c>
      <c r="AJ135" s="75"/>
    </row>
    <row r="136" spans="1:36" s="21" customFormat="1" x14ac:dyDescent="0.25">
      <c r="A136" s="81"/>
      <c r="B136" s="82"/>
      <c r="C136" s="82"/>
      <c r="D136" s="82"/>
      <c r="E136" s="82"/>
      <c r="F136" s="26"/>
      <c r="G136" s="26"/>
      <c r="H136" s="38" t="str">
        <f t="shared" si="29"/>
        <v/>
      </c>
      <c r="I136" s="38" t="str">
        <f t="shared" si="30"/>
        <v/>
      </c>
      <c r="J136" s="26"/>
      <c r="K136" s="26"/>
      <c r="L136" s="38" t="str">
        <f t="shared" si="31"/>
        <v/>
      </c>
      <c r="M136" s="38" t="str">
        <f t="shared" si="32"/>
        <v/>
      </c>
      <c r="N136" s="26"/>
      <c r="O136" s="26"/>
      <c r="P136" s="38" t="str">
        <f t="shared" si="33"/>
        <v/>
      </c>
      <c r="Q136" s="38" t="str">
        <f t="shared" si="34"/>
        <v/>
      </c>
      <c r="R136" s="26"/>
      <c r="S136" s="26"/>
      <c r="T136" s="27"/>
      <c r="U136" s="27"/>
      <c r="V136" s="26"/>
      <c r="W136" s="26"/>
      <c r="X136" s="26"/>
      <c r="Y136" s="26"/>
      <c r="Z136" s="26"/>
      <c r="AA136" s="38" t="str">
        <f t="shared" si="35"/>
        <v/>
      </c>
      <c r="AB136" s="38" t="str">
        <f t="shared" si="36"/>
        <v/>
      </c>
      <c r="AC136" s="26"/>
      <c r="AD136" s="26"/>
      <c r="AE136" s="38" t="str">
        <f t="shared" si="37"/>
        <v/>
      </c>
      <c r="AF136" s="38" t="str">
        <f t="shared" si="38"/>
        <v/>
      </c>
      <c r="AG136" s="26"/>
      <c r="AH136" s="72" t="str">
        <f t="shared" ca="1" si="39"/>
        <v/>
      </c>
      <c r="AI136" s="72" t="str">
        <f ca="1">IF(A136="","",IF(OR(W136='02_マスタ'!$E$10,W136='02_マスタ'!$E$12),"",IF(V136="High","High",IF(AND(U136&lt;&gt;"",U136&lt;TODAY()),INDEX(_翻訳マスタ!$B$117:$D$247,MATCH("ALERT_OVERDUE",_翻訳マスタ!$A$117:$A$247,0),MATCH(言語切替!$B$3,_翻訳マスタ!$B$1:$D$1,0)),IF(AND(U136&lt;&gt;"",U136-TODAY()&lt;=7),INDEX(_翻訳マスタ!$B$117:$D$247,MATCH("ALERT_APPROACHING",_翻訳マスタ!$A$117:$A$247,0),MATCH(言語切替!$B$3,_翻訳マスタ!$B$1:$D$1,0)),IF(OR(W136='02_マスタ'!$E$7,W136='02_マスタ'!$E$8),INDEX(_翻訳マスタ!$B$117:$D$247,MATCH("ALERT_CHECK",_翻訳マスタ!$A$117:$A$247,0),MATCH(言語切替!$B$3,_翻訳マスタ!$B$1:$D$1,0)),""))))))</f>
        <v/>
      </c>
      <c r="AJ136" s="73"/>
    </row>
    <row r="137" spans="1:36" s="21" customFormat="1" x14ac:dyDescent="0.25">
      <c r="A137" s="83"/>
      <c r="B137" s="84"/>
      <c r="C137" s="84"/>
      <c r="D137" s="84"/>
      <c r="E137" s="84"/>
      <c r="F137" s="29"/>
      <c r="G137" s="29"/>
      <c r="H137" s="39" t="str">
        <f t="shared" ref="H137:H200" si="40">IF(F137="","",_xlfn.TRANSLATE(F137,"vi","ja"))</f>
        <v/>
      </c>
      <c r="I137" s="39" t="str">
        <f t="shared" ref="I137:I200" si="41">IF(F137="","",_xlfn.TRANSLATE(F137,"vi","zh-Hans"))</f>
        <v/>
      </c>
      <c r="J137" s="29"/>
      <c r="K137" s="29"/>
      <c r="L137" s="39" t="str">
        <f t="shared" ref="L137:L200" si="42">IF(J137="","",_xlfn.TRANSLATE(J137,"vi","ja"))</f>
        <v/>
      </c>
      <c r="M137" s="39" t="str">
        <f t="shared" ref="M137:M200" si="43">IF(J137="","",_xlfn.TRANSLATE(J137,"vi","zh-Hans"))</f>
        <v/>
      </c>
      <c r="N137" s="29"/>
      <c r="O137" s="29"/>
      <c r="P137" s="39" t="str">
        <f t="shared" ref="P137:P200" si="44">IF(N137="","",_xlfn.TRANSLATE(N137,"vi","ja"))</f>
        <v/>
      </c>
      <c r="Q137" s="39" t="str">
        <f t="shared" ref="Q137:Q200" si="45">IF(N137="","",_xlfn.TRANSLATE(N137,"vi","zh-Hans"))</f>
        <v/>
      </c>
      <c r="R137" s="29"/>
      <c r="S137" s="29"/>
      <c r="T137" s="30"/>
      <c r="U137" s="30"/>
      <c r="V137" s="29"/>
      <c r="W137" s="29"/>
      <c r="X137" s="29"/>
      <c r="Y137" s="29"/>
      <c r="Z137" s="29"/>
      <c r="AA137" s="39" t="str">
        <f t="shared" ref="AA137:AA200" si="46">IF(Y137="","",_xlfn.TRANSLATE(Y137,"vi","ja"))</f>
        <v/>
      </c>
      <c r="AB137" s="39" t="str">
        <f t="shared" ref="AB137:AB200" si="47">IF(Y137="","",_xlfn.TRANSLATE(Y137,"vi","zh-Hans"))</f>
        <v/>
      </c>
      <c r="AC137" s="29"/>
      <c r="AD137" s="29"/>
      <c r="AE137" s="39" t="str">
        <f t="shared" si="37"/>
        <v/>
      </c>
      <c r="AF137" s="39" t="str">
        <f t="shared" si="38"/>
        <v/>
      </c>
      <c r="AG137" s="29"/>
      <c r="AH137" s="74" t="str">
        <f t="shared" ca="1" si="39"/>
        <v/>
      </c>
      <c r="AI137" s="74" t="str">
        <f ca="1">IF(A137="","",IF(OR(W137='02_マスタ'!$E$10,W137='02_マスタ'!$E$12),"",IF(V137="High","High",IF(AND(U137&lt;&gt;"",U137&lt;TODAY()),INDEX(_翻訳マスタ!$B$117:$D$247,MATCH("ALERT_OVERDUE",_翻訳マスタ!$A$117:$A$247,0),MATCH(言語切替!$B$3,_翻訳マスタ!$B$1:$D$1,0)),IF(AND(U137&lt;&gt;"",U137-TODAY()&lt;=7),INDEX(_翻訳マスタ!$B$117:$D$247,MATCH("ALERT_APPROACHING",_翻訳マスタ!$A$117:$A$247,0),MATCH(言語切替!$B$3,_翻訳マスタ!$B$1:$D$1,0)),IF(OR(W137='02_マスタ'!$E$7,W137='02_マスタ'!$E$8),INDEX(_翻訳マスタ!$B$117:$D$247,MATCH("ALERT_CHECK",_翻訳マスタ!$A$117:$A$247,0),MATCH(言語切替!$B$3,_翻訳マスタ!$B$1:$D$1,0)),""))))))</f>
        <v/>
      </c>
      <c r="AJ137" s="75"/>
    </row>
    <row r="138" spans="1:36" s="21" customFormat="1" x14ac:dyDescent="0.25">
      <c r="A138" s="81"/>
      <c r="B138" s="82"/>
      <c r="C138" s="82"/>
      <c r="D138" s="82"/>
      <c r="E138" s="82"/>
      <c r="F138" s="26"/>
      <c r="G138" s="26"/>
      <c r="H138" s="38" t="str">
        <f t="shared" si="40"/>
        <v/>
      </c>
      <c r="I138" s="38" t="str">
        <f t="shared" si="41"/>
        <v/>
      </c>
      <c r="J138" s="26"/>
      <c r="K138" s="26"/>
      <c r="L138" s="38" t="str">
        <f t="shared" si="42"/>
        <v/>
      </c>
      <c r="M138" s="38" t="str">
        <f t="shared" si="43"/>
        <v/>
      </c>
      <c r="N138" s="26"/>
      <c r="O138" s="26"/>
      <c r="P138" s="38" t="str">
        <f t="shared" si="44"/>
        <v/>
      </c>
      <c r="Q138" s="38" t="str">
        <f t="shared" si="45"/>
        <v/>
      </c>
      <c r="R138" s="26"/>
      <c r="S138" s="26"/>
      <c r="T138" s="27"/>
      <c r="U138" s="27"/>
      <c r="V138" s="26"/>
      <c r="W138" s="26"/>
      <c r="X138" s="26"/>
      <c r="Y138" s="26"/>
      <c r="Z138" s="26"/>
      <c r="AA138" s="38" t="str">
        <f t="shared" si="46"/>
        <v/>
      </c>
      <c r="AB138" s="38" t="str">
        <f t="shared" si="47"/>
        <v/>
      </c>
      <c r="AC138" s="26"/>
      <c r="AD138" s="26"/>
      <c r="AE138" s="38" t="str">
        <f t="shared" si="37"/>
        <v/>
      </c>
      <c r="AF138" s="38" t="str">
        <f t="shared" si="38"/>
        <v/>
      </c>
      <c r="AG138" s="26"/>
      <c r="AH138" s="72" t="str">
        <f t="shared" ca="1" si="39"/>
        <v/>
      </c>
      <c r="AI138" s="72" t="str">
        <f ca="1">IF(A138="","",IF(OR(W138='02_マスタ'!$E$10,W138='02_マスタ'!$E$12),"",IF(V138="High","High",IF(AND(U138&lt;&gt;"",U138&lt;TODAY()),INDEX(_翻訳マスタ!$B$117:$D$247,MATCH("ALERT_OVERDUE",_翻訳マスタ!$A$117:$A$247,0),MATCH(言語切替!$B$3,_翻訳マスタ!$B$1:$D$1,0)),IF(AND(U138&lt;&gt;"",U138-TODAY()&lt;=7),INDEX(_翻訳マスタ!$B$117:$D$247,MATCH("ALERT_APPROACHING",_翻訳マスタ!$A$117:$A$247,0),MATCH(言語切替!$B$3,_翻訳マスタ!$B$1:$D$1,0)),IF(OR(W138='02_マスタ'!$E$7,W138='02_マスタ'!$E$8),INDEX(_翻訳マスタ!$B$117:$D$247,MATCH("ALERT_CHECK",_翻訳マスタ!$A$117:$A$247,0),MATCH(言語切替!$B$3,_翻訳マスタ!$B$1:$D$1,0)),""))))))</f>
        <v/>
      </c>
      <c r="AJ138" s="73"/>
    </row>
    <row r="139" spans="1:36" s="21" customFormat="1" x14ac:dyDescent="0.25">
      <c r="A139" s="83"/>
      <c r="B139" s="84"/>
      <c r="C139" s="84"/>
      <c r="D139" s="84"/>
      <c r="E139" s="84"/>
      <c r="F139" s="29"/>
      <c r="G139" s="29"/>
      <c r="H139" s="39" t="str">
        <f t="shared" si="40"/>
        <v/>
      </c>
      <c r="I139" s="39" t="str">
        <f t="shared" si="41"/>
        <v/>
      </c>
      <c r="J139" s="29"/>
      <c r="K139" s="29"/>
      <c r="L139" s="39" t="str">
        <f t="shared" si="42"/>
        <v/>
      </c>
      <c r="M139" s="39" t="str">
        <f t="shared" si="43"/>
        <v/>
      </c>
      <c r="N139" s="29"/>
      <c r="O139" s="29"/>
      <c r="P139" s="39" t="str">
        <f t="shared" si="44"/>
        <v/>
      </c>
      <c r="Q139" s="39" t="str">
        <f t="shared" si="45"/>
        <v/>
      </c>
      <c r="R139" s="29"/>
      <c r="S139" s="29"/>
      <c r="T139" s="30"/>
      <c r="U139" s="30"/>
      <c r="V139" s="29"/>
      <c r="W139" s="29"/>
      <c r="X139" s="29"/>
      <c r="Y139" s="29"/>
      <c r="Z139" s="29"/>
      <c r="AA139" s="39" t="str">
        <f t="shared" si="46"/>
        <v/>
      </c>
      <c r="AB139" s="39" t="str">
        <f t="shared" si="47"/>
        <v/>
      </c>
      <c r="AC139" s="29"/>
      <c r="AD139" s="29"/>
      <c r="AE139" s="39" t="str">
        <f t="shared" si="37"/>
        <v/>
      </c>
      <c r="AF139" s="39" t="str">
        <f t="shared" si="38"/>
        <v/>
      </c>
      <c r="AG139" s="29"/>
      <c r="AH139" s="74" t="str">
        <f t="shared" ca="1" si="39"/>
        <v/>
      </c>
      <c r="AI139" s="74" t="str">
        <f ca="1">IF(A139="","",IF(OR(W139='02_マスタ'!$E$10,W139='02_マスタ'!$E$12),"",IF(V139="High","High",IF(AND(U139&lt;&gt;"",U139&lt;TODAY()),INDEX(_翻訳マスタ!$B$117:$D$247,MATCH("ALERT_OVERDUE",_翻訳マスタ!$A$117:$A$247,0),MATCH(言語切替!$B$3,_翻訳マスタ!$B$1:$D$1,0)),IF(AND(U139&lt;&gt;"",U139-TODAY()&lt;=7),INDEX(_翻訳マスタ!$B$117:$D$247,MATCH("ALERT_APPROACHING",_翻訳マスタ!$A$117:$A$247,0),MATCH(言語切替!$B$3,_翻訳マスタ!$B$1:$D$1,0)),IF(OR(W139='02_マスタ'!$E$7,W139='02_マスタ'!$E$8),INDEX(_翻訳マスタ!$B$117:$D$247,MATCH("ALERT_CHECK",_翻訳マスタ!$A$117:$A$247,0),MATCH(言語切替!$B$3,_翻訳マスタ!$B$1:$D$1,0)),""))))))</f>
        <v/>
      </c>
      <c r="AJ139" s="75"/>
    </row>
    <row r="140" spans="1:36" s="21" customFormat="1" x14ac:dyDescent="0.25">
      <c r="A140" s="81"/>
      <c r="B140" s="82"/>
      <c r="C140" s="82"/>
      <c r="D140" s="82"/>
      <c r="E140" s="82"/>
      <c r="F140" s="26"/>
      <c r="G140" s="26"/>
      <c r="H140" s="38" t="str">
        <f t="shared" si="40"/>
        <v/>
      </c>
      <c r="I140" s="38" t="str">
        <f t="shared" si="41"/>
        <v/>
      </c>
      <c r="J140" s="26"/>
      <c r="K140" s="26"/>
      <c r="L140" s="38" t="str">
        <f t="shared" si="42"/>
        <v/>
      </c>
      <c r="M140" s="38" t="str">
        <f t="shared" si="43"/>
        <v/>
      </c>
      <c r="N140" s="26"/>
      <c r="O140" s="26"/>
      <c r="P140" s="38" t="str">
        <f t="shared" si="44"/>
        <v/>
      </c>
      <c r="Q140" s="38" t="str">
        <f t="shared" si="45"/>
        <v/>
      </c>
      <c r="R140" s="26"/>
      <c r="S140" s="26"/>
      <c r="T140" s="27"/>
      <c r="U140" s="27"/>
      <c r="V140" s="26"/>
      <c r="W140" s="26"/>
      <c r="X140" s="26"/>
      <c r="Y140" s="26"/>
      <c r="Z140" s="26"/>
      <c r="AA140" s="38" t="str">
        <f t="shared" si="46"/>
        <v/>
      </c>
      <c r="AB140" s="38" t="str">
        <f t="shared" si="47"/>
        <v/>
      </c>
      <c r="AC140" s="26"/>
      <c r="AD140" s="26"/>
      <c r="AE140" s="38" t="str">
        <f t="shared" si="37"/>
        <v/>
      </c>
      <c r="AF140" s="38" t="str">
        <f t="shared" si="38"/>
        <v/>
      </c>
      <c r="AG140" s="26"/>
      <c r="AH140" s="72" t="str">
        <f t="shared" ca="1" si="39"/>
        <v/>
      </c>
      <c r="AI140" s="72" t="str">
        <f ca="1">IF(A140="","",IF(OR(W140='02_マスタ'!$E$10,W140='02_マスタ'!$E$12),"",IF(V140="High","High",IF(AND(U140&lt;&gt;"",U140&lt;TODAY()),INDEX(_翻訳マスタ!$B$117:$D$247,MATCH("ALERT_OVERDUE",_翻訳マスタ!$A$117:$A$247,0),MATCH(言語切替!$B$3,_翻訳マスタ!$B$1:$D$1,0)),IF(AND(U140&lt;&gt;"",U140-TODAY()&lt;=7),INDEX(_翻訳マスタ!$B$117:$D$247,MATCH("ALERT_APPROACHING",_翻訳マスタ!$A$117:$A$247,0),MATCH(言語切替!$B$3,_翻訳マスタ!$B$1:$D$1,0)),IF(OR(W140='02_マスタ'!$E$7,W140='02_マスタ'!$E$8),INDEX(_翻訳マスタ!$B$117:$D$247,MATCH("ALERT_CHECK",_翻訳マスタ!$A$117:$A$247,0),MATCH(言語切替!$B$3,_翻訳マスタ!$B$1:$D$1,0)),""))))))</f>
        <v/>
      </c>
      <c r="AJ140" s="73"/>
    </row>
    <row r="141" spans="1:36" s="21" customFormat="1" x14ac:dyDescent="0.25">
      <c r="A141" s="83"/>
      <c r="B141" s="84"/>
      <c r="C141" s="84"/>
      <c r="D141" s="84"/>
      <c r="E141" s="84"/>
      <c r="F141" s="29"/>
      <c r="G141" s="29"/>
      <c r="H141" s="39" t="str">
        <f t="shared" si="40"/>
        <v/>
      </c>
      <c r="I141" s="39" t="str">
        <f t="shared" si="41"/>
        <v/>
      </c>
      <c r="J141" s="29"/>
      <c r="K141" s="29"/>
      <c r="L141" s="39" t="str">
        <f t="shared" si="42"/>
        <v/>
      </c>
      <c r="M141" s="39" t="str">
        <f t="shared" si="43"/>
        <v/>
      </c>
      <c r="N141" s="29"/>
      <c r="O141" s="29"/>
      <c r="P141" s="39" t="str">
        <f t="shared" si="44"/>
        <v/>
      </c>
      <c r="Q141" s="39" t="str">
        <f t="shared" si="45"/>
        <v/>
      </c>
      <c r="R141" s="29"/>
      <c r="S141" s="29"/>
      <c r="T141" s="30"/>
      <c r="U141" s="30"/>
      <c r="V141" s="29"/>
      <c r="W141" s="29"/>
      <c r="X141" s="29"/>
      <c r="Y141" s="29"/>
      <c r="Z141" s="29"/>
      <c r="AA141" s="39" t="str">
        <f t="shared" si="46"/>
        <v/>
      </c>
      <c r="AB141" s="39" t="str">
        <f t="shared" si="47"/>
        <v/>
      </c>
      <c r="AC141" s="29"/>
      <c r="AD141" s="29"/>
      <c r="AE141" s="39" t="str">
        <f t="shared" si="37"/>
        <v/>
      </c>
      <c r="AF141" s="39" t="str">
        <f t="shared" si="38"/>
        <v/>
      </c>
      <c r="AG141" s="29"/>
      <c r="AH141" s="74" t="str">
        <f t="shared" ca="1" si="39"/>
        <v/>
      </c>
      <c r="AI141" s="74" t="str">
        <f ca="1">IF(A141="","",IF(OR(W141='02_マスタ'!$E$10,W141='02_マスタ'!$E$12),"",IF(V141="High","High",IF(AND(U141&lt;&gt;"",U141&lt;TODAY()),INDEX(_翻訳マスタ!$B$117:$D$247,MATCH("ALERT_OVERDUE",_翻訳マスタ!$A$117:$A$247,0),MATCH(言語切替!$B$3,_翻訳マスタ!$B$1:$D$1,0)),IF(AND(U141&lt;&gt;"",U141-TODAY()&lt;=7),INDEX(_翻訳マスタ!$B$117:$D$247,MATCH("ALERT_APPROACHING",_翻訳マスタ!$A$117:$A$247,0),MATCH(言語切替!$B$3,_翻訳マスタ!$B$1:$D$1,0)),IF(OR(W141='02_マスタ'!$E$7,W141='02_マスタ'!$E$8),INDEX(_翻訳マスタ!$B$117:$D$247,MATCH("ALERT_CHECK",_翻訳マスタ!$A$117:$A$247,0),MATCH(言語切替!$B$3,_翻訳マスタ!$B$1:$D$1,0)),""))))))</f>
        <v/>
      </c>
      <c r="AJ141" s="75"/>
    </row>
    <row r="142" spans="1:36" s="21" customFormat="1" x14ac:dyDescent="0.25">
      <c r="A142" s="81"/>
      <c r="B142" s="82"/>
      <c r="C142" s="82"/>
      <c r="D142" s="82"/>
      <c r="E142" s="82"/>
      <c r="F142" s="26"/>
      <c r="G142" s="26"/>
      <c r="H142" s="38" t="str">
        <f t="shared" si="40"/>
        <v/>
      </c>
      <c r="I142" s="38" t="str">
        <f t="shared" si="41"/>
        <v/>
      </c>
      <c r="J142" s="26"/>
      <c r="K142" s="26"/>
      <c r="L142" s="38" t="str">
        <f t="shared" si="42"/>
        <v/>
      </c>
      <c r="M142" s="38" t="str">
        <f t="shared" si="43"/>
        <v/>
      </c>
      <c r="N142" s="26"/>
      <c r="O142" s="26"/>
      <c r="P142" s="38" t="str">
        <f t="shared" si="44"/>
        <v/>
      </c>
      <c r="Q142" s="38" t="str">
        <f t="shared" si="45"/>
        <v/>
      </c>
      <c r="R142" s="26"/>
      <c r="S142" s="26"/>
      <c r="T142" s="27"/>
      <c r="U142" s="27"/>
      <c r="V142" s="26"/>
      <c r="W142" s="26"/>
      <c r="X142" s="26"/>
      <c r="Y142" s="26"/>
      <c r="Z142" s="26"/>
      <c r="AA142" s="38" t="str">
        <f t="shared" si="46"/>
        <v/>
      </c>
      <c r="AB142" s="38" t="str">
        <f t="shared" si="47"/>
        <v/>
      </c>
      <c r="AC142" s="26"/>
      <c r="AD142" s="26"/>
      <c r="AE142" s="38" t="str">
        <f t="shared" si="37"/>
        <v/>
      </c>
      <c r="AF142" s="38" t="str">
        <f t="shared" si="38"/>
        <v/>
      </c>
      <c r="AG142" s="26"/>
      <c r="AH142" s="72" t="str">
        <f t="shared" ca="1" si="39"/>
        <v/>
      </c>
      <c r="AI142" s="72" t="str">
        <f ca="1">IF(A142="","",IF(OR(W142='02_マスタ'!$E$10,W142='02_マスタ'!$E$12),"",IF(V142="High","High",IF(AND(U142&lt;&gt;"",U142&lt;TODAY()),INDEX(_翻訳マスタ!$B$117:$D$247,MATCH("ALERT_OVERDUE",_翻訳マスタ!$A$117:$A$247,0),MATCH(言語切替!$B$3,_翻訳マスタ!$B$1:$D$1,0)),IF(AND(U142&lt;&gt;"",U142-TODAY()&lt;=7),INDEX(_翻訳マスタ!$B$117:$D$247,MATCH("ALERT_APPROACHING",_翻訳マスタ!$A$117:$A$247,0),MATCH(言語切替!$B$3,_翻訳マスタ!$B$1:$D$1,0)),IF(OR(W142='02_マスタ'!$E$7,W142='02_マスタ'!$E$8),INDEX(_翻訳マスタ!$B$117:$D$247,MATCH("ALERT_CHECK",_翻訳マスタ!$A$117:$A$247,0),MATCH(言語切替!$B$3,_翻訳マスタ!$B$1:$D$1,0)),""))))))</f>
        <v/>
      </c>
      <c r="AJ142" s="73"/>
    </row>
    <row r="143" spans="1:36" s="21" customFormat="1" x14ac:dyDescent="0.25">
      <c r="A143" s="83"/>
      <c r="B143" s="84"/>
      <c r="C143" s="84"/>
      <c r="D143" s="84"/>
      <c r="E143" s="84"/>
      <c r="F143" s="29"/>
      <c r="G143" s="29"/>
      <c r="H143" s="39" t="str">
        <f t="shared" si="40"/>
        <v/>
      </c>
      <c r="I143" s="39" t="str">
        <f t="shared" si="41"/>
        <v/>
      </c>
      <c r="J143" s="29"/>
      <c r="K143" s="29"/>
      <c r="L143" s="39" t="str">
        <f t="shared" si="42"/>
        <v/>
      </c>
      <c r="M143" s="39" t="str">
        <f t="shared" si="43"/>
        <v/>
      </c>
      <c r="N143" s="29"/>
      <c r="O143" s="29"/>
      <c r="P143" s="39" t="str">
        <f t="shared" si="44"/>
        <v/>
      </c>
      <c r="Q143" s="39" t="str">
        <f t="shared" si="45"/>
        <v/>
      </c>
      <c r="R143" s="29"/>
      <c r="S143" s="29"/>
      <c r="T143" s="30"/>
      <c r="U143" s="30"/>
      <c r="V143" s="29"/>
      <c r="W143" s="29"/>
      <c r="X143" s="29"/>
      <c r="Y143" s="29"/>
      <c r="Z143" s="29"/>
      <c r="AA143" s="39" t="str">
        <f t="shared" si="46"/>
        <v/>
      </c>
      <c r="AB143" s="39" t="str">
        <f t="shared" si="47"/>
        <v/>
      </c>
      <c r="AC143" s="29"/>
      <c r="AD143" s="29"/>
      <c r="AE143" s="39" t="str">
        <f t="shared" si="37"/>
        <v/>
      </c>
      <c r="AF143" s="39" t="str">
        <f t="shared" si="38"/>
        <v/>
      </c>
      <c r="AG143" s="29"/>
      <c r="AH143" s="74" t="str">
        <f t="shared" ca="1" si="39"/>
        <v/>
      </c>
      <c r="AI143" s="74" t="str">
        <f ca="1">IF(A143="","",IF(OR(W143='02_マスタ'!$E$10,W143='02_マスタ'!$E$12),"",IF(V143="High","High",IF(AND(U143&lt;&gt;"",U143&lt;TODAY()),INDEX(_翻訳マスタ!$B$117:$D$247,MATCH("ALERT_OVERDUE",_翻訳マスタ!$A$117:$A$247,0),MATCH(言語切替!$B$3,_翻訳マスタ!$B$1:$D$1,0)),IF(AND(U143&lt;&gt;"",U143-TODAY()&lt;=7),INDEX(_翻訳マスタ!$B$117:$D$247,MATCH("ALERT_APPROACHING",_翻訳マスタ!$A$117:$A$247,0),MATCH(言語切替!$B$3,_翻訳マスタ!$B$1:$D$1,0)),IF(OR(W143='02_マスタ'!$E$7,W143='02_マスタ'!$E$8),INDEX(_翻訳マスタ!$B$117:$D$247,MATCH("ALERT_CHECK",_翻訳マスタ!$A$117:$A$247,0),MATCH(言語切替!$B$3,_翻訳マスタ!$B$1:$D$1,0)),""))))))</f>
        <v/>
      </c>
      <c r="AJ143" s="75"/>
    </row>
    <row r="144" spans="1:36" s="21" customFormat="1" x14ac:dyDescent="0.25">
      <c r="A144" s="81"/>
      <c r="B144" s="82"/>
      <c r="C144" s="82"/>
      <c r="D144" s="82"/>
      <c r="E144" s="82"/>
      <c r="F144" s="26"/>
      <c r="G144" s="26"/>
      <c r="H144" s="38" t="str">
        <f t="shared" si="40"/>
        <v/>
      </c>
      <c r="I144" s="38" t="str">
        <f t="shared" si="41"/>
        <v/>
      </c>
      <c r="J144" s="26"/>
      <c r="K144" s="26"/>
      <c r="L144" s="38" t="str">
        <f t="shared" si="42"/>
        <v/>
      </c>
      <c r="M144" s="38" t="str">
        <f t="shared" si="43"/>
        <v/>
      </c>
      <c r="N144" s="26"/>
      <c r="O144" s="26"/>
      <c r="P144" s="38" t="str">
        <f t="shared" si="44"/>
        <v/>
      </c>
      <c r="Q144" s="38" t="str">
        <f t="shared" si="45"/>
        <v/>
      </c>
      <c r="R144" s="26"/>
      <c r="S144" s="26"/>
      <c r="T144" s="27"/>
      <c r="U144" s="27"/>
      <c r="V144" s="26"/>
      <c r="W144" s="26"/>
      <c r="X144" s="26"/>
      <c r="Y144" s="26"/>
      <c r="Z144" s="26"/>
      <c r="AA144" s="38" t="str">
        <f t="shared" si="46"/>
        <v/>
      </c>
      <c r="AB144" s="38" t="str">
        <f t="shared" si="47"/>
        <v/>
      </c>
      <c r="AC144" s="26"/>
      <c r="AD144" s="26"/>
      <c r="AE144" s="38" t="str">
        <f t="shared" si="37"/>
        <v/>
      </c>
      <c r="AF144" s="38" t="str">
        <f t="shared" si="38"/>
        <v/>
      </c>
      <c r="AG144" s="26"/>
      <c r="AH144" s="72" t="str">
        <f t="shared" ca="1" si="39"/>
        <v/>
      </c>
      <c r="AI144" s="72" t="str">
        <f ca="1">IF(A144="","",IF(OR(W144='02_マスタ'!$E$10,W144='02_マスタ'!$E$12),"",IF(V144="High","High",IF(AND(U144&lt;&gt;"",U144&lt;TODAY()),INDEX(_翻訳マスタ!$B$117:$D$247,MATCH("ALERT_OVERDUE",_翻訳マスタ!$A$117:$A$247,0),MATCH(言語切替!$B$3,_翻訳マスタ!$B$1:$D$1,0)),IF(AND(U144&lt;&gt;"",U144-TODAY()&lt;=7),INDEX(_翻訳マスタ!$B$117:$D$247,MATCH("ALERT_APPROACHING",_翻訳マスタ!$A$117:$A$247,0),MATCH(言語切替!$B$3,_翻訳マスタ!$B$1:$D$1,0)),IF(OR(W144='02_マスタ'!$E$7,W144='02_マスタ'!$E$8),INDEX(_翻訳マスタ!$B$117:$D$247,MATCH("ALERT_CHECK",_翻訳マスタ!$A$117:$A$247,0),MATCH(言語切替!$B$3,_翻訳マスタ!$B$1:$D$1,0)),""))))))</f>
        <v/>
      </c>
      <c r="AJ144" s="73"/>
    </row>
    <row r="145" spans="1:36" s="21" customFormat="1" x14ac:dyDescent="0.25">
      <c r="A145" s="83"/>
      <c r="B145" s="84"/>
      <c r="C145" s="84"/>
      <c r="D145" s="84"/>
      <c r="E145" s="84"/>
      <c r="F145" s="29"/>
      <c r="G145" s="29"/>
      <c r="H145" s="39" t="str">
        <f t="shared" si="40"/>
        <v/>
      </c>
      <c r="I145" s="39" t="str">
        <f t="shared" si="41"/>
        <v/>
      </c>
      <c r="J145" s="29"/>
      <c r="K145" s="29"/>
      <c r="L145" s="39" t="str">
        <f t="shared" si="42"/>
        <v/>
      </c>
      <c r="M145" s="39" t="str">
        <f t="shared" si="43"/>
        <v/>
      </c>
      <c r="N145" s="29"/>
      <c r="O145" s="29"/>
      <c r="P145" s="39" t="str">
        <f t="shared" si="44"/>
        <v/>
      </c>
      <c r="Q145" s="39" t="str">
        <f t="shared" si="45"/>
        <v/>
      </c>
      <c r="R145" s="29"/>
      <c r="S145" s="29"/>
      <c r="T145" s="30"/>
      <c r="U145" s="30"/>
      <c r="V145" s="29"/>
      <c r="W145" s="29"/>
      <c r="X145" s="29"/>
      <c r="Y145" s="29"/>
      <c r="Z145" s="29"/>
      <c r="AA145" s="39" t="str">
        <f t="shared" si="46"/>
        <v/>
      </c>
      <c r="AB145" s="39" t="str">
        <f t="shared" si="47"/>
        <v/>
      </c>
      <c r="AC145" s="29"/>
      <c r="AD145" s="29"/>
      <c r="AE145" s="39" t="str">
        <f t="shared" si="37"/>
        <v/>
      </c>
      <c r="AF145" s="39" t="str">
        <f t="shared" si="38"/>
        <v/>
      </c>
      <c r="AG145" s="29"/>
      <c r="AH145" s="74" t="str">
        <f t="shared" ca="1" si="39"/>
        <v/>
      </c>
      <c r="AI145" s="74" t="str">
        <f ca="1">IF(A145="","",IF(OR(W145='02_マスタ'!$E$10,W145='02_マスタ'!$E$12),"",IF(V145="High","High",IF(AND(U145&lt;&gt;"",U145&lt;TODAY()),INDEX(_翻訳マスタ!$B$117:$D$247,MATCH("ALERT_OVERDUE",_翻訳マスタ!$A$117:$A$247,0),MATCH(言語切替!$B$3,_翻訳マスタ!$B$1:$D$1,0)),IF(AND(U145&lt;&gt;"",U145-TODAY()&lt;=7),INDEX(_翻訳マスタ!$B$117:$D$247,MATCH("ALERT_APPROACHING",_翻訳マスタ!$A$117:$A$247,0),MATCH(言語切替!$B$3,_翻訳マスタ!$B$1:$D$1,0)),IF(OR(W145='02_マスタ'!$E$7,W145='02_マスタ'!$E$8),INDEX(_翻訳マスタ!$B$117:$D$247,MATCH("ALERT_CHECK",_翻訳マスタ!$A$117:$A$247,0),MATCH(言語切替!$B$3,_翻訳マスタ!$B$1:$D$1,0)),""))))))</f>
        <v/>
      </c>
      <c r="AJ145" s="75"/>
    </row>
    <row r="146" spans="1:36" s="21" customFormat="1" x14ac:dyDescent="0.25">
      <c r="A146" s="81"/>
      <c r="B146" s="82"/>
      <c r="C146" s="82"/>
      <c r="D146" s="82"/>
      <c r="E146" s="82"/>
      <c r="F146" s="26"/>
      <c r="G146" s="26"/>
      <c r="H146" s="38" t="str">
        <f t="shared" si="40"/>
        <v/>
      </c>
      <c r="I146" s="38" t="str">
        <f t="shared" si="41"/>
        <v/>
      </c>
      <c r="J146" s="26"/>
      <c r="K146" s="26"/>
      <c r="L146" s="38" t="str">
        <f t="shared" si="42"/>
        <v/>
      </c>
      <c r="M146" s="38" t="str">
        <f t="shared" si="43"/>
        <v/>
      </c>
      <c r="N146" s="26"/>
      <c r="O146" s="26"/>
      <c r="P146" s="38" t="str">
        <f t="shared" si="44"/>
        <v/>
      </c>
      <c r="Q146" s="38" t="str">
        <f t="shared" si="45"/>
        <v/>
      </c>
      <c r="R146" s="26"/>
      <c r="S146" s="26"/>
      <c r="T146" s="27"/>
      <c r="U146" s="27"/>
      <c r="V146" s="26"/>
      <c r="W146" s="26"/>
      <c r="X146" s="26"/>
      <c r="Y146" s="26"/>
      <c r="Z146" s="26"/>
      <c r="AA146" s="38" t="str">
        <f t="shared" si="46"/>
        <v/>
      </c>
      <c r="AB146" s="38" t="str">
        <f t="shared" si="47"/>
        <v/>
      </c>
      <c r="AC146" s="26"/>
      <c r="AD146" s="26"/>
      <c r="AE146" s="38" t="str">
        <f t="shared" si="37"/>
        <v/>
      </c>
      <c r="AF146" s="38" t="str">
        <f t="shared" si="38"/>
        <v/>
      </c>
      <c r="AG146" s="26"/>
      <c r="AH146" s="72" t="str">
        <f t="shared" ca="1" si="39"/>
        <v/>
      </c>
      <c r="AI146" s="72" t="str">
        <f ca="1">IF(A146="","",IF(OR(W146='02_マスタ'!$E$10,W146='02_マスタ'!$E$12),"",IF(V146="High","High",IF(AND(U146&lt;&gt;"",U146&lt;TODAY()),INDEX(_翻訳マスタ!$B$117:$D$247,MATCH("ALERT_OVERDUE",_翻訳マスタ!$A$117:$A$247,0),MATCH(言語切替!$B$3,_翻訳マスタ!$B$1:$D$1,0)),IF(AND(U146&lt;&gt;"",U146-TODAY()&lt;=7),INDEX(_翻訳マスタ!$B$117:$D$247,MATCH("ALERT_APPROACHING",_翻訳マスタ!$A$117:$A$247,0),MATCH(言語切替!$B$3,_翻訳マスタ!$B$1:$D$1,0)),IF(OR(W146='02_マスタ'!$E$7,W146='02_マスタ'!$E$8),INDEX(_翻訳マスタ!$B$117:$D$247,MATCH("ALERT_CHECK",_翻訳マスタ!$A$117:$A$247,0),MATCH(言語切替!$B$3,_翻訳マスタ!$B$1:$D$1,0)),""))))))</f>
        <v/>
      </c>
      <c r="AJ146" s="73"/>
    </row>
    <row r="147" spans="1:36" s="21" customFormat="1" x14ac:dyDescent="0.25">
      <c r="A147" s="83"/>
      <c r="B147" s="84"/>
      <c r="C147" s="84"/>
      <c r="D147" s="84"/>
      <c r="E147" s="84"/>
      <c r="F147" s="29"/>
      <c r="G147" s="29"/>
      <c r="H147" s="39" t="str">
        <f t="shared" si="40"/>
        <v/>
      </c>
      <c r="I147" s="39" t="str">
        <f t="shared" si="41"/>
        <v/>
      </c>
      <c r="J147" s="29"/>
      <c r="K147" s="29"/>
      <c r="L147" s="39" t="str">
        <f t="shared" si="42"/>
        <v/>
      </c>
      <c r="M147" s="39" t="str">
        <f t="shared" si="43"/>
        <v/>
      </c>
      <c r="N147" s="29"/>
      <c r="O147" s="29"/>
      <c r="P147" s="39" t="str">
        <f t="shared" si="44"/>
        <v/>
      </c>
      <c r="Q147" s="39" t="str">
        <f t="shared" si="45"/>
        <v/>
      </c>
      <c r="R147" s="29"/>
      <c r="S147" s="29"/>
      <c r="T147" s="30"/>
      <c r="U147" s="30"/>
      <c r="V147" s="29"/>
      <c r="W147" s="29"/>
      <c r="X147" s="29"/>
      <c r="Y147" s="29"/>
      <c r="Z147" s="29"/>
      <c r="AA147" s="39" t="str">
        <f t="shared" si="46"/>
        <v/>
      </c>
      <c r="AB147" s="39" t="str">
        <f t="shared" si="47"/>
        <v/>
      </c>
      <c r="AC147" s="29"/>
      <c r="AD147" s="29"/>
      <c r="AE147" s="39" t="str">
        <f t="shared" si="37"/>
        <v/>
      </c>
      <c r="AF147" s="39" t="str">
        <f t="shared" si="38"/>
        <v/>
      </c>
      <c r="AG147" s="29"/>
      <c r="AH147" s="74" t="str">
        <f t="shared" ca="1" si="39"/>
        <v/>
      </c>
      <c r="AI147" s="74" t="str">
        <f ca="1">IF(A147="","",IF(OR(W147='02_マスタ'!$E$10,W147='02_マスタ'!$E$12),"",IF(V147="High","High",IF(AND(U147&lt;&gt;"",U147&lt;TODAY()),INDEX(_翻訳マスタ!$B$117:$D$247,MATCH("ALERT_OVERDUE",_翻訳マスタ!$A$117:$A$247,0),MATCH(言語切替!$B$3,_翻訳マスタ!$B$1:$D$1,0)),IF(AND(U147&lt;&gt;"",U147-TODAY()&lt;=7),INDEX(_翻訳マスタ!$B$117:$D$247,MATCH("ALERT_APPROACHING",_翻訳マスタ!$A$117:$A$247,0),MATCH(言語切替!$B$3,_翻訳マスタ!$B$1:$D$1,0)),IF(OR(W147='02_マスタ'!$E$7,W147='02_マスタ'!$E$8),INDEX(_翻訳マスタ!$B$117:$D$247,MATCH("ALERT_CHECK",_翻訳マスタ!$A$117:$A$247,0),MATCH(言語切替!$B$3,_翻訳マスタ!$B$1:$D$1,0)),""))))))</f>
        <v/>
      </c>
      <c r="AJ147" s="75"/>
    </row>
    <row r="148" spans="1:36" s="21" customFormat="1" x14ac:dyDescent="0.25">
      <c r="A148" s="81"/>
      <c r="B148" s="82"/>
      <c r="C148" s="82"/>
      <c r="D148" s="82"/>
      <c r="E148" s="82"/>
      <c r="F148" s="26"/>
      <c r="G148" s="26"/>
      <c r="H148" s="38" t="str">
        <f t="shared" si="40"/>
        <v/>
      </c>
      <c r="I148" s="38" t="str">
        <f t="shared" si="41"/>
        <v/>
      </c>
      <c r="J148" s="26"/>
      <c r="K148" s="26"/>
      <c r="L148" s="38" t="str">
        <f t="shared" si="42"/>
        <v/>
      </c>
      <c r="M148" s="38" t="str">
        <f t="shared" si="43"/>
        <v/>
      </c>
      <c r="N148" s="26"/>
      <c r="O148" s="26"/>
      <c r="P148" s="38" t="str">
        <f t="shared" si="44"/>
        <v/>
      </c>
      <c r="Q148" s="38" t="str">
        <f t="shared" si="45"/>
        <v/>
      </c>
      <c r="R148" s="26"/>
      <c r="S148" s="26"/>
      <c r="T148" s="27"/>
      <c r="U148" s="27"/>
      <c r="V148" s="26"/>
      <c r="W148" s="26"/>
      <c r="X148" s="26"/>
      <c r="Y148" s="26"/>
      <c r="Z148" s="26"/>
      <c r="AA148" s="38" t="str">
        <f t="shared" si="46"/>
        <v/>
      </c>
      <c r="AB148" s="38" t="str">
        <f t="shared" si="47"/>
        <v/>
      </c>
      <c r="AC148" s="26"/>
      <c r="AD148" s="26"/>
      <c r="AE148" s="38" t="str">
        <f t="shared" si="37"/>
        <v/>
      </c>
      <c r="AF148" s="38" t="str">
        <f t="shared" si="38"/>
        <v/>
      </c>
      <c r="AG148" s="26"/>
      <c r="AH148" s="72" t="str">
        <f t="shared" ca="1" si="39"/>
        <v/>
      </c>
      <c r="AI148" s="72" t="str">
        <f ca="1">IF(A148="","",IF(OR(W148='02_マスタ'!$E$10,W148='02_マスタ'!$E$12),"",IF(V148="High","High",IF(AND(U148&lt;&gt;"",U148&lt;TODAY()),INDEX(_翻訳マスタ!$B$117:$D$247,MATCH("ALERT_OVERDUE",_翻訳マスタ!$A$117:$A$247,0),MATCH(言語切替!$B$3,_翻訳マスタ!$B$1:$D$1,0)),IF(AND(U148&lt;&gt;"",U148-TODAY()&lt;=7),INDEX(_翻訳マスタ!$B$117:$D$247,MATCH("ALERT_APPROACHING",_翻訳マスタ!$A$117:$A$247,0),MATCH(言語切替!$B$3,_翻訳マスタ!$B$1:$D$1,0)),IF(OR(W148='02_マスタ'!$E$7,W148='02_マスタ'!$E$8),INDEX(_翻訳マスタ!$B$117:$D$247,MATCH("ALERT_CHECK",_翻訳マスタ!$A$117:$A$247,0),MATCH(言語切替!$B$3,_翻訳マスタ!$B$1:$D$1,0)),""))))))</f>
        <v/>
      </c>
      <c r="AJ148" s="73"/>
    </row>
    <row r="149" spans="1:36" s="21" customFormat="1" x14ac:dyDescent="0.25">
      <c r="A149" s="83"/>
      <c r="B149" s="84"/>
      <c r="C149" s="84"/>
      <c r="D149" s="84"/>
      <c r="E149" s="84"/>
      <c r="F149" s="29"/>
      <c r="G149" s="29"/>
      <c r="H149" s="39" t="str">
        <f t="shared" si="40"/>
        <v/>
      </c>
      <c r="I149" s="39" t="str">
        <f t="shared" si="41"/>
        <v/>
      </c>
      <c r="J149" s="29"/>
      <c r="K149" s="29"/>
      <c r="L149" s="39" t="str">
        <f t="shared" si="42"/>
        <v/>
      </c>
      <c r="M149" s="39" t="str">
        <f t="shared" si="43"/>
        <v/>
      </c>
      <c r="N149" s="29"/>
      <c r="O149" s="29"/>
      <c r="P149" s="39" t="str">
        <f t="shared" si="44"/>
        <v/>
      </c>
      <c r="Q149" s="39" t="str">
        <f t="shared" si="45"/>
        <v/>
      </c>
      <c r="R149" s="29"/>
      <c r="S149" s="29"/>
      <c r="T149" s="30"/>
      <c r="U149" s="30"/>
      <c r="V149" s="29"/>
      <c r="W149" s="29"/>
      <c r="X149" s="29"/>
      <c r="Y149" s="29"/>
      <c r="Z149" s="29"/>
      <c r="AA149" s="39" t="str">
        <f t="shared" si="46"/>
        <v/>
      </c>
      <c r="AB149" s="39" t="str">
        <f t="shared" si="47"/>
        <v/>
      </c>
      <c r="AC149" s="29"/>
      <c r="AD149" s="29"/>
      <c r="AE149" s="39" t="str">
        <f t="shared" si="37"/>
        <v/>
      </c>
      <c r="AF149" s="39" t="str">
        <f t="shared" si="38"/>
        <v/>
      </c>
      <c r="AG149" s="29"/>
      <c r="AH149" s="74" t="str">
        <f t="shared" ca="1" si="39"/>
        <v/>
      </c>
      <c r="AI149" s="74" t="str">
        <f ca="1">IF(A149="","",IF(OR(W149='02_マスタ'!$E$10,W149='02_マスタ'!$E$12),"",IF(V149="High","High",IF(AND(U149&lt;&gt;"",U149&lt;TODAY()),INDEX(_翻訳マスタ!$B$117:$D$247,MATCH("ALERT_OVERDUE",_翻訳マスタ!$A$117:$A$247,0),MATCH(言語切替!$B$3,_翻訳マスタ!$B$1:$D$1,0)),IF(AND(U149&lt;&gt;"",U149-TODAY()&lt;=7),INDEX(_翻訳マスタ!$B$117:$D$247,MATCH("ALERT_APPROACHING",_翻訳マスタ!$A$117:$A$247,0),MATCH(言語切替!$B$3,_翻訳マスタ!$B$1:$D$1,0)),IF(OR(W149='02_マスタ'!$E$7,W149='02_マスタ'!$E$8),INDEX(_翻訳マスタ!$B$117:$D$247,MATCH("ALERT_CHECK",_翻訳マスタ!$A$117:$A$247,0),MATCH(言語切替!$B$3,_翻訳マスタ!$B$1:$D$1,0)),""))))))</f>
        <v/>
      </c>
      <c r="AJ149" s="75"/>
    </row>
    <row r="150" spans="1:36" s="21" customFormat="1" x14ac:dyDescent="0.25">
      <c r="A150" s="81"/>
      <c r="B150" s="82"/>
      <c r="C150" s="82"/>
      <c r="D150" s="82"/>
      <c r="E150" s="82"/>
      <c r="F150" s="26"/>
      <c r="G150" s="26"/>
      <c r="H150" s="38" t="str">
        <f t="shared" si="40"/>
        <v/>
      </c>
      <c r="I150" s="38" t="str">
        <f t="shared" si="41"/>
        <v/>
      </c>
      <c r="J150" s="26"/>
      <c r="K150" s="26"/>
      <c r="L150" s="38" t="str">
        <f t="shared" si="42"/>
        <v/>
      </c>
      <c r="M150" s="38" t="str">
        <f t="shared" si="43"/>
        <v/>
      </c>
      <c r="N150" s="26"/>
      <c r="O150" s="26"/>
      <c r="P150" s="38" t="str">
        <f t="shared" si="44"/>
        <v/>
      </c>
      <c r="Q150" s="38" t="str">
        <f t="shared" si="45"/>
        <v/>
      </c>
      <c r="R150" s="26"/>
      <c r="S150" s="26"/>
      <c r="T150" s="27"/>
      <c r="U150" s="27"/>
      <c r="V150" s="26"/>
      <c r="W150" s="26"/>
      <c r="X150" s="26"/>
      <c r="Y150" s="26"/>
      <c r="Z150" s="26"/>
      <c r="AA150" s="38" t="str">
        <f t="shared" si="46"/>
        <v/>
      </c>
      <c r="AB150" s="38" t="str">
        <f t="shared" si="47"/>
        <v/>
      </c>
      <c r="AC150" s="26"/>
      <c r="AD150" s="26"/>
      <c r="AE150" s="38" t="str">
        <f t="shared" si="37"/>
        <v/>
      </c>
      <c r="AF150" s="38" t="str">
        <f t="shared" si="38"/>
        <v/>
      </c>
      <c r="AG150" s="26"/>
      <c r="AH150" s="72" t="str">
        <f t="shared" ca="1" si="39"/>
        <v/>
      </c>
      <c r="AI150" s="72" t="str">
        <f ca="1">IF(A150="","",IF(OR(W150='02_マスタ'!$E$10,W150='02_マスタ'!$E$12),"",IF(V150="High","High",IF(AND(U150&lt;&gt;"",U150&lt;TODAY()),INDEX(_翻訳マスタ!$B$117:$D$247,MATCH("ALERT_OVERDUE",_翻訳マスタ!$A$117:$A$247,0),MATCH(言語切替!$B$3,_翻訳マスタ!$B$1:$D$1,0)),IF(AND(U150&lt;&gt;"",U150-TODAY()&lt;=7),INDEX(_翻訳マスタ!$B$117:$D$247,MATCH("ALERT_APPROACHING",_翻訳マスタ!$A$117:$A$247,0),MATCH(言語切替!$B$3,_翻訳マスタ!$B$1:$D$1,0)),IF(OR(W150='02_マスタ'!$E$7,W150='02_マスタ'!$E$8),INDEX(_翻訳マスタ!$B$117:$D$247,MATCH("ALERT_CHECK",_翻訳マスタ!$A$117:$A$247,0),MATCH(言語切替!$B$3,_翻訳マスタ!$B$1:$D$1,0)),""))))))</f>
        <v/>
      </c>
      <c r="AJ150" s="73"/>
    </row>
    <row r="151" spans="1:36" s="21" customFormat="1" x14ac:dyDescent="0.25">
      <c r="A151" s="83"/>
      <c r="B151" s="84"/>
      <c r="C151" s="84"/>
      <c r="D151" s="84"/>
      <c r="E151" s="84"/>
      <c r="F151" s="29"/>
      <c r="G151" s="29"/>
      <c r="H151" s="39" t="str">
        <f t="shared" si="40"/>
        <v/>
      </c>
      <c r="I151" s="39" t="str">
        <f t="shared" si="41"/>
        <v/>
      </c>
      <c r="J151" s="29"/>
      <c r="K151" s="29"/>
      <c r="L151" s="39" t="str">
        <f t="shared" si="42"/>
        <v/>
      </c>
      <c r="M151" s="39" t="str">
        <f t="shared" si="43"/>
        <v/>
      </c>
      <c r="N151" s="29"/>
      <c r="O151" s="29"/>
      <c r="P151" s="39" t="str">
        <f t="shared" si="44"/>
        <v/>
      </c>
      <c r="Q151" s="39" t="str">
        <f t="shared" si="45"/>
        <v/>
      </c>
      <c r="R151" s="29"/>
      <c r="S151" s="29"/>
      <c r="T151" s="30"/>
      <c r="U151" s="30"/>
      <c r="V151" s="29"/>
      <c r="W151" s="29"/>
      <c r="X151" s="29"/>
      <c r="Y151" s="29"/>
      <c r="Z151" s="29"/>
      <c r="AA151" s="39" t="str">
        <f t="shared" si="46"/>
        <v/>
      </c>
      <c r="AB151" s="39" t="str">
        <f t="shared" si="47"/>
        <v/>
      </c>
      <c r="AC151" s="29"/>
      <c r="AD151" s="29"/>
      <c r="AE151" s="39" t="str">
        <f t="shared" si="37"/>
        <v/>
      </c>
      <c r="AF151" s="39" t="str">
        <f t="shared" si="38"/>
        <v/>
      </c>
      <c r="AG151" s="29"/>
      <c r="AH151" s="74" t="str">
        <f t="shared" ca="1" si="39"/>
        <v/>
      </c>
      <c r="AI151" s="74" t="str">
        <f ca="1">IF(A151="","",IF(OR(W151='02_マスタ'!$E$10,W151='02_マスタ'!$E$12),"",IF(V151="High","High",IF(AND(U151&lt;&gt;"",U151&lt;TODAY()),INDEX(_翻訳マスタ!$B$117:$D$247,MATCH("ALERT_OVERDUE",_翻訳マスタ!$A$117:$A$247,0),MATCH(言語切替!$B$3,_翻訳マスタ!$B$1:$D$1,0)),IF(AND(U151&lt;&gt;"",U151-TODAY()&lt;=7),INDEX(_翻訳マスタ!$B$117:$D$247,MATCH("ALERT_APPROACHING",_翻訳マスタ!$A$117:$A$247,0),MATCH(言語切替!$B$3,_翻訳マスタ!$B$1:$D$1,0)),IF(OR(W151='02_マスタ'!$E$7,W151='02_マスタ'!$E$8),INDEX(_翻訳マスタ!$B$117:$D$247,MATCH("ALERT_CHECK",_翻訳マスタ!$A$117:$A$247,0),MATCH(言語切替!$B$3,_翻訳マスタ!$B$1:$D$1,0)),""))))))</f>
        <v/>
      </c>
      <c r="AJ151" s="75"/>
    </row>
    <row r="152" spans="1:36" s="21" customFormat="1" x14ac:dyDescent="0.25">
      <c r="A152" s="81"/>
      <c r="B152" s="82"/>
      <c r="C152" s="82"/>
      <c r="D152" s="82"/>
      <c r="E152" s="82"/>
      <c r="F152" s="26"/>
      <c r="G152" s="26"/>
      <c r="H152" s="38" t="str">
        <f t="shared" si="40"/>
        <v/>
      </c>
      <c r="I152" s="38" t="str">
        <f t="shared" si="41"/>
        <v/>
      </c>
      <c r="J152" s="26"/>
      <c r="K152" s="26"/>
      <c r="L152" s="38" t="str">
        <f t="shared" si="42"/>
        <v/>
      </c>
      <c r="M152" s="38" t="str">
        <f t="shared" si="43"/>
        <v/>
      </c>
      <c r="N152" s="26"/>
      <c r="O152" s="26"/>
      <c r="P152" s="38" t="str">
        <f t="shared" si="44"/>
        <v/>
      </c>
      <c r="Q152" s="38" t="str">
        <f t="shared" si="45"/>
        <v/>
      </c>
      <c r="R152" s="26"/>
      <c r="S152" s="26"/>
      <c r="T152" s="27"/>
      <c r="U152" s="27"/>
      <c r="V152" s="26"/>
      <c r="W152" s="26"/>
      <c r="X152" s="26"/>
      <c r="Y152" s="26"/>
      <c r="Z152" s="26"/>
      <c r="AA152" s="38" t="str">
        <f t="shared" si="46"/>
        <v/>
      </c>
      <c r="AB152" s="38" t="str">
        <f t="shared" si="47"/>
        <v/>
      </c>
      <c r="AC152" s="26"/>
      <c r="AD152" s="26"/>
      <c r="AE152" s="38" t="str">
        <f t="shared" si="37"/>
        <v/>
      </c>
      <c r="AF152" s="38" t="str">
        <f t="shared" si="38"/>
        <v/>
      </c>
      <c r="AG152" s="26"/>
      <c r="AH152" s="72" t="str">
        <f t="shared" ca="1" si="39"/>
        <v/>
      </c>
      <c r="AI152" s="72" t="str">
        <f ca="1">IF(A152="","",IF(OR(W152='02_マスタ'!$E$10,W152='02_マスタ'!$E$12),"",IF(V152="High","High",IF(AND(U152&lt;&gt;"",U152&lt;TODAY()),INDEX(_翻訳マスタ!$B$117:$D$247,MATCH("ALERT_OVERDUE",_翻訳マスタ!$A$117:$A$247,0),MATCH(言語切替!$B$3,_翻訳マスタ!$B$1:$D$1,0)),IF(AND(U152&lt;&gt;"",U152-TODAY()&lt;=7),INDEX(_翻訳マスタ!$B$117:$D$247,MATCH("ALERT_APPROACHING",_翻訳マスタ!$A$117:$A$247,0),MATCH(言語切替!$B$3,_翻訳マスタ!$B$1:$D$1,0)),IF(OR(W152='02_マスタ'!$E$7,W152='02_マスタ'!$E$8),INDEX(_翻訳マスタ!$B$117:$D$247,MATCH("ALERT_CHECK",_翻訳マスタ!$A$117:$A$247,0),MATCH(言語切替!$B$3,_翻訳マスタ!$B$1:$D$1,0)),""))))))</f>
        <v/>
      </c>
      <c r="AJ152" s="73"/>
    </row>
    <row r="153" spans="1:36" s="21" customFormat="1" x14ac:dyDescent="0.25">
      <c r="A153" s="83"/>
      <c r="B153" s="84"/>
      <c r="C153" s="84"/>
      <c r="D153" s="84"/>
      <c r="E153" s="84"/>
      <c r="F153" s="29"/>
      <c r="G153" s="29"/>
      <c r="H153" s="39" t="str">
        <f t="shared" si="40"/>
        <v/>
      </c>
      <c r="I153" s="39" t="str">
        <f t="shared" si="41"/>
        <v/>
      </c>
      <c r="J153" s="29"/>
      <c r="K153" s="29"/>
      <c r="L153" s="39" t="str">
        <f t="shared" si="42"/>
        <v/>
      </c>
      <c r="M153" s="39" t="str">
        <f t="shared" si="43"/>
        <v/>
      </c>
      <c r="N153" s="29"/>
      <c r="O153" s="29"/>
      <c r="P153" s="39" t="str">
        <f t="shared" si="44"/>
        <v/>
      </c>
      <c r="Q153" s="39" t="str">
        <f t="shared" si="45"/>
        <v/>
      </c>
      <c r="R153" s="29"/>
      <c r="S153" s="29"/>
      <c r="T153" s="30"/>
      <c r="U153" s="30"/>
      <c r="V153" s="29"/>
      <c r="W153" s="29"/>
      <c r="X153" s="29"/>
      <c r="Y153" s="29"/>
      <c r="Z153" s="29"/>
      <c r="AA153" s="39" t="str">
        <f t="shared" si="46"/>
        <v/>
      </c>
      <c r="AB153" s="39" t="str">
        <f t="shared" si="47"/>
        <v/>
      </c>
      <c r="AC153" s="29"/>
      <c r="AD153" s="29"/>
      <c r="AE153" s="39" t="str">
        <f t="shared" si="37"/>
        <v/>
      </c>
      <c r="AF153" s="39" t="str">
        <f t="shared" si="38"/>
        <v/>
      </c>
      <c r="AG153" s="29"/>
      <c r="AH153" s="74" t="str">
        <f t="shared" ca="1" si="39"/>
        <v/>
      </c>
      <c r="AI153" s="74" t="str">
        <f ca="1">IF(A153="","",IF(OR(W153='02_マスタ'!$E$10,W153='02_マスタ'!$E$12),"",IF(V153="High","High",IF(AND(U153&lt;&gt;"",U153&lt;TODAY()),INDEX(_翻訳マスタ!$B$117:$D$247,MATCH("ALERT_OVERDUE",_翻訳マスタ!$A$117:$A$247,0),MATCH(言語切替!$B$3,_翻訳マスタ!$B$1:$D$1,0)),IF(AND(U153&lt;&gt;"",U153-TODAY()&lt;=7),INDEX(_翻訳マスタ!$B$117:$D$247,MATCH("ALERT_APPROACHING",_翻訳マスタ!$A$117:$A$247,0),MATCH(言語切替!$B$3,_翻訳マスタ!$B$1:$D$1,0)),IF(OR(W153='02_マスタ'!$E$7,W153='02_マスタ'!$E$8),INDEX(_翻訳マスタ!$B$117:$D$247,MATCH("ALERT_CHECK",_翻訳マスタ!$A$117:$A$247,0),MATCH(言語切替!$B$3,_翻訳マスタ!$B$1:$D$1,0)),""))))))</f>
        <v/>
      </c>
      <c r="AJ153" s="75"/>
    </row>
    <row r="154" spans="1:36" s="21" customFormat="1" x14ac:dyDescent="0.25">
      <c r="A154" s="81"/>
      <c r="B154" s="82"/>
      <c r="C154" s="82"/>
      <c r="D154" s="82"/>
      <c r="E154" s="82"/>
      <c r="F154" s="26"/>
      <c r="G154" s="26"/>
      <c r="H154" s="38" t="str">
        <f t="shared" si="40"/>
        <v/>
      </c>
      <c r="I154" s="38" t="str">
        <f t="shared" si="41"/>
        <v/>
      </c>
      <c r="J154" s="26"/>
      <c r="K154" s="26"/>
      <c r="L154" s="38" t="str">
        <f t="shared" si="42"/>
        <v/>
      </c>
      <c r="M154" s="38" t="str">
        <f t="shared" si="43"/>
        <v/>
      </c>
      <c r="N154" s="26"/>
      <c r="O154" s="26"/>
      <c r="P154" s="38" t="str">
        <f t="shared" si="44"/>
        <v/>
      </c>
      <c r="Q154" s="38" t="str">
        <f t="shared" si="45"/>
        <v/>
      </c>
      <c r="R154" s="26"/>
      <c r="S154" s="26"/>
      <c r="T154" s="27"/>
      <c r="U154" s="27"/>
      <c r="V154" s="26"/>
      <c r="W154" s="26"/>
      <c r="X154" s="26"/>
      <c r="Y154" s="26"/>
      <c r="Z154" s="26"/>
      <c r="AA154" s="38" t="str">
        <f t="shared" si="46"/>
        <v/>
      </c>
      <c r="AB154" s="38" t="str">
        <f t="shared" si="47"/>
        <v/>
      </c>
      <c r="AC154" s="26"/>
      <c r="AD154" s="26"/>
      <c r="AE154" s="38" t="str">
        <f t="shared" si="37"/>
        <v/>
      </c>
      <c r="AF154" s="38" t="str">
        <f t="shared" si="38"/>
        <v/>
      </c>
      <c r="AG154" s="26"/>
      <c r="AH154" s="72" t="str">
        <f t="shared" ca="1" si="39"/>
        <v/>
      </c>
      <c r="AI154" s="72" t="str">
        <f ca="1">IF(A154="","",IF(OR(W154='02_マスタ'!$E$10,W154='02_マスタ'!$E$12),"",IF(V154="High","High",IF(AND(U154&lt;&gt;"",U154&lt;TODAY()),INDEX(_翻訳マスタ!$B$117:$D$247,MATCH("ALERT_OVERDUE",_翻訳マスタ!$A$117:$A$247,0),MATCH(言語切替!$B$3,_翻訳マスタ!$B$1:$D$1,0)),IF(AND(U154&lt;&gt;"",U154-TODAY()&lt;=7),INDEX(_翻訳マスタ!$B$117:$D$247,MATCH("ALERT_APPROACHING",_翻訳マスタ!$A$117:$A$247,0),MATCH(言語切替!$B$3,_翻訳マスタ!$B$1:$D$1,0)),IF(OR(W154='02_マスタ'!$E$7,W154='02_マスタ'!$E$8),INDEX(_翻訳マスタ!$B$117:$D$247,MATCH("ALERT_CHECK",_翻訳マスタ!$A$117:$A$247,0),MATCH(言語切替!$B$3,_翻訳マスタ!$B$1:$D$1,0)),""))))))</f>
        <v/>
      </c>
      <c r="AJ154" s="73"/>
    </row>
    <row r="155" spans="1:36" s="21" customFormat="1" x14ac:dyDescent="0.25">
      <c r="A155" s="83"/>
      <c r="B155" s="84"/>
      <c r="C155" s="84"/>
      <c r="D155" s="84"/>
      <c r="E155" s="84"/>
      <c r="F155" s="29"/>
      <c r="G155" s="29"/>
      <c r="H155" s="39" t="str">
        <f t="shared" si="40"/>
        <v/>
      </c>
      <c r="I155" s="39" t="str">
        <f t="shared" si="41"/>
        <v/>
      </c>
      <c r="J155" s="29"/>
      <c r="K155" s="29"/>
      <c r="L155" s="39" t="str">
        <f t="shared" si="42"/>
        <v/>
      </c>
      <c r="M155" s="39" t="str">
        <f t="shared" si="43"/>
        <v/>
      </c>
      <c r="N155" s="29"/>
      <c r="O155" s="29"/>
      <c r="P155" s="39" t="str">
        <f t="shared" si="44"/>
        <v/>
      </c>
      <c r="Q155" s="39" t="str">
        <f t="shared" si="45"/>
        <v/>
      </c>
      <c r="R155" s="29"/>
      <c r="S155" s="29"/>
      <c r="T155" s="30"/>
      <c r="U155" s="30"/>
      <c r="V155" s="29"/>
      <c r="W155" s="29"/>
      <c r="X155" s="29"/>
      <c r="Y155" s="29"/>
      <c r="Z155" s="29"/>
      <c r="AA155" s="39" t="str">
        <f t="shared" si="46"/>
        <v/>
      </c>
      <c r="AB155" s="39" t="str">
        <f t="shared" si="47"/>
        <v/>
      </c>
      <c r="AC155" s="29"/>
      <c r="AD155" s="29"/>
      <c r="AE155" s="39" t="str">
        <f t="shared" si="37"/>
        <v/>
      </c>
      <c r="AF155" s="39" t="str">
        <f t="shared" si="38"/>
        <v/>
      </c>
      <c r="AG155" s="29"/>
      <c r="AH155" s="74" t="str">
        <f t="shared" ca="1" si="39"/>
        <v/>
      </c>
      <c r="AI155" s="74" t="str">
        <f ca="1">IF(A155="","",IF(OR(W155='02_マスタ'!$E$10,W155='02_マスタ'!$E$12),"",IF(V155="High","High",IF(AND(U155&lt;&gt;"",U155&lt;TODAY()),INDEX(_翻訳マスタ!$B$117:$D$247,MATCH("ALERT_OVERDUE",_翻訳マスタ!$A$117:$A$247,0),MATCH(言語切替!$B$3,_翻訳マスタ!$B$1:$D$1,0)),IF(AND(U155&lt;&gt;"",U155-TODAY()&lt;=7),INDEX(_翻訳マスタ!$B$117:$D$247,MATCH("ALERT_APPROACHING",_翻訳マスタ!$A$117:$A$247,0),MATCH(言語切替!$B$3,_翻訳マスタ!$B$1:$D$1,0)),IF(OR(W155='02_マスタ'!$E$7,W155='02_マスタ'!$E$8),INDEX(_翻訳マスタ!$B$117:$D$247,MATCH("ALERT_CHECK",_翻訳マスタ!$A$117:$A$247,0),MATCH(言語切替!$B$3,_翻訳マスタ!$B$1:$D$1,0)),""))))))</f>
        <v/>
      </c>
      <c r="AJ155" s="75"/>
    </row>
    <row r="156" spans="1:36" s="21" customFormat="1" x14ac:dyDescent="0.25">
      <c r="A156" s="81"/>
      <c r="B156" s="82"/>
      <c r="C156" s="82"/>
      <c r="D156" s="82"/>
      <c r="E156" s="82"/>
      <c r="F156" s="26"/>
      <c r="G156" s="26"/>
      <c r="H156" s="38" t="str">
        <f t="shared" si="40"/>
        <v/>
      </c>
      <c r="I156" s="38" t="str">
        <f t="shared" si="41"/>
        <v/>
      </c>
      <c r="J156" s="26"/>
      <c r="K156" s="26"/>
      <c r="L156" s="38" t="str">
        <f t="shared" si="42"/>
        <v/>
      </c>
      <c r="M156" s="38" t="str">
        <f t="shared" si="43"/>
        <v/>
      </c>
      <c r="N156" s="26"/>
      <c r="O156" s="26"/>
      <c r="P156" s="38" t="str">
        <f t="shared" si="44"/>
        <v/>
      </c>
      <c r="Q156" s="38" t="str">
        <f t="shared" si="45"/>
        <v/>
      </c>
      <c r="R156" s="26"/>
      <c r="S156" s="26"/>
      <c r="T156" s="27"/>
      <c r="U156" s="27"/>
      <c r="V156" s="26"/>
      <c r="W156" s="26"/>
      <c r="X156" s="26"/>
      <c r="Y156" s="26"/>
      <c r="Z156" s="26"/>
      <c r="AA156" s="38" t="str">
        <f t="shared" si="46"/>
        <v/>
      </c>
      <c r="AB156" s="38" t="str">
        <f t="shared" si="47"/>
        <v/>
      </c>
      <c r="AC156" s="26"/>
      <c r="AD156" s="26"/>
      <c r="AE156" s="38" t="str">
        <f t="shared" si="37"/>
        <v/>
      </c>
      <c r="AF156" s="38" t="str">
        <f t="shared" si="38"/>
        <v/>
      </c>
      <c r="AG156" s="26"/>
      <c r="AH156" s="72" t="str">
        <f t="shared" ca="1" si="39"/>
        <v/>
      </c>
      <c r="AI156" s="72" t="str">
        <f ca="1">IF(A156="","",IF(OR(W156='02_マスタ'!$E$10,W156='02_マスタ'!$E$12),"",IF(V156="High","High",IF(AND(U156&lt;&gt;"",U156&lt;TODAY()),INDEX(_翻訳マスタ!$B$117:$D$247,MATCH("ALERT_OVERDUE",_翻訳マスタ!$A$117:$A$247,0),MATCH(言語切替!$B$3,_翻訳マスタ!$B$1:$D$1,0)),IF(AND(U156&lt;&gt;"",U156-TODAY()&lt;=7),INDEX(_翻訳マスタ!$B$117:$D$247,MATCH("ALERT_APPROACHING",_翻訳マスタ!$A$117:$A$247,0),MATCH(言語切替!$B$3,_翻訳マスタ!$B$1:$D$1,0)),IF(OR(W156='02_マスタ'!$E$7,W156='02_マスタ'!$E$8),INDEX(_翻訳マスタ!$B$117:$D$247,MATCH("ALERT_CHECK",_翻訳マスタ!$A$117:$A$247,0),MATCH(言語切替!$B$3,_翻訳マスタ!$B$1:$D$1,0)),""))))))</f>
        <v/>
      </c>
      <c r="AJ156" s="73"/>
    </row>
    <row r="157" spans="1:36" s="21" customFormat="1" x14ac:dyDescent="0.25">
      <c r="A157" s="83"/>
      <c r="B157" s="84"/>
      <c r="C157" s="84"/>
      <c r="D157" s="84"/>
      <c r="E157" s="84"/>
      <c r="F157" s="29"/>
      <c r="G157" s="29"/>
      <c r="H157" s="39" t="str">
        <f t="shared" si="40"/>
        <v/>
      </c>
      <c r="I157" s="39" t="str">
        <f t="shared" si="41"/>
        <v/>
      </c>
      <c r="J157" s="29"/>
      <c r="K157" s="29"/>
      <c r="L157" s="39" t="str">
        <f t="shared" si="42"/>
        <v/>
      </c>
      <c r="M157" s="39" t="str">
        <f t="shared" si="43"/>
        <v/>
      </c>
      <c r="N157" s="29"/>
      <c r="O157" s="29"/>
      <c r="P157" s="39" t="str">
        <f t="shared" si="44"/>
        <v/>
      </c>
      <c r="Q157" s="39" t="str">
        <f t="shared" si="45"/>
        <v/>
      </c>
      <c r="R157" s="29"/>
      <c r="S157" s="29"/>
      <c r="T157" s="30"/>
      <c r="U157" s="30"/>
      <c r="V157" s="29"/>
      <c r="W157" s="29"/>
      <c r="X157" s="29"/>
      <c r="Y157" s="29"/>
      <c r="Z157" s="29"/>
      <c r="AA157" s="39" t="str">
        <f t="shared" si="46"/>
        <v/>
      </c>
      <c r="AB157" s="39" t="str">
        <f t="shared" si="47"/>
        <v/>
      </c>
      <c r="AC157" s="29"/>
      <c r="AD157" s="29"/>
      <c r="AE157" s="39" t="str">
        <f t="shared" si="37"/>
        <v/>
      </c>
      <c r="AF157" s="39" t="str">
        <f t="shared" si="38"/>
        <v/>
      </c>
      <c r="AG157" s="29"/>
      <c r="AH157" s="74" t="str">
        <f t="shared" ca="1" si="39"/>
        <v/>
      </c>
      <c r="AI157" s="74" t="str">
        <f ca="1">IF(A157="","",IF(OR(W157='02_マスタ'!$E$10,W157='02_マスタ'!$E$12),"",IF(V157="High","High",IF(AND(U157&lt;&gt;"",U157&lt;TODAY()),INDEX(_翻訳マスタ!$B$117:$D$247,MATCH("ALERT_OVERDUE",_翻訳マスタ!$A$117:$A$247,0),MATCH(言語切替!$B$3,_翻訳マスタ!$B$1:$D$1,0)),IF(AND(U157&lt;&gt;"",U157-TODAY()&lt;=7),INDEX(_翻訳マスタ!$B$117:$D$247,MATCH("ALERT_APPROACHING",_翻訳マスタ!$A$117:$A$247,0),MATCH(言語切替!$B$3,_翻訳マスタ!$B$1:$D$1,0)),IF(OR(W157='02_マスタ'!$E$7,W157='02_マスタ'!$E$8),INDEX(_翻訳マスタ!$B$117:$D$247,MATCH("ALERT_CHECK",_翻訳マスタ!$A$117:$A$247,0),MATCH(言語切替!$B$3,_翻訳マスタ!$B$1:$D$1,0)),""))))))</f>
        <v/>
      </c>
      <c r="AJ157" s="75"/>
    </row>
    <row r="158" spans="1:36" s="21" customFormat="1" x14ac:dyDescent="0.25">
      <c r="A158" s="81"/>
      <c r="B158" s="82"/>
      <c r="C158" s="82"/>
      <c r="D158" s="82"/>
      <c r="E158" s="82"/>
      <c r="F158" s="26"/>
      <c r="G158" s="26"/>
      <c r="H158" s="38" t="str">
        <f t="shared" si="40"/>
        <v/>
      </c>
      <c r="I158" s="38" t="str">
        <f t="shared" si="41"/>
        <v/>
      </c>
      <c r="J158" s="26"/>
      <c r="K158" s="26"/>
      <c r="L158" s="38" t="str">
        <f t="shared" si="42"/>
        <v/>
      </c>
      <c r="M158" s="38" t="str">
        <f t="shared" si="43"/>
        <v/>
      </c>
      <c r="N158" s="26"/>
      <c r="O158" s="26"/>
      <c r="P158" s="38" t="str">
        <f t="shared" si="44"/>
        <v/>
      </c>
      <c r="Q158" s="38" t="str">
        <f t="shared" si="45"/>
        <v/>
      </c>
      <c r="R158" s="26"/>
      <c r="S158" s="26"/>
      <c r="T158" s="27"/>
      <c r="U158" s="27"/>
      <c r="V158" s="26"/>
      <c r="W158" s="26"/>
      <c r="X158" s="26"/>
      <c r="Y158" s="26"/>
      <c r="Z158" s="26"/>
      <c r="AA158" s="38" t="str">
        <f t="shared" si="46"/>
        <v/>
      </c>
      <c r="AB158" s="38" t="str">
        <f t="shared" si="47"/>
        <v/>
      </c>
      <c r="AC158" s="26"/>
      <c r="AD158" s="26"/>
      <c r="AE158" s="38" t="str">
        <f t="shared" si="37"/>
        <v/>
      </c>
      <c r="AF158" s="38" t="str">
        <f t="shared" si="38"/>
        <v/>
      </c>
      <c r="AG158" s="26"/>
      <c r="AH158" s="72" t="str">
        <f t="shared" ca="1" si="39"/>
        <v/>
      </c>
      <c r="AI158" s="72" t="str">
        <f ca="1">IF(A158="","",IF(OR(W158='02_マスタ'!$E$10,W158='02_マスタ'!$E$12),"",IF(V158="High","High",IF(AND(U158&lt;&gt;"",U158&lt;TODAY()),INDEX(_翻訳マスタ!$B$117:$D$247,MATCH("ALERT_OVERDUE",_翻訳マスタ!$A$117:$A$247,0),MATCH(言語切替!$B$3,_翻訳マスタ!$B$1:$D$1,0)),IF(AND(U158&lt;&gt;"",U158-TODAY()&lt;=7),INDEX(_翻訳マスタ!$B$117:$D$247,MATCH("ALERT_APPROACHING",_翻訳マスタ!$A$117:$A$247,0),MATCH(言語切替!$B$3,_翻訳マスタ!$B$1:$D$1,0)),IF(OR(W158='02_マスタ'!$E$7,W158='02_マスタ'!$E$8),INDEX(_翻訳マスタ!$B$117:$D$247,MATCH("ALERT_CHECK",_翻訳マスタ!$A$117:$A$247,0),MATCH(言語切替!$B$3,_翻訳マスタ!$B$1:$D$1,0)),""))))))</f>
        <v/>
      </c>
      <c r="AJ158" s="73"/>
    </row>
    <row r="159" spans="1:36" s="21" customFormat="1" x14ac:dyDescent="0.25">
      <c r="A159" s="83"/>
      <c r="B159" s="84"/>
      <c r="C159" s="84"/>
      <c r="D159" s="84"/>
      <c r="E159" s="84"/>
      <c r="F159" s="29"/>
      <c r="G159" s="29"/>
      <c r="H159" s="39" t="str">
        <f t="shared" si="40"/>
        <v/>
      </c>
      <c r="I159" s="39" t="str">
        <f t="shared" si="41"/>
        <v/>
      </c>
      <c r="J159" s="29"/>
      <c r="K159" s="29"/>
      <c r="L159" s="39" t="str">
        <f t="shared" si="42"/>
        <v/>
      </c>
      <c r="M159" s="39" t="str">
        <f t="shared" si="43"/>
        <v/>
      </c>
      <c r="N159" s="29"/>
      <c r="O159" s="29"/>
      <c r="P159" s="39" t="str">
        <f t="shared" si="44"/>
        <v/>
      </c>
      <c r="Q159" s="39" t="str">
        <f t="shared" si="45"/>
        <v/>
      </c>
      <c r="R159" s="29"/>
      <c r="S159" s="29"/>
      <c r="T159" s="30"/>
      <c r="U159" s="30"/>
      <c r="V159" s="29"/>
      <c r="W159" s="29"/>
      <c r="X159" s="29"/>
      <c r="Y159" s="29"/>
      <c r="Z159" s="29"/>
      <c r="AA159" s="39" t="str">
        <f t="shared" si="46"/>
        <v/>
      </c>
      <c r="AB159" s="39" t="str">
        <f t="shared" si="47"/>
        <v/>
      </c>
      <c r="AC159" s="29"/>
      <c r="AD159" s="29"/>
      <c r="AE159" s="39" t="str">
        <f t="shared" si="37"/>
        <v/>
      </c>
      <c r="AF159" s="39" t="str">
        <f t="shared" si="38"/>
        <v/>
      </c>
      <c r="AG159" s="29"/>
      <c r="AH159" s="74" t="str">
        <f t="shared" ca="1" si="39"/>
        <v/>
      </c>
      <c r="AI159" s="74" t="str">
        <f ca="1">IF(A159="","",IF(OR(W159='02_マスタ'!$E$10,W159='02_マスタ'!$E$12),"",IF(V159="High","High",IF(AND(U159&lt;&gt;"",U159&lt;TODAY()),INDEX(_翻訳マスタ!$B$117:$D$247,MATCH("ALERT_OVERDUE",_翻訳マスタ!$A$117:$A$247,0),MATCH(言語切替!$B$3,_翻訳マスタ!$B$1:$D$1,0)),IF(AND(U159&lt;&gt;"",U159-TODAY()&lt;=7),INDEX(_翻訳マスタ!$B$117:$D$247,MATCH("ALERT_APPROACHING",_翻訳マスタ!$A$117:$A$247,0),MATCH(言語切替!$B$3,_翻訳マスタ!$B$1:$D$1,0)),IF(OR(W159='02_マスタ'!$E$7,W159='02_マスタ'!$E$8),INDEX(_翻訳マスタ!$B$117:$D$247,MATCH("ALERT_CHECK",_翻訳マスタ!$A$117:$A$247,0),MATCH(言語切替!$B$3,_翻訳マスタ!$B$1:$D$1,0)),""))))))</f>
        <v/>
      </c>
      <c r="AJ159" s="75"/>
    </row>
    <row r="160" spans="1:36" s="21" customFormat="1" x14ac:dyDescent="0.25">
      <c r="A160" s="81"/>
      <c r="B160" s="82"/>
      <c r="C160" s="82"/>
      <c r="D160" s="82"/>
      <c r="E160" s="82"/>
      <c r="F160" s="26"/>
      <c r="G160" s="26"/>
      <c r="H160" s="38" t="str">
        <f t="shared" si="40"/>
        <v/>
      </c>
      <c r="I160" s="38" t="str">
        <f t="shared" si="41"/>
        <v/>
      </c>
      <c r="J160" s="26"/>
      <c r="K160" s="26"/>
      <c r="L160" s="38" t="str">
        <f t="shared" si="42"/>
        <v/>
      </c>
      <c r="M160" s="38" t="str">
        <f t="shared" si="43"/>
        <v/>
      </c>
      <c r="N160" s="26"/>
      <c r="O160" s="26"/>
      <c r="P160" s="38" t="str">
        <f t="shared" si="44"/>
        <v/>
      </c>
      <c r="Q160" s="38" t="str">
        <f t="shared" si="45"/>
        <v/>
      </c>
      <c r="R160" s="26"/>
      <c r="S160" s="26"/>
      <c r="T160" s="27"/>
      <c r="U160" s="27"/>
      <c r="V160" s="26"/>
      <c r="W160" s="26"/>
      <c r="X160" s="26"/>
      <c r="Y160" s="26"/>
      <c r="Z160" s="26"/>
      <c r="AA160" s="38" t="str">
        <f t="shared" si="46"/>
        <v/>
      </c>
      <c r="AB160" s="38" t="str">
        <f t="shared" si="47"/>
        <v/>
      </c>
      <c r="AC160" s="26"/>
      <c r="AD160" s="26"/>
      <c r="AE160" s="38" t="str">
        <f t="shared" si="37"/>
        <v/>
      </c>
      <c r="AF160" s="38" t="str">
        <f t="shared" si="38"/>
        <v/>
      </c>
      <c r="AG160" s="26"/>
      <c r="AH160" s="72" t="str">
        <f t="shared" ca="1" si="39"/>
        <v/>
      </c>
      <c r="AI160" s="72" t="str">
        <f ca="1">IF(A160="","",IF(OR(W160='02_マスタ'!$E$10,W160='02_マスタ'!$E$12),"",IF(V160="High","High",IF(AND(U160&lt;&gt;"",U160&lt;TODAY()),INDEX(_翻訳マスタ!$B$117:$D$247,MATCH("ALERT_OVERDUE",_翻訳マスタ!$A$117:$A$247,0),MATCH(言語切替!$B$3,_翻訳マスタ!$B$1:$D$1,0)),IF(AND(U160&lt;&gt;"",U160-TODAY()&lt;=7),INDEX(_翻訳マスタ!$B$117:$D$247,MATCH("ALERT_APPROACHING",_翻訳マスタ!$A$117:$A$247,0),MATCH(言語切替!$B$3,_翻訳マスタ!$B$1:$D$1,0)),IF(OR(W160='02_マスタ'!$E$7,W160='02_マスタ'!$E$8),INDEX(_翻訳マスタ!$B$117:$D$247,MATCH("ALERT_CHECK",_翻訳マスタ!$A$117:$A$247,0),MATCH(言語切替!$B$3,_翻訳マスタ!$B$1:$D$1,0)),""))))))</f>
        <v/>
      </c>
      <c r="AJ160" s="73"/>
    </row>
    <row r="161" spans="1:36" s="21" customFormat="1" x14ac:dyDescent="0.25">
      <c r="A161" s="83"/>
      <c r="B161" s="84"/>
      <c r="C161" s="84"/>
      <c r="D161" s="84"/>
      <c r="E161" s="84"/>
      <c r="F161" s="29"/>
      <c r="G161" s="29"/>
      <c r="H161" s="39" t="str">
        <f t="shared" si="40"/>
        <v/>
      </c>
      <c r="I161" s="39" t="str">
        <f t="shared" si="41"/>
        <v/>
      </c>
      <c r="J161" s="29"/>
      <c r="K161" s="29"/>
      <c r="L161" s="39" t="str">
        <f t="shared" si="42"/>
        <v/>
      </c>
      <c r="M161" s="39" t="str">
        <f t="shared" si="43"/>
        <v/>
      </c>
      <c r="N161" s="29"/>
      <c r="O161" s="29"/>
      <c r="P161" s="39" t="str">
        <f t="shared" si="44"/>
        <v/>
      </c>
      <c r="Q161" s="39" t="str">
        <f t="shared" si="45"/>
        <v/>
      </c>
      <c r="R161" s="29"/>
      <c r="S161" s="29"/>
      <c r="T161" s="30"/>
      <c r="U161" s="30"/>
      <c r="V161" s="29"/>
      <c r="W161" s="29"/>
      <c r="X161" s="29"/>
      <c r="Y161" s="29"/>
      <c r="Z161" s="29"/>
      <c r="AA161" s="39" t="str">
        <f t="shared" si="46"/>
        <v/>
      </c>
      <c r="AB161" s="39" t="str">
        <f t="shared" si="47"/>
        <v/>
      </c>
      <c r="AC161" s="29"/>
      <c r="AD161" s="29"/>
      <c r="AE161" s="39" t="str">
        <f t="shared" si="37"/>
        <v/>
      </c>
      <c r="AF161" s="39" t="str">
        <f t="shared" si="38"/>
        <v/>
      </c>
      <c r="AG161" s="29"/>
      <c r="AH161" s="74" t="str">
        <f t="shared" ca="1" si="39"/>
        <v/>
      </c>
      <c r="AI161" s="74" t="str">
        <f ca="1">IF(A161="","",IF(OR(W161='02_マスタ'!$E$10,W161='02_マスタ'!$E$12),"",IF(V161="High","High",IF(AND(U161&lt;&gt;"",U161&lt;TODAY()),INDEX(_翻訳マスタ!$B$117:$D$247,MATCH("ALERT_OVERDUE",_翻訳マスタ!$A$117:$A$247,0),MATCH(言語切替!$B$3,_翻訳マスタ!$B$1:$D$1,0)),IF(AND(U161&lt;&gt;"",U161-TODAY()&lt;=7),INDEX(_翻訳マスタ!$B$117:$D$247,MATCH("ALERT_APPROACHING",_翻訳マスタ!$A$117:$A$247,0),MATCH(言語切替!$B$3,_翻訳マスタ!$B$1:$D$1,0)),IF(OR(W161='02_マスタ'!$E$7,W161='02_マスタ'!$E$8),INDEX(_翻訳マスタ!$B$117:$D$247,MATCH("ALERT_CHECK",_翻訳マスタ!$A$117:$A$247,0),MATCH(言語切替!$B$3,_翻訳マスタ!$B$1:$D$1,0)),""))))))</f>
        <v/>
      </c>
      <c r="AJ161" s="75"/>
    </row>
    <row r="162" spans="1:36" s="21" customFormat="1" x14ac:dyDescent="0.25">
      <c r="A162" s="81"/>
      <c r="B162" s="82"/>
      <c r="C162" s="82"/>
      <c r="D162" s="82"/>
      <c r="E162" s="82"/>
      <c r="F162" s="26"/>
      <c r="G162" s="26"/>
      <c r="H162" s="38" t="str">
        <f t="shared" si="40"/>
        <v/>
      </c>
      <c r="I162" s="38" t="str">
        <f t="shared" si="41"/>
        <v/>
      </c>
      <c r="J162" s="26"/>
      <c r="K162" s="26"/>
      <c r="L162" s="38" t="str">
        <f t="shared" si="42"/>
        <v/>
      </c>
      <c r="M162" s="38" t="str">
        <f t="shared" si="43"/>
        <v/>
      </c>
      <c r="N162" s="26"/>
      <c r="O162" s="26"/>
      <c r="P162" s="38" t="str">
        <f t="shared" si="44"/>
        <v/>
      </c>
      <c r="Q162" s="38" t="str">
        <f t="shared" si="45"/>
        <v/>
      </c>
      <c r="R162" s="26"/>
      <c r="S162" s="26"/>
      <c r="T162" s="27"/>
      <c r="U162" s="27"/>
      <c r="V162" s="26"/>
      <c r="W162" s="26"/>
      <c r="X162" s="26"/>
      <c r="Y162" s="26"/>
      <c r="Z162" s="26"/>
      <c r="AA162" s="38" t="str">
        <f t="shared" si="46"/>
        <v/>
      </c>
      <c r="AB162" s="38" t="str">
        <f t="shared" si="47"/>
        <v/>
      </c>
      <c r="AC162" s="26"/>
      <c r="AD162" s="26"/>
      <c r="AE162" s="38" t="str">
        <f t="shared" si="37"/>
        <v/>
      </c>
      <c r="AF162" s="38" t="str">
        <f t="shared" si="38"/>
        <v/>
      </c>
      <c r="AG162" s="26"/>
      <c r="AH162" s="72" t="str">
        <f t="shared" ca="1" si="39"/>
        <v/>
      </c>
      <c r="AI162" s="72" t="str">
        <f ca="1">IF(A162="","",IF(OR(W162='02_マスタ'!$E$10,W162='02_マスタ'!$E$12),"",IF(V162="High","High",IF(AND(U162&lt;&gt;"",U162&lt;TODAY()),INDEX(_翻訳マスタ!$B$117:$D$247,MATCH("ALERT_OVERDUE",_翻訳マスタ!$A$117:$A$247,0),MATCH(言語切替!$B$3,_翻訳マスタ!$B$1:$D$1,0)),IF(AND(U162&lt;&gt;"",U162-TODAY()&lt;=7),INDEX(_翻訳マスタ!$B$117:$D$247,MATCH("ALERT_APPROACHING",_翻訳マスタ!$A$117:$A$247,0),MATCH(言語切替!$B$3,_翻訳マスタ!$B$1:$D$1,0)),IF(OR(W162='02_マスタ'!$E$7,W162='02_マスタ'!$E$8),INDEX(_翻訳マスタ!$B$117:$D$247,MATCH("ALERT_CHECK",_翻訳マスタ!$A$117:$A$247,0),MATCH(言語切替!$B$3,_翻訳マスタ!$B$1:$D$1,0)),""))))))</f>
        <v/>
      </c>
      <c r="AJ162" s="73"/>
    </row>
    <row r="163" spans="1:36" s="21" customFormat="1" x14ac:dyDescent="0.25">
      <c r="A163" s="83"/>
      <c r="B163" s="84"/>
      <c r="C163" s="84"/>
      <c r="D163" s="84"/>
      <c r="E163" s="84"/>
      <c r="F163" s="29"/>
      <c r="G163" s="29"/>
      <c r="H163" s="39" t="str">
        <f t="shared" si="40"/>
        <v/>
      </c>
      <c r="I163" s="39" t="str">
        <f t="shared" si="41"/>
        <v/>
      </c>
      <c r="J163" s="29"/>
      <c r="K163" s="29"/>
      <c r="L163" s="39" t="str">
        <f t="shared" si="42"/>
        <v/>
      </c>
      <c r="M163" s="39" t="str">
        <f t="shared" si="43"/>
        <v/>
      </c>
      <c r="N163" s="29"/>
      <c r="O163" s="29"/>
      <c r="P163" s="39" t="str">
        <f t="shared" si="44"/>
        <v/>
      </c>
      <c r="Q163" s="39" t="str">
        <f t="shared" si="45"/>
        <v/>
      </c>
      <c r="R163" s="29"/>
      <c r="S163" s="29"/>
      <c r="T163" s="30"/>
      <c r="U163" s="30"/>
      <c r="V163" s="29"/>
      <c r="W163" s="29"/>
      <c r="X163" s="29"/>
      <c r="Y163" s="29"/>
      <c r="Z163" s="29"/>
      <c r="AA163" s="39" t="str">
        <f t="shared" si="46"/>
        <v/>
      </c>
      <c r="AB163" s="39" t="str">
        <f t="shared" si="47"/>
        <v/>
      </c>
      <c r="AC163" s="29"/>
      <c r="AD163" s="29"/>
      <c r="AE163" s="39" t="str">
        <f t="shared" si="37"/>
        <v/>
      </c>
      <c r="AF163" s="39" t="str">
        <f t="shared" si="38"/>
        <v/>
      </c>
      <c r="AG163" s="29"/>
      <c r="AH163" s="74" t="str">
        <f t="shared" ca="1" si="39"/>
        <v/>
      </c>
      <c r="AI163" s="74" t="str">
        <f ca="1">IF(A163="","",IF(OR(W163='02_マスタ'!$E$10,W163='02_マスタ'!$E$12),"",IF(V163="High","High",IF(AND(U163&lt;&gt;"",U163&lt;TODAY()),INDEX(_翻訳マスタ!$B$117:$D$247,MATCH("ALERT_OVERDUE",_翻訳マスタ!$A$117:$A$247,0),MATCH(言語切替!$B$3,_翻訳マスタ!$B$1:$D$1,0)),IF(AND(U163&lt;&gt;"",U163-TODAY()&lt;=7),INDEX(_翻訳マスタ!$B$117:$D$247,MATCH("ALERT_APPROACHING",_翻訳マスタ!$A$117:$A$247,0),MATCH(言語切替!$B$3,_翻訳マスタ!$B$1:$D$1,0)),IF(OR(W163='02_マスタ'!$E$7,W163='02_マスタ'!$E$8),INDEX(_翻訳マスタ!$B$117:$D$247,MATCH("ALERT_CHECK",_翻訳マスタ!$A$117:$A$247,0),MATCH(言語切替!$B$3,_翻訳マスタ!$B$1:$D$1,0)),""))))))</f>
        <v/>
      </c>
      <c r="AJ163" s="75"/>
    </row>
    <row r="164" spans="1:36" s="21" customFormat="1" x14ac:dyDescent="0.25">
      <c r="A164" s="81"/>
      <c r="B164" s="82"/>
      <c r="C164" s="82"/>
      <c r="D164" s="82"/>
      <c r="E164" s="82"/>
      <c r="F164" s="26"/>
      <c r="G164" s="26"/>
      <c r="H164" s="38" t="str">
        <f t="shared" si="40"/>
        <v/>
      </c>
      <c r="I164" s="38" t="str">
        <f t="shared" si="41"/>
        <v/>
      </c>
      <c r="J164" s="26"/>
      <c r="K164" s="26"/>
      <c r="L164" s="38" t="str">
        <f t="shared" si="42"/>
        <v/>
      </c>
      <c r="M164" s="38" t="str">
        <f t="shared" si="43"/>
        <v/>
      </c>
      <c r="N164" s="26"/>
      <c r="O164" s="26"/>
      <c r="P164" s="38" t="str">
        <f t="shared" si="44"/>
        <v/>
      </c>
      <c r="Q164" s="38" t="str">
        <f t="shared" si="45"/>
        <v/>
      </c>
      <c r="R164" s="26"/>
      <c r="S164" s="26"/>
      <c r="T164" s="27"/>
      <c r="U164" s="27"/>
      <c r="V164" s="26"/>
      <c r="W164" s="26"/>
      <c r="X164" s="26"/>
      <c r="Y164" s="26"/>
      <c r="Z164" s="26"/>
      <c r="AA164" s="38" t="str">
        <f t="shared" si="46"/>
        <v/>
      </c>
      <c r="AB164" s="38" t="str">
        <f t="shared" si="47"/>
        <v/>
      </c>
      <c r="AC164" s="26"/>
      <c r="AD164" s="26"/>
      <c r="AE164" s="38" t="str">
        <f t="shared" si="37"/>
        <v/>
      </c>
      <c r="AF164" s="38" t="str">
        <f t="shared" si="38"/>
        <v/>
      </c>
      <c r="AG164" s="26"/>
      <c r="AH164" s="72" t="str">
        <f t="shared" ca="1" si="39"/>
        <v/>
      </c>
      <c r="AI164" s="72" t="str">
        <f ca="1">IF(A164="","",IF(OR(W164='02_マスタ'!$E$10,W164='02_マスタ'!$E$12),"",IF(V164="High","High",IF(AND(U164&lt;&gt;"",U164&lt;TODAY()),INDEX(_翻訳マスタ!$B$117:$D$247,MATCH("ALERT_OVERDUE",_翻訳マスタ!$A$117:$A$247,0),MATCH(言語切替!$B$3,_翻訳マスタ!$B$1:$D$1,0)),IF(AND(U164&lt;&gt;"",U164-TODAY()&lt;=7),INDEX(_翻訳マスタ!$B$117:$D$247,MATCH("ALERT_APPROACHING",_翻訳マスタ!$A$117:$A$247,0),MATCH(言語切替!$B$3,_翻訳マスタ!$B$1:$D$1,0)),IF(OR(W164='02_マスタ'!$E$7,W164='02_マスタ'!$E$8),INDEX(_翻訳マスタ!$B$117:$D$247,MATCH("ALERT_CHECK",_翻訳マスタ!$A$117:$A$247,0),MATCH(言語切替!$B$3,_翻訳マスタ!$B$1:$D$1,0)),""))))))</f>
        <v/>
      </c>
      <c r="AJ164" s="73"/>
    </row>
    <row r="165" spans="1:36" s="21" customFormat="1" x14ac:dyDescent="0.25">
      <c r="A165" s="83"/>
      <c r="B165" s="84"/>
      <c r="C165" s="84"/>
      <c r="D165" s="84"/>
      <c r="E165" s="84"/>
      <c r="F165" s="29"/>
      <c r="G165" s="29"/>
      <c r="H165" s="39" t="str">
        <f t="shared" si="40"/>
        <v/>
      </c>
      <c r="I165" s="39" t="str">
        <f t="shared" si="41"/>
        <v/>
      </c>
      <c r="J165" s="29"/>
      <c r="K165" s="29"/>
      <c r="L165" s="39" t="str">
        <f t="shared" si="42"/>
        <v/>
      </c>
      <c r="M165" s="39" t="str">
        <f t="shared" si="43"/>
        <v/>
      </c>
      <c r="N165" s="29"/>
      <c r="O165" s="29"/>
      <c r="P165" s="39" t="str">
        <f t="shared" si="44"/>
        <v/>
      </c>
      <c r="Q165" s="39" t="str">
        <f t="shared" si="45"/>
        <v/>
      </c>
      <c r="R165" s="29"/>
      <c r="S165" s="29"/>
      <c r="T165" s="30"/>
      <c r="U165" s="30"/>
      <c r="V165" s="29"/>
      <c r="W165" s="29"/>
      <c r="X165" s="29"/>
      <c r="Y165" s="29"/>
      <c r="Z165" s="29"/>
      <c r="AA165" s="39" t="str">
        <f t="shared" si="46"/>
        <v/>
      </c>
      <c r="AB165" s="39" t="str">
        <f t="shared" si="47"/>
        <v/>
      </c>
      <c r="AC165" s="29"/>
      <c r="AD165" s="29"/>
      <c r="AE165" s="39" t="str">
        <f t="shared" si="37"/>
        <v/>
      </c>
      <c r="AF165" s="39" t="str">
        <f t="shared" si="38"/>
        <v/>
      </c>
      <c r="AG165" s="29"/>
      <c r="AH165" s="74" t="str">
        <f t="shared" ca="1" si="39"/>
        <v/>
      </c>
      <c r="AI165" s="74" t="str">
        <f ca="1">IF(A165="","",IF(OR(W165='02_マスタ'!$E$10,W165='02_マスタ'!$E$12),"",IF(V165="High","High",IF(AND(U165&lt;&gt;"",U165&lt;TODAY()),INDEX(_翻訳マスタ!$B$117:$D$247,MATCH("ALERT_OVERDUE",_翻訳マスタ!$A$117:$A$247,0),MATCH(言語切替!$B$3,_翻訳マスタ!$B$1:$D$1,0)),IF(AND(U165&lt;&gt;"",U165-TODAY()&lt;=7),INDEX(_翻訳マスタ!$B$117:$D$247,MATCH("ALERT_APPROACHING",_翻訳マスタ!$A$117:$A$247,0),MATCH(言語切替!$B$3,_翻訳マスタ!$B$1:$D$1,0)),IF(OR(W165='02_マスタ'!$E$7,W165='02_マスタ'!$E$8),INDEX(_翻訳マスタ!$B$117:$D$247,MATCH("ALERT_CHECK",_翻訳マスタ!$A$117:$A$247,0),MATCH(言語切替!$B$3,_翻訳マスタ!$B$1:$D$1,0)),""))))))</f>
        <v/>
      </c>
      <c r="AJ165" s="75"/>
    </row>
    <row r="166" spans="1:36" s="21" customFormat="1" x14ac:dyDescent="0.25">
      <c r="A166" s="81"/>
      <c r="B166" s="82"/>
      <c r="C166" s="82"/>
      <c r="D166" s="82"/>
      <c r="E166" s="82"/>
      <c r="F166" s="26"/>
      <c r="G166" s="26"/>
      <c r="H166" s="38" t="str">
        <f t="shared" si="40"/>
        <v/>
      </c>
      <c r="I166" s="38" t="str">
        <f t="shared" si="41"/>
        <v/>
      </c>
      <c r="J166" s="26"/>
      <c r="K166" s="26"/>
      <c r="L166" s="38" t="str">
        <f t="shared" si="42"/>
        <v/>
      </c>
      <c r="M166" s="38" t="str">
        <f t="shared" si="43"/>
        <v/>
      </c>
      <c r="N166" s="26"/>
      <c r="O166" s="26"/>
      <c r="P166" s="38" t="str">
        <f t="shared" si="44"/>
        <v/>
      </c>
      <c r="Q166" s="38" t="str">
        <f t="shared" si="45"/>
        <v/>
      </c>
      <c r="R166" s="26"/>
      <c r="S166" s="26"/>
      <c r="T166" s="27"/>
      <c r="U166" s="27"/>
      <c r="V166" s="26"/>
      <c r="W166" s="26"/>
      <c r="X166" s="26"/>
      <c r="Y166" s="26"/>
      <c r="Z166" s="26"/>
      <c r="AA166" s="38" t="str">
        <f t="shared" si="46"/>
        <v/>
      </c>
      <c r="AB166" s="38" t="str">
        <f t="shared" si="47"/>
        <v/>
      </c>
      <c r="AC166" s="26"/>
      <c r="AD166" s="26"/>
      <c r="AE166" s="38" t="str">
        <f t="shared" si="37"/>
        <v/>
      </c>
      <c r="AF166" s="38" t="str">
        <f t="shared" si="38"/>
        <v/>
      </c>
      <c r="AG166" s="26"/>
      <c r="AH166" s="72" t="str">
        <f t="shared" ca="1" si="39"/>
        <v/>
      </c>
      <c r="AI166" s="72" t="str">
        <f ca="1">IF(A166="","",IF(OR(W166='02_マスタ'!$E$10,W166='02_マスタ'!$E$12),"",IF(V166="High","High",IF(AND(U166&lt;&gt;"",U166&lt;TODAY()),INDEX(_翻訳マスタ!$B$117:$D$247,MATCH("ALERT_OVERDUE",_翻訳マスタ!$A$117:$A$247,0),MATCH(言語切替!$B$3,_翻訳マスタ!$B$1:$D$1,0)),IF(AND(U166&lt;&gt;"",U166-TODAY()&lt;=7),INDEX(_翻訳マスタ!$B$117:$D$247,MATCH("ALERT_APPROACHING",_翻訳マスタ!$A$117:$A$247,0),MATCH(言語切替!$B$3,_翻訳マスタ!$B$1:$D$1,0)),IF(OR(W166='02_マスタ'!$E$7,W166='02_マスタ'!$E$8),INDEX(_翻訳マスタ!$B$117:$D$247,MATCH("ALERT_CHECK",_翻訳マスタ!$A$117:$A$247,0),MATCH(言語切替!$B$3,_翻訳マスタ!$B$1:$D$1,0)),""))))))</f>
        <v/>
      </c>
      <c r="AJ166" s="73"/>
    </row>
    <row r="167" spans="1:36" s="21" customFormat="1" x14ac:dyDescent="0.25">
      <c r="A167" s="83"/>
      <c r="B167" s="84"/>
      <c r="C167" s="84"/>
      <c r="D167" s="84"/>
      <c r="E167" s="84"/>
      <c r="F167" s="29"/>
      <c r="G167" s="29"/>
      <c r="H167" s="39" t="str">
        <f t="shared" si="40"/>
        <v/>
      </c>
      <c r="I167" s="39" t="str">
        <f t="shared" si="41"/>
        <v/>
      </c>
      <c r="J167" s="29"/>
      <c r="K167" s="29"/>
      <c r="L167" s="39" t="str">
        <f t="shared" si="42"/>
        <v/>
      </c>
      <c r="M167" s="39" t="str">
        <f t="shared" si="43"/>
        <v/>
      </c>
      <c r="N167" s="29"/>
      <c r="O167" s="29"/>
      <c r="P167" s="39" t="str">
        <f t="shared" si="44"/>
        <v/>
      </c>
      <c r="Q167" s="39" t="str">
        <f t="shared" si="45"/>
        <v/>
      </c>
      <c r="R167" s="29"/>
      <c r="S167" s="29"/>
      <c r="T167" s="30"/>
      <c r="U167" s="30"/>
      <c r="V167" s="29"/>
      <c r="W167" s="29"/>
      <c r="X167" s="29"/>
      <c r="Y167" s="29"/>
      <c r="Z167" s="29"/>
      <c r="AA167" s="39" t="str">
        <f t="shared" si="46"/>
        <v/>
      </c>
      <c r="AB167" s="39" t="str">
        <f t="shared" si="47"/>
        <v/>
      </c>
      <c r="AC167" s="29"/>
      <c r="AD167" s="29"/>
      <c r="AE167" s="39" t="str">
        <f t="shared" si="37"/>
        <v/>
      </c>
      <c r="AF167" s="39" t="str">
        <f t="shared" si="38"/>
        <v/>
      </c>
      <c r="AG167" s="29"/>
      <c r="AH167" s="74" t="str">
        <f t="shared" ca="1" si="39"/>
        <v/>
      </c>
      <c r="AI167" s="74" t="str">
        <f ca="1">IF(A167="","",IF(OR(W167='02_マスタ'!$E$10,W167='02_マスタ'!$E$12),"",IF(V167="High","High",IF(AND(U167&lt;&gt;"",U167&lt;TODAY()),INDEX(_翻訳マスタ!$B$117:$D$247,MATCH("ALERT_OVERDUE",_翻訳マスタ!$A$117:$A$247,0),MATCH(言語切替!$B$3,_翻訳マスタ!$B$1:$D$1,0)),IF(AND(U167&lt;&gt;"",U167-TODAY()&lt;=7),INDEX(_翻訳マスタ!$B$117:$D$247,MATCH("ALERT_APPROACHING",_翻訳マスタ!$A$117:$A$247,0),MATCH(言語切替!$B$3,_翻訳マスタ!$B$1:$D$1,0)),IF(OR(W167='02_マスタ'!$E$7,W167='02_マスタ'!$E$8),INDEX(_翻訳マスタ!$B$117:$D$247,MATCH("ALERT_CHECK",_翻訳マスタ!$A$117:$A$247,0),MATCH(言語切替!$B$3,_翻訳マスタ!$B$1:$D$1,0)),""))))))</f>
        <v/>
      </c>
      <c r="AJ167" s="75"/>
    </row>
    <row r="168" spans="1:36" s="21" customFormat="1" x14ac:dyDescent="0.25">
      <c r="A168" s="81"/>
      <c r="B168" s="82"/>
      <c r="C168" s="82"/>
      <c r="D168" s="82"/>
      <c r="E168" s="82"/>
      <c r="F168" s="26"/>
      <c r="G168" s="26"/>
      <c r="H168" s="38" t="str">
        <f t="shared" si="40"/>
        <v/>
      </c>
      <c r="I168" s="38" t="str">
        <f t="shared" si="41"/>
        <v/>
      </c>
      <c r="J168" s="26"/>
      <c r="K168" s="26"/>
      <c r="L168" s="38" t="str">
        <f t="shared" si="42"/>
        <v/>
      </c>
      <c r="M168" s="38" t="str">
        <f t="shared" si="43"/>
        <v/>
      </c>
      <c r="N168" s="26"/>
      <c r="O168" s="26"/>
      <c r="P168" s="38" t="str">
        <f t="shared" si="44"/>
        <v/>
      </c>
      <c r="Q168" s="38" t="str">
        <f t="shared" si="45"/>
        <v/>
      </c>
      <c r="R168" s="26"/>
      <c r="S168" s="26"/>
      <c r="T168" s="27"/>
      <c r="U168" s="27"/>
      <c r="V168" s="26"/>
      <c r="W168" s="26"/>
      <c r="X168" s="26"/>
      <c r="Y168" s="26"/>
      <c r="Z168" s="26"/>
      <c r="AA168" s="38" t="str">
        <f t="shared" si="46"/>
        <v/>
      </c>
      <c r="AB168" s="38" t="str">
        <f t="shared" si="47"/>
        <v/>
      </c>
      <c r="AC168" s="26"/>
      <c r="AD168" s="26"/>
      <c r="AE168" s="38" t="str">
        <f t="shared" si="37"/>
        <v/>
      </c>
      <c r="AF168" s="38" t="str">
        <f t="shared" si="38"/>
        <v/>
      </c>
      <c r="AG168" s="26"/>
      <c r="AH168" s="72" t="str">
        <f t="shared" ca="1" si="39"/>
        <v/>
      </c>
      <c r="AI168" s="72" t="str">
        <f ca="1">IF(A168="","",IF(OR(W168='02_マスタ'!$E$10,W168='02_マスタ'!$E$12),"",IF(V168="High","High",IF(AND(U168&lt;&gt;"",U168&lt;TODAY()),INDEX(_翻訳マスタ!$B$117:$D$247,MATCH("ALERT_OVERDUE",_翻訳マスタ!$A$117:$A$247,0),MATCH(言語切替!$B$3,_翻訳マスタ!$B$1:$D$1,0)),IF(AND(U168&lt;&gt;"",U168-TODAY()&lt;=7),INDEX(_翻訳マスタ!$B$117:$D$247,MATCH("ALERT_APPROACHING",_翻訳マスタ!$A$117:$A$247,0),MATCH(言語切替!$B$3,_翻訳マスタ!$B$1:$D$1,0)),IF(OR(W168='02_マスタ'!$E$7,W168='02_マスタ'!$E$8),INDEX(_翻訳マスタ!$B$117:$D$247,MATCH("ALERT_CHECK",_翻訳マスタ!$A$117:$A$247,0),MATCH(言語切替!$B$3,_翻訳マスタ!$B$1:$D$1,0)),""))))))</f>
        <v/>
      </c>
      <c r="AJ168" s="73"/>
    </row>
    <row r="169" spans="1:36" s="21" customFormat="1" x14ac:dyDescent="0.25">
      <c r="A169" s="83"/>
      <c r="B169" s="84"/>
      <c r="C169" s="84"/>
      <c r="D169" s="84"/>
      <c r="E169" s="84"/>
      <c r="F169" s="29"/>
      <c r="G169" s="29"/>
      <c r="H169" s="39" t="str">
        <f t="shared" si="40"/>
        <v/>
      </c>
      <c r="I169" s="39" t="str">
        <f t="shared" si="41"/>
        <v/>
      </c>
      <c r="J169" s="29"/>
      <c r="K169" s="29"/>
      <c r="L169" s="39" t="str">
        <f t="shared" si="42"/>
        <v/>
      </c>
      <c r="M169" s="39" t="str">
        <f t="shared" si="43"/>
        <v/>
      </c>
      <c r="N169" s="29"/>
      <c r="O169" s="29"/>
      <c r="P169" s="39" t="str">
        <f t="shared" si="44"/>
        <v/>
      </c>
      <c r="Q169" s="39" t="str">
        <f t="shared" si="45"/>
        <v/>
      </c>
      <c r="R169" s="29"/>
      <c r="S169" s="29"/>
      <c r="T169" s="30"/>
      <c r="U169" s="30"/>
      <c r="V169" s="29"/>
      <c r="W169" s="29"/>
      <c r="X169" s="29"/>
      <c r="Y169" s="29"/>
      <c r="Z169" s="29"/>
      <c r="AA169" s="39" t="str">
        <f t="shared" si="46"/>
        <v/>
      </c>
      <c r="AB169" s="39" t="str">
        <f t="shared" si="47"/>
        <v/>
      </c>
      <c r="AC169" s="29"/>
      <c r="AD169" s="29"/>
      <c r="AE169" s="39" t="str">
        <f t="shared" si="37"/>
        <v/>
      </c>
      <c r="AF169" s="39" t="str">
        <f t="shared" si="38"/>
        <v/>
      </c>
      <c r="AG169" s="29"/>
      <c r="AH169" s="74" t="str">
        <f t="shared" ca="1" si="39"/>
        <v/>
      </c>
      <c r="AI169" s="74" t="str">
        <f ca="1">IF(A169="","",IF(OR(W169='02_マスタ'!$E$10,W169='02_マスタ'!$E$12),"",IF(V169="High","High",IF(AND(U169&lt;&gt;"",U169&lt;TODAY()),INDEX(_翻訳マスタ!$B$117:$D$247,MATCH("ALERT_OVERDUE",_翻訳マスタ!$A$117:$A$247,0),MATCH(言語切替!$B$3,_翻訳マスタ!$B$1:$D$1,0)),IF(AND(U169&lt;&gt;"",U169-TODAY()&lt;=7),INDEX(_翻訳マスタ!$B$117:$D$247,MATCH("ALERT_APPROACHING",_翻訳マスタ!$A$117:$A$247,0),MATCH(言語切替!$B$3,_翻訳マスタ!$B$1:$D$1,0)),IF(OR(W169='02_マスタ'!$E$7,W169='02_マスタ'!$E$8),INDEX(_翻訳マスタ!$B$117:$D$247,MATCH("ALERT_CHECK",_翻訳マスタ!$A$117:$A$247,0),MATCH(言語切替!$B$3,_翻訳マスタ!$B$1:$D$1,0)),""))))))</f>
        <v/>
      </c>
      <c r="AJ169" s="75"/>
    </row>
    <row r="170" spans="1:36" s="21" customFormat="1" x14ac:dyDescent="0.25">
      <c r="A170" s="81"/>
      <c r="B170" s="82"/>
      <c r="C170" s="82"/>
      <c r="D170" s="82"/>
      <c r="E170" s="82"/>
      <c r="F170" s="26"/>
      <c r="G170" s="26"/>
      <c r="H170" s="38" t="str">
        <f t="shared" si="40"/>
        <v/>
      </c>
      <c r="I170" s="38" t="str">
        <f t="shared" si="41"/>
        <v/>
      </c>
      <c r="J170" s="26"/>
      <c r="K170" s="26"/>
      <c r="L170" s="38" t="str">
        <f t="shared" si="42"/>
        <v/>
      </c>
      <c r="M170" s="38" t="str">
        <f t="shared" si="43"/>
        <v/>
      </c>
      <c r="N170" s="26"/>
      <c r="O170" s="26"/>
      <c r="P170" s="38" t="str">
        <f t="shared" si="44"/>
        <v/>
      </c>
      <c r="Q170" s="38" t="str">
        <f t="shared" si="45"/>
        <v/>
      </c>
      <c r="R170" s="26"/>
      <c r="S170" s="26"/>
      <c r="T170" s="27"/>
      <c r="U170" s="27"/>
      <c r="V170" s="26"/>
      <c r="W170" s="26"/>
      <c r="X170" s="26"/>
      <c r="Y170" s="26"/>
      <c r="Z170" s="26"/>
      <c r="AA170" s="38" t="str">
        <f t="shared" si="46"/>
        <v/>
      </c>
      <c r="AB170" s="38" t="str">
        <f t="shared" si="47"/>
        <v/>
      </c>
      <c r="AC170" s="26"/>
      <c r="AD170" s="26"/>
      <c r="AE170" s="38" t="str">
        <f t="shared" si="37"/>
        <v/>
      </c>
      <c r="AF170" s="38" t="str">
        <f t="shared" si="38"/>
        <v/>
      </c>
      <c r="AG170" s="26"/>
      <c r="AH170" s="72" t="str">
        <f t="shared" ca="1" si="39"/>
        <v/>
      </c>
      <c r="AI170" s="72" t="str">
        <f ca="1">IF(A170="","",IF(OR(W170='02_マスタ'!$E$10,W170='02_マスタ'!$E$12),"",IF(V170="High","High",IF(AND(U170&lt;&gt;"",U170&lt;TODAY()),INDEX(_翻訳マスタ!$B$117:$D$247,MATCH("ALERT_OVERDUE",_翻訳マスタ!$A$117:$A$247,0),MATCH(言語切替!$B$3,_翻訳マスタ!$B$1:$D$1,0)),IF(AND(U170&lt;&gt;"",U170-TODAY()&lt;=7),INDEX(_翻訳マスタ!$B$117:$D$247,MATCH("ALERT_APPROACHING",_翻訳マスタ!$A$117:$A$247,0),MATCH(言語切替!$B$3,_翻訳マスタ!$B$1:$D$1,0)),IF(OR(W170='02_マスタ'!$E$7,W170='02_マスタ'!$E$8),INDEX(_翻訳マスタ!$B$117:$D$247,MATCH("ALERT_CHECK",_翻訳マスタ!$A$117:$A$247,0),MATCH(言語切替!$B$3,_翻訳マスタ!$B$1:$D$1,0)),""))))))</f>
        <v/>
      </c>
      <c r="AJ170" s="73"/>
    </row>
    <row r="171" spans="1:36" s="21" customFormat="1" x14ac:dyDescent="0.25">
      <c r="A171" s="83"/>
      <c r="B171" s="84"/>
      <c r="C171" s="84"/>
      <c r="D171" s="84"/>
      <c r="E171" s="84"/>
      <c r="F171" s="29"/>
      <c r="G171" s="29"/>
      <c r="H171" s="39" t="str">
        <f t="shared" si="40"/>
        <v/>
      </c>
      <c r="I171" s="39" t="str">
        <f t="shared" si="41"/>
        <v/>
      </c>
      <c r="J171" s="29"/>
      <c r="K171" s="29"/>
      <c r="L171" s="39" t="str">
        <f t="shared" si="42"/>
        <v/>
      </c>
      <c r="M171" s="39" t="str">
        <f t="shared" si="43"/>
        <v/>
      </c>
      <c r="N171" s="29"/>
      <c r="O171" s="29"/>
      <c r="P171" s="39" t="str">
        <f t="shared" si="44"/>
        <v/>
      </c>
      <c r="Q171" s="39" t="str">
        <f t="shared" si="45"/>
        <v/>
      </c>
      <c r="R171" s="29"/>
      <c r="S171" s="29"/>
      <c r="T171" s="30"/>
      <c r="U171" s="30"/>
      <c r="V171" s="29"/>
      <c r="W171" s="29"/>
      <c r="X171" s="29"/>
      <c r="Y171" s="29"/>
      <c r="Z171" s="29"/>
      <c r="AA171" s="39" t="str">
        <f t="shared" si="46"/>
        <v/>
      </c>
      <c r="AB171" s="39" t="str">
        <f t="shared" si="47"/>
        <v/>
      </c>
      <c r="AC171" s="29"/>
      <c r="AD171" s="29"/>
      <c r="AE171" s="39" t="str">
        <f t="shared" si="37"/>
        <v/>
      </c>
      <c r="AF171" s="39" t="str">
        <f t="shared" si="38"/>
        <v/>
      </c>
      <c r="AG171" s="29"/>
      <c r="AH171" s="74" t="str">
        <f t="shared" ca="1" si="39"/>
        <v/>
      </c>
      <c r="AI171" s="74" t="str">
        <f ca="1">IF(A171="","",IF(OR(W171='02_マスタ'!$E$10,W171='02_マスタ'!$E$12),"",IF(V171="High","High",IF(AND(U171&lt;&gt;"",U171&lt;TODAY()),INDEX(_翻訳マスタ!$B$117:$D$247,MATCH("ALERT_OVERDUE",_翻訳マスタ!$A$117:$A$247,0),MATCH(言語切替!$B$3,_翻訳マスタ!$B$1:$D$1,0)),IF(AND(U171&lt;&gt;"",U171-TODAY()&lt;=7),INDEX(_翻訳マスタ!$B$117:$D$247,MATCH("ALERT_APPROACHING",_翻訳マスタ!$A$117:$A$247,0),MATCH(言語切替!$B$3,_翻訳マスタ!$B$1:$D$1,0)),IF(OR(W171='02_マスタ'!$E$7,W171='02_マスタ'!$E$8),INDEX(_翻訳マスタ!$B$117:$D$247,MATCH("ALERT_CHECK",_翻訳マスタ!$A$117:$A$247,0),MATCH(言語切替!$B$3,_翻訳マスタ!$B$1:$D$1,0)),""))))))</f>
        <v/>
      </c>
      <c r="AJ171" s="75"/>
    </row>
    <row r="172" spans="1:36" s="21" customFormat="1" x14ac:dyDescent="0.25">
      <c r="A172" s="81"/>
      <c r="B172" s="82"/>
      <c r="C172" s="82"/>
      <c r="D172" s="82"/>
      <c r="E172" s="82"/>
      <c r="F172" s="26"/>
      <c r="G172" s="26"/>
      <c r="H172" s="38" t="str">
        <f t="shared" si="40"/>
        <v/>
      </c>
      <c r="I172" s="38" t="str">
        <f t="shared" si="41"/>
        <v/>
      </c>
      <c r="J172" s="26"/>
      <c r="K172" s="26"/>
      <c r="L172" s="38" t="str">
        <f t="shared" si="42"/>
        <v/>
      </c>
      <c r="M172" s="38" t="str">
        <f t="shared" si="43"/>
        <v/>
      </c>
      <c r="N172" s="26"/>
      <c r="O172" s="26"/>
      <c r="P172" s="38" t="str">
        <f t="shared" si="44"/>
        <v/>
      </c>
      <c r="Q172" s="38" t="str">
        <f t="shared" si="45"/>
        <v/>
      </c>
      <c r="R172" s="26"/>
      <c r="S172" s="26"/>
      <c r="T172" s="27"/>
      <c r="U172" s="27"/>
      <c r="V172" s="26"/>
      <c r="W172" s="26"/>
      <c r="X172" s="26"/>
      <c r="Y172" s="26"/>
      <c r="Z172" s="26"/>
      <c r="AA172" s="38" t="str">
        <f t="shared" si="46"/>
        <v/>
      </c>
      <c r="AB172" s="38" t="str">
        <f t="shared" si="47"/>
        <v/>
      </c>
      <c r="AC172" s="26"/>
      <c r="AD172" s="26"/>
      <c r="AE172" s="38" t="str">
        <f t="shared" si="37"/>
        <v/>
      </c>
      <c r="AF172" s="38" t="str">
        <f t="shared" si="38"/>
        <v/>
      </c>
      <c r="AG172" s="26"/>
      <c r="AH172" s="72" t="str">
        <f t="shared" ca="1" si="39"/>
        <v/>
      </c>
      <c r="AI172" s="72" t="str">
        <f ca="1">IF(A172="","",IF(OR(W172='02_マスタ'!$E$10,W172='02_マスタ'!$E$12),"",IF(V172="High","High",IF(AND(U172&lt;&gt;"",U172&lt;TODAY()),INDEX(_翻訳マスタ!$B$117:$D$247,MATCH("ALERT_OVERDUE",_翻訳マスタ!$A$117:$A$247,0),MATCH(言語切替!$B$3,_翻訳マスタ!$B$1:$D$1,0)),IF(AND(U172&lt;&gt;"",U172-TODAY()&lt;=7),INDEX(_翻訳マスタ!$B$117:$D$247,MATCH("ALERT_APPROACHING",_翻訳マスタ!$A$117:$A$247,0),MATCH(言語切替!$B$3,_翻訳マスタ!$B$1:$D$1,0)),IF(OR(W172='02_マスタ'!$E$7,W172='02_マスタ'!$E$8),INDEX(_翻訳マスタ!$B$117:$D$247,MATCH("ALERT_CHECK",_翻訳マスタ!$A$117:$A$247,0),MATCH(言語切替!$B$3,_翻訳マスタ!$B$1:$D$1,0)),""))))))</f>
        <v/>
      </c>
      <c r="AJ172" s="73"/>
    </row>
    <row r="173" spans="1:36" s="21" customFormat="1" x14ac:dyDescent="0.25">
      <c r="A173" s="83"/>
      <c r="B173" s="84"/>
      <c r="C173" s="84"/>
      <c r="D173" s="84"/>
      <c r="E173" s="84"/>
      <c r="F173" s="29"/>
      <c r="G173" s="29"/>
      <c r="H173" s="39" t="str">
        <f t="shared" si="40"/>
        <v/>
      </c>
      <c r="I173" s="39" t="str">
        <f t="shared" si="41"/>
        <v/>
      </c>
      <c r="J173" s="29"/>
      <c r="K173" s="29"/>
      <c r="L173" s="39" t="str">
        <f t="shared" si="42"/>
        <v/>
      </c>
      <c r="M173" s="39" t="str">
        <f t="shared" si="43"/>
        <v/>
      </c>
      <c r="N173" s="29"/>
      <c r="O173" s="29"/>
      <c r="P173" s="39" t="str">
        <f t="shared" si="44"/>
        <v/>
      </c>
      <c r="Q173" s="39" t="str">
        <f t="shared" si="45"/>
        <v/>
      </c>
      <c r="R173" s="29"/>
      <c r="S173" s="29"/>
      <c r="T173" s="30"/>
      <c r="U173" s="30"/>
      <c r="V173" s="29"/>
      <c r="W173" s="29"/>
      <c r="X173" s="29"/>
      <c r="Y173" s="29"/>
      <c r="Z173" s="29"/>
      <c r="AA173" s="39" t="str">
        <f t="shared" si="46"/>
        <v/>
      </c>
      <c r="AB173" s="39" t="str">
        <f t="shared" si="47"/>
        <v/>
      </c>
      <c r="AC173" s="29"/>
      <c r="AD173" s="29"/>
      <c r="AE173" s="39" t="str">
        <f t="shared" si="37"/>
        <v/>
      </c>
      <c r="AF173" s="39" t="str">
        <f t="shared" si="38"/>
        <v/>
      </c>
      <c r="AG173" s="29"/>
      <c r="AH173" s="74" t="str">
        <f t="shared" ca="1" si="39"/>
        <v/>
      </c>
      <c r="AI173" s="74" t="str">
        <f ca="1">IF(A173="","",IF(OR(W173='02_マスタ'!$E$10,W173='02_マスタ'!$E$12),"",IF(V173="High","High",IF(AND(U173&lt;&gt;"",U173&lt;TODAY()),INDEX(_翻訳マスタ!$B$117:$D$247,MATCH("ALERT_OVERDUE",_翻訳マスタ!$A$117:$A$247,0),MATCH(言語切替!$B$3,_翻訳マスタ!$B$1:$D$1,0)),IF(AND(U173&lt;&gt;"",U173-TODAY()&lt;=7),INDEX(_翻訳マスタ!$B$117:$D$247,MATCH("ALERT_APPROACHING",_翻訳マスタ!$A$117:$A$247,0),MATCH(言語切替!$B$3,_翻訳マスタ!$B$1:$D$1,0)),IF(OR(W173='02_マスタ'!$E$7,W173='02_マスタ'!$E$8),INDEX(_翻訳マスタ!$B$117:$D$247,MATCH("ALERT_CHECK",_翻訳マスタ!$A$117:$A$247,0),MATCH(言語切替!$B$3,_翻訳マスタ!$B$1:$D$1,0)),""))))))</f>
        <v/>
      </c>
      <c r="AJ173" s="75"/>
    </row>
    <row r="174" spans="1:36" s="21" customFormat="1" x14ac:dyDescent="0.25">
      <c r="A174" s="81"/>
      <c r="B174" s="82"/>
      <c r="C174" s="82"/>
      <c r="D174" s="82"/>
      <c r="E174" s="82"/>
      <c r="F174" s="26"/>
      <c r="G174" s="26"/>
      <c r="H174" s="38" t="str">
        <f t="shared" si="40"/>
        <v/>
      </c>
      <c r="I174" s="38" t="str">
        <f t="shared" si="41"/>
        <v/>
      </c>
      <c r="J174" s="26"/>
      <c r="K174" s="26"/>
      <c r="L174" s="38" t="str">
        <f t="shared" si="42"/>
        <v/>
      </c>
      <c r="M174" s="38" t="str">
        <f t="shared" si="43"/>
        <v/>
      </c>
      <c r="N174" s="26"/>
      <c r="O174" s="26"/>
      <c r="P174" s="38" t="str">
        <f t="shared" si="44"/>
        <v/>
      </c>
      <c r="Q174" s="38" t="str">
        <f t="shared" si="45"/>
        <v/>
      </c>
      <c r="R174" s="26"/>
      <c r="S174" s="26"/>
      <c r="T174" s="27"/>
      <c r="U174" s="27"/>
      <c r="V174" s="26"/>
      <c r="W174" s="26"/>
      <c r="X174" s="26"/>
      <c r="Y174" s="26"/>
      <c r="Z174" s="26"/>
      <c r="AA174" s="38" t="str">
        <f t="shared" si="46"/>
        <v/>
      </c>
      <c r="AB174" s="38" t="str">
        <f t="shared" si="47"/>
        <v/>
      </c>
      <c r="AC174" s="26"/>
      <c r="AD174" s="26"/>
      <c r="AE174" s="38" t="str">
        <f t="shared" si="37"/>
        <v/>
      </c>
      <c r="AF174" s="38" t="str">
        <f t="shared" si="38"/>
        <v/>
      </c>
      <c r="AG174" s="26"/>
      <c r="AH174" s="72" t="str">
        <f t="shared" ca="1" si="39"/>
        <v/>
      </c>
      <c r="AI174" s="72" t="str">
        <f ca="1">IF(A174="","",IF(OR(W174='02_マスタ'!$E$10,W174='02_マスタ'!$E$12),"",IF(V174="High","High",IF(AND(U174&lt;&gt;"",U174&lt;TODAY()),INDEX(_翻訳マスタ!$B$117:$D$247,MATCH("ALERT_OVERDUE",_翻訳マスタ!$A$117:$A$247,0),MATCH(言語切替!$B$3,_翻訳マスタ!$B$1:$D$1,0)),IF(AND(U174&lt;&gt;"",U174-TODAY()&lt;=7),INDEX(_翻訳マスタ!$B$117:$D$247,MATCH("ALERT_APPROACHING",_翻訳マスタ!$A$117:$A$247,0),MATCH(言語切替!$B$3,_翻訳マスタ!$B$1:$D$1,0)),IF(OR(W174='02_マスタ'!$E$7,W174='02_マスタ'!$E$8),INDEX(_翻訳マスタ!$B$117:$D$247,MATCH("ALERT_CHECK",_翻訳マスタ!$A$117:$A$247,0),MATCH(言語切替!$B$3,_翻訳マスタ!$B$1:$D$1,0)),""))))))</f>
        <v/>
      </c>
      <c r="AJ174" s="73"/>
    </row>
    <row r="175" spans="1:36" s="21" customFormat="1" x14ac:dyDescent="0.25">
      <c r="A175" s="83"/>
      <c r="B175" s="84"/>
      <c r="C175" s="84"/>
      <c r="D175" s="84"/>
      <c r="E175" s="84"/>
      <c r="F175" s="29"/>
      <c r="G175" s="29"/>
      <c r="H175" s="39" t="str">
        <f t="shared" si="40"/>
        <v/>
      </c>
      <c r="I175" s="39" t="str">
        <f t="shared" si="41"/>
        <v/>
      </c>
      <c r="J175" s="29"/>
      <c r="K175" s="29"/>
      <c r="L175" s="39" t="str">
        <f t="shared" si="42"/>
        <v/>
      </c>
      <c r="M175" s="39" t="str">
        <f t="shared" si="43"/>
        <v/>
      </c>
      <c r="N175" s="29"/>
      <c r="O175" s="29"/>
      <c r="P175" s="39" t="str">
        <f t="shared" si="44"/>
        <v/>
      </c>
      <c r="Q175" s="39" t="str">
        <f t="shared" si="45"/>
        <v/>
      </c>
      <c r="R175" s="29"/>
      <c r="S175" s="29"/>
      <c r="T175" s="30"/>
      <c r="U175" s="30"/>
      <c r="V175" s="29"/>
      <c r="W175" s="29"/>
      <c r="X175" s="29"/>
      <c r="Y175" s="29"/>
      <c r="Z175" s="29"/>
      <c r="AA175" s="39" t="str">
        <f t="shared" si="46"/>
        <v/>
      </c>
      <c r="AB175" s="39" t="str">
        <f t="shared" si="47"/>
        <v/>
      </c>
      <c r="AC175" s="29"/>
      <c r="AD175" s="29"/>
      <c r="AE175" s="39" t="str">
        <f t="shared" si="37"/>
        <v/>
      </c>
      <c r="AF175" s="39" t="str">
        <f t="shared" si="38"/>
        <v/>
      </c>
      <c r="AG175" s="29"/>
      <c r="AH175" s="74" t="str">
        <f t="shared" ca="1" si="39"/>
        <v/>
      </c>
      <c r="AI175" s="74" t="str">
        <f ca="1">IF(A175="","",IF(OR(W175='02_マスタ'!$E$10,W175='02_マスタ'!$E$12),"",IF(V175="High","High",IF(AND(U175&lt;&gt;"",U175&lt;TODAY()),INDEX(_翻訳マスタ!$B$117:$D$247,MATCH("ALERT_OVERDUE",_翻訳マスタ!$A$117:$A$247,0),MATCH(言語切替!$B$3,_翻訳マスタ!$B$1:$D$1,0)),IF(AND(U175&lt;&gt;"",U175-TODAY()&lt;=7),INDEX(_翻訳マスタ!$B$117:$D$247,MATCH("ALERT_APPROACHING",_翻訳マスタ!$A$117:$A$247,0),MATCH(言語切替!$B$3,_翻訳マスタ!$B$1:$D$1,0)),IF(OR(W175='02_マスタ'!$E$7,W175='02_マスタ'!$E$8),INDEX(_翻訳マスタ!$B$117:$D$247,MATCH("ALERT_CHECK",_翻訳マスタ!$A$117:$A$247,0),MATCH(言語切替!$B$3,_翻訳マスタ!$B$1:$D$1,0)),""))))))</f>
        <v/>
      </c>
      <c r="AJ175" s="75"/>
    </row>
    <row r="176" spans="1:36" s="21" customFormat="1" x14ac:dyDescent="0.25">
      <c r="A176" s="81"/>
      <c r="B176" s="82"/>
      <c r="C176" s="82"/>
      <c r="D176" s="82"/>
      <c r="E176" s="82"/>
      <c r="F176" s="26"/>
      <c r="G176" s="26"/>
      <c r="H176" s="38" t="str">
        <f t="shared" si="40"/>
        <v/>
      </c>
      <c r="I176" s="38" t="str">
        <f t="shared" si="41"/>
        <v/>
      </c>
      <c r="J176" s="26"/>
      <c r="K176" s="26"/>
      <c r="L176" s="38" t="str">
        <f t="shared" si="42"/>
        <v/>
      </c>
      <c r="M176" s="38" t="str">
        <f t="shared" si="43"/>
        <v/>
      </c>
      <c r="N176" s="26"/>
      <c r="O176" s="26"/>
      <c r="P176" s="38" t="str">
        <f t="shared" si="44"/>
        <v/>
      </c>
      <c r="Q176" s="38" t="str">
        <f t="shared" si="45"/>
        <v/>
      </c>
      <c r="R176" s="26"/>
      <c r="S176" s="26"/>
      <c r="T176" s="27"/>
      <c r="U176" s="27"/>
      <c r="V176" s="26"/>
      <c r="W176" s="26"/>
      <c r="X176" s="26"/>
      <c r="Y176" s="26"/>
      <c r="Z176" s="26"/>
      <c r="AA176" s="38" t="str">
        <f t="shared" si="46"/>
        <v/>
      </c>
      <c r="AB176" s="38" t="str">
        <f t="shared" si="47"/>
        <v/>
      </c>
      <c r="AC176" s="26"/>
      <c r="AD176" s="26"/>
      <c r="AE176" s="38" t="str">
        <f t="shared" si="37"/>
        <v/>
      </c>
      <c r="AF176" s="38" t="str">
        <f t="shared" si="38"/>
        <v/>
      </c>
      <c r="AG176" s="26"/>
      <c r="AH176" s="72" t="str">
        <f t="shared" ca="1" si="39"/>
        <v/>
      </c>
      <c r="AI176" s="72" t="str">
        <f ca="1">IF(A176="","",IF(OR(W176='02_マスタ'!$E$10,W176='02_マスタ'!$E$12),"",IF(V176="High","High",IF(AND(U176&lt;&gt;"",U176&lt;TODAY()),INDEX(_翻訳マスタ!$B$117:$D$247,MATCH("ALERT_OVERDUE",_翻訳マスタ!$A$117:$A$247,0),MATCH(言語切替!$B$3,_翻訳マスタ!$B$1:$D$1,0)),IF(AND(U176&lt;&gt;"",U176-TODAY()&lt;=7),INDEX(_翻訳マスタ!$B$117:$D$247,MATCH("ALERT_APPROACHING",_翻訳マスタ!$A$117:$A$247,0),MATCH(言語切替!$B$3,_翻訳マスタ!$B$1:$D$1,0)),IF(OR(W176='02_マスタ'!$E$7,W176='02_マスタ'!$E$8),INDEX(_翻訳マスタ!$B$117:$D$247,MATCH("ALERT_CHECK",_翻訳マスタ!$A$117:$A$247,0),MATCH(言語切替!$B$3,_翻訳マスタ!$B$1:$D$1,0)),""))))))</f>
        <v/>
      </c>
      <c r="AJ176" s="73"/>
    </row>
    <row r="177" spans="1:36" s="21" customFormat="1" x14ac:dyDescent="0.25">
      <c r="A177" s="83"/>
      <c r="B177" s="84"/>
      <c r="C177" s="84"/>
      <c r="D177" s="84"/>
      <c r="E177" s="84"/>
      <c r="F177" s="29"/>
      <c r="G177" s="29"/>
      <c r="H177" s="39" t="str">
        <f t="shared" si="40"/>
        <v/>
      </c>
      <c r="I177" s="39" t="str">
        <f t="shared" si="41"/>
        <v/>
      </c>
      <c r="J177" s="29"/>
      <c r="K177" s="29"/>
      <c r="L177" s="39" t="str">
        <f t="shared" si="42"/>
        <v/>
      </c>
      <c r="M177" s="39" t="str">
        <f t="shared" si="43"/>
        <v/>
      </c>
      <c r="N177" s="29"/>
      <c r="O177" s="29"/>
      <c r="P177" s="39" t="str">
        <f t="shared" si="44"/>
        <v/>
      </c>
      <c r="Q177" s="39" t="str">
        <f t="shared" si="45"/>
        <v/>
      </c>
      <c r="R177" s="29"/>
      <c r="S177" s="29"/>
      <c r="T177" s="30"/>
      <c r="U177" s="30"/>
      <c r="V177" s="29"/>
      <c r="W177" s="29"/>
      <c r="X177" s="29"/>
      <c r="Y177" s="29"/>
      <c r="Z177" s="29"/>
      <c r="AA177" s="39" t="str">
        <f t="shared" si="46"/>
        <v/>
      </c>
      <c r="AB177" s="39" t="str">
        <f t="shared" si="47"/>
        <v/>
      </c>
      <c r="AC177" s="29"/>
      <c r="AD177" s="29"/>
      <c r="AE177" s="39" t="str">
        <f t="shared" si="37"/>
        <v/>
      </c>
      <c r="AF177" s="39" t="str">
        <f t="shared" si="38"/>
        <v/>
      </c>
      <c r="AG177" s="29"/>
      <c r="AH177" s="74" t="str">
        <f t="shared" ca="1" si="39"/>
        <v/>
      </c>
      <c r="AI177" s="74" t="str">
        <f ca="1">IF(A177="","",IF(OR(W177='02_マスタ'!$E$10,W177='02_マスタ'!$E$12),"",IF(V177="High","High",IF(AND(U177&lt;&gt;"",U177&lt;TODAY()),INDEX(_翻訳マスタ!$B$117:$D$247,MATCH("ALERT_OVERDUE",_翻訳マスタ!$A$117:$A$247,0),MATCH(言語切替!$B$3,_翻訳マスタ!$B$1:$D$1,0)),IF(AND(U177&lt;&gt;"",U177-TODAY()&lt;=7),INDEX(_翻訳マスタ!$B$117:$D$247,MATCH("ALERT_APPROACHING",_翻訳マスタ!$A$117:$A$247,0),MATCH(言語切替!$B$3,_翻訳マスタ!$B$1:$D$1,0)),IF(OR(W177='02_マスタ'!$E$7,W177='02_マスタ'!$E$8),INDEX(_翻訳マスタ!$B$117:$D$247,MATCH("ALERT_CHECK",_翻訳マスタ!$A$117:$A$247,0),MATCH(言語切替!$B$3,_翻訳マスタ!$B$1:$D$1,0)),""))))))</f>
        <v/>
      </c>
      <c r="AJ177" s="75"/>
    </row>
    <row r="178" spans="1:36" s="21" customFormat="1" x14ac:dyDescent="0.25">
      <c r="A178" s="81"/>
      <c r="B178" s="82"/>
      <c r="C178" s="82"/>
      <c r="D178" s="82"/>
      <c r="E178" s="82"/>
      <c r="F178" s="26"/>
      <c r="G178" s="26"/>
      <c r="H178" s="38" t="str">
        <f t="shared" si="40"/>
        <v/>
      </c>
      <c r="I178" s="38" t="str">
        <f t="shared" si="41"/>
        <v/>
      </c>
      <c r="J178" s="26"/>
      <c r="K178" s="26"/>
      <c r="L178" s="38" t="str">
        <f t="shared" si="42"/>
        <v/>
      </c>
      <c r="M178" s="38" t="str">
        <f t="shared" si="43"/>
        <v/>
      </c>
      <c r="N178" s="26"/>
      <c r="O178" s="26"/>
      <c r="P178" s="38" t="str">
        <f t="shared" si="44"/>
        <v/>
      </c>
      <c r="Q178" s="38" t="str">
        <f t="shared" si="45"/>
        <v/>
      </c>
      <c r="R178" s="26"/>
      <c r="S178" s="26"/>
      <c r="T178" s="27"/>
      <c r="U178" s="27"/>
      <c r="V178" s="26"/>
      <c r="W178" s="26"/>
      <c r="X178" s="26"/>
      <c r="Y178" s="26"/>
      <c r="Z178" s="26"/>
      <c r="AA178" s="38" t="str">
        <f t="shared" si="46"/>
        <v/>
      </c>
      <c r="AB178" s="38" t="str">
        <f t="shared" si="47"/>
        <v/>
      </c>
      <c r="AC178" s="26"/>
      <c r="AD178" s="26"/>
      <c r="AE178" s="38" t="str">
        <f t="shared" si="37"/>
        <v/>
      </c>
      <c r="AF178" s="38" t="str">
        <f t="shared" si="38"/>
        <v/>
      </c>
      <c r="AG178" s="26"/>
      <c r="AH178" s="72" t="str">
        <f t="shared" ca="1" si="39"/>
        <v/>
      </c>
      <c r="AI178" s="72" t="str">
        <f ca="1">IF(A178="","",IF(OR(W178='02_マスタ'!$E$10,W178='02_マスタ'!$E$12),"",IF(V178="High","High",IF(AND(U178&lt;&gt;"",U178&lt;TODAY()),INDEX(_翻訳マスタ!$B$117:$D$247,MATCH("ALERT_OVERDUE",_翻訳マスタ!$A$117:$A$247,0),MATCH(言語切替!$B$3,_翻訳マスタ!$B$1:$D$1,0)),IF(AND(U178&lt;&gt;"",U178-TODAY()&lt;=7),INDEX(_翻訳マスタ!$B$117:$D$247,MATCH("ALERT_APPROACHING",_翻訳マスタ!$A$117:$A$247,0),MATCH(言語切替!$B$3,_翻訳マスタ!$B$1:$D$1,0)),IF(OR(W178='02_マスタ'!$E$7,W178='02_マスタ'!$E$8),INDEX(_翻訳マスタ!$B$117:$D$247,MATCH("ALERT_CHECK",_翻訳マスタ!$A$117:$A$247,0),MATCH(言語切替!$B$3,_翻訳マスタ!$B$1:$D$1,0)),""))))))</f>
        <v/>
      </c>
      <c r="AJ178" s="73"/>
    </row>
    <row r="179" spans="1:36" s="21" customFormat="1" x14ac:dyDescent="0.25">
      <c r="A179" s="83"/>
      <c r="B179" s="84"/>
      <c r="C179" s="84"/>
      <c r="D179" s="84"/>
      <c r="E179" s="84"/>
      <c r="F179" s="29"/>
      <c r="G179" s="29"/>
      <c r="H179" s="39" t="str">
        <f t="shared" si="40"/>
        <v/>
      </c>
      <c r="I179" s="39" t="str">
        <f t="shared" si="41"/>
        <v/>
      </c>
      <c r="J179" s="29"/>
      <c r="K179" s="29"/>
      <c r="L179" s="39" t="str">
        <f t="shared" si="42"/>
        <v/>
      </c>
      <c r="M179" s="39" t="str">
        <f t="shared" si="43"/>
        <v/>
      </c>
      <c r="N179" s="29"/>
      <c r="O179" s="29"/>
      <c r="P179" s="39" t="str">
        <f t="shared" si="44"/>
        <v/>
      </c>
      <c r="Q179" s="39" t="str">
        <f t="shared" si="45"/>
        <v/>
      </c>
      <c r="R179" s="29"/>
      <c r="S179" s="29"/>
      <c r="T179" s="30"/>
      <c r="U179" s="30"/>
      <c r="V179" s="29"/>
      <c r="W179" s="29"/>
      <c r="X179" s="29"/>
      <c r="Y179" s="29"/>
      <c r="Z179" s="29"/>
      <c r="AA179" s="39" t="str">
        <f t="shared" si="46"/>
        <v/>
      </c>
      <c r="AB179" s="39" t="str">
        <f t="shared" si="47"/>
        <v/>
      </c>
      <c r="AC179" s="29"/>
      <c r="AD179" s="29"/>
      <c r="AE179" s="39" t="str">
        <f t="shared" si="37"/>
        <v/>
      </c>
      <c r="AF179" s="39" t="str">
        <f t="shared" si="38"/>
        <v/>
      </c>
      <c r="AG179" s="29"/>
      <c r="AH179" s="74" t="str">
        <f t="shared" ca="1" si="39"/>
        <v/>
      </c>
      <c r="AI179" s="74" t="str">
        <f ca="1">IF(A179="","",IF(OR(W179='02_マスタ'!$E$10,W179='02_マスタ'!$E$12),"",IF(V179="High","High",IF(AND(U179&lt;&gt;"",U179&lt;TODAY()),INDEX(_翻訳マスタ!$B$117:$D$247,MATCH("ALERT_OVERDUE",_翻訳マスタ!$A$117:$A$247,0),MATCH(言語切替!$B$3,_翻訳マスタ!$B$1:$D$1,0)),IF(AND(U179&lt;&gt;"",U179-TODAY()&lt;=7),INDEX(_翻訳マスタ!$B$117:$D$247,MATCH("ALERT_APPROACHING",_翻訳マスタ!$A$117:$A$247,0),MATCH(言語切替!$B$3,_翻訳マスタ!$B$1:$D$1,0)),IF(OR(W179='02_マスタ'!$E$7,W179='02_マスタ'!$E$8),INDEX(_翻訳マスタ!$B$117:$D$247,MATCH("ALERT_CHECK",_翻訳マスタ!$A$117:$A$247,0),MATCH(言語切替!$B$3,_翻訳マスタ!$B$1:$D$1,0)),""))))))</f>
        <v/>
      </c>
      <c r="AJ179" s="75"/>
    </row>
    <row r="180" spans="1:36" s="21" customFormat="1" x14ac:dyDescent="0.25">
      <c r="A180" s="81"/>
      <c r="B180" s="82"/>
      <c r="C180" s="82"/>
      <c r="D180" s="82"/>
      <c r="E180" s="82"/>
      <c r="F180" s="26"/>
      <c r="G180" s="26"/>
      <c r="H180" s="38" t="str">
        <f t="shared" si="40"/>
        <v/>
      </c>
      <c r="I180" s="38" t="str">
        <f t="shared" si="41"/>
        <v/>
      </c>
      <c r="J180" s="26"/>
      <c r="K180" s="26"/>
      <c r="L180" s="38" t="str">
        <f t="shared" si="42"/>
        <v/>
      </c>
      <c r="M180" s="38" t="str">
        <f t="shared" si="43"/>
        <v/>
      </c>
      <c r="N180" s="26"/>
      <c r="O180" s="26"/>
      <c r="P180" s="38" t="str">
        <f t="shared" si="44"/>
        <v/>
      </c>
      <c r="Q180" s="38" t="str">
        <f t="shared" si="45"/>
        <v/>
      </c>
      <c r="R180" s="26"/>
      <c r="S180" s="26"/>
      <c r="T180" s="27"/>
      <c r="U180" s="27"/>
      <c r="V180" s="26"/>
      <c r="W180" s="26"/>
      <c r="X180" s="26"/>
      <c r="Y180" s="26"/>
      <c r="Z180" s="26"/>
      <c r="AA180" s="38" t="str">
        <f t="shared" si="46"/>
        <v/>
      </c>
      <c r="AB180" s="38" t="str">
        <f t="shared" si="47"/>
        <v/>
      </c>
      <c r="AC180" s="26"/>
      <c r="AD180" s="26"/>
      <c r="AE180" s="38" t="str">
        <f t="shared" si="37"/>
        <v/>
      </c>
      <c r="AF180" s="38" t="str">
        <f t="shared" si="38"/>
        <v/>
      </c>
      <c r="AG180" s="26"/>
      <c r="AH180" s="72" t="str">
        <f t="shared" ca="1" si="39"/>
        <v/>
      </c>
      <c r="AI180" s="72" t="str">
        <f ca="1">IF(A180="","",IF(OR(W180='02_マスタ'!$E$10,W180='02_マスタ'!$E$12),"",IF(V180="High","High",IF(AND(U180&lt;&gt;"",U180&lt;TODAY()),INDEX(_翻訳マスタ!$B$117:$D$247,MATCH("ALERT_OVERDUE",_翻訳マスタ!$A$117:$A$247,0),MATCH(言語切替!$B$3,_翻訳マスタ!$B$1:$D$1,0)),IF(AND(U180&lt;&gt;"",U180-TODAY()&lt;=7),INDEX(_翻訳マスタ!$B$117:$D$247,MATCH("ALERT_APPROACHING",_翻訳マスタ!$A$117:$A$247,0),MATCH(言語切替!$B$3,_翻訳マスタ!$B$1:$D$1,0)),IF(OR(W180='02_マスタ'!$E$7,W180='02_マスタ'!$E$8),INDEX(_翻訳マスタ!$B$117:$D$247,MATCH("ALERT_CHECK",_翻訳マスタ!$A$117:$A$247,0),MATCH(言語切替!$B$3,_翻訳マスタ!$B$1:$D$1,0)),""))))))</f>
        <v/>
      </c>
      <c r="AJ180" s="73"/>
    </row>
    <row r="181" spans="1:36" s="21" customFormat="1" x14ac:dyDescent="0.25">
      <c r="A181" s="83"/>
      <c r="B181" s="84"/>
      <c r="C181" s="84"/>
      <c r="D181" s="84"/>
      <c r="E181" s="84"/>
      <c r="F181" s="29"/>
      <c r="G181" s="29"/>
      <c r="H181" s="39" t="str">
        <f t="shared" si="40"/>
        <v/>
      </c>
      <c r="I181" s="39" t="str">
        <f t="shared" si="41"/>
        <v/>
      </c>
      <c r="J181" s="29"/>
      <c r="K181" s="29"/>
      <c r="L181" s="39" t="str">
        <f t="shared" si="42"/>
        <v/>
      </c>
      <c r="M181" s="39" t="str">
        <f t="shared" si="43"/>
        <v/>
      </c>
      <c r="N181" s="29"/>
      <c r="O181" s="29"/>
      <c r="P181" s="39" t="str">
        <f t="shared" si="44"/>
        <v/>
      </c>
      <c r="Q181" s="39" t="str">
        <f t="shared" si="45"/>
        <v/>
      </c>
      <c r="R181" s="29"/>
      <c r="S181" s="29"/>
      <c r="T181" s="30"/>
      <c r="U181" s="30"/>
      <c r="V181" s="29"/>
      <c r="W181" s="29"/>
      <c r="X181" s="29"/>
      <c r="Y181" s="29"/>
      <c r="Z181" s="29"/>
      <c r="AA181" s="39" t="str">
        <f t="shared" si="46"/>
        <v/>
      </c>
      <c r="AB181" s="39" t="str">
        <f t="shared" si="47"/>
        <v/>
      </c>
      <c r="AC181" s="29"/>
      <c r="AD181" s="29"/>
      <c r="AE181" s="39" t="str">
        <f t="shared" si="37"/>
        <v/>
      </c>
      <c r="AF181" s="39" t="str">
        <f t="shared" si="38"/>
        <v/>
      </c>
      <c r="AG181" s="29"/>
      <c r="AH181" s="74" t="str">
        <f t="shared" ca="1" si="39"/>
        <v/>
      </c>
      <c r="AI181" s="74" t="str">
        <f ca="1">IF(A181="","",IF(OR(W181='02_マスタ'!$E$10,W181='02_マスタ'!$E$12),"",IF(V181="High","High",IF(AND(U181&lt;&gt;"",U181&lt;TODAY()),INDEX(_翻訳マスタ!$B$117:$D$247,MATCH("ALERT_OVERDUE",_翻訳マスタ!$A$117:$A$247,0),MATCH(言語切替!$B$3,_翻訳マスタ!$B$1:$D$1,0)),IF(AND(U181&lt;&gt;"",U181-TODAY()&lt;=7),INDEX(_翻訳マスタ!$B$117:$D$247,MATCH("ALERT_APPROACHING",_翻訳マスタ!$A$117:$A$247,0),MATCH(言語切替!$B$3,_翻訳マスタ!$B$1:$D$1,0)),IF(OR(W181='02_マスタ'!$E$7,W181='02_マスタ'!$E$8),INDEX(_翻訳マスタ!$B$117:$D$247,MATCH("ALERT_CHECK",_翻訳マスタ!$A$117:$A$247,0),MATCH(言語切替!$B$3,_翻訳マスタ!$B$1:$D$1,0)),""))))))</f>
        <v/>
      </c>
      <c r="AJ181" s="75"/>
    </row>
    <row r="182" spans="1:36" s="21" customFormat="1" x14ac:dyDescent="0.25">
      <c r="A182" s="81"/>
      <c r="B182" s="82"/>
      <c r="C182" s="82"/>
      <c r="D182" s="82"/>
      <c r="E182" s="82"/>
      <c r="F182" s="26"/>
      <c r="G182" s="26"/>
      <c r="H182" s="38" t="str">
        <f t="shared" si="40"/>
        <v/>
      </c>
      <c r="I182" s="38" t="str">
        <f t="shared" si="41"/>
        <v/>
      </c>
      <c r="J182" s="26"/>
      <c r="K182" s="26"/>
      <c r="L182" s="38" t="str">
        <f t="shared" si="42"/>
        <v/>
      </c>
      <c r="M182" s="38" t="str">
        <f t="shared" si="43"/>
        <v/>
      </c>
      <c r="N182" s="26"/>
      <c r="O182" s="26"/>
      <c r="P182" s="38" t="str">
        <f t="shared" si="44"/>
        <v/>
      </c>
      <c r="Q182" s="38" t="str">
        <f t="shared" si="45"/>
        <v/>
      </c>
      <c r="R182" s="26"/>
      <c r="S182" s="26"/>
      <c r="T182" s="27"/>
      <c r="U182" s="27"/>
      <c r="V182" s="26"/>
      <c r="W182" s="26"/>
      <c r="X182" s="26"/>
      <c r="Y182" s="26"/>
      <c r="Z182" s="26"/>
      <c r="AA182" s="38" t="str">
        <f t="shared" si="46"/>
        <v/>
      </c>
      <c r="AB182" s="38" t="str">
        <f t="shared" si="47"/>
        <v/>
      </c>
      <c r="AC182" s="26"/>
      <c r="AD182" s="26"/>
      <c r="AE182" s="38" t="str">
        <f t="shared" si="37"/>
        <v/>
      </c>
      <c r="AF182" s="38" t="str">
        <f t="shared" si="38"/>
        <v/>
      </c>
      <c r="AG182" s="26"/>
      <c r="AH182" s="72" t="str">
        <f t="shared" ca="1" si="39"/>
        <v/>
      </c>
      <c r="AI182" s="72" t="str">
        <f ca="1">IF(A182="","",IF(OR(W182='02_マスタ'!$E$10,W182='02_マスタ'!$E$12),"",IF(V182="High","High",IF(AND(U182&lt;&gt;"",U182&lt;TODAY()),INDEX(_翻訳マスタ!$B$117:$D$247,MATCH("ALERT_OVERDUE",_翻訳マスタ!$A$117:$A$247,0),MATCH(言語切替!$B$3,_翻訳マスタ!$B$1:$D$1,0)),IF(AND(U182&lt;&gt;"",U182-TODAY()&lt;=7),INDEX(_翻訳マスタ!$B$117:$D$247,MATCH("ALERT_APPROACHING",_翻訳マスタ!$A$117:$A$247,0),MATCH(言語切替!$B$3,_翻訳マスタ!$B$1:$D$1,0)),IF(OR(W182='02_マスタ'!$E$7,W182='02_マスタ'!$E$8),INDEX(_翻訳マスタ!$B$117:$D$247,MATCH("ALERT_CHECK",_翻訳マスタ!$A$117:$A$247,0),MATCH(言語切替!$B$3,_翻訳マスタ!$B$1:$D$1,0)),""))))))</f>
        <v/>
      </c>
      <c r="AJ182" s="73"/>
    </row>
    <row r="183" spans="1:36" s="21" customFormat="1" x14ac:dyDescent="0.25">
      <c r="A183" s="83"/>
      <c r="B183" s="84"/>
      <c r="C183" s="84"/>
      <c r="D183" s="84"/>
      <c r="E183" s="84"/>
      <c r="F183" s="29"/>
      <c r="G183" s="29"/>
      <c r="H183" s="39" t="str">
        <f t="shared" si="40"/>
        <v/>
      </c>
      <c r="I183" s="39" t="str">
        <f t="shared" si="41"/>
        <v/>
      </c>
      <c r="J183" s="29"/>
      <c r="K183" s="29"/>
      <c r="L183" s="39" t="str">
        <f t="shared" si="42"/>
        <v/>
      </c>
      <c r="M183" s="39" t="str">
        <f t="shared" si="43"/>
        <v/>
      </c>
      <c r="N183" s="29"/>
      <c r="O183" s="29"/>
      <c r="P183" s="39" t="str">
        <f t="shared" si="44"/>
        <v/>
      </c>
      <c r="Q183" s="39" t="str">
        <f t="shared" si="45"/>
        <v/>
      </c>
      <c r="R183" s="29"/>
      <c r="S183" s="29"/>
      <c r="T183" s="30"/>
      <c r="U183" s="30"/>
      <c r="V183" s="29"/>
      <c r="W183" s="29"/>
      <c r="X183" s="29"/>
      <c r="Y183" s="29"/>
      <c r="Z183" s="29"/>
      <c r="AA183" s="39" t="str">
        <f t="shared" si="46"/>
        <v/>
      </c>
      <c r="AB183" s="39" t="str">
        <f t="shared" si="47"/>
        <v/>
      </c>
      <c r="AC183" s="29"/>
      <c r="AD183" s="29"/>
      <c r="AE183" s="39" t="str">
        <f t="shared" si="37"/>
        <v/>
      </c>
      <c r="AF183" s="39" t="str">
        <f t="shared" si="38"/>
        <v/>
      </c>
      <c r="AG183" s="29"/>
      <c r="AH183" s="74" t="str">
        <f t="shared" ca="1" si="39"/>
        <v/>
      </c>
      <c r="AI183" s="74" t="str">
        <f ca="1">IF(A183="","",IF(OR(W183='02_マスタ'!$E$10,W183='02_マスタ'!$E$12),"",IF(V183="High","High",IF(AND(U183&lt;&gt;"",U183&lt;TODAY()),INDEX(_翻訳マスタ!$B$117:$D$247,MATCH("ALERT_OVERDUE",_翻訳マスタ!$A$117:$A$247,0),MATCH(言語切替!$B$3,_翻訳マスタ!$B$1:$D$1,0)),IF(AND(U183&lt;&gt;"",U183-TODAY()&lt;=7),INDEX(_翻訳マスタ!$B$117:$D$247,MATCH("ALERT_APPROACHING",_翻訳マスタ!$A$117:$A$247,0),MATCH(言語切替!$B$3,_翻訳マスタ!$B$1:$D$1,0)),IF(OR(W183='02_マスタ'!$E$7,W183='02_マスタ'!$E$8),INDEX(_翻訳マスタ!$B$117:$D$247,MATCH("ALERT_CHECK",_翻訳マスタ!$A$117:$A$247,0),MATCH(言語切替!$B$3,_翻訳マスタ!$B$1:$D$1,0)),""))))))</f>
        <v/>
      </c>
      <c r="AJ183" s="75"/>
    </row>
    <row r="184" spans="1:36" s="21" customFormat="1" x14ac:dyDescent="0.25">
      <c r="A184" s="81"/>
      <c r="B184" s="82"/>
      <c r="C184" s="82"/>
      <c r="D184" s="82"/>
      <c r="E184" s="82"/>
      <c r="F184" s="26"/>
      <c r="G184" s="26"/>
      <c r="H184" s="38" t="str">
        <f t="shared" si="40"/>
        <v/>
      </c>
      <c r="I184" s="38" t="str">
        <f t="shared" si="41"/>
        <v/>
      </c>
      <c r="J184" s="26"/>
      <c r="K184" s="26"/>
      <c r="L184" s="38" t="str">
        <f t="shared" si="42"/>
        <v/>
      </c>
      <c r="M184" s="38" t="str">
        <f t="shared" si="43"/>
        <v/>
      </c>
      <c r="N184" s="26"/>
      <c r="O184" s="26"/>
      <c r="P184" s="38" t="str">
        <f t="shared" si="44"/>
        <v/>
      </c>
      <c r="Q184" s="38" t="str">
        <f t="shared" si="45"/>
        <v/>
      </c>
      <c r="R184" s="26"/>
      <c r="S184" s="26"/>
      <c r="T184" s="27"/>
      <c r="U184" s="27"/>
      <c r="V184" s="26"/>
      <c r="W184" s="26"/>
      <c r="X184" s="26"/>
      <c r="Y184" s="26"/>
      <c r="Z184" s="26"/>
      <c r="AA184" s="38" t="str">
        <f t="shared" si="46"/>
        <v/>
      </c>
      <c r="AB184" s="38" t="str">
        <f t="shared" si="47"/>
        <v/>
      </c>
      <c r="AC184" s="26"/>
      <c r="AD184" s="26"/>
      <c r="AE184" s="38" t="str">
        <f t="shared" si="37"/>
        <v/>
      </c>
      <c r="AF184" s="38" t="str">
        <f t="shared" si="38"/>
        <v/>
      </c>
      <c r="AG184" s="26"/>
      <c r="AH184" s="72" t="str">
        <f t="shared" ca="1" si="39"/>
        <v/>
      </c>
      <c r="AI184" s="72" t="str">
        <f ca="1">IF(A184="","",IF(OR(W184='02_マスタ'!$E$10,W184='02_マスタ'!$E$12),"",IF(V184="High","High",IF(AND(U184&lt;&gt;"",U184&lt;TODAY()),INDEX(_翻訳マスタ!$B$117:$D$247,MATCH("ALERT_OVERDUE",_翻訳マスタ!$A$117:$A$247,0),MATCH(言語切替!$B$3,_翻訳マスタ!$B$1:$D$1,0)),IF(AND(U184&lt;&gt;"",U184-TODAY()&lt;=7),INDEX(_翻訳マスタ!$B$117:$D$247,MATCH("ALERT_APPROACHING",_翻訳マスタ!$A$117:$A$247,0),MATCH(言語切替!$B$3,_翻訳マスタ!$B$1:$D$1,0)),IF(OR(W184='02_マスタ'!$E$7,W184='02_マスタ'!$E$8),INDEX(_翻訳マスタ!$B$117:$D$247,MATCH("ALERT_CHECK",_翻訳マスタ!$A$117:$A$247,0),MATCH(言語切替!$B$3,_翻訳マスタ!$B$1:$D$1,0)),""))))))</f>
        <v/>
      </c>
      <c r="AJ184" s="73"/>
    </row>
    <row r="185" spans="1:36" s="21" customFormat="1" x14ac:dyDescent="0.25">
      <c r="A185" s="83"/>
      <c r="B185" s="84"/>
      <c r="C185" s="84"/>
      <c r="D185" s="84"/>
      <c r="E185" s="84"/>
      <c r="F185" s="29"/>
      <c r="G185" s="29"/>
      <c r="H185" s="39" t="str">
        <f t="shared" si="40"/>
        <v/>
      </c>
      <c r="I185" s="39" t="str">
        <f t="shared" si="41"/>
        <v/>
      </c>
      <c r="J185" s="29"/>
      <c r="K185" s="29"/>
      <c r="L185" s="39" t="str">
        <f t="shared" si="42"/>
        <v/>
      </c>
      <c r="M185" s="39" t="str">
        <f t="shared" si="43"/>
        <v/>
      </c>
      <c r="N185" s="29"/>
      <c r="O185" s="29"/>
      <c r="P185" s="39" t="str">
        <f t="shared" si="44"/>
        <v/>
      </c>
      <c r="Q185" s="39" t="str">
        <f t="shared" si="45"/>
        <v/>
      </c>
      <c r="R185" s="29"/>
      <c r="S185" s="29"/>
      <c r="T185" s="30"/>
      <c r="U185" s="30"/>
      <c r="V185" s="29"/>
      <c r="W185" s="29"/>
      <c r="X185" s="29"/>
      <c r="Y185" s="29"/>
      <c r="Z185" s="29"/>
      <c r="AA185" s="39" t="str">
        <f t="shared" si="46"/>
        <v/>
      </c>
      <c r="AB185" s="39" t="str">
        <f t="shared" si="47"/>
        <v/>
      </c>
      <c r="AC185" s="29"/>
      <c r="AD185" s="29"/>
      <c r="AE185" s="39" t="str">
        <f t="shared" si="37"/>
        <v/>
      </c>
      <c r="AF185" s="39" t="str">
        <f t="shared" si="38"/>
        <v/>
      </c>
      <c r="AG185" s="29"/>
      <c r="AH185" s="74" t="str">
        <f t="shared" ca="1" si="39"/>
        <v/>
      </c>
      <c r="AI185" s="74" t="str">
        <f ca="1">IF(A185="","",IF(OR(W185='02_マスタ'!$E$10,W185='02_マスタ'!$E$12),"",IF(V185="High","High",IF(AND(U185&lt;&gt;"",U185&lt;TODAY()),INDEX(_翻訳マスタ!$B$117:$D$247,MATCH("ALERT_OVERDUE",_翻訳マスタ!$A$117:$A$247,0),MATCH(言語切替!$B$3,_翻訳マスタ!$B$1:$D$1,0)),IF(AND(U185&lt;&gt;"",U185-TODAY()&lt;=7),INDEX(_翻訳マスタ!$B$117:$D$247,MATCH("ALERT_APPROACHING",_翻訳マスタ!$A$117:$A$247,0),MATCH(言語切替!$B$3,_翻訳マスタ!$B$1:$D$1,0)),IF(OR(W185='02_マスタ'!$E$7,W185='02_マスタ'!$E$8),INDEX(_翻訳マスタ!$B$117:$D$247,MATCH("ALERT_CHECK",_翻訳マスタ!$A$117:$A$247,0),MATCH(言語切替!$B$3,_翻訳マスタ!$B$1:$D$1,0)),""))))))</f>
        <v/>
      </c>
      <c r="AJ185" s="75"/>
    </row>
    <row r="186" spans="1:36" s="21" customFormat="1" x14ac:dyDescent="0.25">
      <c r="A186" s="81"/>
      <c r="B186" s="82"/>
      <c r="C186" s="82"/>
      <c r="D186" s="82"/>
      <c r="E186" s="82"/>
      <c r="F186" s="26"/>
      <c r="G186" s="26"/>
      <c r="H186" s="38" t="str">
        <f t="shared" si="40"/>
        <v/>
      </c>
      <c r="I186" s="38" t="str">
        <f t="shared" si="41"/>
        <v/>
      </c>
      <c r="J186" s="26"/>
      <c r="K186" s="26"/>
      <c r="L186" s="38" t="str">
        <f t="shared" si="42"/>
        <v/>
      </c>
      <c r="M186" s="38" t="str">
        <f t="shared" si="43"/>
        <v/>
      </c>
      <c r="N186" s="26"/>
      <c r="O186" s="26"/>
      <c r="P186" s="38" t="str">
        <f t="shared" si="44"/>
        <v/>
      </c>
      <c r="Q186" s="38" t="str">
        <f t="shared" si="45"/>
        <v/>
      </c>
      <c r="R186" s="26"/>
      <c r="S186" s="26"/>
      <c r="T186" s="27"/>
      <c r="U186" s="27"/>
      <c r="V186" s="26"/>
      <c r="W186" s="26"/>
      <c r="X186" s="26"/>
      <c r="Y186" s="26"/>
      <c r="Z186" s="26"/>
      <c r="AA186" s="38" t="str">
        <f t="shared" si="46"/>
        <v/>
      </c>
      <c r="AB186" s="38" t="str">
        <f t="shared" si="47"/>
        <v/>
      </c>
      <c r="AC186" s="26"/>
      <c r="AD186" s="26"/>
      <c r="AE186" s="38" t="str">
        <f t="shared" si="37"/>
        <v/>
      </c>
      <c r="AF186" s="38" t="str">
        <f t="shared" si="38"/>
        <v/>
      </c>
      <c r="AG186" s="26"/>
      <c r="AH186" s="72" t="str">
        <f t="shared" ca="1" si="39"/>
        <v/>
      </c>
      <c r="AI186" s="72" t="str">
        <f ca="1">IF(A186="","",IF(OR(W186='02_マスタ'!$E$10,W186='02_マスタ'!$E$12),"",IF(V186="High","High",IF(AND(U186&lt;&gt;"",U186&lt;TODAY()),INDEX(_翻訳マスタ!$B$117:$D$247,MATCH("ALERT_OVERDUE",_翻訳マスタ!$A$117:$A$247,0),MATCH(言語切替!$B$3,_翻訳マスタ!$B$1:$D$1,0)),IF(AND(U186&lt;&gt;"",U186-TODAY()&lt;=7),INDEX(_翻訳マスタ!$B$117:$D$247,MATCH("ALERT_APPROACHING",_翻訳マスタ!$A$117:$A$247,0),MATCH(言語切替!$B$3,_翻訳マスタ!$B$1:$D$1,0)),IF(OR(W186='02_マスタ'!$E$7,W186='02_マスタ'!$E$8),INDEX(_翻訳マスタ!$B$117:$D$247,MATCH("ALERT_CHECK",_翻訳マスタ!$A$117:$A$247,0),MATCH(言語切替!$B$3,_翻訳マスタ!$B$1:$D$1,0)),""))))))</f>
        <v/>
      </c>
      <c r="AJ186" s="73"/>
    </row>
    <row r="187" spans="1:36" s="21" customFormat="1" x14ac:dyDescent="0.25">
      <c r="A187" s="83"/>
      <c r="B187" s="84"/>
      <c r="C187" s="84"/>
      <c r="D187" s="84"/>
      <c r="E187" s="84"/>
      <c r="F187" s="29"/>
      <c r="G187" s="29"/>
      <c r="H187" s="39" t="str">
        <f t="shared" si="40"/>
        <v/>
      </c>
      <c r="I187" s="39" t="str">
        <f t="shared" si="41"/>
        <v/>
      </c>
      <c r="J187" s="29"/>
      <c r="K187" s="29"/>
      <c r="L187" s="39" t="str">
        <f t="shared" si="42"/>
        <v/>
      </c>
      <c r="M187" s="39" t="str">
        <f t="shared" si="43"/>
        <v/>
      </c>
      <c r="N187" s="29"/>
      <c r="O187" s="29"/>
      <c r="P187" s="39" t="str">
        <f t="shared" si="44"/>
        <v/>
      </c>
      <c r="Q187" s="39" t="str">
        <f t="shared" si="45"/>
        <v/>
      </c>
      <c r="R187" s="29"/>
      <c r="S187" s="29"/>
      <c r="T187" s="30"/>
      <c r="U187" s="30"/>
      <c r="V187" s="29"/>
      <c r="W187" s="29"/>
      <c r="X187" s="29"/>
      <c r="Y187" s="29"/>
      <c r="Z187" s="29"/>
      <c r="AA187" s="39" t="str">
        <f t="shared" si="46"/>
        <v/>
      </c>
      <c r="AB187" s="39" t="str">
        <f t="shared" si="47"/>
        <v/>
      </c>
      <c r="AC187" s="29"/>
      <c r="AD187" s="29"/>
      <c r="AE187" s="39" t="str">
        <f t="shared" si="37"/>
        <v/>
      </c>
      <c r="AF187" s="39" t="str">
        <f t="shared" si="38"/>
        <v/>
      </c>
      <c r="AG187" s="29"/>
      <c r="AH187" s="74" t="str">
        <f t="shared" ca="1" si="39"/>
        <v/>
      </c>
      <c r="AI187" s="74" t="str">
        <f ca="1">IF(A187="","",IF(OR(W187='02_マスタ'!$E$10,W187='02_マスタ'!$E$12),"",IF(V187="High","High",IF(AND(U187&lt;&gt;"",U187&lt;TODAY()),INDEX(_翻訳マスタ!$B$117:$D$247,MATCH("ALERT_OVERDUE",_翻訳マスタ!$A$117:$A$247,0),MATCH(言語切替!$B$3,_翻訳マスタ!$B$1:$D$1,0)),IF(AND(U187&lt;&gt;"",U187-TODAY()&lt;=7),INDEX(_翻訳マスタ!$B$117:$D$247,MATCH("ALERT_APPROACHING",_翻訳マスタ!$A$117:$A$247,0),MATCH(言語切替!$B$3,_翻訳マスタ!$B$1:$D$1,0)),IF(OR(W187='02_マスタ'!$E$7,W187='02_マスタ'!$E$8),INDEX(_翻訳マスタ!$B$117:$D$247,MATCH("ALERT_CHECK",_翻訳マスタ!$A$117:$A$247,0),MATCH(言語切替!$B$3,_翻訳マスタ!$B$1:$D$1,0)),""))))))</f>
        <v/>
      </c>
      <c r="AJ187" s="75"/>
    </row>
    <row r="188" spans="1:36" s="21" customFormat="1" x14ac:dyDescent="0.25">
      <c r="A188" s="81"/>
      <c r="B188" s="82"/>
      <c r="C188" s="82"/>
      <c r="D188" s="82"/>
      <c r="E188" s="82"/>
      <c r="F188" s="26"/>
      <c r="G188" s="26"/>
      <c r="H188" s="38" t="str">
        <f t="shared" si="40"/>
        <v/>
      </c>
      <c r="I188" s="38" t="str">
        <f t="shared" si="41"/>
        <v/>
      </c>
      <c r="J188" s="26"/>
      <c r="K188" s="26"/>
      <c r="L188" s="38" t="str">
        <f t="shared" si="42"/>
        <v/>
      </c>
      <c r="M188" s="38" t="str">
        <f t="shared" si="43"/>
        <v/>
      </c>
      <c r="N188" s="26"/>
      <c r="O188" s="26"/>
      <c r="P188" s="38" t="str">
        <f t="shared" si="44"/>
        <v/>
      </c>
      <c r="Q188" s="38" t="str">
        <f t="shared" si="45"/>
        <v/>
      </c>
      <c r="R188" s="26"/>
      <c r="S188" s="26"/>
      <c r="T188" s="27"/>
      <c r="U188" s="27"/>
      <c r="V188" s="26"/>
      <c r="W188" s="26"/>
      <c r="X188" s="26"/>
      <c r="Y188" s="26"/>
      <c r="Z188" s="26"/>
      <c r="AA188" s="38" t="str">
        <f t="shared" si="46"/>
        <v/>
      </c>
      <c r="AB188" s="38" t="str">
        <f t="shared" si="47"/>
        <v/>
      </c>
      <c r="AC188" s="26"/>
      <c r="AD188" s="26"/>
      <c r="AE188" s="38" t="str">
        <f t="shared" si="37"/>
        <v/>
      </c>
      <c r="AF188" s="38" t="str">
        <f t="shared" si="38"/>
        <v/>
      </c>
      <c r="AG188" s="26"/>
      <c r="AH188" s="72" t="str">
        <f t="shared" ca="1" si="39"/>
        <v/>
      </c>
      <c r="AI188" s="72" t="str">
        <f ca="1">IF(A188="","",IF(OR(W188='02_マスタ'!$E$10,W188='02_マスタ'!$E$12),"",IF(V188="High","High",IF(AND(U188&lt;&gt;"",U188&lt;TODAY()),INDEX(_翻訳マスタ!$B$117:$D$247,MATCH("ALERT_OVERDUE",_翻訳マスタ!$A$117:$A$247,0),MATCH(言語切替!$B$3,_翻訳マスタ!$B$1:$D$1,0)),IF(AND(U188&lt;&gt;"",U188-TODAY()&lt;=7),INDEX(_翻訳マスタ!$B$117:$D$247,MATCH("ALERT_APPROACHING",_翻訳マスタ!$A$117:$A$247,0),MATCH(言語切替!$B$3,_翻訳マスタ!$B$1:$D$1,0)),IF(OR(W188='02_マスタ'!$E$7,W188='02_マスタ'!$E$8),INDEX(_翻訳マスタ!$B$117:$D$247,MATCH("ALERT_CHECK",_翻訳マスタ!$A$117:$A$247,0),MATCH(言語切替!$B$3,_翻訳マスタ!$B$1:$D$1,0)),""))))))</f>
        <v/>
      </c>
      <c r="AJ188" s="73"/>
    </row>
    <row r="189" spans="1:36" s="21" customFormat="1" x14ac:dyDescent="0.25">
      <c r="A189" s="83"/>
      <c r="B189" s="84"/>
      <c r="C189" s="84"/>
      <c r="D189" s="84"/>
      <c r="E189" s="84"/>
      <c r="F189" s="29"/>
      <c r="G189" s="29"/>
      <c r="H189" s="39" t="str">
        <f t="shared" si="40"/>
        <v/>
      </c>
      <c r="I189" s="39" t="str">
        <f t="shared" si="41"/>
        <v/>
      </c>
      <c r="J189" s="29"/>
      <c r="K189" s="29"/>
      <c r="L189" s="39" t="str">
        <f t="shared" si="42"/>
        <v/>
      </c>
      <c r="M189" s="39" t="str">
        <f t="shared" si="43"/>
        <v/>
      </c>
      <c r="N189" s="29"/>
      <c r="O189" s="29"/>
      <c r="P189" s="39" t="str">
        <f t="shared" si="44"/>
        <v/>
      </c>
      <c r="Q189" s="39" t="str">
        <f t="shared" si="45"/>
        <v/>
      </c>
      <c r="R189" s="29"/>
      <c r="S189" s="29"/>
      <c r="T189" s="30"/>
      <c r="U189" s="30"/>
      <c r="V189" s="29"/>
      <c r="W189" s="29"/>
      <c r="X189" s="29"/>
      <c r="Y189" s="29"/>
      <c r="Z189" s="29"/>
      <c r="AA189" s="39" t="str">
        <f t="shared" si="46"/>
        <v/>
      </c>
      <c r="AB189" s="39" t="str">
        <f t="shared" si="47"/>
        <v/>
      </c>
      <c r="AC189" s="29"/>
      <c r="AD189" s="29"/>
      <c r="AE189" s="39" t="str">
        <f t="shared" si="37"/>
        <v/>
      </c>
      <c r="AF189" s="39" t="str">
        <f t="shared" si="38"/>
        <v/>
      </c>
      <c r="AG189" s="29"/>
      <c r="AH189" s="74" t="str">
        <f t="shared" ca="1" si="39"/>
        <v/>
      </c>
      <c r="AI189" s="74" t="str">
        <f ca="1">IF(A189="","",IF(OR(W189='02_マスタ'!$E$10,W189='02_マスタ'!$E$12),"",IF(V189="High","High",IF(AND(U189&lt;&gt;"",U189&lt;TODAY()),INDEX(_翻訳マスタ!$B$117:$D$247,MATCH("ALERT_OVERDUE",_翻訳マスタ!$A$117:$A$247,0),MATCH(言語切替!$B$3,_翻訳マスタ!$B$1:$D$1,0)),IF(AND(U189&lt;&gt;"",U189-TODAY()&lt;=7),INDEX(_翻訳マスタ!$B$117:$D$247,MATCH("ALERT_APPROACHING",_翻訳マスタ!$A$117:$A$247,0),MATCH(言語切替!$B$3,_翻訳マスタ!$B$1:$D$1,0)),IF(OR(W189='02_マスタ'!$E$7,W189='02_マスタ'!$E$8),INDEX(_翻訳マスタ!$B$117:$D$247,MATCH("ALERT_CHECK",_翻訳マスタ!$A$117:$A$247,0),MATCH(言語切替!$B$3,_翻訳マスタ!$B$1:$D$1,0)),""))))))</f>
        <v/>
      </c>
      <c r="AJ189" s="75"/>
    </row>
    <row r="190" spans="1:36" s="21" customFormat="1" x14ac:dyDescent="0.25">
      <c r="A190" s="81"/>
      <c r="B190" s="82"/>
      <c r="C190" s="82"/>
      <c r="D190" s="82"/>
      <c r="E190" s="82"/>
      <c r="F190" s="26"/>
      <c r="G190" s="26"/>
      <c r="H190" s="38" t="str">
        <f t="shared" si="40"/>
        <v/>
      </c>
      <c r="I190" s="38" t="str">
        <f t="shared" si="41"/>
        <v/>
      </c>
      <c r="J190" s="26"/>
      <c r="K190" s="26"/>
      <c r="L190" s="38" t="str">
        <f t="shared" si="42"/>
        <v/>
      </c>
      <c r="M190" s="38" t="str">
        <f t="shared" si="43"/>
        <v/>
      </c>
      <c r="N190" s="26"/>
      <c r="O190" s="26"/>
      <c r="P190" s="38" t="str">
        <f t="shared" si="44"/>
        <v/>
      </c>
      <c r="Q190" s="38" t="str">
        <f t="shared" si="45"/>
        <v/>
      </c>
      <c r="R190" s="26"/>
      <c r="S190" s="26"/>
      <c r="T190" s="27"/>
      <c r="U190" s="27"/>
      <c r="V190" s="26"/>
      <c r="W190" s="26"/>
      <c r="X190" s="26"/>
      <c r="Y190" s="26"/>
      <c r="Z190" s="26"/>
      <c r="AA190" s="38" t="str">
        <f t="shared" si="46"/>
        <v/>
      </c>
      <c r="AB190" s="38" t="str">
        <f t="shared" si="47"/>
        <v/>
      </c>
      <c r="AC190" s="26"/>
      <c r="AD190" s="26"/>
      <c r="AE190" s="38" t="str">
        <f t="shared" si="37"/>
        <v/>
      </c>
      <c r="AF190" s="38" t="str">
        <f t="shared" si="38"/>
        <v/>
      </c>
      <c r="AG190" s="26"/>
      <c r="AH190" s="72" t="str">
        <f t="shared" ca="1" si="39"/>
        <v/>
      </c>
      <c r="AI190" s="72" t="str">
        <f ca="1">IF(A190="","",IF(OR(W190='02_マスタ'!$E$10,W190='02_マスタ'!$E$12),"",IF(V190="High","High",IF(AND(U190&lt;&gt;"",U190&lt;TODAY()),INDEX(_翻訳マスタ!$B$117:$D$247,MATCH("ALERT_OVERDUE",_翻訳マスタ!$A$117:$A$247,0),MATCH(言語切替!$B$3,_翻訳マスタ!$B$1:$D$1,0)),IF(AND(U190&lt;&gt;"",U190-TODAY()&lt;=7),INDEX(_翻訳マスタ!$B$117:$D$247,MATCH("ALERT_APPROACHING",_翻訳マスタ!$A$117:$A$247,0),MATCH(言語切替!$B$3,_翻訳マスタ!$B$1:$D$1,0)),IF(OR(W190='02_マスタ'!$E$7,W190='02_マスタ'!$E$8),INDEX(_翻訳マスタ!$B$117:$D$247,MATCH("ALERT_CHECK",_翻訳マスタ!$A$117:$A$247,0),MATCH(言語切替!$B$3,_翻訳マスタ!$B$1:$D$1,0)),""))))))</f>
        <v/>
      </c>
      <c r="AJ190" s="73"/>
    </row>
    <row r="191" spans="1:36" s="21" customFormat="1" x14ac:dyDescent="0.25">
      <c r="A191" s="83"/>
      <c r="B191" s="84"/>
      <c r="C191" s="84"/>
      <c r="D191" s="84"/>
      <c r="E191" s="84"/>
      <c r="F191" s="29"/>
      <c r="G191" s="29"/>
      <c r="H191" s="39" t="str">
        <f t="shared" si="40"/>
        <v/>
      </c>
      <c r="I191" s="39" t="str">
        <f t="shared" si="41"/>
        <v/>
      </c>
      <c r="J191" s="29"/>
      <c r="K191" s="29"/>
      <c r="L191" s="39" t="str">
        <f t="shared" si="42"/>
        <v/>
      </c>
      <c r="M191" s="39" t="str">
        <f t="shared" si="43"/>
        <v/>
      </c>
      <c r="N191" s="29"/>
      <c r="O191" s="29"/>
      <c r="P191" s="39" t="str">
        <f t="shared" si="44"/>
        <v/>
      </c>
      <c r="Q191" s="39" t="str">
        <f t="shared" si="45"/>
        <v/>
      </c>
      <c r="R191" s="29"/>
      <c r="S191" s="29"/>
      <c r="T191" s="30"/>
      <c r="U191" s="30"/>
      <c r="V191" s="29"/>
      <c r="W191" s="29"/>
      <c r="X191" s="29"/>
      <c r="Y191" s="29"/>
      <c r="Z191" s="29"/>
      <c r="AA191" s="39" t="str">
        <f t="shared" si="46"/>
        <v/>
      </c>
      <c r="AB191" s="39" t="str">
        <f t="shared" si="47"/>
        <v/>
      </c>
      <c r="AC191" s="29"/>
      <c r="AD191" s="29"/>
      <c r="AE191" s="39" t="str">
        <f t="shared" si="37"/>
        <v/>
      </c>
      <c r="AF191" s="39" t="str">
        <f t="shared" si="38"/>
        <v/>
      </c>
      <c r="AG191" s="29"/>
      <c r="AH191" s="74" t="str">
        <f t="shared" ca="1" si="39"/>
        <v/>
      </c>
      <c r="AI191" s="74" t="str">
        <f ca="1">IF(A191="","",IF(OR(W191='02_マスタ'!$E$10,W191='02_マスタ'!$E$12),"",IF(V191="High","High",IF(AND(U191&lt;&gt;"",U191&lt;TODAY()),INDEX(_翻訳マスタ!$B$117:$D$247,MATCH("ALERT_OVERDUE",_翻訳マスタ!$A$117:$A$247,0),MATCH(言語切替!$B$3,_翻訳マスタ!$B$1:$D$1,0)),IF(AND(U191&lt;&gt;"",U191-TODAY()&lt;=7),INDEX(_翻訳マスタ!$B$117:$D$247,MATCH("ALERT_APPROACHING",_翻訳マスタ!$A$117:$A$247,0),MATCH(言語切替!$B$3,_翻訳マスタ!$B$1:$D$1,0)),IF(OR(W191='02_マスタ'!$E$7,W191='02_マスタ'!$E$8),INDEX(_翻訳マスタ!$B$117:$D$247,MATCH("ALERT_CHECK",_翻訳マスタ!$A$117:$A$247,0),MATCH(言語切替!$B$3,_翻訳マスタ!$B$1:$D$1,0)),""))))))</f>
        <v/>
      </c>
      <c r="AJ191" s="75"/>
    </row>
    <row r="192" spans="1:36" s="21" customFormat="1" x14ac:dyDescent="0.25">
      <c r="A192" s="81"/>
      <c r="B192" s="82"/>
      <c r="C192" s="82"/>
      <c r="D192" s="82"/>
      <c r="E192" s="82"/>
      <c r="F192" s="26"/>
      <c r="G192" s="26"/>
      <c r="H192" s="38" t="str">
        <f t="shared" si="40"/>
        <v/>
      </c>
      <c r="I192" s="38" t="str">
        <f t="shared" si="41"/>
        <v/>
      </c>
      <c r="J192" s="26"/>
      <c r="K192" s="26"/>
      <c r="L192" s="38" t="str">
        <f t="shared" si="42"/>
        <v/>
      </c>
      <c r="M192" s="38" t="str">
        <f t="shared" si="43"/>
        <v/>
      </c>
      <c r="N192" s="26"/>
      <c r="O192" s="26"/>
      <c r="P192" s="38" t="str">
        <f t="shared" si="44"/>
        <v/>
      </c>
      <c r="Q192" s="38" t="str">
        <f t="shared" si="45"/>
        <v/>
      </c>
      <c r="R192" s="26"/>
      <c r="S192" s="26"/>
      <c r="T192" s="27"/>
      <c r="U192" s="27"/>
      <c r="V192" s="26"/>
      <c r="W192" s="26"/>
      <c r="X192" s="26"/>
      <c r="Y192" s="26"/>
      <c r="Z192" s="26"/>
      <c r="AA192" s="38" t="str">
        <f t="shared" si="46"/>
        <v/>
      </c>
      <c r="AB192" s="38" t="str">
        <f t="shared" si="47"/>
        <v/>
      </c>
      <c r="AC192" s="26"/>
      <c r="AD192" s="26"/>
      <c r="AE192" s="38" t="str">
        <f t="shared" si="37"/>
        <v/>
      </c>
      <c r="AF192" s="38" t="str">
        <f t="shared" si="38"/>
        <v/>
      </c>
      <c r="AG192" s="26"/>
      <c r="AH192" s="72" t="str">
        <f t="shared" ca="1" si="39"/>
        <v/>
      </c>
      <c r="AI192" s="72" t="str">
        <f ca="1">IF(A192="","",IF(OR(W192='02_マスタ'!$E$10,W192='02_マスタ'!$E$12),"",IF(V192="High","High",IF(AND(U192&lt;&gt;"",U192&lt;TODAY()),INDEX(_翻訳マスタ!$B$117:$D$247,MATCH("ALERT_OVERDUE",_翻訳マスタ!$A$117:$A$247,0),MATCH(言語切替!$B$3,_翻訳マスタ!$B$1:$D$1,0)),IF(AND(U192&lt;&gt;"",U192-TODAY()&lt;=7),INDEX(_翻訳マスタ!$B$117:$D$247,MATCH("ALERT_APPROACHING",_翻訳マスタ!$A$117:$A$247,0),MATCH(言語切替!$B$3,_翻訳マスタ!$B$1:$D$1,0)),IF(OR(W192='02_マスタ'!$E$7,W192='02_マスタ'!$E$8),INDEX(_翻訳マスタ!$B$117:$D$247,MATCH("ALERT_CHECK",_翻訳マスタ!$A$117:$A$247,0),MATCH(言語切替!$B$3,_翻訳マスタ!$B$1:$D$1,0)),""))))))</f>
        <v/>
      </c>
      <c r="AJ192" s="73"/>
    </row>
    <row r="193" spans="1:36" s="21" customFormat="1" x14ac:dyDescent="0.25">
      <c r="A193" s="83"/>
      <c r="B193" s="84"/>
      <c r="C193" s="84"/>
      <c r="D193" s="84"/>
      <c r="E193" s="84"/>
      <c r="F193" s="29"/>
      <c r="G193" s="29"/>
      <c r="H193" s="39" t="str">
        <f t="shared" si="40"/>
        <v/>
      </c>
      <c r="I193" s="39" t="str">
        <f t="shared" si="41"/>
        <v/>
      </c>
      <c r="J193" s="29"/>
      <c r="K193" s="29"/>
      <c r="L193" s="39" t="str">
        <f t="shared" si="42"/>
        <v/>
      </c>
      <c r="M193" s="39" t="str">
        <f t="shared" si="43"/>
        <v/>
      </c>
      <c r="N193" s="29"/>
      <c r="O193" s="29"/>
      <c r="P193" s="39" t="str">
        <f t="shared" si="44"/>
        <v/>
      </c>
      <c r="Q193" s="39" t="str">
        <f t="shared" si="45"/>
        <v/>
      </c>
      <c r="R193" s="29"/>
      <c r="S193" s="29"/>
      <c r="T193" s="30"/>
      <c r="U193" s="30"/>
      <c r="V193" s="29"/>
      <c r="W193" s="29"/>
      <c r="X193" s="29"/>
      <c r="Y193" s="29"/>
      <c r="Z193" s="29"/>
      <c r="AA193" s="39" t="str">
        <f t="shared" si="46"/>
        <v/>
      </c>
      <c r="AB193" s="39" t="str">
        <f t="shared" si="47"/>
        <v/>
      </c>
      <c r="AC193" s="29"/>
      <c r="AD193" s="29"/>
      <c r="AE193" s="39" t="str">
        <f t="shared" si="37"/>
        <v/>
      </c>
      <c r="AF193" s="39" t="str">
        <f t="shared" si="38"/>
        <v/>
      </c>
      <c r="AG193" s="29"/>
      <c r="AH193" s="74" t="str">
        <f t="shared" ca="1" si="39"/>
        <v/>
      </c>
      <c r="AI193" s="74" t="str">
        <f ca="1">IF(A193="","",IF(OR(W193='02_マスタ'!$E$10,W193='02_マスタ'!$E$12),"",IF(V193="High","High",IF(AND(U193&lt;&gt;"",U193&lt;TODAY()),INDEX(_翻訳マスタ!$B$117:$D$247,MATCH("ALERT_OVERDUE",_翻訳マスタ!$A$117:$A$247,0),MATCH(言語切替!$B$3,_翻訳マスタ!$B$1:$D$1,0)),IF(AND(U193&lt;&gt;"",U193-TODAY()&lt;=7),INDEX(_翻訳マスタ!$B$117:$D$247,MATCH("ALERT_APPROACHING",_翻訳マスタ!$A$117:$A$247,0),MATCH(言語切替!$B$3,_翻訳マスタ!$B$1:$D$1,0)),IF(OR(W193='02_マスタ'!$E$7,W193='02_マスタ'!$E$8),INDEX(_翻訳マスタ!$B$117:$D$247,MATCH("ALERT_CHECK",_翻訳マスタ!$A$117:$A$247,0),MATCH(言語切替!$B$3,_翻訳マスタ!$B$1:$D$1,0)),""))))))</f>
        <v/>
      </c>
      <c r="AJ193" s="75"/>
    </row>
    <row r="194" spans="1:36" s="21" customFormat="1" x14ac:dyDescent="0.25">
      <c r="A194" s="81"/>
      <c r="B194" s="82"/>
      <c r="C194" s="82"/>
      <c r="D194" s="82"/>
      <c r="E194" s="82"/>
      <c r="F194" s="26"/>
      <c r="G194" s="26"/>
      <c r="H194" s="38" t="str">
        <f t="shared" si="40"/>
        <v/>
      </c>
      <c r="I194" s="38" t="str">
        <f t="shared" si="41"/>
        <v/>
      </c>
      <c r="J194" s="26"/>
      <c r="K194" s="26"/>
      <c r="L194" s="38" t="str">
        <f t="shared" si="42"/>
        <v/>
      </c>
      <c r="M194" s="38" t="str">
        <f t="shared" si="43"/>
        <v/>
      </c>
      <c r="N194" s="26"/>
      <c r="O194" s="26"/>
      <c r="P194" s="38" t="str">
        <f t="shared" si="44"/>
        <v/>
      </c>
      <c r="Q194" s="38" t="str">
        <f t="shared" si="45"/>
        <v/>
      </c>
      <c r="R194" s="26"/>
      <c r="S194" s="26"/>
      <c r="T194" s="27"/>
      <c r="U194" s="27"/>
      <c r="V194" s="26"/>
      <c r="W194" s="26"/>
      <c r="X194" s="26"/>
      <c r="Y194" s="26"/>
      <c r="Z194" s="26"/>
      <c r="AA194" s="38" t="str">
        <f t="shared" si="46"/>
        <v/>
      </c>
      <c r="AB194" s="38" t="str">
        <f t="shared" si="47"/>
        <v/>
      </c>
      <c r="AC194" s="26"/>
      <c r="AD194" s="26"/>
      <c r="AE194" s="38" t="str">
        <f t="shared" si="37"/>
        <v/>
      </c>
      <c r="AF194" s="38" t="str">
        <f t="shared" si="38"/>
        <v/>
      </c>
      <c r="AG194" s="26"/>
      <c r="AH194" s="72" t="str">
        <f t="shared" ca="1" si="39"/>
        <v/>
      </c>
      <c r="AI194" s="72" t="str">
        <f ca="1">IF(A194="","",IF(OR(W194='02_マスタ'!$E$10,W194='02_マスタ'!$E$12),"",IF(V194="High","High",IF(AND(U194&lt;&gt;"",U194&lt;TODAY()),INDEX(_翻訳マスタ!$B$117:$D$247,MATCH("ALERT_OVERDUE",_翻訳マスタ!$A$117:$A$247,0),MATCH(言語切替!$B$3,_翻訳マスタ!$B$1:$D$1,0)),IF(AND(U194&lt;&gt;"",U194-TODAY()&lt;=7),INDEX(_翻訳マスタ!$B$117:$D$247,MATCH("ALERT_APPROACHING",_翻訳マスタ!$A$117:$A$247,0),MATCH(言語切替!$B$3,_翻訳マスタ!$B$1:$D$1,0)),IF(OR(W194='02_マスタ'!$E$7,W194='02_マスタ'!$E$8),INDEX(_翻訳マスタ!$B$117:$D$247,MATCH("ALERT_CHECK",_翻訳マスタ!$A$117:$A$247,0),MATCH(言語切替!$B$3,_翻訳マスタ!$B$1:$D$1,0)),""))))))</f>
        <v/>
      </c>
      <c r="AJ194" s="73"/>
    </row>
    <row r="195" spans="1:36" s="21" customFormat="1" x14ac:dyDescent="0.25">
      <c r="A195" s="83"/>
      <c r="B195" s="84"/>
      <c r="C195" s="84"/>
      <c r="D195" s="84"/>
      <c r="E195" s="84"/>
      <c r="F195" s="29"/>
      <c r="G195" s="29"/>
      <c r="H195" s="39" t="str">
        <f t="shared" si="40"/>
        <v/>
      </c>
      <c r="I195" s="39" t="str">
        <f t="shared" si="41"/>
        <v/>
      </c>
      <c r="J195" s="29"/>
      <c r="K195" s="29"/>
      <c r="L195" s="39" t="str">
        <f t="shared" si="42"/>
        <v/>
      </c>
      <c r="M195" s="39" t="str">
        <f t="shared" si="43"/>
        <v/>
      </c>
      <c r="N195" s="29"/>
      <c r="O195" s="29"/>
      <c r="P195" s="39" t="str">
        <f t="shared" si="44"/>
        <v/>
      </c>
      <c r="Q195" s="39" t="str">
        <f t="shared" si="45"/>
        <v/>
      </c>
      <c r="R195" s="29"/>
      <c r="S195" s="29"/>
      <c r="T195" s="30"/>
      <c r="U195" s="30"/>
      <c r="V195" s="29"/>
      <c r="W195" s="29"/>
      <c r="X195" s="29"/>
      <c r="Y195" s="29"/>
      <c r="Z195" s="29"/>
      <c r="AA195" s="39" t="str">
        <f t="shared" si="46"/>
        <v/>
      </c>
      <c r="AB195" s="39" t="str">
        <f t="shared" si="47"/>
        <v/>
      </c>
      <c r="AC195" s="29"/>
      <c r="AD195" s="29"/>
      <c r="AE195" s="39" t="str">
        <f t="shared" si="37"/>
        <v/>
      </c>
      <c r="AF195" s="39" t="str">
        <f t="shared" si="38"/>
        <v/>
      </c>
      <c r="AG195" s="29"/>
      <c r="AH195" s="74" t="str">
        <f t="shared" ca="1" si="39"/>
        <v/>
      </c>
      <c r="AI195" s="74" t="str">
        <f ca="1">IF(A195="","",IF(OR(W195='02_マスタ'!$E$10,W195='02_マスタ'!$E$12),"",IF(V195="High","High",IF(AND(U195&lt;&gt;"",U195&lt;TODAY()),INDEX(_翻訳マスタ!$B$117:$D$247,MATCH("ALERT_OVERDUE",_翻訳マスタ!$A$117:$A$247,0),MATCH(言語切替!$B$3,_翻訳マスタ!$B$1:$D$1,0)),IF(AND(U195&lt;&gt;"",U195-TODAY()&lt;=7),INDEX(_翻訳マスタ!$B$117:$D$247,MATCH("ALERT_APPROACHING",_翻訳マスタ!$A$117:$A$247,0),MATCH(言語切替!$B$3,_翻訳マスタ!$B$1:$D$1,0)),IF(OR(W195='02_マスタ'!$E$7,W195='02_マスタ'!$E$8),INDEX(_翻訳マスタ!$B$117:$D$247,MATCH("ALERT_CHECK",_翻訳マスタ!$A$117:$A$247,0),MATCH(言語切替!$B$3,_翻訳マスタ!$B$1:$D$1,0)),""))))))</f>
        <v/>
      </c>
      <c r="AJ195" s="75"/>
    </row>
    <row r="196" spans="1:36" s="21" customFormat="1" x14ac:dyDescent="0.25">
      <c r="A196" s="81"/>
      <c r="B196" s="82"/>
      <c r="C196" s="82"/>
      <c r="D196" s="82"/>
      <c r="E196" s="82"/>
      <c r="F196" s="26"/>
      <c r="G196" s="26"/>
      <c r="H196" s="38" t="str">
        <f t="shared" si="40"/>
        <v/>
      </c>
      <c r="I196" s="38" t="str">
        <f t="shared" si="41"/>
        <v/>
      </c>
      <c r="J196" s="26"/>
      <c r="K196" s="26"/>
      <c r="L196" s="38" t="str">
        <f t="shared" si="42"/>
        <v/>
      </c>
      <c r="M196" s="38" t="str">
        <f t="shared" si="43"/>
        <v/>
      </c>
      <c r="N196" s="26"/>
      <c r="O196" s="26"/>
      <c r="P196" s="38" t="str">
        <f t="shared" si="44"/>
        <v/>
      </c>
      <c r="Q196" s="38" t="str">
        <f t="shared" si="45"/>
        <v/>
      </c>
      <c r="R196" s="26"/>
      <c r="S196" s="26"/>
      <c r="T196" s="27"/>
      <c r="U196" s="27"/>
      <c r="V196" s="26"/>
      <c r="W196" s="26"/>
      <c r="X196" s="26"/>
      <c r="Y196" s="26"/>
      <c r="Z196" s="26"/>
      <c r="AA196" s="38" t="str">
        <f t="shared" si="46"/>
        <v/>
      </c>
      <c r="AB196" s="38" t="str">
        <f t="shared" si="47"/>
        <v/>
      </c>
      <c r="AC196" s="26"/>
      <c r="AD196" s="26"/>
      <c r="AE196" s="38" t="str">
        <f t="shared" si="37"/>
        <v/>
      </c>
      <c r="AF196" s="38" t="str">
        <f t="shared" si="38"/>
        <v/>
      </c>
      <c r="AG196" s="26"/>
      <c r="AH196" s="72" t="str">
        <f t="shared" ca="1" si="39"/>
        <v/>
      </c>
      <c r="AI196" s="72" t="str">
        <f ca="1">IF(A196="","",IF(OR(W196='02_マスタ'!$E$10,W196='02_マスタ'!$E$12),"",IF(V196="High","High",IF(AND(U196&lt;&gt;"",U196&lt;TODAY()),INDEX(_翻訳マスタ!$B$117:$D$247,MATCH("ALERT_OVERDUE",_翻訳マスタ!$A$117:$A$247,0),MATCH(言語切替!$B$3,_翻訳マスタ!$B$1:$D$1,0)),IF(AND(U196&lt;&gt;"",U196-TODAY()&lt;=7),INDEX(_翻訳マスタ!$B$117:$D$247,MATCH("ALERT_APPROACHING",_翻訳マスタ!$A$117:$A$247,0),MATCH(言語切替!$B$3,_翻訳マスタ!$B$1:$D$1,0)),IF(OR(W196='02_マスタ'!$E$7,W196='02_マスタ'!$E$8),INDEX(_翻訳マスタ!$B$117:$D$247,MATCH("ALERT_CHECK",_翻訳マスタ!$A$117:$A$247,0),MATCH(言語切替!$B$3,_翻訳マスタ!$B$1:$D$1,0)),""))))))</f>
        <v/>
      </c>
      <c r="AJ196" s="73"/>
    </row>
    <row r="197" spans="1:36" s="21" customFormat="1" x14ac:dyDescent="0.25">
      <c r="A197" s="83"/>
      <c r="B197" s="84"/>
      <c r="C197" s="84"/>
      <c r="D197" s="84"/>
      <c r="E197" s="84"/>
      <c r="F197" s="29"/>
      <c r="G197" s="29"/>
      <c r="H197" s="39" t="str">
        <f t="shared" si="40"/>
        <v/>
      </c>
      <c r="I197" s="39" t="str">
        <f t="shared" si="41"/>
        <v/>
      </c>
      <c r="J197" s="29"/>
      <c r="K197" s="29"/>
      <c r="L197" s="39" t="str">
        <f t="shared" si="42"/>
        <v/>
      </c>
      <c r="M197" s="39" t="str">
        <f t="shared" si="43"/>
        <v/>
      </c>
      <c r="N197" s="29"/>
      <c r="O197" s="29"/>
      <c r="P197" s="39" t="str">
        <f t="shared" si="44"/>
        <v/>
      </c>
      <c r="Q197" s="39" t="str">
        <f t="shared" si="45"/>
        <v/>
      </c>
      <c r="R197" s="29"/>
      <c r="S197" s="29"/>
      <c r="T197" s="30"/>
      <c r="U197" s="30"/>
      <c r="V197" s="29"/>
      <c r="W197" s="29"/>
      <c r="X197" s="29"/>
      <c r="Y197" s="29"/>
      <c r="Z197" s="29"/>
      <c r="AA197" s="39" t="str">
        <f t="shared" si="46"/>
        <v/>
      </c>
      <c r="AB197" s="39" t="str">
        <f t="shared" si="47"/>
        <v/>
      </c>
      <c r="AC197" s="29"/>
      <c r="AD197" s="29"/>
      <c r="AE197" s="39" t="str">
        <f t="shared" ref="AE197:AE260" si="48">IF(AC197="","",_xlfn.TRANSLATE(AC197,"vi","ja"))</f>
        <v/>
      </c>
      <c r="AF197" s="39" t="str">
        <f t="shared" ref="AF197:AF260" si="49">IF(AC197="","",_xlfn.TRANSLATE(AC197,"vi","zh-Hans"))</f>
        <v/>
      </c>
      <c r="AG197" s="29"/>
      <c r="AH197" s="74" t="str">
        <f t="shared" ref="AH197:AH260" ca="1" si="50">IF(U197="","",U197-TODAY())</f>
        <v/>
      </c>
      <c r="AI197" s="74" t="str">
        <f ca="1">IF(A197="","",IF(OR(W197='02_マスタ'!$E$10,W197='02_マスタ'!$E$12),"",IF(V197="High","High",IF(AND(U197&lt;&gt;"",U197&lt;TODAY()),INDEX(_翻訳マスタ!$B$117:$D$247,MATCH("ALERT_OVERDUE",_翻訳マスタ!$A$117:$A$247,0),MATCH(言語切替!$B$3,_翻訳マスタ!$B$1:$D$1,0)),IF(AND(U197&lt;&gt;"",U197-TODAY()&lt;=7),INDEX(_翻訳マスタ!$B$117:$D$247,MATCH("ALERT_APPROACHING",_翻訳マスタ!$A$117:$A$247,0),MATCH(言語切替!$B$3,_翻訳マスタ!$B$1:$D$1,0)),IF(OR(W197='02_マスタ'!$E$7,W197='02_マスタ'!$E$8),INDEX(_翻訳マスタ!$B$117:$D$247,MATCH("ALERT_CHECK",_翻訳マスタ!$A$117:$A$247,0),MATCH(言語切替!$B$3,_翻訳マスタ!$B$1:$D$1,0)),""))))))</f>
        <v/>
      </c>
      <c r="AJ197" s="75"/>
    </row>
    <row r="198" spans="1:36" s="21" customFormat="1" x14ac:dyDescent="0.25">
      <c r="A198" s="81"/>
      <c r="B198" s="82"/>
      <c r="C198" s="82"/>
      <c r="D198" s="82"/>
      <c r="E198" s="82"/>
      <c r="F198" s="26"/>
      <c r="G198" s="26"/>
      <c r="H198" s="38" t="str">
        <f t="shared" si="40"/>
        <v/>
      </c>
      <c r="I198" s="38" t="str">
        <f t="shared" si="41"/>
        <v/>
      </c>
      <c r="J198" s="26"/>
      <c r="K198" s="26"/>
      <c r="L198" s="38" t="str">
        <f t="shared" si="42"/>
        <v/>
      </c>
      <c r="M198" s="38" t="str">
        <f t="shared" si="43"/>
        <v/>
      </c>
      <c r="N198" s="26"/>
      <c r="O198" s="26"/>
      <c r="P198" s="38" t="str">
        <f t="shared" si="44"/>
        <v/>
      </c>
      <c r="Q198" s="38" t="str">
        <f t="shared" si="45"/>
        <v/>
      </c>
      <c r="R198" s="26"/>
      <c r="S198" s="26"/>
      <c r="T198" s="27"/>
      <c r="U198" s="27"/>
      <c r="V198" s="26"/>
      <c r="W198" s="26"/>
      <c r="X198" s="26"/>
      <c r="Y198" s="26"/>
      <c r="Z198" s="26"/>
      <c r="AA198" s="38" t="str">
        <f t="shared" si="46"/>
        <v/>
      </c>
      <c r="AB198" s="38" t="str">
        <f t="shared" si="47"/>
        <v/>
      </c>
      <c r="AC198" s="26"/>
      <c r="AD198" s="26"/>
      <c r="AE198" s="38" t="str">
        <f t="shared" si="48"/>
        <v/>
      </c>
      <c r="AF198" s="38" t="str">
        <f t="shared" si="49"/>
        <v/>
      </c>
      <c r="AG198" s="26"/>
      <c r="AH198" s="72" t="str">
        <f t="shared" ca="1" si="50"/>
        <v/>
      </c>
      <c r="AI198" s="72" t="str">
        <f ca="1">IF(A198="","",IF(OR(W198='02_マスタ'!$E$10,W198='02_マスタ'!$E$12),"",IF(V198="High","High",IF(AND(U198&lt;&gt;"",U198&lt;TODAY()),INDEX(_翻訳マスタ!$B$117:$D$247,MATCH("ALERT_OVERDUE",_翻訳マスタ!$A$117:$A$247,0),MATCH(言語切替!$B$3,_翻訳マスタ!$B$1:$D$1,0)),IF(AND(U198&lt;&gt;"",U198-TODAY()&lt;=7),INDEX(_翻訳マスタ!$B$117:$D$247,MATCH("ALERT_APPROACHING",_翻訳マスタ!$A$117:$A$247,0),MATCH(言語切替!$B$3,_翻訳マスタ!$B$1:$D$1,0)),IF(OR(W198='02_マスタ'!$E$7,W198='02_マスタ'!$E$8),INDEX(_翻訳マスタ!$B$117:$D$247,MATCH("ALERT_CHECK",_翻訳マスタ!$A$117:$A$247,0),MATCH(言語切替!$B$3,_翻訳マスタ!$B$1:$D$1,0)),""))))))</f>
        <v/>
      </c>
      <c r="AJ198" s="73"/>
    </row>
    <row r="199" spans="1:36" s="21" customFormat="1" x14ac:dyDescent="0.25">
      <c r="A199" s="83"/>
      <c r="B199" s="84"/>
      <c r="C199" s="84"/>
      <c r="D199" s="84"/>
      <c r="E199" s="84"/>
      <c r="F199" s="29"/>
      <c r="G199" s="29"/>
      <c r="H199" s="39" t="str">
        <f t="shared" si="40"/>
        <v/>
      </c>
      <c r="I199" s="39" t="str">
        <f t="shared" si="41"/>
        <v/>
      </c>
      <c r="J199" s="29"/>
      <c r="K199" s="29"/>
      <c r="L199" s="39" t="str">
        <f t="shared" si="42"/>
        <v/>
      </c>
      <c r="M199" s="39" t="str">
        <f t="shared" si="43"/>
        <v/>
      </c>
      <c r="N199" s="29"/>
      <c r="O199" s="29"/>
      <c r="P199" s="39" t="str">
        <f t="shared" si="44"/>
        <v/>
      </c>
      <c r="Q199" s="39" t="str">
        <f t="shared" si="45"/>
        <v/>
      </c>
      <c r="R199" s="29"/>
      <c r="S199" s="29"/>
      <c r="T199" s="30"/>
      <c r="U199" s="30"/>
      <c r="V199" s="29"/>
      <c r="W199" s="29"/>
      <c r="X199" s="29"/>
      <c r="Y199" s="29"/>
      <c r="Z199" s="29"/>
      <c r="AA199" s="39" t="str">
        <f t="shared" si="46"/>
        <v/>
      </c>
      <c r="AB199" s="39" t="str">
        <f t="shared" si="47"/>
        <v/>
      </c>
      <c r="AC199" s="29"/>
      <c r="AD199" s="29"/>
      <c r="AE199" s="39" t="str">
        <f t="shared" si="48"/>
        <v/>
      </c>
      <c r="AF199" s="39" t="str">
        <f t="shared" si="49"/>
        <v/>
      </c>
      <c r="AG199" s="29"/>
      <c r="AH199" s="74" t="str">
        <f t="shared" ca="1" si="50"/>
        <v/>
      </c>
      <c r="AI199" s="74" t="str">
        <f ca="1">IF(A199="","",IF(OR(W199='02_マスタ'!$E$10,W199='02_マスタ'!$E$12),"",IF(V199="High","High",IF(AND(U199&lt;&gt;"",U199&lt;TODAY()),INDEX(_翻訳マスタ!$B$117:$D$247,MATCH("ALERT_OVERDUE",_翻訳マスタ!$A$117:$A$247,0),MATCH(言語切替!$B$3,_翻訳マスタ!$B$1:$D$1,0)),IF(AND(U199&lt;&gt;"",U199-TODAY()&lt;=7),INDEX(_翻訳マスタ!$B$117:$D$247,MATCH("ALERT_APPROACHING",_翻訳マスタ!$A$117:$A$247,0),MATCH(言語切替!$B$3,_翻訳マスタ!$B$1:$D$1,0)),IF(OR(W199='02_マスタ'!$E$7,W199='02_マスタ'!$E$8),INDEX(_翻訳マスタ!$B$117:$D$247,MATCH("ALERT_CHECK",_翻訳マスタ!$A$117:$A$247,0),MATCH(言語切替!$B$3,_翻訳マスタ!$B$1:$D$1,0)),""))))))</f>
        <v/>
      </c>
      <c r="AJ199" s="75"/>
    </row>
    <row r="200" spans="1:36" s="21" customFormat="1" x14ac:dyDescent="0.25">
      <c r="A200" s="81"/>
      <c r="B200" s="82"/>
      <c r="C200" s="82"/>
      <c r="D200" s="82"/>
      <c r="E200" s="82"/>
      <c r="F200" s="26"/>
      <c r="G200" s="26"/>
      <c r="H200" s="38" t="str">
        <f t="shared" si="40"/>
        <v/>
      </c>
      <c r="I200" s="38" t="str">
        <f t="shared" si="41"/>
        <v/>
      </c>
      <c r="J200" s="26"/>
      <c r="K200" s="26"/>
      <c r="L200" s="38" t="str">
        <f t="shared" si="42"/>
        <v/>
      </c>
      <c r="M200" s="38" t="str">
        <f t="shared" si="43"/>
        <v/>
      </c>
      <c r="N200" s="26"/>
      <c r="O200" s="26"/>
      <c r="P200" s="38" t="str">
        <f t="shared" si="44"/>
        <v/>
      </c>
      <c r="Q200" s="38" t="str">
        <f t="shared" si="45"/>
        <v/>
      </c>
      <c r="R200" s="26"/>
      <c r="S200" s="26"/>
      <c r="T200" s="27"/>
      <c r="U200" s="27"/>
      <c r="V200" s="26"/>
      <c r="W200" s="26"/>
      <c r="X200" s="26"/>
      <c r="Y200" s="26"/>
      <c r="Z200" s="26"/>
      <c r="AA200" s="38" t="str">
        <f t="shared" si="46"/>
        <v/>
      </c>
      <c r="AB200" s="38" t="str">
        <f t="shared" si="47"/>
        <v/>
      </c>
      <c r="AC200" s="26"/>
      <c r="AD200" s="26"/>
      <c r="AE200" s="38" t="str">
        <f t="shared" si="48"/>
        <v/>
      </c>
      <c r="AF200" s="38" t="str">
        <f t="shared" si="49"/>
        <v/>
      </c>
      <c r="AG200" s="26"/>
      <c r="AH200" s="72" t="str">
        <f t="shared" ca="1" si="50"/>
        <v/>
      </c>
      <c r="AI200" s="72" t="str">
        <f ca="1">IF(A200="","",IF(OR(W200='02_マスタ'!$E$10,W200='02_マスタ'!$E$12),"",IF(V200="High","High",IF(AND(U200&lt;&gt;"",U200&lt;TODAY()),INDEX(_翻訳マスタ!$B$117:$D$247,MATCH("ALERT_OVERDUE",_翻訳マスタ!$A$117:$A$247,0),MATCH(言語切替!$B$3,_翻訳マスタ!$B$1:$D$1,0)),IF(AND(U200&lt;&gt;"",U200-TODAY()&lt;=7),INDEX(_翻訳マスタ!$B$117:$D$247,MATCH("ALERT_APPROACHING",_翻訳マスタ!$A$117:$A$247,0),MATCH(言語切替!$B$3,_翻訳マスタ!$B$1:$D$1,0)),IF(OR(W200='02_マスタ'!$E$7,W200='02_マスタ'!$E$8),INDEX(_翻訳マスタ!$B$117:$D$247,MATCH("ALERT_CHECK",_翻訳マスタ!$A$117:$A$247,0),MATCH(言語切替!$B$3,_翻訳マスタ!$B$1:$D$1,0)),""))))))</f>
        <v/>
      </c>
      <c r="AJ200" s="73"/>
    </row>
    <row r="201" spans="1:36" s="21" customFormat="1" x14ac:dyDescent="0.25">
      <c r="A201" s="83"/>
      <c r="B201" s="84"/>
      <c r="C201" s="84"/>
      <c r="D201" s="84"/>
      <c r="E201" s="84"/>
      <c r="F201" s="29"/>
      <c r="G201" s="29"/>
      <c r="H201" s="39" t="str">
        <f t="shared" ref="H201:H264" si="51">IF(F201="","",_xlfn.TRANSLATE(F201,"vi","ja"))</f>
        <v/>
      </c>
      <c r="I201" s="39" t="str">
        <f t="shared" ref="I201:I264" si="52">IF(F201="","",_xlfn.TRANSLATE(F201,"vi","zh-Hans"))</f>
        <v/>
      </c>
      <c r="J201" s="29"/>
      <c r="K201" s="29"/>
      <c r="L201" s="39" t="str">
        <f t="shared" ref="L201:L264" si="53">IF(J201="","",_xlfn.TRANSLATE(J201,"vi","ja"))</f>
        <v/>
      </c>
      <c r="M201" s="39" t="str">
        <f t="shared" ref="M201:M264" si="54">IF(J201="","",_xlfn.TRANSLATE(J201,"vi","zh-Hans"))</f>
        <v/>
      </c>
      <c r="N201" s="29"/>
      <c r="O201" s="29"/>
      <c r="P201" s="39" t="str">
        <f t="shared" ref="P201:P264" si="55">IF(N201="","",_xlfn.TRANSLATE(N201,"vi","ja"))</f>
        <v/>
      </c>
      <c r="Q201" s="39" t="str">
        <f t="shared" ref="Q201:Q264" si="56">IF(N201="","",_xlfn.TRANSLATE(N201,"vi","zh-Hans"))</f>
        <v/>
      </c>
      <c r="R201" s="29"/>
      <c r="S201" s="29"/>
      <c r="T201" s="30"/>
      <c r="U201" s="30"/>
      <c r="V201" s="29"/>
      <c r="W201" s="29"/>
      <c r="X201" s="29"/>
      <c r="Y201" s="29"/>
      <c r="Z201" s="29"/>
      <c r="AA201" s="39" t="str">
        <f t="shared" ref="AA201:AA264" si="57">IF(Y201="","",_xlfn.TRANSLATE(Y201,"vi","ja"))</f>
        <v/>
      </c>
      <c r="AB201" s="39" t="str">
        <f t="shared" ref="AB201:AB264" si="58">IF(Y201="","",_xlfn.TRANSLATE(Y201,"vi","zh-Hans"))</f>
        <v/>
      </c>
      <c r="AC201" s="29"/>
      <c r="AD201" s="29"/>
      <c r="AE201" s="39" t="str">
        <f t="shared" si="48"/>
        <v/>
      </c>
      <c r="AF201" s="39" t="str">
        <f t="shared" si="49"/>
        <v/>
      </c>
      <c r="AG201" s="29"/>
      <c r="AH201" s="74" t="str">
        <f t="shared" ca="1" si="50"/>
        <v/>
      </c>
      <c r="AI201" s="74" t="str">
        <f ca="1">IF(A201="","",IF(OR(W201='02_マスタ'!$E$10,W201='02_マスタ'!$E$12),"",IF(V201="High","High",IF(AND(U201&lt;&gt;"",U201&lt;TODAY()),INDEX(_翻訳マスタ!$B$117:$D$247,MATCH("ALERT_OVERDUE",_翻訳マスタ!$A$117:$A$247,0),MATCH(言語切替!$B$3,_翻訳マスタ!$B$1:$D$1,0)),IF(AND(U201&lt;&gt;"",U201-TODAY()&lt;=7),INDEX(_翻訳マスタ!$B$117:$D$247,MATCH("ALERT_APPROACHING",_翻訳マスタ!$A$117:$A$247,0),MATCH(言語切替!$B$3,_翻訳マスタ!$B$1:$D$1,0)),IF(OR(W201='02_マスタ'!$E$7,W201='02_マスタ'!$E$8),INDEX(_翻訳マスタ!$B$117:$D$247,MATCH("ALERT_CHECK",_翻訳マスタ!$A$117:$A$247,0),MATCH(言語切替!$B$3,_翻訳マスタ!$B$1:$D$1,0)),""))))))</f>
        <v/>
      </c>
      <c r="AJ201" s="75"/>
    </row>
    <row r="202" spans="1:36" s="21" customFormat="1" x14ac:dyDescent="0.25">
      <c r="A202" s="81"/>
      <c r="B202" s="82"/>
      <c r="C202" s="82"/>
      <c r="D202" s="82"/>
      <c r="E202" s="82"/>
      <c r="F202" s="26"/>
      <c r="G202" s="26"/>
      <c r="H202" s="38" t="str">
        <f t="shared" si="51"/>
        <v/>
      </c>
      <c r="I202" s="38" t="str">
        <f t="shared" si="52"/>
        <v/>
      </c>
      <c r="J202" s="26"/>
      <c r="K202" s="26"/>
      <c r="L202" s="38" t="str">
        <f t="shared" si="53"/>
        <v/>
      </c>
      <c r="M202" s="38" t="str">
        <f t="shared" si="54"/>
        <v/>
      </c>
      <c r="N202" s="26"/>
      <c r="O202" s="26"/>
      <c r="P202" s="38" t="str">
        <f t="shared" si="55"/>
        <v/>
      </c>
      <c r="Q202" s="38" t="str">
        <f t="shared" si="56"/>
        <v/>
      </c>
      <c r="R202" s="26"/>
      <c r="S202" s="26"/>
      <c r="T202" s="27"/>
      <c r="U202" s="27"/>
      <c r="V202" s="26"/>
      <c r="W202" s="26"/>
      <c r="X202" s="26"/>
      <c r="Y202" s="26"/>
      <c r="Z202" s="26"/>
      <c r="AA202" s="38" t="str">
        <f t="shared" si="57"/>
        <v/>
      </c>
      <c r="AB202" s="38" t="str">
        <f t="shared" si="58"/>
        <v/>
      </c>
      <c r="AC202" s="26"/>
      <c r="AD202" s="26"/>
      <c r="AE202" s="38" t="str">
        <f t="shared" si="48"/>
        <v/>
      </c>
      <c r="AF202" s="38" t="str">
        <f t="shared" si="49"/>
        <v/>
      </c>
      <c r="AG202" s="26"/>
      <c r="AH202" s="72" t="str">
        <f t="shared" ca="1" si="50"/>
        <v/>
      </c>
      <c r="AI202" s="72" t="str">
        <f ca="1">IF(A202="","",IF(OR(W202='02_マスタ'!$E$10,W202='02_マスタ'!$E$12),"",IF(V202="High","High",IF(AND(U202&lt;&gt;"",U202&lt;TODAY()),INDEX(_翻訳マスタ!$B$117:$D$247,MATCH("ALERT_OVERDUE",_翻訳マスタ!$A$117:$A$247,0),MATCH(言語切替!$B$3,_翻訳マスタ!$B$1:$D$1,0)),IF(AND(U202&lt;&gt;"",U202-TODAY()&lt;=7),INDEX(_翻訳マスタ!$B$117:$D$247,MATCH("ALERT_APPROACHING",_翻訳マスタ!$A$117:$A$247,0),MATCH(言語切替!$B$3,_翻訳マスタ!$B$1:$D$1,0)),IF(OR(W202='02_マスタ'!$E$7,W202='02_マスタ'!$E$8),INDEX(_翻訳マスタ!$B$117:$D$247,MATCH("ALERT_CHECK",_翻訳マスタ!$A$117:$A$247,0),MATCH(言語切替!$B$3,_翻訳マスタ!$B$1:$D$1,0)),""))))))</f>
        <v/>
      </c>
      <c r="AJ202" s="73"/>
    </row>
    <row r="203" spans="1:36" s="21" customFormat="1" x14ac:dyDescent="0.25">
      <c r="A203" s="83"/>
      <c r="B203" s="84"/>
      <c r="C203" s="84"/>
      <c r="D203" s="84"/>
      <c r="E203" s="84"/>
      <c r="F203" s="29"/>
      <c r="G203" s="29"/>
      <c r="H203" s="39" t="str">
        <f t="shared" si="51"/>
        <v/>
      </c>
      <c r="I203" s="39" t="str">
        <f t="shared" si="52"/>
        <v/>
      </c>
      <c r="J203" s="29"/>
      <c r="K203" s="29"/>
      <c r="L203" s="39" t="str">
        <f t="shared" si="53"/>
        <v/>
      </c>
      <c r="M203" s="39" t="str">
        <f t="shared" si="54"/>
        <v/>
      </c>
      <c r="N203" s="29"/>
      <c r="O203" s="29"/>
      <c r="P203" s="39" t="str">
        <f t="shared" si="55"/>
        <v/>
      </c>
      <c r="Q203" s="39" t="str">
        <f t="shared" si="56"/>
        <v/>
      </c>
      <c r="R203" s="29"/>
      <c r="S203" s="29"/>
      <c r="T203" s="30"/>
      <c r="U203" s="30"/>
      <c r="V203" s="29"/>
      <c r="W203" s="29"/>
      <c r="X203" s="29"/>
      <c r="Y203" s="29"/>
      <c r="Z203" s="29"/>
      <c r="AA203" s="39" t="str">
        <f t="shared" si="57"/>
        <v/>
      </c>
      <c r="AB203" s="39" t="str">
        <f t="shared" si="58"/>
        <v/>
      </c>
      <c r="AC203" s="29"/>
      <c r="AD203" s="29"/>
      <c r="AE203" s="39" t="str">
        <f t="shared" si="48"/>
        <v/>
      </c>
      <c r="AF203" s="39" t="str">
        <f t="shared" si="49"/>
        <v/>
      </c>
      <c r="AG203" s="29"/>
      <c r="AH203" s="74" t="str">
        <f t="shared" ca="1" si="50"/>
        <v/>
      </c>
      <c r="AI203" s="74" t="str">
        <f ca="1">IF(A203="","",IF(OR(W203='02_マスタ'!$E$10,W203='02_マスタ'!$E$12),"",IF(V203="High","High",IF(AND(U203&lt;&gt;"",U203&lt;TODAY()),INDEX(_翻訳マスタ!$B$117:$D$247,MATCH("ALERT_OVERDUE",_翻訳マスタ!$A$117:$A$247,0),MATCH(言語切替!$B$3,_翻訳マスタ!$B$1:$D$1,0)),IF(AND(U203&lt;&gt;"",U203-TODAY()&lt;=7),INDEX(_翻訳マスタ!$B$117:$D$247,MATCH("ALERT_APPROACHING",_翻訳マスタ!$A$117:$A$247,0),MATCH(言語切替!$B$3,_翻訳マスタ!$B$1:$D$1,0)),IF(OR(W203='02_マスタ'!$E$7,W203='02_マスタ'!$E$8),INDEX(_翻訳マスタ!$B$117:$D$247,MATCH("ALERT_CHECK",_翻訳マスタ!$A$117:$A$247,0),MATCH(言語切替!$B$3,_翻訳マスタ!$B$1:$D$1,0)),""))))))</f>
        <v/>
      </c>
      <c r="AJ203" s="75"/>
    </row>
    <row r="204" spans="1:36" s="21" customFormat="1" x14ac:dyDescent="0.25">
      <c r="A204" s="81"/>
      <c r="B204" s="82"/>
      <c r="C204" s="82"/>
      <c r="D204" s="82"/>
      <c r="E204" s="82"/>
      <c r="F204" s="26"/>
      <c r="G204" s="26"/>
      <c r="H204" s="38" t="str">
        <f t="shared" si="51"/>
        <v/>
      </c>
      <c r="I204" s="38" t="str">
        <f t="shared" si="52"/>
        <v/>
      </c>
      <c r="J204" s="26"/>
      <c r="K204" s="26"/>
      <c r="L204" s="38" t="str">
        <f t="shared" si="53"/>
        <v/>
      </c>
      <c r="M204" s="38" t="str">
        <f t="shared" si="54"/>
        <v/>
      </c>
      <c r="N204" s="26"/>
      <c r="O204" s="26"/>
      <c r="P204" s="38" t="str">
        <f t="shared" si="55"/>
        <v/>
      </c>
      <c r="Q204" s="38" t="str">
        <f t="shared" si="56"/>
        <v/>
      </c>
      <c r="R204" s="26"/>
      <c r="S204" s="26"/>
      <c r="T204" s="27"/>
      <c r="U204" s="27"/>
      <c r="V204" s="26"/>
      <c r="W204" s="26"/>
      <c r="X204" s="26"/>
      <c r="Y204" s="26"/>
      <c r="Z204" s="26"/>
      <c r="AA204" s="38" t="str">
        <f t="shared" si="57"/>
        <v/>
      </c>
      <c r="AB204" s="38" t="str">
        <f t="shared" si="58"/>
        <v/>
      </c>
      <c r="AC204" s="26"/>
      <c r="AD204" s="26"/>
      <c r="AE204" s="38" t="str">
        <f t="shared" si="48"/>
        <v/>
      </c>
      <c r="AF204" s="38" t="str">
        <f t="shared" si="49"/>
        <v/>
      </c>
      <c r="AG204" s="26"/>
      <c r="AH204" s="72" t="str">
        <f t="shared" ca="1" si="50"/>
        <v/>
      </c>
      <c r="AI204" s="72" t="str">
        <f ca="1">IF(A204="","",IF(OR(W204='02_マスタ'!$E$10,W204='02_マスタ'!$E$12),"",IF(V204="High","High",IF(AND(U204&lt;&gt;"",U204&lt;TODAY()),INDEX(_翻訳マスタ!$B$117:$D$247,MATCH("ALERT_OVERDUE",_翻訳マスタ!$A$117:$A$247,0),MATCH(言語切替!$B$3,_翻訳マスタ!$B$1:$D$1,0)),IF(AND(U204&lt;&gt;"",U204-TODAY()&lt;=7),INDEX(_翻訳マスタ!$B$117:$D$247,MATCH("ALERT_APPROACHING",_翻訳マスタ!$A$117:$A$247,0),MATCH(言語切替!$B$3,_翻訳マスタ!$B$1:$D$1,0)),IF(OR(W204='02_マスタ'!$E$7,W204='02_マスタ'!$E$8),INDEX(_翻訳マスタ!$B$117:$D$247,MATCH("ALERT_CHECK",_翻訳マスタ!$A$117:$A$247,0),MATCH(言語切替!$B$3,_翻訳マスタ!$B$1:$D$1,0)),""))))))</f>
        <v/>
      </c>
      <c r="AJ204" s="73"/>
    </row>
    <row r="205" spans="1:36" s="21" customFormat="1" x14ac:dyDescent="0.25">
      <c r="A205" s="83"/>
      <c r="B205" s="84"/>
      <c r="C205" s="84"/>
      <c r="D205" s="84"/>
      <c r="E205" s="84"/>
      <c r="F205" s="29"/>
      <c r="G205" s="29"/>
      <c r="H205" s="39" t="str">
        <f t="shared" si="51"/>
        <v/>
      </c>
      <c r="I205" s="39" t="str">
        <f t="shared" si="52"/>
        <v/>
      </c>
      <c r="J205" s="29"/>
      <c r="K205" s="29"/>
      <c r="L205" s="39" t="str">
        <f t="shared" si="53"/>
        <v/>
      </c>
      <c r="M205" s="39" t="str">
        <f t="shared" si="54"/>
        <v/>
      </c>
      <c r="N205" s="29"/>
      <c r="O205" s="29"/>
      <c r="P205" s="39" t="str">
        <f t="shared" si="55"/>
        <v/>
      </c>
      <c r="Q205" s="39" t="str">
        <f t="shared" si="56"/>
        <v/>
      </c>
      <c r="R205" s="29"/>
      <c r="S205" s="29"/>
      <c r="T205" s="30"/>
      <c r="U205" s="30"/>
      <c r="V205" s="29"/>
      <c r="W205" s="29"/>
      <c r="X205" s="29"/>
      <c r="Y205" s="29"/>
      <c r="Z205" s="29"/>
      <c r="AA205" s="39" t="str">
        <f t="shared" si="57"/>
        <v/>
      </c>
      <c r="AB205" s="39" t="str">
        <f t="shared" si="58"/>
        <v/>
      </c>
      <c r="AC205" s="29"/>
      <c r="AD205" s="29"/>
      <c r="AE205" s="39" t="str">
        <f t="shared" si="48"/>
        <v/>
      </c>
      <c r="AF205" s="39" t="str">
        <f t="shared" si="49"/>
        <v/>
      </c>
      <c r="AG205" s="29"/>
      <c r="AH205" s="74" t="str">
        <f t="shared" ca="1" si="50"/>
        <v/>
      </c>
      <c r="AI205" s="74" t="str">
        <f ca="1">IF(A205="","",IF(OR(W205='02_マスタ'!$E$10,W205='02_マスタ'!$E$12),"",IF(V205="High","High",IF(AND(U205&lt;&gt;"",U205&lt;TODAY()),INDEX(_翻訳マスタ!$B$117:$D$247,MATCH("ALERT_OVERDUE",_翻訳マスタ!$A$117:$A$247,0),MATCH(言語切替!$B$3,_翻訳マスタ!$B$1:$D$1,0)),IF(AND(U205&lt;&gt;"",U205-TODAY()&lt;=7),INDEX(_翻訳マスタ!$B$117:$D$247,MATCH("ALERT_APPROACHING",_翻訳マスタ!$A$117:$A$247,0),MATCH(言語切替!$B$3,_翻訳マスタ!$B$1:$D$1,0)),IF(OR(W205='02_マスタ'!$E$7,W205='02_マスタ'!$E$8),INDEX(_翻訳マスタ!$B$117:$D$247,MATCH("ALERT_CHECK",_翻訳マスタ!$A$117:$A$247,0),MATCH(言語切替!$B$3,_翻訳マスタ!$B$1:$D$1,0)),""))))))</f>
        <v/>
      </c>
      <c r="AJ205" s="75"/>
    </row>
    <row r="206" spans="1:36" s="21" customFormat="1" x14ac:dyDescent="0.25">
      <c r="A206" s="81"/>
      <c r="B206" s="82"/>
      <c r="C206" s="82"/>
      <c r="D206" s="82"/>
      <c r="E206" s="82"/>
      <c r="F206" s="26"/>
      <c r="G206" s="26"/>
      <c r="H206" s="38" t="str">
        <f t="shared" si="51"/>
        <v/>
      </c>
      <c r="I206" s="38" t="str">
        <f t="shared" si="52"/>
        <v/>
      </c>
      <c r="J206" s="26"/>
      <c r="K206" s="26"/>
      <c r="L206" s="38" t="str">
        <f t="shared" si="53"/>
        <v/>
      </c>
      <c r="M206" s="38" t="str">
        <f t="shared" si="54"/>
        <v/>
      </c>
      <c r="N206" s="26"/>
      <c r="O206" s="26"/>
      <c r="P206" s="38" t="str">
        <f t="shared" si="55"/>
        <v/>
      </c>
      <c r="Q206" s="38" t="str">
        <f t="shared" si="56"/>
        <v/>
      </c>
      <c r="R206" s="26"/>
      <c r="S206" s="26"/>
      <c r="T206" s="27"/>
      <c r="U206" s="27"/>
      <c r="V206" s="26"/>
      <c r="W206" s="26"/>
      <c r="X206" s="26"/>
      <c r="Y206" s="26"/>
      <c r="Z206" s="26"/>
      <c r="AA206" s="38" t="str">
        <f t="shared" si="57"/>
        <v/>
      </c>
      <c r="AB206" s="38" t="str">
        <f t="shared" si="58"/>
        <v/>
      </c>
      <c r="AC206" s="26"/>
      <c r="AD206" s="26"/>
      <c r="AE206" s="38" t="str">
        <f t="shared" si="48"/>
        <v/>
      </c>
      <c r="AF206" s="38" t="str">
        <f t="shared" si="49"/>
        <v/>
      </c>
      <c r="AG206" s="26"/>
      <c r="AH206" s="72" t="str">
        <f t="shared" ca="1" si="50"/>
        <v/>
      </c>
      <c r="AI206" s="72" t="str">
        <f ca="1">IF(A206="","",IF(OR(W206='02_マスタ'!$E$10,W206='02_マスタ'!$E$12),"",IF(V206="High","High",IF(AND(U206&lt;&gt;"",U206&lt;TODAY()),INDEX(_翻訳マスタ!$B$117:$D$247,MATCH("ALERT_OVERDUE",_翻訳マスタ!$A$117:$A$247,0),MATCH(言語切替!$B$3,_翻訳マスタ!$B$1:$D$1,0)),IF(AND(U206&lt;&gt;"",U206-TODAY()&lt;=7),INDEX(_翻訳マスタ!$B$117:$D$247,MATCH("ALERT_APPROACHING",_翻訳マスタ!$A$117:$A$247,0),MATCH(言語切替!$B$3,_翻訳マスタ!$B$1:$D$1,0)),IF(OR(W206='02_マスタ'!$E$7,W206='02_マスタ'!$E$8),INDEX(_翻訳マスタ!$B$117:$D$247,MATCH("ALERT_CHECK",_翻訳マスタ!$A$117:$A$247,0),MATCH(言語切替!$B$3,_翻訳マスタ!$B$1:$D$1,0)),""))))))</f>
        <v/>
      </c>
      <c r="AJ206" s="73"/>
    </row>
    <row r="207" spans="1:36" s="21" customFormat="1" x14ac:dyDescent="0.25">
      <c r="A207" s="83"/>
      <c r="B207" s="84"/>
      <c r="C207" s="84"/>
      <c r="D207" s="84"/>
      <c r="E207" s="84"/>
      <c r="F207" s="29"/>
      <c r="G207" s="29"/>
      <c r="H207" s="39" t="str">
        <f t="shared" si="51"/>
        <v/>
      </c>
      <c r="I207" s="39" t="str">
        <f t="shared" si="52"/>
        <v/>
      </c>
      <c r="J207" s="29"/>
      <c r="K207" s="29"/>
      <c r="L207" s="39" t="str">
        <f t="shared" si="53"/>
        <v/>
      </c>
      <c r="M207" s="39" t="str">
        <f t="shared" si="54"/>
        <v/>
      </c>
      <c r="N207" s="29"/>
      <c r="O207" s="29"/>
      <c r="P207" s="39" t="str">
        <f t="shared" si="55"/>
        <v/>
      </c>
      <c r="Q207" s="39" t="str">
        <f t="shared" si="56"/>
        <v/>
      </c>
      <c r="R207" s="29"/>
      <c r="S207" s="29"/>
      <c r="T207" s="30"/>
      <c r="U207" s="30"/>
      <c r="V207" s="29"/>
      <c r="W207" s="29"/>
      <c r="X207" s="29"/>
      <c r="Y207" s="29"/>
      <c r="Z207" s="29"/>
      <c r="AA207" s="39" t="str">
        <f t="shared" si="57"/>
        <v/>
      </c>
      <c r="AB207" s="39" t="str">
        <f t="shared" si="58"/>
        <v/>
      </c>
      <c r="AC207" s="29"/>
      <c r="AD207" s="29"/>
      <c r="AE207" s="39" t="str">
        <f t="shared" si="48"/>
        <v/>
      </c>
      <c r="AF207" s="39" t="str">
        <f t="shared" si="49"/>
        <v/>
      </c>
      <c r="AG207" s="29"/>
      <c r="AH207" s="74" t="str">
        <f t="shared" ca="1" si="50"/>
        <v/>
      </c>
      <c r="AI207" s="74" t="str">
        <f ca="1">IF(A207="","",IF(OR(W207='02_マスタ'!$E$10,W207='02_マスタ'!$E$12),"",IF(V207="High","High",IF(AND(U207&lt;&gt;"",U207&lt;TODAY()),INDEX(_翻訳マスタ!$B$117:$D$247,MATCH("ALERT_OVERDUE",_翻訳マスタ!$A$117:$A$247,0),MATCH(言語切替!$B$3,_翻訳マスタ!$B$1:$D$1,0)),IF(AND(U207&lt;&gt;"",U207-TODAY()&lt;=7),INDEX(_翻訳マスタ!$B$117:$D$247,MATCH("ALERT_APPROACHING",_翻訳マスタ!$A$117:$A$247,0),MATCH(言語切替!$B$3,_翻訳マスタ!$B$1:$D$1,0)),IF(OR(W207='02_マスタ'!$E$7,W207='02_マスタ'!$E$8),INDEX(_翻訳マスタ!$B$117:$D$247,MATCH("ALERT_CHECK",_翻訳マスタ!$A$117:$A$247,0),MATCH(言語切替!$B$3,_翻訳マスタ!$B$1:$D$1,0)),""))))))</f>
        <v/>
      </c>
      <c r="AJ207" s="75"/>
    </row>
    <row r="208" spans="1:36" s="21" customFormat="1" x14ac:dyDescent="0.25">
      <c r="A208" s="81"/>
      <c r="B208" s="82"/>
      <c r="C208" s="82"/>
      <c r="D208" s="82"/>
      <c r="E208" s="82"/>
      <c r="F208" s="26"/>
      <c r="G208" s="26"/>
      <c r="H208" s="38" t="str">
        <f t="shared" si="51"/>
        <v/>
      </c>
      <c r="I208" s="38" t="str">
        <f t="shared" si="52"/>
        <v/>
      </c>
      <c r="J208" s="26"/>
      <c r="K208" s="26"/>
      <c r="L208" s="38" t="str">
        <f t="shared" si="53"/>
        <v/>
      </c>
      <c r="M208" s="38" t="str">
        <f t="shared" si="54"/>
        <v/>
      </c>
      <c r="N208" s="26"/>
      <c r="O208" s="26"/>
      <c r="P208" s="38" t="str">
        <f t="shared" si="55"/>
        <v/>
      </c>
      <c r="Q208" s="38" t="str">
        <f t="shared" si="56"/>
        <v/>
      </c>
      <c r="R208" s="26"/>
      <c r="S208" s="26"/>
      <c r="T208" s="27"/>
      <c r="U208" s="27"/>
      <c r="V208" s="26"/>
      <c r="W208" s="26"/>
      <c r="X208" s="26"/>
      <c r="Y208" s="26"/>
      <c r="Z208" s="26"/>
      <c r="AA208" s="38" t="str">
        <f t="shared" si="57"/>
        <v/>
      </c>
      <c r="AB208" s="38" t="str">
        <f t="shared" si="58"/>
        <v/>
      </c>
      <c r="AC208" s="26"/>
      <c r="AD208" s="26"/>
      <c r="AE208" s="38" t="str">
        <f t="shared" si="48"/>
        <v/>
      </c>
      <c r="AF208" s="38" t="str">
        <f t="shared" si="49"/>
        <v/>
      </c>
      <c r="AG208" s="26"/>
      <c r="AH208" s="72" t="str">
        <f t="shared" ca="1" si="50"/>
        <v/>
      </c>
      <c r="AI208" s="72" t="str">
        <f ca="1">IF(A208="","",IF(OR(W208='02_マスタ'!$E$10,W208='02_マスタ'!$E$12),"",IF(V208="High","High",IF(AND(U208&lt;&gt;"",U208&lt;TODAY()),INDEX(_翻訳マスタ!$B$117:$D$247,MATCH("ALERT_OVERDUE",_翻訳マスタ!$A$117:$A$247,0),MATCH(言語切替!$B$3,_翻訳マスタ!$B$1:$D$1,0)),IF(AND(U208&lt;&gt;"",U208-TODAY()&lt;=7),INDEX(_翻訳マスタ!$B$117:$D$247,MATCH("ALERT_APPROACHING",_翻訳マスタ!$A$117:$A$247,0),MATCH(言語切替!$B$3,_翻訳マスタ!$B$1:$D$1,0)),IF(OR(W208='02_マスタ'!$E$7,W208='02_マスタ'!$E$8),INDEX(_翻訳マスタ!$B$117:$D$247,MATCH("ALERT_CHECK",_翻訳マスタ!$A$117:$A$247,0),MATCH(言語切替!$B$3,_翻訳マスタ!$B$1:$D$1,0)),""))))))</f>
        <v/>
      </c>
      <c r="AJ208" s="73"/>
    </row>
    <row r="209" spans="1:36" s="21" customFormat="1" x14ac:dyDescent="0.25">
      <c r="A209" s="83"/>
      <c r="B209" s="84"/>
      <c r="C209" s="84"/>
      <c r="D209" s="84"/>
      <c r="E209" s="84"/>
      <c r="F209" s="29"/>
      <c r="G209" s="29"/>
      <c r="H209" s="39" t="str">
        <f t="shared" si="51"/>
        <v/>
      </c>
      <c r="I209" s="39" t="str">
        <f t="shared" si="52"/>
        <v/>
      </c>
      <c r="J209" s="29"/>
      <c r="K209" s="29"/>
      <c r="L209" s="39" t="str">
        <f t="shared" si="53"/>
        <v/>
      </c>
      <c r="M209" s="39" t="str">
        <f t="shared" si="54"/>
        <v/>
      </c>
      <c r="N209" s="29"/>
      <c r="O209" s="29"/>
      <c r="P209" s="39" t="str">
        <f t="shared" si="55"/>
        <v/>
      </c>
      <c r="Q209" s="39" t="str">
        <f t="shared" si="56"/>
        <v/>
      </c>
      <c r="R209" s="29"/>
      <c r="S209" s="29"/>
      <c r="T209" s="30"/>
      <c r="U209" s="30"/>
      <c r="V209" s="29"/>
      <c r="W209" s="29"/>
      <c r="X209" s="29"/>
      <c r="Y209" s="29"/>
      <c r="Z209" s="29"/>
      <c r="AA209" s="39" t="str">
        <f t="shared" si="57"/>
        <v/>
      </c>
      <c r="AB209" s="39" t="str">
        <f t="shared" si="58"/>
        <v/>
      </c>
      <c r="AC209" s="29"/>
      <c r="AD209" s="29"/>
      <c r="AE209" s="39" t="str">
        <f t="shared" si="48"/>
        <v/>
      </c>
      <c r="AF209" s="39" t="str">
        <f t="shared" si="49"/>
        <v/>
      </c>
      <c r="AG209" s="29"/>
      <c r="AH209" s="74" t="str">
        <f t="shared" ca="1" si="50"/>
        <v/>
      </c>
      <c r="AI209" s="74" t="str">
        <f ca="1">IF(A209="","",IF(OR(W209='02_マスタ'!$E$10,W209='02_マスタ'!$E$12),"",IF(V209="High","High",IF(AND(U209&lt;&gt;"",U209&lt;TODAY()),INDEX(_翻訳マスタ!$B$117:$D$247,MATCH("ALERT_OVERDUE",_翻訳マスタ!$A$117:$A$247,0),MATCH(言語切替!$B$3,_翻訳マスタ!$B$1:$D$1,0)),IF(AND(U209&lt;&gt;"",U209-TODAY()&lt;=7),INDEX(_翻訳マスタ!$B$117:$D$247,MATCH("ALERT_APPROACHING",_翻訳マスタ!$A$117:$A$247,0),MATCH(言語切替!$B$3,_翻訳マスタ!$B$1:$D$1,0)),IF(OR(W209='02_マスタ'!$E$7,W209='02_マスタ'!$E$8),INDEX(_翻訳マスタ!$B$117:$D$247,MATCH("ALERT_CHECK",_翻訳マスタ!$A$117:$A$247,0),MATCH(言語切替!$B$3,_翻訳マスタ!$B$1:$D$1,0)),""))))))</f>
        <v/>
      </c>
      <c r="AJ209" s="75"/>
    </row>
    <row r="210" spans="1:36" s="21" customFormat="1" x14ac:dyDescent="0.25">
      <c r="A210" s="81"/>
      <c r="B210" s="82"/>
      <c r="C210" s="82"/>
      <c r="D210" s="82"/>
      <c r="E210" s="82"/>
      <c r="F210" s="26"/>
      <c r="G210" s="26"/>
      <c r="H210" s="38" t="str">
        <f t="shared" si="51"/>
        <v/>
      </c>
      <c r="I210" s="38" t="str">
        <f t="shared" si="52"/>
        <v/>
      </c>
      <c r="J210" s="26"/>
      <c r="K210" s="26"/>
      <c r="L210" s="38" t="str">
        <f t="shared" si="53"/>
        <v/>
      </c>
      <c r="M210" s="38" t="str">
        <f t="shared" si="54"/>
        <v/>
      </c>
      <c r="N210" s="26"/>
      <c r="O210" s="26"/>
      <c r="P210" s="38" t="str">
        <f t="shared" si="55"/>
        <v/>
      </c>
      <c r="Q210" s="38" t="str">
        <f t="shared" si="56"/>
        <v/>
      </c>
      <c r="R210" s="26"/>
      <c r="S210" s="26"/>
      <c r="T210" s="27"/>
      <c r="U210" s="27"/>
      <c r="V210" s="26"/>
      <c r="W210" s="26"/>
      <c r="X210" s="26"/>
      <c r="Y210" s="26"/>
      <c r="Z210" s="26"/>
      <c r="AA210" s="38" t="str">
        <f t="shared" si="57"/>
        <v/>
      </c>
      <c r="AB210" s="38" t="str">
        <f t="shared" si="58"/>
        <v/>
      </c>
      <c r="AC210" s="26"/>
      <c r="AD210" s="26"/>
      <c r="AE210" s="38" t="str">
        <f t="shared" si="48"/>
        <v/>
      </c>
      <c r="AF210" s="38" t="str">
        <f t="shared" si="49"/>
        <v/>
      </c>
      <c r="AG210" s="26"/>
      <c r="AH210" s="72" t="str">
        <f t="shared" ca="1" si="50"/>
        <v/>
      </c>
      <c r="AI210" s="72" t="str">
        <f ca="1">IF(A210="","",IF(OR(W210='02_マスタ'!$E$10,W210='02_マスタ'!$E$12),"",IF(V210="High","High",IF(AND(U210&lt;&gt;"",U210&lt;TODAY()),INDEX(_翻訳マスタ!$B$117:$D$247,MATCH("ALERT_OVERDUE",_翻訳マスタ!$A$117:$A$247,0),MATCH(言語切替!$B$3,_翻訳マスタ!$B$1:$D$1,0)),IF(AND(U210&lt;&gt;"",U210-TODAY()&lt;=7),INDEX(_翻訳マスタ!$B$117:$D$247,MATCH("ALERT_APPROACHING",_翻訳マスタ!$A$117:$A$247,0),MATCH(言語切替!$B$3,_翻訳マスタ!$B$1:$D$1,0)),IF(OR(W210='02_マスタ'!$E$7,W210='02_マスタ'!$E$8),INDEX(_翻訳マスタ!$B$117:$D$247,MATCH("ALERT_CHECK",_翻訳マスタ!$A$117:$A$247,0),MATCH(言語切替!$B$3,_翻訳マスタ!$B$1:$D$1,0)),""))))))</f>
        <v/>
      </c>
      <c r="AJ210" s="73"/>
    </row>
    <row r="211" spans="1:36" s="21" customFormat="1" x14ac:dyDescent="0.25">
      <c r="A211" s="83"/>
      <c r="B211" s="84"/>
      <c r="C211" s="84"/>
      <c r="D211" s="84"/>
      <c r="E211" s="84"/>
      <c r="F211" s="29"/>
      <c r="G211" s="29"/>
      <c r="H211" s="39" t="str">
        <f t="shared" si="51"/>
        <v/>
      </c>
      <c r="I211" s="39" t="str">
        <f t="shared" si="52"/>
        <v/>
      </c>
      <c r="J211" s="29"/>
      <c r="K211" s="29"/>
      <c r="L211" s="39" t="str">
        <f t="shared" si="53"/>
        <v/>
      </c>
      <c r="M211" s="39" t="str">
        <f t="shared" si="54"/>
        <v/>
      </c>
      <c r="N211" s="29"/>
      <c r="O211" s="29"/>
      <c r="P211" s="39" t="str">
        <f t="shared" si="55"/>
        <v/>
      </c>
      <c r="Q211" s="39" t="str">
        <f t="shared" si="56"/>
        <v/>
      </c>
      <c r="R211" s="29"/>
      <c r="S211" s="29"/>
      <c r="T211" s="30"/>
      <c r="U211" s="30"/>
      <c r="V211" s="29"/>
      <c r="W211" s="29"/>
      <c r="X211" s="29"/>
      <c r="Y211" s="29"/>
      <c r="Z211" s="29"/>
      <c r="AA211" s="39" t="str">
        <f t="shared" si="57"/>
        <v/>
      </c>
      <c r="AB211" s="39" t="str">
        <f t="shared" si="58"/>
        <v/>
      </c>
      <c r="AC211" s="29"/>
      <c r="AD211" s="29"/>
      <c r="AE211" s="39" t="str">
        <f t="shared" si="48"/>
        <v/>
      </c>
      <c r="AF211" s="39" t="str">
        <f t="shared" si="49"/>
        <v/>
      </c>
      <c r="AG211" s="29"/>
      <c r="AH211" s="74" t="str">
        <f t="shared" ca="1" si="50"/>
        <v/>
      </c>
      <c r="AI211" s="74" t="str">
        <f ca="1">IF(A211="","",IF(OR(W211='02_マスタ'!$E$10,W211='02_マスタ'!$E$12),"",IF(V211="High","High",IF(AND(U211&lt;&gt;"",U211&lt;TODAY()),INDEX(_翻訳マスタ!$B$117:$D$247,MATCH("ALERT_OVERDUE",_翻訳マスタ!$A$117:$A$247,0),MATCH(言語切替!$B$3,_翻訳マスタ!$B$1:$D$1,0)),IF(AND(U211&lt;&gt;"",U211-TODAY()&lt;=7),INDEX(_翻訳マスタ!$B$117:$D$247,MATCH("ALERT_APPROACHING",_翻訳マスタ!$A$117:$A$247,0),MATCH(言語切替!$B$3,_翻訳マスタ!$B$1:$D$1,0)),IF(OR(W211='02_マスタ'!$E$7,W211='02_マスタ'!$E$8),INDEX(_翻訳マスタ!$B$117:$D$247,MATCH("ALERT_CHECK",_翻訳マスタ!$A$117:$A$247,0),MATCH(言語切替!$B$3,_翻訳マスタ!$B$1:$D$1,0)),""))))))</f>
        <v/>
      </c>
      <c r="AJ211" s="75"/>
    </row>
    <row r="212" spans="1:36" s="21" customFormat="1" x14ac:dyDescent="0.25">
      <c r="A212" s="81"/>
      <c r="B212" s="82"/>
      <c r="C212" s="82"/>
      <c r="D212" s="82"/>
      <c r="E212" s="82"/>
      <c r="F212" s="26"/>
      <c r="G212" s="26"/>
      <c r="H212" s="38" t="str">
        <f t="shared" si="51"/>
        <v/>
      </c>
      <c r="I212" s="38" t="str">
        <f t="shared" si="52"/>
        <v/>
      </c>
      <c r="J212" s="26"/>
      <c r="K212" s="26"/>
      <c r="L212" s="38" t="str">
        <f t="shared" si="53"/>
        <v/>
      </c>
      <c r="M212" s="38" t="str">
        <f t="shared" si="54"/>
        <v/>
      </c>
      <c r="N212" s="26"/>
      <c r="O212" s="26"/>
      <c r="P212" s="38" t="str">
        <f t="shared" si="55"/>
        <v/>
      </c>
      <c r="Q212" s="38" t="str">
        <f t="shared" si="56"/>
        <v/>
      </c>
      <c r="R212" s="26"/>
      <c r="S212" s="26"/>
      <c r="T212" s="27"/>
      <c r="U212" s="27"/>
      <c r="V212" s="26"/>
      <c r="W212" s="26"/>
      <c r="X212" s="26"/>
      <c r="Y212" s="26"/>
      <c r="Z212" s="26"/>
      <c r="AA212" s="38" t="str">
        <f t="shared" si="57"/>
        <v/>
      </c>
      <c r="AB212" s="38" t="str">
        <f t="shared" si="58"/>
        <v/>
      </c>
      <c r="AC212" s="26"/>
      <c r="AD212" s="26"/>
      <c r="AE212" s="38" t="str">
        <f t="shared" si="48"/>
        <v/>
      </c>
      <c r="AF212" s="38" t="str">
        <f t="shared" si="49"/>
        <v/>
      </c>
      <c r="AG212" s="26"/>
      <c r="AH212" s="72" t="str">
        <f t="shared" ca="1" si="50"/>
        <v/>
      </c>
      <c r="AI212" s="72" t="str">
        <f ca="1">IF(A212="","",IF(OR(W212='02_マスタ'!$E$10,W212='02_マスタ'!$E$12),"",IF(V212="High","High",IF(AND(U212&lt;&gt;"",U212&lt;TODAY()),INDEX(_翻訳マスタ!$B$117:$D$247,MATCH("ALERT_OVERDUE",_翻訳マスタ!$A$117:$A$247,0),MATCH(言語切替!$B$3,_翻訳マスタ!$B$1:$D$1,0)),IF(AND(U212&lt;&gt;"",U212-TODAY()&lt;=7),INDEX(_翻訳マスタ!$B$117:$D$247,MATCH("ALERT_APPROACHING",_翻訳マスタ!$A$117:$A$247,0),MATCH(言語切替!$B$3,_翻訳マスタ!$B$1:$D$1,0)),IF(OR(W212='02_マスタ'!$E$7,W212='02_マスタ'!$E$8),INDEX(_翻訳マスタ!$B$117:$D$247,MATCH("ALERT_CHECK",_翻訳マスタ!$A$117:$A$247,0),MATCH(言語切替!$B$3,_翻訳マスタ!$B$1:$D$1,0)),""))))))</f>
        <v/>
      </c>
      <c r="AJ212" s="73"/>
    </row>
    <row r="213" spans="1:36" s="21" customFormat="1" x14ac:dyDescent="0.25">
      <c r="A213" s="83"/>
      <c r="B213" s="84"/>
      <c r="C213" s="84"/>
      <c r="D213" s="84"/>
      <c r="E213" s="84"/>
      <c r="F213" s="29"/>
      <c r="G213" s="29"/>
      <c r="H213" s="39" t="str">
        <f t="shared" si="51"/>
        <v/>
      </c>
      <c r="I213" s="39" t="str">
        <f t="shared" si="52"/>
        <v/>
      </c>
      <c r="J213" s="29"/>
      <c r="K213" s="29"/>
      <c r="L213" s="39" t="str">
        <f t="shared" si="53"/>
        <v/>
      </c>
      <c r="M213" s="39" t="str">
        <f t="shared" si="54"/>
        <v/>
      </c>
      <c r="N213" s="29"/>
      <c r="O213" s="29"/>
      <c r="P213" s="39" t="str">
        <f t="shared" si="55"/>
        <v/>
      </c>
      <c r="Q213" s="39" t="str">
        <f t="shared" si="56"/>
        <v/>
      </c>
      <c r="R213" s="29"/>
      <c r="S213" s="29"/>
      <c r="T213" s="30"/>
      <c r="U213" s="30"/>
      <c r="V213" s="29"/>
      <c r="W213" s="29"/>
      <c r="X213" s="29"/>
      <c r="Y213" s="29"/>
      <c r="Z213" s="29"/>
      <c r="AA213" s="39" t="str">
        <f t="shared" si="57"/>
        <v/>
      </c>
      <c r="AB213" s="39" t="str">
        <f t="shared" si="58"/>
        <v/>
      </c>
      <c r="AC213" s="29"/>
      <c r="AD213" s="29"/>
      <c r="AE213" s="39" t="str">
        <f t="shared" si="48"/>
        <v/>
      </c>
      <c r="AF213" s="39" t="str">
        <f t="shared" si="49"/>
        <v/>
      </c>
      <c r="AG213" s="29"/>
      <c r="AH213" s="74" t="str">
        <f t="shared" ca="1" si="50"/>
        <v/>
      </c>
      <c r="AI213" s="74" t="str">
        <f ca="1">IF(A213="","",IF(OR(W213='02_マスタ'!$E$10,W213='02_マスタ'!$E$12),"",IF(V213="High","High",IF(AND(U213&lt;&gt;"",U213&lt;TODAY()),INDEX(_翻訳マスタ!$B$117:$D$247,MATCH("ALERT_OVERDUE",_翻訳マスタ!$A$117:$A$247,0),MATCH(言語切替!$B$3,_翻訳マスタ!$B$1:$D$1,0)),IF(AND(U213&lt;&gt;"",U213-TODAY()&lt;=7),INDEX(_翻訳マスタ!$B$117:$D$247,MATCH("ALERT_APPROACHING",_翻訳マスタ!$A$117:$A$247,0),MATCH(言語切替!$B$3,_翻訳マスタ!$B$1:$D$1,0)),IF(OR(W213='02_マスタ'!$E$7,W213='02_マスタ'!$E$8),INDEX(_翻訳マスタ!$B$117:$D$247,MATCH("ALERT_CHECK",_翻訳マスタ!$A$117:$A$247,0),MATCH(言語切替!$B$3,_翻訳マスタ!$B$1:$D$1,0)),""))))))</f>
        <v/>
      </c>
      <c r="AJ213" s="75"/>
    </row>
    <row r="214" spans="1:36" s="21" customFormat="1" x14ac:dyDescent="0.25">
      <c r="A214" s="81"/>
      <c r="B214" s="82"/>
      <c r="C214" s="82"/>
      <c r="D214" s="82"/>
      <c r="E214" s="82"/>
      <c r="F214" s="26"/>
      <c r="G214" s="26"/>
      <c r="H214" s="38" t="str">
        <f t="shared" si="51"/>
        <v/>
      </c>
      <c r="I214" s="38" t="str">
        <f t="shared" si="52"/>
        <v/>
      </c>
      <c r="J214" s="26"/>
      <c r="K214" s="26"/>
      <c r="L214" s="38" t="str">
        <f t="shared" si="53"/>
        <v/>
      </c>
      <c r="M214" s="38" t="str">
        <f t="shared" si="54"/>
        <v/>
      </c>
      <c r="N214" s="26"/>
      <c r="O214" s="26"/>
      <c r="P214" s="38" t="str">
        <f t="shared" si="55"/>
        <v/>
      </c>
      <c r="Q214" s="38" t="str">
        <f t="shared" si="56"/>
        <v/>
      </c>
      <c r="R214" s="26"/>
      <c r="S214" s="26"/>
      <c r="T214" s="27"/>
      <c r="U214" s="27"/>
      <c r="V214" s="26"/>
      <c r="W214" s="26"/>
      <c r="X214" s="26"/>
      <c r="Y214" s="26"/>
      <c r="Z214" s="26"/>
      <c r="AA214" s="38" t="str">
        <f t="shared" si="57"/>
        <v/>
      </c>
      <c r="AB214" s="38" t="str">
        <f t="shared" si="58"/>
        <v/>
      </c>
      <c r="AC214" s="26"/>
      <c r="AD214" s="26"/>
      <c r="AE214" s="38" t="str">
        <f t="shared" si="48"/>
        <v/>
      </c>
      <c r="AF214" s="38" t="str">
        <f t="shared" si="49"/>
        <v/>
      </c>
      <c r="AG214" s="26"/>
      <c r="AH214" s="72" t="str">
        <f t="shared" ca="1" si="50"/>
        <v/>
      </c>
      <c r="AI214" s="72" t="str">
        <f ca="1">IF(A214="","",IF(OR(W214='02_マスタ'!$E$10,W214='02_マスタ'!$E$12),"",IF(V214="High","High",IF(AND(U214&lt;&gt;"",U214&lt;TODAY()),INDEX(_翻訳マスタ!$B$117:$D$247,MATCH("ALERT_OVERDUE",_翻訳マスタ!$A$117:$A$247,0),MATCH(言語切替!$B$3,_翻訳マスタ!$B$1:$D$1,0)),IF(AND(U214&lt;&gt;"",U214-TODAY()&lt;=7),INDEX(_翻訳マスタ!$B$117:$D$247,MATCH("ALERT_APPROACHING",_翻訳マスタ!$A$117:$A$247,0),MATCH(言語切替!$B$3,_翻訳マスタ!$B$1:$D$1,0)),IF(OR(W214='02_マスタ'!$E$7,W214='02_マスタ'!$E$8),INDEX(_翻訳マスタ!$B$117:$D$247,MATCH("ALERT_CHECK",_翻訳マスタ!$A$117:$A$247,0),MATCH(言語切替!$B$3,_翻訳マスタ!$B$1:$D$1,0)),""))))))</f>
        <v/>
      </c>
      <c r="AJ214" s="73"/>
    </row>
    <row r="215" spans="1:36" s="21" customFormat="1" x14ac:dyDescent="0.25">
      <c r="A215" s="83"/>
      <c r="B215" s="84"/>
      <c r="C215" s="84"/>
      <c r="D215" s="84"/>
      <c r="E215" s="84"/>
      <c r="F215" s="29"/>
      <c r="G215" s="29"/>
      <c r="H215" s="39" t="str">
        <f t="shared" si="51"/>
        <v/>
      </c>
      <c r="I215" s="39" t="str">
        <f t="shared" si="52"/>
        <v/>
      </c>
      <c r="J215" s="29"/>
      <c r="K215" s="29"/>
      <c r="L215" s="39" t="str">
        <f t="shared" si="53"/>
        <v/>
      </c>
      <c r="M215" s="39" t="str">
        <f t="shared" si="54"/>
        <v/>
      </c>
      <c r="N215" s="29"/>
      <c r="O215" s="29"/>
      <c r="P215" s="39" t="str">
        <f t="shared" si="55"/>
        <v/>
      </c>
      <c r="Q215" s="39" t="str">
        <f t="shared" si="56"/>
        <v/>
      </c>
      <c r="R215" s="29"/>
      <c r="S215" s="29"/>
      <c r="T215" s="30"/>
      <c r="U215" s="30"/>
      <c r="V215" s="29"/>
      <c r="W215" s="29"/>
      <c r="X215" s="29"/>
      <c r="Y215" s="29"/>
      <c r="Z215" s="29"/>
      <c r="AA215" s="39" t="str">
        <f t="shared" si="57"/>
        <v/>
      </c>
      <c r="AB215" s="39" t="str">
        <f t="shared" si="58"/>
        <v/>
      </c>
      <c r="AC215" s="29"/>
      <c r="AD215" s="29"/>
      <c r="AE215" s="39" t="str">
        <f t="shared" si="48"/>
        <v/>
      </c>
      <c r="AF215" s="39" t="str">
        <f t="shared" si="49"/>
        <v/>
      </c>
      <c r="AG215" s="29"/>
      <c r="AH215" s="74" t="str">
        <f t="shared" ca="1" si="50"/>
        <v/>
      </c>
      <c r="AI215" s="74" t="str">
        <f ca="1">IF(A215="","",IF(OR(W215='02_マスタ'!$E$10,W215='02_マスタ'!$E$12),"",IF(V215="High","High",IF(AND(U215&lt;&gt;"",U215&lt;TODAY()),INDEX(_翻訳マスタ!$B$117:$D$247,MATCH("ALERT_OVERDUE",_翻訳マスタ!$A$117:$A$247,0),MATCH(言語切替!$B$3,_翻訳マスタ!$B$1:$D$1,0)),IF(AND(U215&lt;&gt;"",U215-TODAY()&lt;=7),INDEX(_翻訳マスタ!$B$117:$D$247,MATCH("ALERT_APPROACHING",_翻訳マスタ!$A$117:$A$247,0),MATCH(言語切替!$B$3,_翻訳マスタ!$B$1:$D$1,0)),IF(OR(W215='02_マスタ'!$E$7,W215='02_マスタ'!$E$8),INDEX(_翻訳マスタ!$B$117:$D$247,MATCH("ALERT_CHECK",_翻訳マスタ!$A$117:$A$247,0),MATCH(言語切替!$B$3,_翻訳マスタ!$B$1:$D$1,0)),""))))))</f>
        <v/>
      </c>
      <c r="AJ215" s="75"/>
    </row>
    <row r="216" spans="1:36" s="21" customFormat="1" x14ac:dyDescent="0.25">
      <c r="A216" s="81"/>
      <c r="B216" s="82"/>
      <c r="C216" s="82"/>
      <c r="D216" s="82"/>
      <c r="E216" s="82"/>
      <c r="F216" s="26"/>
      <c r="G216" s="26"/>
      <c r="H216" s="38" t="str">
        <f t="shared" si="51"/>
        <v/>
      </c>
      <c r="I216" s="38" t="str">
        <f t="shared" si="52"/>
        <v/>
      </c>
      <c r="J216" s="26"/>
      <c r="K216" s="26"/>
      <c r="L216" s="38" t="str">
        <f t="shared" si="53"/>
        <v/>
      </c>
      <c r="M216" s="38" t="str">
        <f t="shared" si="54"/>
        <v/>
      </c>
      <c r="N216" s="26"/>
      <c r="O216" s="26"/>
      <c r="P216" s="38" t="str">
        <f t="shared" si="55"/>
        <v/>
      </c>
      <c r="Q216" s="38" t="str">
        <f t="shared" si="56"/>
        <v/>
      </c>
      <c r="R216" s="26"/>
      <c r="S216" s="26"/>
      <c r="T216" s="27"/>
      <c r="U216" s="27"/>
      <c r="V216" s="26"/>
      <c r="W216" s="26"/>
      <c r="X216" s="26"/>
      <c r="Y216" s="26"/>
      <c r="Z216" s="26"/>
      <c r="AA216" s="38" t="str">
        <f t="shared" si="57"/>
        <v/>
      </c>
      <c r="AB216" s="38" t="str">
        <f t="shared" si="58"/>
        <v/>
      </c>
      <c r="AC216" s="26"/>
      <c r="AD216" s="26"/>
      <c r="AE216" s="38" t="str">
        <f t="shared" si="48"/>
        <v/>
      </c>
      <c r="AF216" s="38" t="str">
        <f t="shared" si="49"/>
        <v/>
      </c>
      <c r="AG216" s="26"/>
      <c r="AH216" s="72" t="str">
        <f t="shared" ca="1" si="50"/>
        <v/>
      </c>
      <c r="AI216" s="72" t="str">
        <f ca="1">IF(A216="","",IF(OR(W216='02_マスタ'!$E$10,W216='02_マスタ'!$E$12),"",IF(V216="High","High",IF(AND(U216&lt;&gt;"",U216&lt;TODAY()),INDEX(_翻訳マスタ!$B$117:$D$247,MATCH("ALERT_OVERDUE",_翻訳マスタ!$A$117:$A$247,0),MATCH(言語切替!$B$3,_翻訳マスタ!$B$1:$D$1,0)),IF(AND(U216&lt;&gt;"",U216-TODAY()&lt;=7),INDEX(_翻訳マスタ!$B$117:$D$247,MATCH("ALERT_APPROACHING",_翻訳マスタ!$A$117:$A$247,0),MATCH(言語切替!$B$3,_翻訳マスタ!$B$1:$D$1,0)),IF(OR(W216='02_マスタ'!$E$7,W216='02_マスタ'!$E$8),INDEX(_翻訳マスタ!$B$117:$D$247,MATCH("ALERT_CHECK",_翻訳マスタ!$A$117:$A$247,0),MATCH(言語切替!$B$3,_翻訳マスタ!$B$1:$D$1,0)),""))))))</f>
        <v/>
      </c>
      <c r="AJ216" s="73"/>
    </row>
    <row r="217" spans="1:36" s="21" customFormat="1" x14ac:dyDescent="0.25">
      <c r="A217" s="83"/>
      <c r="B217" s="84"/>
      <c r="C217" s="84"/>
      <c r="D217" s="84"/>
      <c r="E217" s="84"/>
      <c r="F217" s="29"/>
      <c r="G217" s="29"/>
      <c r="H217" s="39" t="str">
        <f t="shared" si="51"/>
        <v/>
      </c>
      <c r="I217" s="39" t="str">
        <f t="shared" si="52"/>
        <v/>
      </c>
      <c r="J217" s="29"/>
      <c r="K217" s="29"/>
      <c r="L217" s="39" t="str">
        <f t="shared" si="53"/>
        <v/>
      </c>
      <c r="M217" s="39" t="str">
        <f t="shared" si="54"/>
        <v/>
      </c>
      <c r="N217" s="29"/>
      <c r="O217" s="29"/>
      <c r="P217" s="39" t="str">
        <f t="shared" si="55"/>
        <v/>
      </c>
      <c r="Q217" s="39" t="str">
        <f t="shared" si="56"/>
        <v/>
      </c>
      <c r="R217" s="29"/>
      <c r="S217" s="29"/>
      <c r="T217" s="30"/>
      <c r="U217" s="30"/>
      <c r="V217" s="29"/>
      <c r="W217" s="29"/>
      <c r="X217" s="29"/>
      <c r="Y217" s="29"/>
      <c r="Z217" s="29"/>
      <c r="AA217" s="39" t="str">
        <f t="shared" si="57"/>
        <v/>
      </c>
      <c r="AB217" s="39" t="str">
        <f t="shared" si="58"/>
        <v/>
      </c>
      <c r="AC217" s="29"/>
      <c r="AD217" s="29"/>
      <c r="AE217" s="39" t="str">
        <f t="shared" si="48"/>
        <v/>
      </c>
      <c r="AF217" s="39" t="str">
        <f t="shared" si="49"/>
        <v/>
      </c>
      <c r="AG217" s="29"/>
      <c r="AH217" s="74" t="str">
        <f t="shared" ca="1" si="50"/>
        <v/>
      </c>
      <c r="AI217" s="74" t="str">
        <f ca="1">IF(A217="","",IF(OR(W217='02_マスタ'!$E$10,W217='02_マスタ'!$E$12),"",IF(V217="High","High",IF(AND(U217&lt;&gt;"",U217&lt;TODAY()),INDEX(_翻訳マスタ!$B$117:$D$247,MATCH("ALERT_OVERDUE",_翻訳マスタ!$A$117:$A$247,0),MATCH(言語切替!$B$3,_翻訳マスタ!$B$1:$D$1,0)),IF(AND(U217&lt;&gt;"",U217-TODAY()&lt;=7),INDEX(_翻訳マスタ!$B$117:$D$247,MATCH("ALERT_APPROACHING",_翻訳マスタ!$A$117:$A$247,0),MATCH(言語切替!$B$3,_翻訳マスタ!$B$1:$D$1,0)),IF(OR(W217='02_マスタ'!$E$7,W217='02_マスタ'!$E$8),INDEX(_翻訳マスタ!$B$117:$D$247,MATCH("ALERT_CHECK",_翻訳マスタ!$A$117:$A$247,0),MATCH(言語切替!$B$3,_翻訳マスタ!$B$1:$D$1,0)),""))))))</f>
        <v/>
      </c>
      <c r="AJ217" s="75"/>
    </row>
    <row r="218" spans="1:36" s="21" customFormat="1" x14ac:dyDescent="0.25">
      <c r="A218" s="81"/>
      <c r="B218" s="82"/>
      <c r="C218" s="82"/>
      <c r="D218" s="82"/>
      <c r="E218" s="82"/>
      <c r="F218" s="26"/>
      <c r="G218" s="26"/>
      <c r="H218" s="38" t="str">
        <f t="shared" si="51"/>
        <v/>
      </c>
      <c r="I218" s="38" t="str">
        <f t="shared" si="52"/>
        <v/>
      </c>
      <c r="J218" s="26"/>
      <c r="K218" s="26"/>
      <c r="L218" s="38" t="str">
        <f t="shared" si="53"/>
        <v/>
      </c>
      <c r="M218" s="38" t="str">
        <f t="shared" si="54"/>
        <v/>
      </c>
      <c r="N218" s="26"/>
      <c r="O218" s="26"/>
      <c r="P218" s="38" t="str">
        <f t="shared" si="55"/>
        <v/>
      </c>
      <c r="Q218" s="38" t="str">
        <f t="shared" si="56"/>
        <v/>
      </c>
      <c r="R218" s="26"/>
      <c r="S218" s="26"/>
      <c r="T218" s="27"/>
      <c r="U218" s="27"/>
      <c r="V218" s="26"/>
      <c r="W218" s="26"/>
      <c r="X218" s="26"/>
      <c r="Y218" s="26"/>
      <c r="Z218" s="26"/>
      <c r="AA218" s="38" t="str">
        <f t="shared" si="57"/>
        <v/>
      </c>
      <c r="AB218" s="38" t="str">
        <f t="shared" si="58"/>
        <v/>
      </c>
      <c r="AC218" s="26"/>
      <c r="AD218" s="26"/>
      <c r="AE218" s="38" t="str">
        <f t="shared" si="48"/>
        <v/>
      </c>
      <c r="AF218" s="38" t="str">
        <f t="shared" si="49"/>
        <v/>
      </c>
      <c r="AG218" s="26"/>
      <c r="AH218" s="72" t="str">
        <f t="shared" ca="1" si="50"/>
        <v/>
      </c>
      <c r="AI218" s="72" t="str">
        <f ca="1">IF(A218="","",IF(OR(W218='02_マスタ'!$E$10,W218='02_マスタ'!$E$12),"",IF(V218="High","High",IF(AND(U218&lt;&gt;"",U218&lt;TODAY()),INDEX(_翻訳マスタ!$B$117:$D$247,MATCH("ALERT_OVERDUE",_翻訳マスタ!$A$117:$A$247,0),MATCH(言語切替!$B$3,_翻訳マスタ!$B$1:$D$1,0)),IF(AND(U218&lt;&gt;"",U218-TODAY()&lt;=7),INDEX(_翻訳マスタ!$B$117:$D$247,MATCH("ALERT_APPROACHING",_翻訳マスタ!$A$117:$A$247,0),MATCH(言語切替!$B$3,_翻訳マスタ!$B$1:$D$1,0)),IF(OR(W218='02_マスタ'!$E$7,W218='02_マスタ'!$E$8),INDEX(_翻訳マスタ!$B$117:$D$247,MATCH("ALERT_CHECK",_翻訳マスタ!$A$117:$A$247,0),MATCH(言語切替!$B$3,_翻訳マスタ!$B$1:$D$1,0)),""))))))</f>
        <v/>
      </c>
      <c r="AJ218" s="73"/>
    </row>
    <row r="219" spans="1:36" s="21" customFormat="1" x14ac:dyDescent="0.25">
      <c r="A219" s="83"/>
      <c r="B219" s="84"/>
      <c r="C219" s="84"/>
      <c r="D219" s="84"/>
      <c r="E219" s="84"/>
      <c r="F219" s="29"/>
      <c r="G219" s="29"/>
      <c r="H219" s="39" t="str">
        <f t="shared" si="51"/>
        <v/>
      </c>
      <c r="I219" s="39" t="str">
        <f t="shared" si="52"/>
        <v/>
      </c>
      <c r="J219" s="29"/>
      <c r="K219" s="29"/>
      <c r="L219" s="39" t="str">
        <f t="shared" si="53"/>
        <v/>
      </c>
      <c r="M219" s="39" t="str">
        <f t="shared" si="54"/>
        <v/>
      </c>
      <c r="N219" s="29"/>
      <c r="O219" s="29"/>
      <c r="P219" s="39" t="str">
        <f t="shared" si="55"/>
        <v/>
      </c>
      <c r="Q219" s="39" t="str">
        <f t="shared" si="56"/>
        <v/>
      </c>
      <c r="R219" s="29"/>
      <c r="S219" s="29"/>
      <c r="T219" s="30"/>
      <c r="U219" s="30"/>
      <c r="V219" s="29"/>
      <c r="W219" s="29"/>
      <c r="X219" s="29"/>
      <c r="Y219" s="29"/>
      <c r="Z219" s="29"/>
      <c r="AA219" s="39" t="str">
        <f t="shared" si="57"/>
        <v/>
      </c>
      <c r="AB219" s="39" t="str">
        <f t="shared" si="58"/>
        <v/>
      </c>
      <c r="AC219" s="29"/>
      <c r="AD219" s="29"/>
      <c r="AE219" s="39" t="str">
        <f t="shared" si="48"/>
        <v/>
      </c>
      <c r="AF219" s="39" t="str">
        <f t="shared" si="49"/>
        <v/>
      </c>
      <c r="AG219" s="29"/>
      <c r="AH219" s="74" t="str">
        <f t="shared" ca="1" si="50"/>
        <v/>
      </c>
      <c r="AI219" s="74" t="str">
        <f ca="1">IF(A219="","",IF(OR(W219='02_マスタ'!$E$10,W219='02_マスタ'!$E$12),"",IF(V219="High","High",IF(AND(U219&lt;&gt;"",U219&lt;TODAY()),INDEX(_翻訳マスタ!$B$117:$D$247,MATCH("ALERT_OVERDUE",_翻訳マスタ!$A$117:$A$247,0),MATCH(言語切替!$B$3,_翻訳マスタ!$B$1:$D$1,0)),IF(AND(U219&lt;&gt;"",U219-TODAY()&lt;=7),INDEX(_翻訳マスタ!$B$117:$D$247,MATCH("ALERT_APPROACHING",_翻訳マスタ!$A$117:$A$247,0),MATCH(言語切替!$B$3,_翻訳マスタ!$B$1:$D$1,0)),IF(OR(W219='02_マスタ'!$E$7,W219='02_マスタ'!$E$8),INDEX(_翻訳マスタ!$B$117:$D$247,MATCH("ALERT_CHECK",_翻訳マスタ!$A$117:$A$247,0),MATCH(言語切替!$B$3,_翻訳マスタ!$B$1:$D$1,0)),""))))))</f>
        <v/>
      </c>
      <c r="AJ219" s="75"/>
    </row>
    <row r="220" spans="1:36" s="21" customFormat="1" x14ac:dyDescent="0.25">
      <c r="A220" s="81"/>
      <c r="B220" s="82"/>
      <c r="C220" s="82"/>
      <c r="D220" s="82"/>
      <c r="E220" s="82"/>
      <c r="F220" s="26"/>
      <c r="G220" s="26"/>
      <c r="H220" s="38" t="str">
        <f t="shared" si="51"/>
        <v/>
      </c>
      <c r="I220" s="38" t="str">
        <f t="shared" si="52"/>
        <v/>
      </c>
      <c r="J220" s="26"/>
      <c r="K220" s="26"/>
      <c r="L220" s="38" t="str">
        <f t="shared" si="53"/>
        <v/>
      </c>
      <c r="M220" s="38" t="str">
        <f t="shared" si="54"/>
        <v/>
      </c>
      <c r="N220" s="26"/>
      <c r="O220" s="26"/>
      <c r="P220" s="38" t="str">
        <f t="shared" si="55"/>
        <v/>
      </c>
      <c r="Q220" s="38" t="str">
        <f t="shared" si="56"/>
        <v/>
      </c>
      <c r="R220" s="26"/>
      <c r="S220" s="26"/>
      <c r="T220" s="27"/>
      <c r="U220" s="27"/>
      <c r="V220" s="26"/>
      <c r="W220" s="26"/>
      <c r="X220" s="26"/>
      <c r="Y220" s="26"/>
      <c r="Z220" s="26"/>
      <c r="AA220" s="38" t="str">
        <f t="shared" si="57"/>
        <v/>
      </c>
      <c r="AB220" s="38" t="str">
        <f t="shared" si="58"/>
        <v/>
      </c>
      <c r="AC220" s="26"/>
      <c r="AD220" s="26"/>
      <c r="AE220" s="38" t="str">
        <f t="shared" si="48"/>
        <v/>
      </c>
      <c r="AF220" s="38" t="str">
        <f t="shared" si="49"/>
        <v/>
      </c>
      <c r="AG220" s="26"/>
      <c r="AH220" s="72" t="str">
        <f t="shared" ca="1" si="50"/>
        <v/>
      </c>
      <c r="AI220" s="72" t="str">
        <f ca="1">IF(A220="","",IF(OR(W220='02_マスタ'!$E$10,W220='02_マスタ'!$E$12),"",IF(V220="High","High",IF(AND(U220&lt;&gt;"",U220&lt;TODAY()),INDEX(_翻訳マスタ!$B$117:$D$247,MATCH("ALERT_OVERDUE",_翻訳マスタ!$A$117:$A$247,0),MATCH(言語切替!$B$3,_翻訳マスタ!$B$1:$D$1,0)),IF(AND(U220&lt;&gt;"",U220-TODAY()&lt;=7),INDEX(_翻訳マスタ!$B$117:$D$247,MATCH("ALERT_APPROACHING",_翻訳マスタ!$A$117:$A$247,0),MATCH(言語切替!$B$3,_翻訳マスタ!$B$1:$D$1,0)),IF(OR(W220='02_マスタ'!$E$7,W220='02_マスタ'!$E$8),INDEX(_翻訳マスタ!$B$117:$D$247,MATCH("ALERT_CHECK",_翻訳マスタ!$A$117:$A$247,0),MATCH(言語切替!$B$3,_翻訳マスタ!$B$1:$D$1,0)),""))))))</f>
        <v/>
      </c>
      <c r="AJ220" s="73"/>
    </row>
    <row r="221" spans="1:36" s="21" customFormat="1" x14ac:dyDescent="0.25">
      <c r="A221" s="83"/>
      <c r="B221" s="84"/>
      <c r="C221" s="84"/>
      <c r="D221" s="84"/>
      <c r="E221" s="84"/>
      <c r="F221" s="29"/>
      <c r="G221" s="29"/>
      <c r="H221" s="39" t="str">
        <f t="shared" si="51"/>
        <v/>
      </c>
      <c r="I221" s="39" t="str">
        <f t="shared" si="52"/>
        <v/>
      </c>
      <c r="J221" s="29"/>
      <c r="K221" s="29"/>
      <c r="L221" s="39" t="str">
        <f t="shared" si="53"/>
        <v/>
      </c>
      <c r="M221" s="39" t="str">
        <f t="shared" si="54"/>
        <v/>
      </c>
      <c r="N221" s="29"/>
      <c r="O221" s="29"/>
      <c r="P221" s="39" t="str">
        <f t="shared" si="55"/>
        <v/>
      </c>
      <c r="Q221" s="39" t="str">
        <f t="shared" si="56"/>
        <v/>
      </c>
      <c r="R221" s="29"/>
      <c r="S221" s="29"/>
      <c r="T221" s="30"/>
      <c r="U221" s="30"/>
      <c r="V221" s="29"/>
      <c r="W221" s="29"/>
      <c r="X221" s="29"/>
      <c r="Y221" s="29"/>
      <c r="Z221" s="29"/>
      <c r="AA221" s="39" t="str">
        <f t="shared" si="57"/>
        <v/>
      </c>
      <c r="AB221" s="39" t="str">
        <f t="shared" si="58"/>
        <v/>
      </c>
      <c r="AC221" s="29"/>
      <c r="AD221" s="29"/>
      <c r="AE221" s="39" t="str">
        <f t="shared" si="48"/>
        <v/>
      </c>
      <c r="AF221" s="39" t="str">
        <f t="shared" si="49"/>
        <v/>
      </c>
      <c r="AG221" s="29"/>
      <c r="AH221" s="74" t="str">
        <f t="shared" ca="1" si="50"/>
        <v/>
      </c>
      <c r="AI221" s="74" t="str">
        <f ca="1">IF(A221="","",IF(OR(W221='02_マスタ'!$E$10,W221='02_マスタ'!$E$12),"",IF(V221="High","High",IF(AND(U221&lt;&gt;"",U221&lt;TODAY()),INDEX(_翻訳マスタ!$B$117:$D$247,MATCH("ALERT_OVERDUE",_翻訳マスタ!$A$117:$A$247,0),MATCH(言語切替!$B$3,_翻訳マスタ!$B$1:$D$1,0)),IF(AND(U221&lt;&gt;"",U221-TODAY()&lt;=7),INDEX(_翻訳マスタ!$B$117:$D$247,MATCH("ALERT_APPROACHING",_翻訳マスタ!$A$117:$A$247,0),MATCH(言語切替!$B$3,_翻訳マスタ!$B$1:$D$1,0)),IF(OR(W221='02_マスタ'!$E$7,W221='02_マスタ'!$E$8),INDEX(_翻訳マスタ!$B$117:$D$247,MATCH("ALERT_CHECK",_翻訳マスタ!$A$117:$A$247,0),MATCH(言語切替!$B$3,_翻訳マスタ!$B$1:$D$1,0)),""))))))</f>
        <v/>
      </c>
      <c r="AJ221" s="75"/>
    </row>
    <row r="222" spans="1:36" s="21" customFormat="1" x14ac:dyDescent="0.25">
      <c r="A222" s="81"/>
      <c r="B222" s="82"/>
      <c r="C222" s="82"/>
      <c r="D222" s="82"/>
      <c r="E222" s="82"/>
      <c r="F222" s="26"/>
      <c r="G222" s="26"/>
      <c r="H222" s="38" t="str">
        <f t="shared" si="51"/>
        <v/>
      </c>
      <c r="I222" s="38" t="str">
        <f t="shared" si="52"/>
        <v/>
      </c>
      <c r="J222" s="26"/>
      <c r="K222" s="26"/>
      <c r="L222" s="38" t="str">
        <f t="shared" si="53"/>
        <v/>
      </c>
      <c r="M222" s="38" t="str">
        <f t="shared" si="54"/>
        <v/>
      </c>
      <c r="N222" s="26"/>
      <c r="O222" s="26"/>
      <c r="P222" s="38" t="str">
        <f t="shared" si="55"/>
        <v/>
      </c>
      <c r="Q222" s="38" t="str">
        <f t="shared" si="56"/>
        <v/>
      </c>
      <c r="R222" s="26"/>
      <c r="S222" s="26"/>
      <c r="T222" s="27"/>
      <c r="U222" s="27"/>
      <c r="V222" s="26"/>
      <c r="W222" s="26"/>
      <c r="X222" s="26"/>
      <c r="Y222" s="26"/>
      <c r="Z222" s="26"/>
      <c r="AA222" s="38" t="str">
        <f t="shared" si="57"/>
        <v/>
      </c>
      <c r="AB222" s="38" t="str">
        <f t="shared" si="58"/>
        <v/>
      </c>
      <c r="AC222" s="26"/>
      <c r="AD222" s="26"/>
      <c r="AE222" s="38" t="str">
        <f t="shared" si="48"/>
        <v/>
      </c>
      <c r="AF222" s="38" t="str">
        <f t="shared" si="49"/>
        <v/>
      </c>
      <c r="AG222" s="26"/>
      <c r="AH222" s="72" t="str">
        <f t="shared" ca="1" si="50"/>
        <v/>
      </c>
      <c r="AI222" s="72" t="str">
        <f ca="1">IF(A222="","",IF(OR(W222='02_マスタ'!$E$10,W222='02_マスタ'!$E$12),"",IF(V222="High","High",IF(AND(U222&lt;&gt;"",U222&lt;TODAY()),INDEX(_翻訳マスタ!$B$117:$D$247,MATCH("ALERT_OVERDUE",_翻訳マスタ!$A$117:$A$247,0),MATCH(言語切替!$B$3,_翻訳マスタ!$B$1:$D$1,0)),IF(AND(U222&lt;&gt;"",U222-TODAY()&lt;=7),INDEX(_翻訳マスタ!$B$117:$D$247,MATCH("ALERT_APPROACHING",_翻訳マスタ!$A$117:$A$247,0),MATCH(言語切替!$B$3,_翻訳マスタ!$B$1:$D$1,0)),IF(OR(W222='02_マスタ'!$E$7,W222='02_マスタ'!$E$8),INDEX(_翻訳マスタ!$B$117:$D$247,MATCH("ALERT_CHECK",_翻訳マスタ!$A$117:$A$247,0),MATCH(言語切替!$B$3,_翻訳マスタ!$B$1:$D$1,0)),""))))))</f>
        <v/>
      </c>
      <c r="AJ222" s="73"/>
    </row>
    <row r="223" spans="1:36" s="21" customFormat="1" x14ac:dyDescent="0.25">
      <c r="A223" s="83"/>
      <c r="B223" s="84"/>
      <c r="C223" s="84"/>
      <c r="D223" s="84"/>
      <c r="E223" s="84"/>
      <c r="F223" s="29"/>
      <c r="G223" s="29"/>
      <c r="H223" s="39" t="str">
        <f t="shared" si="51"/>
        <v/>
      </c>
      <c r="I223" s="39" t="str">
        <f t="shared" si="52"/>
        <v/>
      </c>
      <c r="J223" s="29"/>
      <c r="K223" s="29"/>
      <c r="L223" s="39" t="str">
        <f t="shared" si="53"/>
        <v/>
      </c>
      <c r="M223" s="39" t="str">
        <f t="shared" si="54"/>
        <v/>
      </c>
      <c r="N223" s="29"/>
      <c r="O223" s="29"/>
      <c r="P223" s="39" t="str">
        <f t="shared" si="55"/>
        <v/>
      </c>
      <c r="Q223" s="39" t="str">
        <f t="shared" si="56"/>
        <v/>
      </c>
      <c r="R223" s="29"/>
      <c r="S223" s="29"/>
      <c r="T223" s="30"/>
      <c r="U223" s="30"/>
      <c r="V223" s="29"/>
      <c r="W223" s="29"/>
      <c r="X223" s="29"/>
      <c r="Y223" s="29"/>
      <c r="Z223" s="29"/>
      <c r="AA223" s="39" t="str">
        <f t="shared" si="57"/>
        <v/>
      </c>
      <c r="AB223" s="39" t="str">
        <f t="shared" si="58"/>
        <v/>
      </c>
      <c r="AC223" s="29"/>
      <c r="AD223" s="29"/>
      <c r="AE223" s="39" t="str">
        <f t="shared" si="48"/>
        <v/>
      </c>
      <c r="AF223" s="39" t="str">
        <f t="shared" si="49"/>
        <v/>
      </c>
      <c r="AG223" s="29"/>
      <c r="AH223" s="74" t="str">
        <f t="shared" ca="1" si="50"/>
        <v/>
      </c>
      <c r="AI223" s="74" t="str">
        <f ca="1">IF(A223="","",IF(OR(W223='02_マスタ'!$E$10,W223='02_マスタ'!$E$12),"",IF(V223="High","High",IF(AND(U223&lt;&gt;"",U223&lt;TODAY()),INDEX(_翻訳マスタ!$B$117:$D$247,MATCH("ALERT_OVERDUE",_翻訳マスタ!$A$117:$A$247,0),MATCH(言語切替!$B$3,_翻訳マスタ!$B$1:$D$1,0)),IF(AND(U223&lt;&gt;"",U223-TODAY()&lt;=7),INDEX(_翻訳マスタ!$B$117:$D$247,MATCH("ALERT_APPROACHING",_翻訳マスタ!$A$117:$A$247,0),MATCH(言語切替!$B$3,_翻訳マスタ!$B$1:$D$1,0)),IF(OR(W223='02_マスタ'!$E$7,W223='02_マスタ'!$E$8),INDEX(_翻訳マスタ!$B$117:$D$247,MATCH("ALERT_CHECK",_翻訳マスタ!$A$117:$A$247,0),MATCH(言語切替!$B$3,_翻訳マスタ!$B$1:$D$1,0)),""))))))</f>
        <v/>
      </c>
      <c r="AJ223" s="75"/>
    </row>
    <row r="224" spans="1:36" s="21" customFormat="1" x14ac:dyDescent="0.25">
      <c r="A224" s="81"/>
      <c r="B224" s="82"/>
      <c r="C224" s="82"/>
      <c r="D224" s="82"/>
      <c r="E224" s="82"/>
      <c r="F224" s="26"/>
      <c r="G224" s="26"/>
      <c r="H224" s="38" t="str">
        <f t="shared" si="51"/>
        <v/>
      </c>
      <c r="I224" s="38" t="str">
        <f t="shared" si="52"/>
        <v/>
      </c>
      <c r="J224" s="26"/>
      <c r="K224" s="26"/>
      <c r="L224" s="38" t="str">
        <f t="shared" si="53"/>
        <v/>
      </c>
      <c r="M224" s="38" t="str">
        <f t="shared" si="54"/>
        <v/>
      </c>
      <c r="N224" s="26"/>
      <c r="O224" s="26"/>
      <c r="P224" s="38" t="str">
        <f t="shared" si="55"/>
        <v/>
      </c>
      <c r="Q224" s="38" t="str">
        <f t="shared" si="56"/>
        <v/>
      </c>
      <c r="R224" s="26"/>
      <c r="S224" s="26"/>
      <c r="T224" s="27"/>
      <c r="U224" s="27"/>
      <c r="V224" s="26"/>
      <c r="W224" s="26"/>
      <c r="X224" s="26"/>
      <c r="Y224" s="26"/>
      <c r="Z224" s="26"/>
      <c r="AA224" s="38" t="str">
        <f t="shared" si="57"/>
        <v/>
      </c>
      <c r="AB224" s="38" t="str">
        <f t="shared" si="58"/>
        <v/>
      </c>
      <c r="AC224" s="26"/>
      <c r="AD224" s="26"/>
      <c r="AE224" s="38" t="str">
        <f t="shared" si="48"/>
        <v/>
      </c>
      <c r="AF224" s="38" t="str">
        <f t="shared" si="49"/>
        <v/>
      </c>
      <c r="AG224" s="26"/>
      <c r="AH224" s="72" t="str">
        <f t="shared" ca="1" si="50"/>
        <v/>
      </c>
      <c r="AI224" s="72" t="str">
        <f ca="1">IF(A224="","",IF(OR(W224='02_マスタ'!$E$10,W224='02_マスタ'!$E$12),"",IF(V224="High","High",IF(AND(U224&lt;&gt;"",U224&lt;TODAY()),INDEX(_翻訳マスタ!$B$117:$D$247,MATCH("ALERT_OVERDUE",_翻訳マスタ!$A$117:$A$247,0),MATCH(言語切替!$B$3,_翻訳マスタ!$B$1:$D$1,0)),IF(AND(U224&lt;&gt;"",U224-TODAY()&lt;=7),INDEX(_翻訳マスタ!$B$117:$D$247,MATCH("ALERT_APPROACHING",_翻訳マスタ!$A$117:$A$247,0),MATCH(言語切替!$B$3,_翻訳マスタ!$B$1:$D$1,0)),IF(OR(W224='02_マスタ'!$E$7,W224='02_マスタ'!$E$8),INDEX(_翻訳マスタ!$B$117:$D$247,MATCH("ALERT_CHECK",_翻訳マスタ!$A$117:$A$247,0),MATCH(言語切替!$B$3,_翻訳マスタ!$B$1:$D$1,0)),""))))))</f>
        <v/>
      </c>
      <c r="AJ224" s="73"/>
    </row>
    <row r="225" spans="1:36" s="21" customFormat="1" x14ac:dyDescent="0.25">
      <c r="A225" s="83"/>
      <c r="B225" s="84"/>
      <c r="C225" s="84"/>
      <c r="D225" s="84"/>
      <c r="E225" s="84"/>
      <c r="F225" s="29"/>
      <c r="G225" s="29"/>
      <c r="H225" s="39" t="str">
        <f t="shared" si="51"/>
        <v/>
      </c>
      <c r="I225" s="39" t="str">
        <f t="shared" si="52"/>
        <v/>
      </c>
      <c r="J225" s="29"/>
      <c r="K225" s="29"/>
      <c r="L225" s="39" t="str">
        <f t="shared" si="53"/>
        <v/>
      </c>
      <c r="M225" s="39" t="str">
        <f t="shared" si="54"/>
        <v/>
      </c>
      <c r="N225" s="29"/>
      <c r="O225" s="29"/>
      <c r="P225" s="39" t="str">
        <f t="shared" si="55"/>
        <v/>
      </c>
      <c r="Q225" s="39" t="str">
        <f t="shared" si="56"/>
        <v/>
      </c>
      <c r="R225" s="29"/>
      <c r="S225" s="29"/>
      <c r="T225" s="30"/>
      <c r="U225" s="30"/>
      <c r="V225" s="29"/>
      <c r="W225" s="29"/>
      <c r="X225" s="29"/>
      <c r="Y225" s="29"/>
      <c r="Z225" s="29"/>
      <c r="AA225" s="39" t="str">
        <f t="shared" si="57"/>
        <v/>
      </c>
      <c r="AB225" s="39" t="str">
        <f t="shared" si="58"/>
        <v/>
      </c>
      <c r="AC225" s="29"/>
      <c r="AD225" s="29"/>
      <c r="AE225" s="39" t="str">
        <f t="shared" si="48"/>
        <v/>
      </c>
      <c r="AF225" s="39" t="str">
        <f t="shared" si="49"/>
        <v/>
      </c>
      <c r="AG225" s="29"/>
      <c r="AH225" s="74" t="str">
        <f t="shared" ca="1" si="50"/>
        <v/>
      </c>
      <c r="AI225" s="74" t="str">
        <f ca="1">IF(A225="","",IF(OR(W225='02_マスタ'!$E$10,W225='02_マスタ'!$E$12),"",IF(V225="High","High",IF(AND(U225&lt;&gt;"",U225&lt;TODAY()),INDEX(_翻訳マスタ!$B$117:$D$247,MATCH("ALERT_OVERDUE",_翻訳マスタ!$A$117:$A$247,0),MATCH(言語切替!$B$3,_翻訳マスタ!$B$1:$D$1,0)),IF(AND(U225&lt;&gt;"",U225-TODAY()&lt;=7),INDEX(_翻訳マスタ!$B$117:$D$247,MATCH("ALERT_APPROACHING",_翻訳マスタ!$A$117:$A$247,0),MATCH(言語切替!$B$3,_翻訳マスタ!$B$1:$D$1,0)),IF(OR(W225='02_マスタ'!$E$7,W225='02_マスタ'!$E$8),INDEX(_翻訳マスタ!$B$117:$D$247,MATCH("ALERT_CHECK",_翻訳マスタ!$A$117:$A$247,0),MATCH(言語切替!$B$3,_翻訳マスタ!$B$1:$D$1,0)),""))))))</f>
        <v/>
      </c>
      <c r="AJ225" s="75"/>
    </row>
    <row r="226" spans="1:36" s="21" customFormat="1" x14ac:dyDescent="0.25">
      <c r="A226" s="81"/>
      <c r="B226" s="82"/>
      <c r="C226" s="82"/>
      <c r="D226" s="82"/>
      <c r="E226" s="82"/>
      <c r="F226" s="26"/>
      <c r="G226" s="26"/>
      <c r="H226" s="38" t="str">
        <f t="shared" si="51"/>
        <v/>
      </c>
      <c r="I226" s="38" t="str">
        <f t="shared" si="52"/>
        <v/>
      </c>
      <c r="J226" s="26"/>
      <c r="K226" s="26"/>
      <c r="L226" s="38" t="str">
        <f t="shared" si="53"/>
        <v/>
      </c>
      <c r="M226" s="38" t="str">
        <f t="shared" si="54"/>
        <v/>
      </c>
      <c r="N226" s="26"/>
      <c r="O226" s="26"/>
      <c r="P226" s="38" t="str">
        <f t="shared" si="55"/>
        <v/>
      </c>
      <c r="Q226" s="38" t="str">
        <f t="shared" si="56"/>
        <v/>
      </c>
      <c r="R226" s="26"/>
      <c r="S226" s="26"/>
      <c r="T226" s="27"/>
      <c r="U226" s="27"/>
      <c r="V226" s="26"/>
      <c r="W226" s="26"/>
      <c r="X226" s="26"/>
      <c r="Y226" s="26"/>
      <c r="Z226" s="26"/>
      <c r="AA226" s="38" t="str">
        <f t="shared" si="57"/>
        <v/>
      </c>
      <c r="AB226" s="38" t="str">
        <f t="shared" si="58"/>
        <v/>
      </c>
      <c r="AC226" s="26"/>
      <c r="AD226" s="26"/>
      <c r="AE226" s="38" t="str">
        <f t="shared" si="48"/>
        <v/>
      </c>
      <c r="AF226" s="38" t="str">
        <f t="shared" si="49"/>
        <v/>
      </c>
      <c r="AG226" s="26"/>
      <c r="AH226" s="72" t="str">
        <f t="shared" ca="1" si="50"/>
        <v/>
      </c>
      <c r="AI226" s="72" t="str">
        <f ca="1">IF(A226="","",IF(OR(W226='02_マスタ'!$E$10,W226='02_マスタ'!$E$12),"",IF(V226="High","High",IF(AND(U226&lt;&gt;"",U226&lt;TODAY()),INDEX(_翻訳マスタ!$B$117:$D$247,MATCH("ALERT_OVERDUE",_翻訳マスタ!$A$117:$A$247,0),MATCH(言語切替!$B$3,_翻訳マスタ!$B$1:$D$1,0)),IF(AND(U226&lt;&gt;"",U226-TODAY()&lt;=7),INDEX(_翻訳マスタ!$B$117:$D$247,MATCH("ALERT_APPROACHING",_翻訳マスタ!$A$117:$A$247,0),MATCH(言語切替!$B$3,_翻訳マスタ!$B$1:$D$1,0)),IF(OR(W226='02_マスタ'!$E$7,W226='02_マスタ'!$E$8),INDEX(_翻訳マスタ!$B$117:$D$247,MATCH("ALERT_CHECK",_翻訳マスタ!$A$117:$A$247,0),MATCH(言語切替!$B$3,_翻訳マスタ!$B$1:$D$1,0)),""))))))</f>
        <v/>
      </c>
      <c r="AJ226" s="73"/>
    </row>
    <row r="227" spans="1:36" s="21" customFormat="1" x14ac:dyDescent="0.25">
      <c r="A227" s="83"/>
      <c r="B227" s="84"/>
      <c r="C227" s="84"/>
      <c r="D227" s="84"/>
      <c r="E227" s="84"/>
      <c r="F227" s="29"/>
      <c r="G227" s="29"/>
      <c r="H227" s="39" t="str">
        <f t="shared" si="51"/>
        <v/>
      </c>
      <c r="I227" s="39" t="str">
        <f t="shared" si="52"/>
        <v/>
      </c>
      <c r="J227" s="29"/>
      <c r="K227" s="29"/>
      <c r="L227" s="39" t="str">
        <f t="shared" si="53"/>
        <v/>
      </c>
      <c r="M227" s="39" t="str">
        <f t="shared" si="54"/>
        <v/>
      </c>
      <c r="N227" s="29"/>
      <c r="O227" s="29"/>
      <c r="P227" s="39" t="str">
        <f t="shared" si="55"/>
        <v/>
      </c>
      <c r="Q227" s="39" t="str">
        <f t="shared" si="56"/>
        <v/>
      </c>
      <c r="R227" s="29"/>
      <c r="S227" s="29"/>
      <c r="T227" s="30"/>
      <c r="U227" s="30"/>
      <c r="V227" s="29"/>
      <c r="W227" s="29"/>
      <c r="X227" s="29"/>
      <c r="Y227" s="29"/>
      <c r="Z227" s="29"/>
      <c r="AA227" s="39" t="str">
        <f t="shared" si="57"/>
        <v/>
      </c>
      <c r="AB227" s="39" t="str">
        <f t="shared" si="58"/>
        <v/>
      </c>
      <c r="AC227" s="29"/>
      <c r="AD227" s="29"/>
      <c r="AE227" s="39" t="str">
        <f t="shared" si="48"/>
        <v/>
      </c>
      <c r="AF227" s="39" t="str">
        <f t="shared" si="49"/>
        <v/>
      </c>
      <c r="AG227" s="29"/>
      <c r="AH227" s="74" t="str">
        <f t="shared" ca="1" si="50"/>
        <v/>
      </c>
      <c r="AI227" s="74" t="str">
        <f ca="1">IF(A227="","",IF(OR(W227='02_マスタ'!$E$10,W227='02_マスタ'!$E$12),"",IF(V227="High","High",IF(AND(U227&lt;&gt;"",U227&lt;TODAY()),INDEX(_翻訳マスタ!$B$117:$D$247,MATCH("ALERT_OVERDUE",_翻訳マスタ!$A$117:$A$247,0),MATCH(言語切替!$B$3,_翻訳マスタ!$B$1:$D$1,0)),IF(AND(U227&lt;&gt;"",U227-TODAY()&lt;=7),INDEX(_翻訳マスタ!$B$117:$D$247,MATCH("ALERT_APPROACHING",_翻訳マスタ!$A$117:$A$247,0),MATCH(言語切替!$B$3,_翻訳マスタ!$B$1:$D$1,0)),IF(OR(W227='02_マスタ'!$E$7,W227='02_マスタ'!$E$8),INDEX(_翻訳マスタ!$B$117:$D$247,MATCH("ALERT_CHECK",_翻訳マスタ!$A$117:$A$247,0),MATCH(言語切替!$B$3,_翻訳マスタ!$B$1:$D$1,0)),""))))))</f>
        <v/>
      </c>
      <c r="AJ227" s="75"/>
    </row>
    <row r="228" spans="1:36" s="21" customFormat="1" x14ac:dyDescent="0.25">
      <c r="A228" s="81"/>
      <c r="B228" s="82"/>
      <c r="C228" s="82"/>
      <c r="D228" s="82"/>
      <c r="E228" s="82"/>
      <c r="F228" s="26"/>
      <c r="G228" s="26"/>
      <c r="H228" s="38" t="str">
        <f t="shared" si="51"/>
        <v/>
      </c>
      <c r="I228" s="38" t="str">
        <f t="shared" si="52"/>
        <v/>
      </c>
      <c r="J228" s="26"/>
      <c r="K228" s="26"/>
      <c r="L228" s="38" t="str">
        <f t="shared" si="53"/>
        <v/>
      </c>
      <c r="M228" s="38" t="str">
        <f t="shared" si="54"/>
        <v/>
      </c>
      <c r="N228" s="26"/>
      <c r="O228" s="26"/>
      <c r="P228" s="38" t="str">
        <f t="shared" si="55"/>
        <v/>
      </c>
      <c r="Q228" s="38" t="str">
        <f t="shared" si="56"/>
        <v/>
      </c>
      <c r="R228" s="26"/>
      <c r="S228" s="26"/>
      <c r="T228" s="27"/>
      <c r="U228" s="27"/>
      <c r="V228" s="26"/>
      <c r="W228" s="26"/>
      <c r="X228" s="26"/>
      <c r="Y228" s="26"/>
      <c r="Z228" s="26"/>
      <c r="AA228" s="38" t="str">
        <f t="shared" si="57"/>
        <v/>
      </c>
      <c r="AB228" s="38" t="str">
        <f t="shared" si="58"/>
        <v/>
      </c>
      <c r="AC228" s="26"/>
      <c r="AD228" s="26"/>
      <c r="AE228" s="38" t="str">
        <f t="shared" si="48"/>
        <v/>
      </c>
      <c r="AF228" s="38" t="str">
        <f t="shared" si="49"/>
        <v/>
      </c>
      <c r="AG228" s="26"/>
      <c r="AH228" s="72" t="str">
        <f t="shared" ca="1" si="50"/>
        <v/>
      </c>
      <c r="AI228" s="72" t="str">
        <f ca="1">IF(A228="","",IF(OR(W228='02_マスタ'!$E$10,W228='02_マスタ'!$E$12),"",IF(V228="High","High",IF(AND(U228&lt;&gt;"",U228&lt;TODAY()),INDEX(_翻訳マスタ!$B$117:$D$247,MATCH("ALERT_OVERDUE",_翻訳マスタ!$A$117:$A$247,0),MATCH(言語切替!$B$3,_翻訳マスタ!$B$1:$D$1,0)),IF(AND(U228&lt;&gt;"",U228-TODAY()&lt;=7),INDEX(_翻訳マスタ!$B$117:$D$247,MATCH("ALERT_APPROACHING",_翻訳マスタ!$A$117:$A$247,0),MATCH(言語切替!$B$3,_翻訳マスタ!$B$1:$D$1,0)),IF(OR(W228='02_マスタ'!$E$7,W228='02_マスタ'!$E$8),INDEX(_翻訳マスタ!$B$117:$D$247,MATCH("ALERT_CHECK",_翻訳マスタ!$A$117:$A$247,0),MATCH(言語切替!$B$3,_翻訳マスタ!$B$1:$D$1,0)),""))))))</f>
        <v/>
      </c>
      <c r="AJ228" s="73"/>
    </row>
    <row r="229" spans="1:36" s="21" customFormat="1" x14ac:dyDescent="0.25">
      <c r="A229" s="83"/>
      <c r="B229" s="84"/>
      <c r="C229" s="84"/>
      <c r="D229" s="84"/>
      <c r="E229" s="84"/>
      <c r="F229" s="29"/>
      <c r="G229" s="29"/>
      <c r="H229" s="39" t="str">
        <f t="shared" si="51"/>
        <v/>
      </c>
      <c r="I229" s="39" t="str">
        <f t="shared" si="52"/>
        <v/>
      </c>
      <c r="J229" s="29"/>
      <c r="K229" s="29"/>
      <c r="L229" s="39" t="str">
        <f t="shared" si="53"/>
        <v/>
      </c>
      <c r="M229" s="39" t="str">
        <f t="shared" si="54"/>
        <v/>
      </c>
      <c r="N229" s="29"/>
      <c r="O229" s="29"/>
      <c r="P229" s="39" t="str">
        <f t="shared" si="55"/>
        <v/>
      </c>
      <c r="Q229" s="39" t="str">
        <f t="shared" si="56"/>
        <v/>
      </c>
      <c r="R229" s="29"/>
      <c r="S229" s="29"/>
      <c r="T229" s="30"/>
      <c r="U229" s="30"/>
      <c r="V229" s="29"/>
      <c r="W229" s="29"/>
      <c r="X229" s="29"/>
      <c r="Y229" s="29"/>
      <c r="Z229" s="29"/>
      <c r="AA229" s="39" t="str">
        <f t="shared" si="57"/>
        <v/>
      </c>
      <c r="AB229" s="39" t="str">
        <f t="shared" si="58"/>
        <v/>
      </c>
      <c r="AC229" s="29"/>
      <c r="AD229" s="29"/>
      <c r="AE229" s="39" t="str">
        <f t="shared" si="48"/>
        <v/>
      </c>
      <c r="AF229" s="39" t="str">
        <f t="shared" si="49"/>
        <v/>
      </c>
      <c r="AG229" s="29"/>
      <c r="AH229" s="74" t="str">
        <f t="shared" ca="1" si="50"/>
        <v/>
      </c>
      <c r="AI229" s="74" t="str">
        <f ca="1">IF(A229="","",IF(OR(W229='02_マスタ'!$E$10,W229='02_マスタ'!$E$12),"",IF(V229="High","High",IF(AND(U229&lt;&gt;"",U229&lt;TODAY()),INDEX(_翻訳マスタ!$B$117:$D$247,MATCH("ALERT_OVERDUE",_翻訳マスタ!$A$117:$A$247,0),MATCH(言語切替!$B$3,_翻訳マスタ!$B$1:$D$1,0)),IF(AND(U229&lt;&gt;"",U229-TODAY()&lt;=7),INDEX(_翻訳マスタ!$B$117:$D$247,MATCH("ALERT_APPROACHING",_翻訳マスタ!$A$117:$A$247,0),MATCH(言語切替!$B$3,_翻訳マスタ!$B$1:$D$1,0)),IF(OR(W229='02_マスタ'!$E$7,W229='02_マスタ'!$E$8),INDEX(_翻訳マスタ!$B$117:$D$247,MATCH("ALERT_CHECK",_翻訳マスタ!$A$117:$A$247,0),MATCH(言語切替!$B$3,_翻訳マスタ!$B$1:$D$1,0)),""))))))</f>
        <v/>
      </c>
      <c r="AJ229" s="75"/>
    </row>
    <row r="230" spans="1:36" s="21" customFormat="1" x14ac:dyDescent="0.25">
      <c r="A230" s="81"/>
      <c r="B230" s="82"/>
      <c r="C230" s="82"/>
      <c r="D230" s="82"/>
      <c r="E230" s="82"/>
      <c r="F230" s="26"/>
      <c r="G230" s="26"/>
      <c r="H230" s="38" t="str">
        <f t="shared" si="51"/>
        <v/>
      </c>
      <c r="I230" s="38" t="str">
        <f t="shared" si="52"/>
        <v/>
      </c>
      <c r="J230" s="26"/>
      <c r="K230" s="26"/>
      <c r="L230" s="38" t="str">
        <f t="shared" si="53"/>
        <v/>
      </c>
      <c r="M230" s="38" t="str">
        <f t="shared" si="54"/>
        <v/>
      </c>
      <c r="N230" s="26"/>
      <c r="O230" s="26"/>
      <c r="P230" s="38" t="str">
        <f t="shared" si="55"/>
        <v/>
      </c>
      <c r="Q230" s="38" t="str">
        <f t="shared" si="56"/>
        <v/>
      </c>
      <c r="R230" s="26"/>
      <c r="S230" s="26"/>
      <c r="T230" s="27"/>
      <c r="U230" s="27"/>
      <c r="V230" s="26"/>
      <c r="W230" s="26"/>
      <c r="X230" s="26"/>
      <c r="Y230" s="26"/>
      <c r="Z230" s="26"/>
      <c r="AA230" s="38" t="str">
        <f t="shared" si="57"/>
        <v/>
      </c>
      <c r="AB230" s="38" t="str">
        <f t="shared" si="58"/>
        <v/>
      </c>
      <c r="AC230" s="26"/>
      <c r="AD230" s="26"/>
      <c r="AE230" s="38" t="str">
        <f t="shared" si="48"/>
        <v/>
      </c>
      <c r="AF230" s="38" t="str">
        <f t="shared" si="49"/>
        <v/>
      </c>
      <c r="AG230" s="26"/>
      <c r="AH230" s="72" t="str">
        <f t="shared" ca="1" si="50"/>
        <v/>
      </c>
      <c r="AI230" s="72" t="str">
        <f ca="1">IF(A230="","",IF(OR(W230='02_マスタ'!$E$10,W230='02_マスタ'!$E$12),"",IF(V230="High","High",IF(AND(U230&lt;&gt;"",U230&lt;TODAY()),INDEX(_翻訳マスタ!$B$117:$D$247,MATCH("ALERT_OVERDUE",_翻訳マスタ!$A$117:$A$247,0),MATCH(言語切替!$B$3,_翻訳マスタ!$B$1:$D$1,0)),IF(AND(U230&lt;&gt;"",U230-TODAY()&lt;=7),INDEX(_翻訳マスタ!$B$117:$D$247,MATCH("ALERT_APPROACHING",_翻訳マスタ!$A$117:$A$247,0),MATCH(言語切替!$B$3,_翻訳マスタ!$B$1:$D$1,0)),IF(OR(W230='02_マスタ'!$E$7,W230='02_マスタ'!$E$8),INDEX(_翻訳マスタ!$B$117:$D$247,MATCH("ALERT_CHECK",_翻訳マスタ!$A$117:$A$247,0),MATCH(言語切替!$B$3,_翻訳マスタ!$B$1:$D$1,0)),""))))))</f>
        <v/>
      </c>
      <c r="AJ230" s="73"/>
    </row>
    <row r="231" spans="1:36" s="21" customFormat="1" x14ac:dyDescent="0.25">
      <c r="A231" s="83"/>
      <c r="B231" s="84"/>
      <c r="C231" s="84"/>
      <c r="D231" s="84"/>
      <c r="E231" s="84"/>
      <c r="F231" s="29"/>
      <c r="G231" s="29"/>
      <c r="H231" s="39" t="str">
        <f t="shared" si="51"/>
        <v/>
      </c>
      <c r="I231" s="39" t="str">
        <f t="shared" si="52"/>
        <v/>
      </c>
      <c r="J231" s="29"/>
      <c r="K231" s="29"/>
      <c r="L231" s="39" t="str">
        <f t="shared" si="53"/>
        <v/>
      </c>
      <c r="M231" s="39" t="str">
        <f t="shared" si="54"/>
        <v/>
      </c>
      <c r="N231" s="29"/>
      <c r="O231" s="29"/>
      <c r="P231" s="39" t="str">
        <f t="shared" si="55"/>
        <v/>
      </c>
      <c r="Q231" s="39" t="str">
        <f t="shared" si="56"/>
        <v/>
      </c>
      <c r="R231" s="29"/>
      <c r="S231" s="29"/>
      <c r="T231" s="30"/>
      <c r="U231" s="30"/>
      <c r="V231" s="29"/>
      <c r="W231" s="29"/>
      <c r="X231" s="29"/>
      <c r="Y231" s="29"/>
      <c r="Z231" s="29"/>
      <c r="AA231" s="39" t="str">
        <f t="shared" si="57"/>
        <v/>
      </c>
      <c r="AB231" s="39" t="str">
        <f t="shared" si="58"/>
        <v/>
      </c>
      <c r="AC231" s="29"/>
      <c r="AD231" s="29"/>
      <c r="AE231" s="39" t="str">
        <f t="shared" si="48"/>
        <v/>
      </c>
      <c r="AF231" s="39" t="str">
        <f t="shared" si="49"/>
        <v/>
      </c>
      <c r="AG231" s="29"/>
      <c r="AH231" s="74" t="str">
        <f t="shared" ca="1" si="50"/>
        <v/>
      </c>
      <c r="AI231" s="74" t="str">
        <f ca="1">IF(A231="","",IF(OR(W231='02_マスタ'!$E$10,W231='02_マスタ'!$E$12),"",IF(V231="High","High",IF(AND(U231&lt;&gt;"",U231&lt;TODAY()),INDEX(_翻訳マスタ!$B$117:$D$247,MATCH("ALERT_OVERDUE",_翻訳マスタ!$A$117:$A$247,0),MATCH(言語切替!$B$3,_翻訳マスタ!$B$1:$D$1,0)),IF(AND(U231&lt;&gt;"",U231-TODAY()&lt;=7),INDEX(_翻訳マスタ!$B$117:$D$247,MATCH("ALERT_APPROACHING",_翻訳マスタ!$A$117:$A$247,0),MATCH(言語切替!$B$3,_翻訳マスタ!$B$1:$D$1,0)),IF(OR(W231='02_マスタ'!$E$7,W231='02_マスタ'!$E$8),INDEX(_翻訳マスタ!$B$117:$D$247,MATCH("ALERT_CHECK",_翻訳マスタ!$A$117:$A$247,0),MATCH(言語切替!$B$3,_翻訳マスタ!$B$1:$D$1,0)),""))))))</f>
        <v/>
      </c>
      <c r="AJ231" s="75"/>
    </row>
    <row r="232" spans="1:36" s="21" customFormat="1" x14ac:dyDescent="0.25">
      <c r="A232" s="81"/>
      <c r="B232" s="82"/>
      <c r="C232" s="82"/>
      <c r="D232" s="82"/>
      <c r="E232" s="82"/>
      <c r="F232" s="26"/>
      <c r="G232" s="26"/>
      <c r="H232" s="38" t="str">
        <f t="shared" si="51"/>
        <v/>
      </c>
      <c r="I232" s="38" t="str">
        <f t="shared" si="52"/>
        <v/>
      </c>
      <c r="J232" s="26"/>
      <c r="K232" s="26"/>
      <c r="L232" s="38" t="str">
        <f t="shared" si="53"/>
        <v/>
      </c>
      <c r="M232" s="38" t="str">
        <f t="shared" si="54"/>
        <v/>
      </c>
      <c r="N232" s="26"/>
      <c r="O232" s="26"/>
      <c r="P232" s="38" t="str">
        <f t="shared" si="55"/>
        <v/>
      </c>
      <c r="Q232" s="38" t="str">
        <f t="shared" si="56"/>
        <v/>
      </c>
      <c r="R232" s="26"/>
      <c r="S232" s="26"/>
      <c r="T232" s="27"/>
      <c r="U232" s="27"/>
      <c r="V232" s="26"/>
      <c r="W232" s="26"/>
      <c r="X232" s="26"/>
      <c r="Y232" s="26"/>
      <c r="Z232" s="26"/>
      <c r="AA232" s="38" t="str">
        <f t="shared" si="57"/>
        <v/>
      </c>
      <c r="AB232" s="38" t="str">
        <f t="shared" si="58"/>
        <v/>
      </c>
      <c r="AC232" s="26"/>
      <c r="AD232" s="26"/>
      <c r="AE232" s="38" t="str">
        <f t="shared" si="48"/>
        <v/>
      </c>
      <c r="AF232" s="38" t="str">
        <f t="shared" si="49"/>
        <v/>
      </c>
      <c r="AG232" s="26"/>
      <c r="AH232" s="72" t="str">
        <f t="shared" ca="1" si="50"/>
        <v/>
      </c>
      <c r="AI232" s="72" t="str">
        <f ca="1">IF(A232="","",IF(OR(W232='02_マスタ'!$E$10,W232='02_マスタ'!$E$12),"",IF(V232="High","High",IF(AND(U232&lt;&gt;"",U232&lt;TODAY()),INDEX(_翻訳マスタ!$B$117:$D$247,MATCH("ALERT_OVERDUE",_翻訳マスタ!$A$117:$A$247,0),MATCH(言語切替!$B$3,_翻訳マスタ!$B$1:$D$1,0)),IF(AND(U232&lt;&gt;"",U232-TODAY()&lt;=7),INDEX(_翻訳マスタ!$B$117:$D$247,MATCH("ALERT_APPROACHING",_翻訳マスタ!$A$117:$A$247,0),MATCH(言語切替!$B$3,_翻訳マスタ!$B$1:$D$1,0)),IF(OR(W232='02_マスタ'!$E$7,W232='02_マスタ'!$E$8),INDEX(_翻訳マスタ!$B$117:$D$247,MATCH("ALERT_CHECK",_翻訳マスタ!$A$117:$A$247,0),MATCH(言語切替!$B$3,_翻訳マスタ!$B$1:$D$1,0)),""))))))</f>
        <v/>
      </c>
      <c r="AJ232" s="73"/>
    </row>
    <row r="233" spans="1:36" s="21" customFormat="1" x14ac:dyDescent="0.25">
      <c r="A233" s="83"/>
      <c r="B233" s="84"/>
      <c r="C233" s="84"/>
      <c r="D233" s="84"/>
      <c r="E233" s="84"/>
      <c r="F233" s="29"/>
      <c r="G233" s="29"/>
      <c r="H233" s="39" t="str">
        <f t="shared" si="51"/>
        <v/>
      </c>
      <c r="I233" s="39" t="str">
        <f t="shared" si="52"/>
        <v/>
      </c>
      <c r="J233" s="29"/>
      <c r="K233" s="29"/>
      <c r="L233" s="39" t="str">
        <f t="shared" si="53"/>
        <v/>
      </c>
      <c r="M233" s="39" t="str">
        <f t="shared" si="54"/>
        <v/>
      </c>
      <c r="N233" s="29"/>
      <c r="O233" s="29"/>
      <c r="P233" s="39" t="str">
        <f t="shared" si="55"/>
        <v/>
      </c>
      <c r="Q233" s="39" t="str">
        <f t="shared" si="56"/>
        <v/>
      </c>
      <c r="R233" s="29"/>
      <c r="S233" s="29"/>
      <c r="T233" s="30"/>
      <c r="U233" s="30"/>
      <c r="V233" s="29"/>
      <c r="W233" s="29"/>
      <c r="X233" s="29"/>
      <c r="Y233" s="29"/>
      <c r="Z233" s="29"/>
      <c r="AA233" s="39" t="str">
        <f t="shared" si="57"/>
        <v/>
      </c>
      <c r="AB233" s="39" t="str">
        <f t="shared" si="58"/>
        <v/>
      </c>
      <c r="AC233" s="29"/>
      <c r="AD233" s="29"/>
      <c r="AE233" s="39" t="str">
        <f t="shared" si="48"/>
        <v/>
      </c>
      <c r="AF233" s="39" t="str">
        <f t="shared" si="49"/>
        <v/>
      </c>
      <c r="AG233" s="29"/>
      <c r="AH233" s="74" t="str">
        <f t="shared" ca="1" si="50"/>
        <v/>
      </c>
      <c r="AI233" s="74" t="str">
        <f ca="1">IF(A233="","",IF(OR(W233='02_マスタ'!$E$10,W233='02_マスタ'!$E$12),"",IF(V233="High","High",IF(AND(U233&lt;&gt;"",U233&lt;TODAY()),INDEX(_翻訳マスタ!$B$117:$D$247,MATCH("ALERT_OVERDUE",_翻訳マスタ!$A$117:$A$247,0),MATCH(言語切替!$B$3,_翻訳マスタ!$B$1:$D$1,0)),IF(AND(U233&lt;&gt;"",U233-TODAY()&lt;=7),INDEX(_翻訳マスタ!$B$117:$D$247,MATCH("ALERT_APPROACHING",_翻訳マスタ!$A$117:$A$247,0),MATCH(言語切替!$B$3,_翻訳マスタ!$B$1:$D$1,0)),IF(OR(W233='02_マスタ'!$E$7,W233='02_マスタ'!$E$8),INDEX(_翻訳マスタ!$B$117:$D$247,MATCH("ALERT_CHECK",_翻訳マスタ!$A$117:$A$247,0),MATCH(言語切替!$B$3,_翻訳マスタ!$B$1:$D$1,0)),""))))))</f>
        <v/>
      </c>
      <c r="AJ233" s="75"/>
    </row>
    <row r="234" spans="1:36" s="21" customFormat="1" x14ac:dyDescent="0.25">
      <c r="A234" s="81"/>
      <c r="B234" s="82"/>
      <c r="C234" s="82"/>
      <c r="D234" s="82"/>
      <c r="E234" s="82"/>
      <c r="F234" s="26"/>
      <c r="G234" s="26"/>
      <c r="H234" s="38" t="str">
        <f t="shared" si="51"/>
        <v/>
      </c>
      <c r="I234" s="38" t="str">
        <f t="shared" si="52"/>
        <v/>
      </c>
      <c r="J234" s="26"/>
      <c r="K234" s="26"/>
      <c r="L234" s="38" t="str">
        <f t="shared" si="53"/>
        <v/>
      </c>
      <c r="M234" s="38" t="str">
        <f t="shared" si="54"/>
        <v/>
      </c>
      <c r="N234" s="26"/>
      <c r="O234" s="26"/>
      <c r="P234" s="38" t="str">
        <f t="shared" si="55"/>
        <v/>
      </c>
      <c r="Q234" s="38" t="str">
        <f t="shared" si="56"/>
        <v/>
      </c>
      <c r="R234" s="26"/>
      <c r="S234" s="26"/>
      <c r="T234" s="27"/>
      <c r="U234" s="27"/>
      <c r="V234" s="26"/>
      <c r="W234" s="26"/>
      <c r="X234" s="26"/>
      <c r="Y234" s="26"/>
      <c r="Z234" s="26"/>
      <c r="AA234" s="38" t="str">
        <f t="shared" si="57"/>
        <v/>
      </c>
      <c r="AB234" s="38" t="str">
        <f t="shared" si="58"/>
        <v/>
      </c>
      <c r="AC234" s="26"/>
      <c r="AD234" s="26"/>
      <c r="AE234" s="38" t="str">
        <f t="shared" si="48"/>
        <v/>
      </c>
      <c r="AF234" s="38" t="str">
        <f t="shared" si="49"/>
        <v/>
      </c>
      <c r="AG234" s="26"/>
      <c r="AH234" s="72" t="str">
        <f t="shared" ca="1" si="50"/>
        <v/>
      </c>
      <c r="AI234" s="72" t="str">
        <f ca="1">IF(A234="","",IF(OR(W234='02_マスタ'!$E$10,W234='02_マスタ'!$E$12),"",IF(V234="High","High",IF(AND(U234&lt;&gt;"",U234&lt;TODAY()),INDEX(_翻訳マスタ!$B$117:$D$247,MATCH("ALERT_OVERDUE",_翻訳マスタ!$A$117:$A$247,0),MATCH(言語切替!$B$3,_翻訳マスタ!$B$1:$D$1,0)),IF(AND(U234&lt;&gt;"",U234-TODAY()&lt;=7),INDEX(_翻訳マスタ!$B$117:$D$247,MATCH("ALERT_APPROACHING",_翻訳マスタ!$A$117:$A$247,0),MATCH(言語切替!$B$3,_翻訳マスタ!$B$1:$D$1,0)),IF(OR(W234='02_マスタ'!$E$7,W234='02_マスタ'!$E$8),INDEX(_翻訳マスタ!$B$117:$D$247,MATCH("ALERT_CHECK",_翻訳マスタ!$A$117:$A$247,0),MATCH(言語切替!$B$3,_翻訳マスタ!$B$1:$D$1,0)),""))))))</f>
        <v/>
      </c>
      <c r="AJ234" s="73"/>
    </row>
    <row r="235" spans="1:36" s="21" customFormat="1" x14ac:dyDescent="0.25">
      <c r="A235" s="83"/>
      <c r="B235" s="84"/>
      <c r="C235" s="84"/>
      <c r="D235" s="84"/>
      <c r="E235" s="84"/>
      <c r="F235" s="29"/>
      <c r="G235" s="29"/>
      <c r="H235" s="39" t="str">
        <f t="shared" si="51"/>
        <v/>
      </c>
      <c r="I235" s="39" t="str">
        <f t="shared" si="52"/>
        <v/>
      </c>
      <c r="J235" s="29"/>
      <c r="K235" s="29"/>
      <c r="L235" s="39" t="str">
        <f t="shared" si="53"/>
        <v/>
      </c>
      <c r="M235" s="39" t="str">
        <f t="shared" si="54"/>
        <v/>
      </c>
      <c r="N235" s="29"/>
      <c r="O235" s="29"/>
      <c r="P235" s="39" t="str">
        <f t="shared" si="55"/>
        <v/>
      </c>
      <c r="Q235" s="39" t="str">
        <f t="shared" si="56"/>
        <v/>
      </c>
      <c r="R235" s="29"/>
      <c r="S235" s="29"/>
      <c r="T235" s="30"/>
      <c r="U235" s="30"/>
      <c r="V235" s="29"/>
      <c r="W235" s="29"/>
      <c r="X235" s="29"/>
      <c r="Y235" s="29"/>
      <c r="Z235" s="29"/>
      <c r="AA235" s="39" t="str">
        <f t="shared" si="57"/>
        <v/>
      </c>
      <c r="AB235" s="39" t="str">
        <f t="shared" si="58"/>
        <v/>
      </c>
      <c r="AC235" s="29"/>
      <c r="AD235" s="29"/>
      <c r="AE235" s="39" t="str">
        <f t="shared" si="48"/>
        <v/>
      </c>
      <c r="AF235" s="39" t="str">
        <f t="shared" si="49"/>
        <v/>
      </c>
      <c r="AG235" s="29"/>
      <c r="AH235" s="74" t="str">
        <f t="shared" ca="1" si="50"/>
        <v/>
      </c>
      <c r="AI235" s="74" t="str">
        <f ca="1">IF(A235="","",IF(OR(W235='02_マスタ'!$E$10,W235='02_マスタ'!$E$12),"",IF(V235="High","High",IF(AND(U235&lt;&gt;"",U235&lt;TODAY()),INDEX(_翻訳マスタ!$B$117:$D$247,MATCH("ALERT_OVERDUE",_翻訳マスタ!$A$117:$A$247,0),MATCH(言語切替!$B$3,_翻訳マスタ!$B$1:$D$1,0)),IF(AND(U235&lt;&gt;"",U235-TODAY()&lt;=7),INDEX(_翻訳マスタ!$B$117:$D$247,MATCH("ALERT_APPROACHING",_翻訳マスタ!$A$117:$A$247,0),MATCH(言語切替!$B$3,_翻訳マスタ!$B$1:$D$1,0)),IF(OR(W235='02_マスタ'!$E$7,W235='02_マスタ'!$E$8),INDEX(_翻訳マスタ!$B$117:$D$247,MATCH("ALERT_CHECK",_翻訳マスタ!$A$117:$A$247,0),MATCH(言語切替!$B$3,_翻訳マスタ!$B$1:$D$1,0)),""))))))</f>
        <v/>
      </c>
      <c r="AJ235" s="75"/>
    </row>
    <row r="236" spans="1:36" s="21" customFormat="1" x14ac:dyDescent="0.25">
      <c r="A236" s="81"/>
      <c r="B236" s="82"/>
      <c r="C236" s="82"/>
      <c r="D236" s="82"/>
      <c r="E236" s="82"/>
      <c r="F236" s="26"/>
      <c r="G236" s="26"/>
      <c r="H236" s="38" t="str">
        <f t="shared" si="51"/>
        <v/>
      </c>
      <c r="I236" s="38" t="str">
        <f t="shared" si="52"/>
        <v/>
      </c>
      <c r="J236" s="26"/>
      <c r="K236" s="26"/>
      <c r="L236" s="38" t="str">
        <f t="shared" si="53"/>
        <v/>
      </c>
      <c r="M236" s="38" t="str">
        <f t="shared" si="54"/>
        <v/>
      </c>
      <c r="N236" s="26"/>
      <c r="O236" s="26"/>
      <c r="P236" s="38" t="str">
        <f t="shared" si="55"/>
        <v/>
      </c>
      <c r="Q236" s="38" t="str">
        <f t="shared" si="56"/>
        <v/>
      </c>
      <c r="R236" s="26"/>
      <c r="S236" s="26"/>
      <c r="T236" s="27"/>
      <c r="U236" s="27"/>
      <c r="V236" s="26"/>
      <c r="W236" s="26"/>
      <c r="X236" s="26"/>
      <c r="Y236" s="26"/>
      <c r="Z236" s="26"/>
      <c r="AA236" s="38" t="str">
        <f t="shared" si="57"/>
        <v/>
      </c>
      <c r="AB236" s="38" t="str">
        <f t="shared" si="58"/>
        <v/>
      </c>
      <c r="AC236" s="26"/>
      <c r="AD236" s="26"/>
      <c r="AE236" s="38" t="str">
        <f t="shared" si="48"/>
        <v/>
      </c>
      <c r="AF236" s="38" t="str">
        <f t="shared" si="49"/>
        <v/>
      </c>
      <c r="AG236" s="26"/>
      <c r="AH236" s="72" t="str">
        <f t="shared" ca="1" si="50"/>
        <v/>
      </c>
      <c r="AI236" s="72" t="str">
        <f ca="1">IF(A236="","",IF(OR(W236='02_マスタ'!$E$10,W236='02_マスタ'!$E$12),"",IF(V236="High","High",IF(AND(U236&lt;&gt;"",U236&lt;TODAY()),INDEX(_翻訳マスタ!$B$117:$D$247,MATCH("ALERT_OVERDUE",_翻訳マスタ!$A$117:$A$247,0),MATCH(言語切替!$B$3,_翻訳マスタ!$B$1:$D$1,0)),IF(AND(U236&lt;&gt;"",U236-TODAY()&lt;=7),INDEX(_翻訳マスタ!$B$117:$D$247,MATCH("ALERT_APPROACHING",_翻訳マスタ!$A$117:$A$247,0),MATCH(言語切替!$B$3,_翻訳マスタ!$B$1:$D$1,0)),IF(OR(W236='02_マスタ'!$E$7,W236='02_マスタ'!$E$8),INDEX(_翻訳マスタ!$B$117:$D$247,MATCH("ALERT_CHECK",_翻訳マスタ!$A$117:$A$247,0),MATCH(言語切替!$B$3,_翻訳マスタ!$B$1:$D$1,0)),""))))))</f>
        <v/>
      </c>
      <c r="AJ236" s="73"/>
    </row>
    <row r="237" spans="1:36" s="21" customFormat="1" x14ac:dyDescent="0.25">
      <c r="A237" s="83"/>
      <c r="B237" s="84"/>
      <c r="C237" s="84"/>
      <c r="D237" s="84"/>
      <c r="E237" s="84"/>
      <c r="F237" s="29"/>
      <c r="G237" s="29"/>
      <c r="H237" s="39" t="str">
        <f t="shared" si="51"/>
        <v/>
      </c>
      <c r="I237" s="39" t="str">
        <f t="shared" si="52"/>
        <v/>
      </c>
      <c r="J237" s="29"/>
      <c r="K237" s="29"/>
      <c r="L237" s="39" t="str">
        <f t="shared" si="53"/>
        <v/>
      </c>
      <c r="M237" s="39" t="str">
        <f t="shared" si="54"/>
        <v/>
      </c>
      <c r="N237" s="29"/>
      <c r="O237" s="29"/>
      <c r="P237" s="39" t="str">
        <f t="shared" si="55"/>
        <v/>
      </c>
      <c r="Q237" s="39" t="str">
        <f t="shared" si="56"/>
        <v/>
      </c>
      <c r="R237" s="29"/>
      <c r="S237" s="29"/>
      <c r="T237" s="30"/>
      <c r="U237" s="30"/>
      <c r="V237" s="29"/>
      <c r="W237" s="29"/>
      <c r="X237" s="29"/>
      <c r="Y237" s="29"/>
      <c r="Z237" s="29"/>
      <c r="AA237" s="39" t="str">
        <f t="shared" si="57"/>
        <v/>
      </c>
      <c r="AB237" s="39" t="str">
        <f t="shared" si="58"/>
        <v/>
      </c>
      <c r="AC237" s="29"/>
      <c r="AD237" s="29"/>
      <c r="AE237" s="39" t="str">
        <f t="shared" si="48"/>
        <v/>
      </c>
      <c r="AF237" s="39" t="str">
        <f t="shared" si="49"/>
        <v/>
      </c>
      <c r="AG237" s="29"/>
      <c r="AH237" s="74" t="str">
        <f t="shared" ca="1" si="50"/>
        <v/>
      </c>
      <c r="AI237" s="74" t="str">
        <f ca="1">IF(A237="","",IF(OR(W237='02_マスタ'!$E$10,W237='02_マスタ'!$E$12),"",IF(V237="High","High",IF(AND(U237&lt;&gt;"",U237&lt;TODAY()),INDEX(_翻訳マスタ!$B$117:$D$247,MATCH("ALERT_OVERDUE",_翻訳マスタ!$A$117:$A$247,0),MATCH(言語切替!$B$3,_翻訳マスタ!$B$1:$D$1,0)),IF(AND(U237&lt;&gt;"",U237-TODAY()&lt;=7),INDEX(_翻訳マスタ!$B$117:$D$247,MATCH("ALERT_APPROACHING",_翻訳マスタ!$A$117:$A$247,0),MATCH(言語切替!$B$3,_翻訳マスタ!$B$1:$D$1,0)),IF(OR(W237='02_マスタ'!$E$7,W237='02_マスタ'!$E$8),INDEX(_翻訳マスタ!$B$117:$D$247,MATCH("ALERT_CHECK",_翻訳マスタ!$A$117:$A$247,0),MATCH(言語切替!$B$3,_翻訳マスタ!$B$1:$D$1,0)),""))))))</f>
        <v/>
      </c>
      <c r="AJ237" s="75"/>
    </row>
    <row r="238" spans="1:36" s="21" customFormat="1" x14ac:dyDescent="0.25">
      <c r="A238" s="81"/>
      <c r="B238" s="82"/>
      <c r="C238" s="82"/>
      <c r="D238" s="82"/>
      <c r="E238" s="82"/>
      <c r="F238" s="26"/>
      <c r="G238" s="26"/>
      <c r="H238" s="38" t="str">
        <f t="shared" si="51"/>
        <v/>
      </c>
      <c r="I238" s="38" t="str">
        <f t="shared" si="52"/>
        <v/>
      </c>
      <c r="J238" s="26"/>
      <c r="K238" s="26"/>
      <c r="L238" s="38" t="str">
        <f t="shared" si="53"/>
        <v/>
      </c>
      <c r="M238" s="38" t="str">
        <f t="shared" si="54"/>
        <v/>
      </c>
      <c r="N238" s="26"/>
      <c r="O238" s="26"/>
      <c r="P238" s="38" t="str">
        <f t="shared" si="55"/>
        <v/>
      </c>
      <c r="Q238" s="38" t="str">
        <f t="shared" si="56"/>
        <v/>
      </c>
      <c r="R238" s="26"/>
      <c r="S238" s="26"/>
      <c r="T238" s="27"/>
      <c r="U238" s="27"/>
      <c r="V238" s="26"/>
      <c r="W238" s="26"/>
      <c r="X238" s="26"/>
      <c r="Y238" s="26"/>
      <c r="Z238" s="26"/>
      <c r="AA238" s="38" t="str">
        <f t="shared" si="57"/>
        <v/>
      </c>
      <c r="AB238" s="38" t="str">
        <f t="shared" si="58"/>
        <v/>
      </c>
      <c r="AC238" s="26"/>
      <c r="AD238" s="26"/>
      <c r="AE238" s="38" t="str">
        <f t="shared" si="48"/>
        <v/>
      </c>
      <c r="AF238" s="38" t="str">
        <f t="shared" si="49"/>
        <v/>
      </c>
      <c r="AG238" s="26"/>
      <c r="AH238" s="72" t="str">
        <f t="shared" ca="1" si="50"/>
        <v/>
      </c>
      <c r="AI238" s="72" t="str">
        <f ca="1">IF(A238="","",IF(OR(W238='02_マスタ'!$E$10,W238='02_マスタ'!$E$12),"",IF(V238="High","High",IF(AND(U238&lt;&gt;"",U238&lt;TODAY()),INDEX(_翻訳マスタ!$B$117:$D$247,MATCH("ALERT_OVERDUE",_翻訳マスタ!$A$117:$A$247,0),MATCH(言語切替!$B$3,_翻訳マスタ!$B$1:$D$1,0)),IF(AND(U238&lt;&gt;"",U238-TODAY()&lt;=7),INDEX(_翻訳マスタ!$B$117:$D$247,MATCH("ALERT_APPROACHING",_翻訳マスタ!$A$117:$A$247,0),MATCH(言語切替!$B$3,_翻訳マスタ!$B$1:$D$1,0)),IF(OR(W238='02_マスタ'!$E$7,W238='02_マスタ'!$E$8),INDEX(_翻訳マスタ!$B$117:$D$247,MATCH("ALERT_CHECK",_翻訳マスタ!$A$117:$A$247,0),MATCH(言語切替!$B$3,_翻訳マスタ!$B$1:$D$1,0)),""))))))</f>
        <v/>
      </c>
      <c r="AJ238" s="73"/>
    </row>
    <row r="239" spans="1:36" s="21" customFormat="1" x14ac:dyDescent="0.25">
      <c r="A239" s="83"/>
      <c r="B239" s="84"/>
      <c r="C239" s="84"/>
      <c r="D239" s="84"/>
      <c r="E239" s="84"/>
      <c r="F239" s="29"/>
      <c r="G239" s="29"/>
      <c r="H239" s="39" t="str">
        <f t="shared" si="51"/>
        <v/>
      </c>
      <c r="I239" s="39" t="str">
        <f t="shared" si="52"/>
        <v/>
      </c>
      <c r="J239" s="29"/>
      <c r="K239" s="29"/>
      <c r="L239" s="39" t="str">
        <f t="shared" si="53"/>
        <v/>
      </c>
      <c r="M239" s="39" t="str">
        <f t="shared" si="54"/>
        <v/>
      </c>
      <c r="N239" s="29"/>
      <c r="O239" s="29"/>
      <c r="P239" s="39" t="str">
        <f t="shared" si="55"/>
        <v/>
      </c>
      <c r="Q239" s="39" t="str">
        <f t="shared" si="56"/>
        <v/>
      </c>
      <c r="R239" s="29"/>
      <c r="S239" s="29"/>
      <c r="T239" s="30"/>
      <c r="U239" s="30"/>
      <c r="V239" s="29"/>
      <c r="W239" s="29"/>
      <c r="X239" s="29"/>
      <c r="Y239" s="29"/>
      <c r="Z239" s="29"/>
      <c r="AA239" s="39" t="str">
        <f t="shared" si="57"/>
        <v/>
      </c>
      <c r="AB239" s="39" t="str">
        <f t="shared" si="58"/>
        <v/>
      </c>
      <c r="AC239" s="29"/>
      <c r="AD239" s="29"/>
      <c r="AE239" s="39" t="str">
        <f t="shared" si="48"/>
        <v/>
      </c>
      <c r="AF239" s="39" t="str">
        <f t="shared" si="49"/>
        <v/>
      </c>
      <c r="AG239" s="29"/>
      <c r="AH239" s="74" t="str">
        <f t="shared" ca="1" si="50"/>
        <v/>
      </c>
      <c r="AI239" s="74" t="str">
        <f ca="1">IF(A239="","",IF(OR(W239='02_マスタ'!$E$10,W239='02_マスタ'!$E$12),"",IF(V239="High","High",IF(AND(U239&lt;&gt;"",U239&lt;TODAY()),INDEX(_翻訳マスタ!$B$117:$D$247,MATCH("ALERT_OVERDUE",_翻訳マスタ!$A$117:$A$247,0),MATCH(言語切替!$B$3,_翻訳マスタ!$B$1:$D$1,0)),IF(AND(U239&lt;&gt;"",U239-TODAY()&lt;=7),INDEX(_翻訳マスタ!$B$117:$D$247,MATCH("ALERT_APPROACHING",_翻訳マスタ!$A$117:$A$247,0),MATCH(言語切替!$B$3,_翻訳マスタ!$B$1:$D$1,0)),IF(OR(W239='02_マスタ'!$E$7,W239='02_マスタ'!$E$8),INDEX(_翻訳マスタ!$B$117:$D$247,MATCH("ALERT_CHECK",_翻訳マスタ!$A$117:$A$247,0),MATCH(言語切替!$B$3,_翻訳マスタ!$B$1:$D$1,0)),""))))))</f>
        <v/>
      </c>
      <c r="AJ239" s="75"/>
    </row>
    <row r="240" spans="1:36" s="21" customFormat="1" x14ac:dyDescent="0.25">
      <c r="A240" s="81"/>
      <c r="B240" s="82"/>
      <c r="C240" s="82"/>
      <c r="D240" s="82"/>
      <c r="E240" s="82"/>
      <c r="F240" s="26"/>
      <c r="G240" s="26"/>
      <c r="H240" s="38" t="str">
        <f t="shared" si="51"/>
        <v/>
      </c>
      <c r="I240" s="38" t="str">
        <f t="shared" si="52"/>
        <v/>
      </c>
      <c r="J240" s="26"/>
      <c r="K240" s="26"/>
      <c r="L240" s="38" t="str">
        <f t="shared" si="53"/>
        <v/>
      </c>
      <c r="M240" s="38" t="str">
        <f t="shared" si="54"/>
        <v/>
      </c>
      <c r="N240" s="26"/>
      <c r="O240" s="26"/>
      <c r="P240" s="38" t="str">
        <f t="shared" si="55"/>
        <v/>
      </c>
      <c r="Q240" s="38" t="str">
        <f t="shared" si="56"/>
        <v/>
      </c>
      <c r="R240" s="26"/>
      <c r="S240" s="26"/>
      <c r="T240" s="27"/>
      <c r="U240" s="27"/>
      <c r="V240" s="26"/>
      <c r="W240" s="26"/>
      <c r="X240" s="26"/>
      <c r="Y240" s="26"/>
      <c r="Z240" s="26"/>
      <c r="AA240" s="38" t="str">
        <f t="shared" si="57"/>
        <v/>
      </c>
      <c r="AB240" s="38" t="str">
        <f t="shared" si="58"/>
        <v/>
      </c>
      <c r="AC240" s="26"/>
      <c r="AD240" s="26"/>
      <c r="AE240" s="38" t="str">
        <f t="shared" si="48"/>
        <v/>
      </c>
      <c r="AF240" s="38" t="str">
        <f t="shared" si="49"/>
        <v/>
      </c>
      <c r="AG240" s="26"/>
      <c r="AH240" s="72" t="str">
        <f t="shared" ca="1" si="50"/>
        <v/>
      </c>
      <c r="AI240" s="72" t="str">
        <f ca="1">IF(A240="","",IF(OR(W240='02_マスタ'!$E$10,W240='02_マスタ'!$E$12),"",IF(V240="High","High",IF(AND(U240&lt;&gt;"",U240&lt;TODAY()),INDEX(_翻訳マスタ!$B$117:$D$247,MATCH("ALERT_OVERDUE",_翻訳マスタ!$A$117:$A$247,0),MATCH(言語切替!$B$3,_翻訳マスタ!$B$1:$D$1,0)),IF(AND(U240&lt;&gt;"",U240-TODAY()&lt;=7),INDEX(_翻訳マスタ!$B$117:$D$247,MATCH("ALERT_APPROACHING",_翻訳マスタ!$A$117:$A$247,0),MATCH(言語切替!$B$3,_翻訳マスタ!$B$1:$D$1,0)),IF(OR(W240='02_マスタ'!$E$7,W240='02_マスタ'!$E$8),INDEX(_翻訳マスタ!$B$117:$D$247,MATCH("ALERT_CHECK",_翻訳マスタ!$A$117:$A$247,0),MATCH(言語切替!$B$3,_翻訳マスタ!$B$1:$D$1,0)),""))))))</f>
        <v/>
      </c>
      <c r="AJ240" s="73"/>
    </row>
    <row r="241" spans="1:36" s="21" customFormat="1" x14ac:dyDescent="0.25">
      <c r="A241" s="83"/>
      <c r="B241" s="84"/>
      <c r="C241" s="84"/>
      <c r="D241" s="84"/>
      <c r="E241" s="84"/>
      <c r="F241" s="29"/>
      <c r="G241" s="29"/>
      <c r="H241" s="39" t="str">
        <f t="shared" si="51"/>
        <v/>
      </c>
      <c r="I241" s="39" t="str">
        <f t="shared" si="52"/>
        <v/>
      </c>
      <c r="J241" s="29"/>
      <c r="K241" s="29"/>
      <c r="L241" s="39" t="str">
        <f t="shared" si="53"/>
        <v/>
      </c>
      <c r="M241" s="39" t="str">
        <f t="shared" si="54"/>
        <v/>
      </c>
      <c r="N241" s="29"/>
      <c r="O241" s="29"/>
      <c r="P241" s="39" t="str">
        <f t="shared" si="55"/>
        <v/>
      </c>
      <c r="Q241" s="39" t="str">
        <f t="shared" si="56"/>
        <v/>
      </c>
      <c r="R241" s="29"/>
      <c r="S241" s="29"/>
      <c r="T241" s="30"/>
      <c r="U241" s="30"/>
      <c r="V241" s="29"/>
      <c r="W241" s="29"/>
      <c r="X241" s="29"/>
      <c r="Y241" s="29"/>
      <c r="Z241" s="29"/>
      <c r="AA241" s="39" t="str">
        <f t="shared" si="57"/>
        <v/>
      </c>
      <c r="AB241" s="39" t="str">
        <f t="shared" si="58"/>
        <v/>
      </c>
      <c r="AC241" s="29"/>
      <c r="AD241" s="29"/>
      <c r="AE241" s="39" t="str">
        <f t="shared" si="48"/>
        <v/>
      </c>
      <c r="AF241" s="39" t="str">
        <f t="shared" si="49"/>
        <v/>
      </c>
      <c r="AG241" s="29"/>
      <c r="AH241" s="74" t="str">
        <f t="shared" ca="1" si="50"/>
        <v/>
      </c>
      <c r="AI241" s="74" t="str">
        <f ca="1">IF(A241="","",IF(OR(W241='02_マスタ'!$E$10,W241='02_マスタ'!$E$12),"",IF(V241="High","High",IF(AND(U241&lt;&gt;"",U241&lt;TODAY()),INDEX(_翻訳マスタ!$B$117:$D$247,MATCH("ALERT_OVERDUE",_翻訳マスタ!$A$117:$A$247,0),MATCH(言語切替!$B$3,_翻訳マスタ!$B$1:$D$1,0)),IF(AND(U241&lt;&gt;"",U241-TODAY()&lt;=7),INDEX(_翻訳マスタ!$B$117:$D$247,MATCH("ALERT_APPROACHING",_翻訳マスタ!$A$117:$A$247,0),MATCH(言語切替!$B$3,_翻訳マスタ!$B$1:$D$1,0)),IF(OR(W241='02_マスタ'!$E$7,W241='02_マスタ'!$E$8),INDEX(_翻訳マスタ!$B$117:$D$247,MATCH("ALERT_CHECK",_翻訳マスタ!$A$117:$A$247,0),MATCH(言語切替!$B$3,_翻訳マスタ!$B$1:$D$1,0)),""))))))</f>
        <v/>
      </c>
      <c r="AJ241" s="75"/>
    </row>
    <row r="242" spans="1:36" s="21" customFormat="1" x14ac:dyDescent="0.25">
      <c r="A242" s="81"/>
      <c r="B242" s="82"/>
      <c r="C242" s="82"/>
      <c r="D242" s="82"/>
      <c r="E242" s="82"/>
      <c r="F242" s="26"/>
      <c r="G242" s="26"/>
      <c r="H242" s="38" t="str">
        <f t="shared" si="51"/>
        <v/>
      </c>
      <c r="I242" s="38" t="str">
        <f t="shared" si="52"/>
        <v/>
      </c>
      <c r="J242" s="26"/>
      <c r="K242" s="26"/>
      <c r="L242" s="38" t="str">
        <f t="shared" si="53"/>
        <v/>
      </c>
      <c r="M242" s="38" t="str">
        <f t="shared" si="54"/>
        <v/>
      </c>
      <c r="N242" s="26"/>
      <c r="O242" s="26"/>
      <c r="P242" s="38" t="str">
        <f t="shared" si="55"/>
        <v/>
      </c>
      <c r="Q242" s="38" t="str">
        <f t="shared" si="56"/>
        <v/>
      </c>
      <c r="R242" s="26"/>
      <c r="S242" s="26"/>
      <c r="T242" s="27"/>
      <c r="U242" s="27"/>
      <c r="V242" s="26"/>
      <c r="W242" s="26"/>
      <c r="X242" s="26"/>
      <c r="Y242" s="26"/>
      <c r="Z242" s="26"/>
      <c r="AA242" s="38" t="str">
        <f t="shared" si="57"/>
        <v/>
      </c>
      <c r="AB242" s="38" t="str">
        <f t="shared" si="58"/>
        <v/>
      </c>
      <c r="AC242" s="26"/>
      <c r="AD242" s="26"/>
      <c r="AE242" s="38" t="str">
        <f t="shared" si="48"/>
        <v/>
      </c>
      <c r="AF242" s="38" t="str">
        <f t="shared" si="49"/>
        <v/>
      </c>
      <c r="AG242" s="26"/>
      <c r="AH242" s="72" t="str">
        <f t="shared" ca="1" si="50"/>
        <v/>
      </c>
      <c r="AI242" s="72" t="str">
        <f ca="1">IF(A242="","",IF(OR(W242='02_マスタ'!$E$10,W242='02_マスタ'!$E$12),"",IF(V242="High","High",IF(AND(U242&lt;&gt;"",U242&lt;TODAY()),INDEX(_翻訳マスタ!$B$117:$D$247,MATCH("ALERT_OVERDUE",_翻訳マスタ!$A$117:$A$247,0),MATCH(言語切替!$B$3,_翻訳マスタ!$B$1:$D$1,0)),IF(AND(U242&lt;&gt;"",U242-TODAY()&lt;=7),INDEX(_翻訳マスタ!$B$117:$D$247,MATCH("ALERT_APPROACHING",_翻訳マスタ!$A$117:$A$247,0),MATCH(言語切替!$B$3,_翻訳マスタ!$B$1:$D$1,0)),IF(OR(W242='02_マスタ'!$E$7,W242='02_マスタ'!$E$8),INDEX(_翻訳マスタ!$B$117:$D$247,MATCH("ALERT_CHECK",_翻訳マスタ!$A$117:$A$247,0),MATCH(言語切替!$B$3,_翻訳マスタ!$B$1:$D$1,0)),""))))))</f>
        <v/>
      </c>
      <c r="AJ242" s="73"/>
    </row>
    <row r="243" spans="1:36" s="21" customFormat="1" x14ac:dyDescent="0.25">
      <c r="A243" s="83"/>
      <c r="B243" s="84"/>
      <c r="C243" s="84"/>
      <c r="D243" s="84"/>
      <c r="E243" s="84"/>
      <c r="F243" s="29"/>
      <c r="G243" s="29"/>
      <c r="H243" s="39" t="str">
        <f t="shared" si="51"/>
        <v/>
      </c>
      <c r="I243" s="39" t="str">
        <f t="shared" si="52"/>
        <v/>
      </c>
      <c r="J243" s="29"/>
      <c r="K243" s="29"/>
      <c r="L243" s="39" t="str">
        <f t="shared" si="53"/>
        <v/>
      </c>
      <c r="M243" s="39" t="str">
        <f t="shared" si="54"/>
        <v/>
      </c>
      <c r="N243" s="29"/>
      <c r="O243" s="29"/>
      <c r="P243" s="39" t="str">
        <f t="shared" si="55"/>
        <v/>
      </c>
      <c r="Q243" s="39" t="str">
        <f t="shared" si="56"/>
        <v/>
      </c>
      <c r="R243" s="29"/>
      <c r="S243" s="29"/>
      <c r="T243" s="30"/>
      <c r="U243" s="30"/>
      <c r="V243" s="29"/>
      <c r="W243" s="29"/>
      <c r="X243" s="29"/>
      <c r="Y243" s="29"/>
      <c r="Z243" s="29"/>
      <c r="AA243" s="39" t="str">
        <f t="shared" si="57"/>
        <v/>
      </c>
      <c r="AB243" s="39" t="str">
        <f t="shared" si="58"/>
        <v/>
      </c>
      <c r="AC243" s="29"/>
      <c r="AD243" s="29"/>
      <c r="AE243" s="39" t="str">
        <f t="shared" si="48"/>
        <v/>
      </c>
      <c r="AF243" s="39" t="str">
        <f t="shared" si="49"/>
        <v/>
      </c>
      <c r="AG243" s="29"/>
      <c r="AH243" s="74" t="str">
        <f t="shared" ca="1" si="50"/>
        <v/>
      </c>
      <c r="AI243" s="74" t="str">
        <f ca="1">IF(A243="","",IF(OR(W243='02_マスタ'!$E$10,W243='02_マスタ'!$E$12),"",IF(V243="High","High",IF(AND(U243&lt;&gt;"",U243&lt;TODAY()),INDEX(_翻訳マスタ!$B$117:$D$247,MATCH("ALERT_OVERDUE",_翻訳マスタ!$A$117:$A$247,0),MATCH(言語切替!$B$3,_翻訳マスタ!$B$1:$D$1,0)),IF(AND(U243&lt;&gt;"",U243-TODAY()&lt;=7),INDEX(_翻訳マスタ!$B$117:$D$247,MATCH("ALERT_APPROACHING",_翻訳マスタ!$A$117:$A$247,0),MATCH(言語切替!$B$3,_翻訳マスタ!$B$1:$D$1,0)),IF(OR(W243='02_マスタ'!$E$7,W243='02_マスタ'!$E$8),INDEX(_翻訳マスタ!$B$117:$D$247,MATCH("ALERT_CHECK",_翻訳マスタ!$A$117:$A$247,0),MATCH(言語切替!$B$3,_翻訳マスタ!$B$1:$D$1,0)),""))))))</f>
        <v/>
      </c>
      <c r="AJ243" s="75"/>
    </row>
    <row r="244" spans="1:36" s="21" customFormat="1" x14ac:dyDescent="0.25">
      <c r="A244" s="81"/>
      <c r="B244" s="82"/>
      <c r="C244" s="82"/>
      <c r="D244" s="82"/>
      <c r="E244" s="82"/>
      <c r="F244" s="26"/>
      <c r="G244" s="26"/>
      <c r="H244" s="38" t="str">
        <f t="shared" si="51"/>
        <v/>
      </c>
      <c r="I244" s="38" t="str">
        <f t="shared" si="52"/>
        <v/>
      </c>
      <c r="J244" s="26"/>
      <c r="K244" s="26"/>
      <c r="L244" s="38" t="str">
        <f t="shared" si="53"/>
        <v/>
      </c>
      <c r="M244" s="38" t="str">
        <f t="shared" si="54"/>
        <v/>
      </c>
      <c r="N244" s="26"/>
      <c r="O244" s="26"/>
      <c r="P244" s="38" t="str">
        <f t="shared" si="55"/>
        <v/>
      </c>
      <c r="Q244" s="38" t="str">
        <f t="shared" si="56"/>
        <v/>
      </c>
      <c r="R244" s="26"/>
      <c r="S244" s="26"/>
      <c r="T244" s="27"/>
      <c r="U244" s="27"/>
      <c r="V244" s="26"/>
      <c r="W244" s="26"/>
      <c r="X244" s="26"/>
      <c r="Y244" s="26"/>
      <c r="Z244" s="26"/>
      <c r="AA244" s="38" t="str">
        <f t="shared" si="57"/>
        <v/>
      </c>
      <c r="AB244" s="38" t="str">
        <f t="shared" si="58"/>
        <v/>
      </c>
      <c r="AC244" s="26"/>
      <c r="AD244" s="26"/>
      <c r="AE244" s="38" t="str">
        <f t="shared" si="48"/>
        <v/>
      </c>
      <c r="AF244" s="38" t="str">
        <f t="shared" si="49"/>
        <v/>
      </c>
      <c r="AG244" s="26"/>
      <c r="AH244" s="72" t="str">
        <f t="shared" ca="1" si="50"/>
        <v/>
      </c>
      <c r="AI244" s="72" t="str">
        <f ca="1">IF(A244="","",IF(OR(W244='02_マスタ'!$E$10,W244='02_マスタ'!$E$12),"",IF(V244="High","High",IF(AND(U244&lt;&gt;"",U244&lt;TODAY()),INDEX(_翻訳マスタ!$B$117:$D$247,MATCH("ALERT_OVERDUE",_翻訳マスタ!$A$117:$A$247,0),MATCH(言語切替!$B$3,_翻訳マスタ!$B$1:$D$1,0)),IF(AND(U244&lt;&gt;"",U244-TODAY()&lt;=7),INDEX(_翻訳マスタ!$B$117:$D$247,MATCH("ALERT_APPROACHING",_翻訳マスタ!$A$117:$A$247,0),MATCH(言語切替!$B$3,_翻訳マスタ!$B$1:$D$1,0)),IF(OR(W244='02_マスタ'!$E$7,W244='02_マスタ'!$E$8),INDEX(_翻訳マスタ!$B$117:$D$247,MATCH("ALERT_CHECK",_翻訳マスタ!$A$117:$A$247,0),MATCH(言語切替!$B$3,_翻訳マスタ!$B$1:$D$1,0)),""))))))</f>
        <v/>
      </c>
      <c r="AJ244" s="73"/>
    </row>
    <row r="245" spans="1:36" s="21" customFormat="1" x14ac:dyDescent="0.25">
      <c r="A245" s="83"/>
      <c r="B245" s="84"/>
      <c r="C245" s="84"/>
      <c r="D245" s="84"/>
      <c r="E245" s="84"/>
      <c r="F245" s="29"/>
      <c r="G245" s="29"/>
      <c r="H245" s="39" t="str">
        <f t="shared" si="51"/>
        <v/>
      </c>
      <c r="I245" s="39" t="str">
        <f t="shared" si="52"/>
        <v/>
      </c>
      <c r="J245" s="29"/>
      <c r="K245" s="29"/>
      <c r="L245" s="39" t="str">
        <f t="shared" si="53"/>
        <v/>
      </c>
      <c r="M245" s="39" t="str">
        <f t="shared" si="54"/>
        <v/>
      </c>
      <c r="N245" s="29"/>
      <c r="O245" s="29"/>
      <c r="P245" s="39" t="str">
        <f t="shared" si="55"/>
        <v/>
      </c>
      <c r="Q245" s="39" t="str">
        <f t="shared" si="56"/>
        <v/>
      </c>
      <c r="R245" s="29"/>
      <c r="S245" s="29"/>
      <c r="T245" s="30"/>
      <c r="U245" s="30"/>
      <c r="V245" s="29"/>
      <c r="W245" s="29"/>
      <c r="X245" s="29"/>
      <c r="Y245" s="29"/>
      <c r="Z245" s="29"/>
      <c r="AA245" s="39" t="str">
        <f t="shared" si="57"/>
        <v/>
      </c>
      <c r="AB245" s="39" t="str">
        <f t="shared" si="58"/>
        <v/>
      </c>
      <c r="AC245" s="29"/>
      <c r="AD245" s="29"/>
      <c r="AE245" s="39" t="str">
        <f t="shared" si="48"/>
        <v/>
      </c>
      <c r="AF245" s="39" t="str">
        <f t="shared" si="49"/>
        <v/>
      </c>
      <c r="AG245" s="29"/>
      <c r="AH245" s="74" t="str">
        <f t="shared" ca="1" si="50"/>
        <v/>
      </c>
      <c r="AI245" s="74" t="str">
        <f ca="1">IF(A245="","",IF(OR(W245='02_マスタ'!$E$10,W245='02_マスタ'!$E$12),"",IF(V245="High","High",IF(AND(U245&lt;&gt;"",U245&lt;TODAY()),INDEX(_翻訳マスタ!$B$117:$D$247,MATCH("ALERT_OVERDUE",_翻訳マスタ!$A$117:$A$247,0),MATCH(言語切替!$B$3,_翻訳マスタ!$B$1:$D$1,0)),IF(AND(U245&lt;&gt;"",U245-TODAY()&lt;=7),INDEX(_翻訳マスタ!$B$117:$D$247,MATCH("ALERT_APPROACHING",_翻訳マスタ!$A$117:$A$247,0),MATCH(言語切替!$B$3,_翻訳マスタ!$B$1:$D$1,0)),IF(OR(W245='02_マスタ'!$E$7,W245='02_マスタ'!$E$8),INDEX(_翻訳マスタ!$B$117:$D$247,MATCH("ALERT_CHECK",_翻訳マスタ!$A$117:$A$247,0),MATCH(言語切替!$B$3,_翻訳マスタ!$B$1:$D$1,0)),""))))))</f>
        <v/>
      </c>
      <c r="AJ245" s="75"/>
    </row>
    <row r="246" spans="1:36" s="21" customFormat="1" x14ac:dyDescent="0.25">
      <c r="A246" s="81"/>
      <c r="B246" s="82"/>
      <c r="C246" s="82"/>
      <c r="D246" s="82"/>
      <c r="E246" s="82"/>
      <c r="F246" s="26"/>
      <c r="G246" s="26"/>
      <c r="H246" s="38" t="str">
        <f t="shared" si="51"/>
        <v/>
      </c>
      <c r="I246" s="38" t="str">
        <f t="shared" si="52"/>
        <v/>
      </c>
      <c r="J246" s="26"/>
      <c r="K246" s="26"/>
      <c r="L246" s="38" t="str">
        <f t="shared" si="53"/>
        <v/>
      </c>
      <c r="M246" s="38" t="str">
        <f t="shared" si="54"/>
        <v/>
      </c>
      <c r="N246" s="26"/>
      <c r="O246" s="26"/>
      <c r="P246" s="38" t="str">
        <f t="shared" si="55"/>
        <v/>
      </c>
      <c r="Q246" s="38" t="str">
        <f t="shared" si="56"/>
        <v/>
      </c>
      <c r="R246" s="26"/>
      <c r="S246" s="26"/>
      <c r="T246" s="27"/>
      <c r="U246" s="27"/>
      <c r="V246" s="26"/>
      <c r="W246" s="26"/>
      <c r="X246" s="26"/>
      <c r="Y246" s="26"/>
      <c r="Z246" s="26"/>
      <c r="AA246" s="38" t="str">
        <f t="shared" si="57"/>
        <v/>
      </c>
      <c r="AB246" s="38" t="str">
        <f t="shared" si="58"/>
        <v/>
      </c>
      <c r="AC246" s="26"/>
      <c r="AD246" s="26"/>
      <c r="AE246" s="38" t="str">
        <f t="shared" si="48"/>
        <v/>
      </c>
      <c r="AF246" s="38" t="str">
        <f t="shared" si="49"/>
        <v/>
      </c>
      <c r="AG246" s="26"/>
      <c r="AH246" s="72" t="str">
        <f t="shared" ca="1" si="50"/>
        <v/>
      </c>
      <c r="AI246" s="72" t="str">
        <f ca="1">IF(A246="","",IF(OR(W246='02_マスタ'!$E$10,W246='02_マスタ'!$E$12),"",IF(V246="High","High",IF(AND(U246&lt;&gt;"",U246&lt;TODAY()),INDEX(_翻訳マスタ!$B$117:$D$247,MATCH("ALERT_OVERDUE",_翻訳マスタ!$A$117:$A$247,0),MATCH(言語切替!$B$3,_翻訳マスタ!$B$1:$D$1,0)),IF(AND(U246&lt;&gt;"",U246-TODAY()&lt;=7),INDEX(_翻訳マスタ!$B$117:$D$247,MATCH("ALERT_APPROACHING",_翻訳マスタ!$A$117:$A$247,0),MATCH(言語切替!$B$3,_翻訳マスタ!$B$1:$D$1,0)),IF(OR(W246='02_マスタ'!$E$7,W246='02_マスタ'!$E$8),INDEX(_翻訳マスタ!$B$117:$D$247,MATCH("ALERT_CHECK",_翻訳マスタ!$A$117:$A$247,0),MATCH(言語切替!$B$3,_翻訳マスタ!$B$1:$D$1,0)),""))))))</f>
        <v/>
      </c>
      <c r="AJ246" s="73"/>
    </row>
    <row r="247" spans="1:36" s="21" customFormat="1" x14ac:dyDescent="0.25">
      <c r="A247" s="83"/>
      <c r="B247" s="84"/>
      <c r="C247" s="84"/>
      <c r="D247" s="84"/>
      <c r="E247" s="84"/>
      <c r="F247" s="29"/>
      <c r="G247" s="29"/>
      <c r="H247" s="39" t="str">
        <f t="shared" si="51"/>
        <v/>
      </c>
      <c r="I247" s="39" t="str">
        <f t="shared" si="52"/>
        <v/>
      </c>
      <c r="J247" s="29"/>
      <c r="K247" s="29"/>
      <c r="L247" s="39" t="str">
        <f t="shared" si="53"/>
        <v/>
      </c>
      <c r="M247" s="39" t="str">
        <f t="shared" si="54"/>
        <v/>
      </c>
      <c r="N247" s="29"/>
      <c r="O247" s="29"/>
      <c r="P247" s="39" t="str">
        <f t="shared" si="55"/>
        <v/>
      </c>
      <c r="Q247" s="39" t="str">
        <f t="shared" si="56"/>
        <v/>
      </c>
      <c r="R247" s="29"/>
      <c r="S247" s="29"/>
      <c r="T247" s="30"/>
      <c r="U247" s="30"/>
      <c r="V247" s="29"/>
      <c r="W247" s="29"/>
      <c r="X247" s="29"/>
      <c r="Y247" s="29"/>
      <c r="Z247" s="29"/>
      <c r="AA247" s="39" t="str">
        <f t="shared" si="57"/>
        <v/>
      </c>
      <c r="AB247" s="39" t="str">
        <f t="shared" si="58"/>
        <v/>
      </c>
      <c r="AC247" s="29"/>
      <c r="AD247" s="29"/>
      <c r="AE247" s="39" t="str">
        <f t="shared" si="48"/>
        <v/>
      </c>
      <c r="AF247" s="39" t="str">
        <f t="shared" si="49"/>
        <v/>
      </c>
      <c r="AG247" s="29"/>
      <c r="AH247" s="74" t="str">
        <f t="shared" ca="1" si="50"/>
        <v/>
      </c>
      <c r="AI247" s="74" t="str">
        <f ca="1">IF(A247="","",IF(OR(W247='02_マスタ'!$E$10,W247='02_マスタ'!$E$12),"",IF(V247="High","High",IF(AND(U247&lt;&gt;"",U247&lt;TODAY()),INDEX(_翻訳マスタ!$B$117:$D$247,MATCH("ALERT_OVERDUE",_翻訳マスタ!$A$117:$A$247,0),MATCH(言語切替!$B$3,_翻訳マスタ!$B$1:$D$1,0)),IF(AND(U247&lt;&gt;"",U247-TODAY()&lt;=7),INDEX(_翻訳マスタ!$B$117:$D$247,MATCH("ALERT_APPROACHING",_翻訳マスタ!$A$117:$A$247,0),MATCH(言語切替!$B$3,_翻訳マスタ!$B$1:$D$1,0)),IF(OR(W247='02_マスタ'!$E$7,W247='02_マスタ'!$E$8),INDEX(_翻訳マスタ!$B$117:$D$247,MATCH("ALERT_CHECK",_翻訳マスタ!$A$117:$A$247,0),MATCH(言語切替!$B$3,_翻訳マスタ!$B$1:$D$1,0)),""))))))</f>
        <v/>
      </c>
      <c r="AJ247" s="75"/>
    </row>
    <row r="248" spans="1:36" s="21" customFormat="1" x14ac:dyDescent="0.25">
      <c r="A248" s="81"/>
      <c r="B248" s="82"/>
      <c r="C248" s="82"/>
      <c r="D248" s="82"/>
      <c r="E248" s="82"/>
      <c r="F248" s="26"/>
      <c r="G248" s="26"/>
      <c r="H248" s="38" t="str">
        <f t="shared" si="51"/>
        <v/>
      </c>
      <c r="I248" s="38" t="str">
        <f t="shared" si="52"/>
        <v/>
      </c>
      <c r="J248" s="26"/>
      <c r="K248" s="26"/>
      <c r="L248" s="38" t="str">
        <f t="shared" si="53"/>
        <v/>
      </c>
      <c r="M248" s="38" t="str">
        <f t="shared" si="54"/>
        <v/>
      </c>
      <c r="N248" s="26"/>
      <c r="O248" s="26"/>
      <c r="P248" s="38" t="str">
        <f t="shared" si="55"/>
        <v/>
      </c>
      <c r="Q248" s="38" t="str">
        <f t="shared" si="56"/>
        <v/>
      </c>
      <c r="R248" s="26"/>
      <c r="S248" s="26"/>
      <c r="T248" s="27"/>
      <c r="U248" s="27"/>
      <c r="V248" s="26"/>
      <c r="W248" s="26"/>
      <c r="X248" s="26"/>
      <c r="Y248" s="26"/>
      <c r="Z248" s="26"/>
      <c r="AA248" s="38" t="str">
        <f t="shared" si="57"/>
        <v/>
      </c>
      <c r="AB248" s="38" t="str">
        <f t="shared" si="58"/>
        <v/>
      </c>
      <c r="AC248" s="26"/>
      <c r="AD248" s="26"/>
      <c r="AE248" s="38" t="str">
        <f t="shared" si="48"/>
        <v/>
      </c>
      <c r="AF248" s="38" t="str">
        <f t="shared" si="49"/>
        <v/>
      </c>
      <c r="AG248" s="26"/>
      <c r="AH248" s="72" t="str">
        <f t="shared" ca="1" si="50"/>
        <v/>
      </c>
      <c r="AI248" s="72" t="str">
        <f ca="1">IF(A248="","",IF(OR(W248='02_マスタ'!$E$10,W248='02_マスタ'!$E$12),"",IF(V248="High","High",IF(AND(U248&lt;&gt;"",U248&lt;TODAY()),INDEX(_翻訳マスタ!$B$117:$D$247,MATCH("ALERT_OVERDUE",_翻訳マスタ!$A$117:$A$247,0),MATCH(言語切替!$B$3,_翻訳マスタ!$B$1:$D$1,0)),IF(AND(U248&lt;&gt;"",U248-TODAY()&lt;=7),INDEX(_翻訳マスタ!$B$117:$D$247,MATCH("ALERT_APPROACHING",_翻訳マスタ!$A$117:$A$247,0),MATCH(言語切替!$B$3,_翻訳マスタ!$B$1:$D$1,0)),IF(OR(W248='02_マスタ'!$E$7,W248='02_マスタ'!$E$8),INDEX(_翻訳マスタ!$B$117:$D$247,MATCH("ALERT_CHECK",_翻訳マスタ!$A$117:$A$247,0),MATCH(言語切替!$B$3,_翻訳マスタ!$B$1:$D$1,0)),""))))))</f>
        <v/>
      </c>
      <c r="AJ248" s="73"/>
    </row>
    <row r="249" spans="1:36" s="21" customFormat="1" x14ac:dyDescent="0.25">
      <c r="A249" s="83"/>
      <c r="B249" s="84"/>
      <c r="C249" s="84"/>
      <c r="D249" s="84"/>
      <c r="E249" s="84"/>
      <c r="F249" s="29"/>
      <c r="G249" s="29"/>
      <c r="H249" s="39" t="str">
        <f t="shared" si="51"/>
        <v/>
      </c>
      <c r="I249" s="39" t="str">
        <f t="shared" si="52"/>
        <v/>
      </c>
      <c r="J249" s="29"/>
      <c r="K249" s="29"/>
      <c r="L249" s="39" t="str">
        <f t="shared" si="53"/>
        <v/>
      </c>
      <c r="M249" s="39" t="str">
        <f t="shared" si="54"/>
        <v/>
      </c>
      <c r="N249" s="29"/>
      <c r="O249" s="29"/>
      <c r="P249" s="39" t="str">
        <f t="shared" si="55"/>
        <v/>
      </c>
      <c r="Q249" s="39" t="str">
        <f t="shared" si="56"/>
        <v/>
      </c>
      <c r="R249" s="29"/>
      <c r="S249" s="29"/>
      <c r="T249" s="30"/>
      <c r="U249" s="30"/>
      <c r="V249" s="29"/>
      <c r="W249" s="29"/>
      <c r="X249" s="29"/>
      <c r="Y249" s="29"/>
      <c r="Z249" s="29"/>
      <c r="AA249" s="39" t="str">
        <f t="shared" si="57"/>
        <v/>
      </c>
      <c r="AB249" s="39" t="str">
        <f t="shared" si="58"/>
        <v/>
      </c>
      <c r="AC249" s="29"/>
      <c r="AD249" s="29"/>
      <c r="AE249" s="39" t="str">
        <f t="shared" si="48"/>
        <v/>
      </c>
      <c r="AF249" s="39" t="str">
        <f t="shared" si="49"/>
        <v/>
      </c>
      <c r="AG249" s="29"/>
      <c r="AH249" s="74" t="str">
        <f t="shared" ca="1" si="50"/>
        <v/>
      </c>
      <c r="AI249" s="74" t="str">
        <f ca="1">IF(A249="","",IF(OR(W249='02_マスタ'!$E$10,W249='02_マスタ'!$E$12),"",IF(V249="High","High",IF(AND(U249&lt;&gt;"",U249&lt;TODAY()),INDEX(_翻訳マスタ!$B$117:$D$247,MATCH("ALERT_OVERDUE",_翻訳マスタ!$A$117:$A$247,0),MATCH(言語切替!$B$3,_翻訳マスタ!$B$1:$D$1,0)),IF(AND(U249&lt;&gt;"",U249-TODAY()&lt;=7),INDEX(_翻訳マスタ!$B$117:$D$247,MATCH("ALERT_APPROACHING",_翻訳マスタ!$A$117:$A$247,0),MATCH(言語切替!$B$3,_翻訳マスタ!$B$1:$D$1,0)),IF(OR(W249='02_マスタ'!$E$7,W249='02_マスタ'!$E$8),INDEX(_翻訳マスタ!$B$117:$D$247,MATCH("ALERT_CHECK",_翻訳マスタ!$A$117:$A$247,0),MATCH(言語切替!$B$3,_翻訳マスタ!$B$1:$D$1,0)),""))))))</f>
        <v/>
      </c>
      <c r="AJ249" s="75"/>
    </row>
    <row r="250" spans="1:36" s="21" customFormat="1" x14ac:dyDescent="0.25">
      <c r="A250" s="81"/>
      <c r="B250" s="82"/>
      <c r="C250" s="82"/>
      <c r="D250" s="82"/>
      <c r="E250" s="82"/>
      <c r="F250" s="26"/>
      <c r="G250" s="26"/>
      <c r="H250" s="38" t="str">
        <f t="shared" si="51"/>
        <v/>
      </c>
      <c r="I250" s="38" t="str">
        <f t="shared" si="52"/>
        <v/>
      </c>
      <c r="J250" s="26"/>
      <c r="K250" s="26"/>
      <c r="L250" s="38" t="str">
        <f t="shared" si="53"/>
        <v/>
      </c>
      <c r="M250" s="38" t="str">
        <f t="shared" si="54"/>
        <v/>
      </c>
      <c r="N250" s="26"/>
      <c r="O250" s="26"/>
      <c r="P250" s="38" t="str">
        <f t="shared" si="55"/>
        <v/>
      </c>
      <c r="Q250" s="38" t="str">
        <f t="shared" si="56"/>
        <v/>
      </c>
      <c r="R250" s="26"/>
      <c r="S250" s="26"/>
      <c r="T250" s="27"/>
      <c r="U250" s="27"/>
      <c r="V250" s="26"/>
      <c r="W250" s="26"/>
      <c r="X250" s="26"/>
      <c r="Y250" s="26"/>
      <c r="Z250" s="26"/>
      <c r="AA250" s="38" t="str">
        <f t="shared" si="57"/>
        <v/>
      </c>
      <c r="AB250" s="38" t="str">
        <f t="shared" si="58"/>
        <v/>
      </c>
      <c r="AC250" s="26"/>
      <c r="AD250" s="26"/>
      <c r="AE250" s="38" t="str">
        <f t="shared" si="48"/>
        <v/>
      </c>
      <c r="AF250" s="38" t="str">
        <f t="shared" si="49"/>
        <v/>
      </c>
      <c r="AG250" s="26"/>
      <c r="AH250" s="72" t="str">
        <f t="shared" ca="1" si="50"/>
        <v/>
      </c>
      <c r="AI250" s="72" t="str">
        <f ca="1">IF(A250="","",IF(OR(W250='02_マスタ'!$E$10,W250='02_マスタ'!$E$12),"",IF(V250="High","High",IF(AND(U250&lt;&gt;"",U250&lt;TODAY()),INDEX(_翻訳マスタ!$B$117:$D$247,MATCH("ALERT_OVERDUE",_翻訳マスタ!$A$117:$A$247,0),MATCH(言語切替!$B$3,_翻訳マスタ!$B$1:$D$1,0)),IF(AND(U250&lt;&gt;"",U250-TODAY()&lt;=7),INDEX(_翻訳マスタ!$B$117:$D$247,MATCH("ALERT_APPROACHING",_翻訳マスタ!$A$117:$A$247,0),MATCH(言語切替!$B$3,_翻訳マスタ!$B$1:$D$1,0)),IF(OR(W250='02_マスタ'!$E$7,W250='02_マスタ'!$E$8),INDEX(_翻訳マスタ!$B$117:$D$247,MATCH("ALERT_CHECK",_翻訳マスタ!$A$117:$A$247,0),MATCH(言語切替!$B$3,_翻訳マスタ!$B$1:$D$1,0)),""))))))</f>
        <v/>
      </c>
      <c r="AJ250" s="73"/>
    </row>
    <row r="251" spans="1:36" s="21" customFormat="1" x14ac:dyDescent="0.25">
      <c r="A251" s="83"/>
      <c r="B251" s="84"/>
      <c r="C251" s="84"/>
      <c r="D251" s="84"/>
      <c r="E251" s="84"/>
      <c r="F251" s="29"/>
      <c r="G251" s="29"/>
      <c r="H251" s="39" t="str">
        <f t="shared" si="51"/>
        <v/>
      </c>
      <c r="I251" s="39" t="str">
        <f t="shared" si="52"/>
        <v/>
      </c>
      <c r="J251" s="29"/>
      <c r="K251" s="29"/>
      <c r="L251" s="39" t="str">
        <f t="shared" si="53"/>
        <v/>
      </c>
      <c r="M251" s="39" t="str">
        <f t="shared" si="54"/>
        <v/>
      </c>
      <c r="N251" s="29"/>
      <c r="O251" s="29"/>
      <c r="P251" s="39" t="str">
        <f t="shared" si="55"/>
        <v/>
      </c>
      <c r="Q251" s="39" t="str">
        <f t="shared" si="56"/>
        <v/>
      </c>
      <c r="R251" s="29"/>
      <c r="S251" s="29"/>
      <c r="T251" s="30"/>
      <c r="U251" s="30"/>
      <c r="V251" s="29"/>
      <c r="W251" s="29"/>
      <c r="X251" s="29"/>
      <c r="Y251" s="29"/>
      <c r="Z251" s="29"/>
      <c r="AA251" s="39" t="str">
        <f t="shared" si="57"/>
        <v/>
      </c>
      <c r="AB251" s="39" t="str">
        <f t="shared" si="58"/>
        <v/>
      </c>
      <c r="AC251" s="29"/>
      <c r="AD251" s="29"/>
      <c r="AE251" s="39" t="str">
        <f t="shared" si="48"/>
        <v/>
      </c>
      <c r="AF251" s="39" t="str">
        <f t="shared" si="49"/>
        <v/>
      </c>
      <c r="AG251" s="29"/>
      <c r="AH251" s="74" t="str">
        <f t="shared" ca="1" si="50"/>
        <v/>
      </c>
      <c r="AI251" s="74" t="str">
        <f ca="1">IF(A251="","",IF(OR(W251='02_マスタ'!$E$10,W251='02_マスタ'!$E$12),"",IF(V251="High","High",IF(AND(U251&lt;&gt;"",U251&lt;TODAY()),INDEX(_翻訳マスタ!$B$117:$D$247,MATCH("ALERT_OVERDUE",_翻訳マスタ!$A$117:$A$247,0),MATCH(言語切替!$B$3,_翻訳マスタ!$B$1:$D$1,0)),IF(AND(U251&lt;&gt;"",U251-TODAY()&lt;=7),INDEX(_翻訳マスタ!$B$117:$D$247,MATCH("ALERT_APPROACHING",_翻訳マスタ!$A$117:$A$247,0),MATCH(言語切替!$B$3,_翻訳マスタ!$B$1:$D$1,0)),IF(OR(W251='02_マスタ'!$E$7,W251='02_マスタ'!$E$8),INDEX(_翻訳マスタ!$B$117:$D$247,MATCH("ALERT_CHECK",_翻訳マスタ!$A$117:$A$247,0),MATCH(言語切替!$B$3,_翻訳マスタ!$B$1:$D$1,0)),""))))))</f>
        <v/>
      </c>
      <c r="AJ251" s="75"/>
    </row>
    <row r="252" spans="1:36" s="21" customFormat="1" x14ac:dyDescent="0.25">
      <c r="A252" s="81"/>
      <c r="B252" s="82"/>
      <c r="C252" s="82"/>
      <c r="D252" s="82"/>
      <c r="E252" s="82"/>
      <c r="F252" s="26"/>
      <c r="G252" s="26"/>
      <c r="H252" s="38" t="str">
        <f t="shared" si="51"/>
        <v/>
      </c>
      <c r="I252" s="38" t="str">
        <f t="shared" si="52"/>
        <v/>
      </c>
      <c r="J252" s="26"/>
      <c r="K252" s="26"/>
      <c r="L252" s="38" t="str">
        <f t="shared" si="53"/>
        <v/>
      </c>
      <c r="M252" s="38" t="str">
        <f t="shared" si="54"/>
        <v/>
      </c>
      <c r="N252" s="26"/>
      <c r="O252" s="26"/>
      <c r="P252" s="38" t="str">
        <f t="shared" si="55"/>
        <v/>
      </c>
      <c r="Q252" s="38" t="str">
        <f t="shared" si="56"/>
        <v/>
      </c>
      <c r="R252" s="26"/>
      <c r="S252" s="26"/>
      <c r="T252" s="27"/>
      <c r="U252" s="27"/>
      <c r="V252" s="26"/>
      <c r="W252" s="26"/>
      <c r="X252" s="26"/>
      <c r="Y252" s="26"/>
      <c r="Z252" s="26"/>
      <c r="AA252" s="38" t="str">
        <f t="shared" si="57"/>
        <v/>
      </c>
      <c r="AB252" s="38" t="str">
        <f t="shared" si="58"/>
        <v/>
      </c>
      <c r="AC252" s="26"/>
      <c r="AD252" s="26"/>
      <c r="AE252" s="38" t="str">
        <f t="shared" si="48"/>
        <v/>
      </c>
      <c r="AF252" s="38" t="str">
        <f t="shared" si="49"/>
        <v/>
      </c>
      <c r="AG252" s="26"/>
      <c r="AH252" s="72" t="str">
        <f t="shared" ca="1" si="50"/>
        <v/>
      </c>
      <c r="AI252" s="72" t="str">
        <f ca="1">IF(A252="","",IF(OR(W252='02_マスタ'!$E$10,W252='02_マスタ'!$E$12),"",IF(V252="High","High",IF(AND(U252&lt;&gt;"",U252&lt;TODAY()),INDEX(_翻訳マスタ!$B$117:$D$247,MATCH("ALERT_OVERDUE",_翻訳マスタ!$A$117:$A$247,0),MATCH(言語切替!$B$3,_翻訳マスタ!$B$1:$D$1,0)),IF(AND(U252&lt;&gt;"",U252-TODAY()&lt;=7),INDEX(_翻訳マスタ!$B$117:$D$247,MATCH("ALERT_APPROACHING",_翻訳マスタ!$A$117:$A$247,0),MATCH(言語切替!$B$3,_翻訳マスタ!$B$1:$D$1,0)),IF(OR(W252='02_マスタ'!$E$7,W252='02_マスタ'!$E$8),INDEX(_翻訳マスタ!$B$117:$D$247,MATCH("ALERT_CHECK",_翻訳マスタ!$A$117:$A$247,0),MATCH(言語切替!$B$3,_翻訳マスタ!$B$1:$D$1,0)),""))))))</f>
        <v/>
      </c>
      <c r="AJ252" s="73"/>
    </row>
    <row r="253" spans="1:36" s="21" customFormat="1" x14ac:dyDescent="0.25">
      <c r="A253" s="83"/>
      <c r="B253" s="84"/>
      <c r="C253" s="84"/>
      <c r="D253" s="84"/>
      <c r="E253" s="84"/>
      <c r="F253" s="29"/>
      <c r="G253" s="29"/>
      <c r="H253" s="39" t="str">
        <f t="shared" si="51"/>
        <v/>
      </c>
      <c r="I253" s="39" t="str">
        <f t="shared" si="52"/>
        <v/>
      </c>
      <c r="J253" s="29"/>
      <c r="K253" s="29"/>
      <c r="L253" s="39" t="str">
        <f t="shared" si="53"/>
        <v/>
      </c>
      <c r="M253" s="39" t="str">
        <f t="shared" si="54"/>
        <v/>
      </c>
      <c r="N253" s="29"/>
      <c r="O253" s="29"/>
      <c r="P253" s="39" t="str">
        <f t="shared" si="55"/>
        <v/>
      </c>
      <c r="Q253" s="39" t="str">
        <f t="shared" si="56"/>
        <v/>
      </c>
      <c r="R253" s="29"/>
      <c r="S253" s="29"/>
      <c r="T253" s="30"/>
      <c r="U253" s="30"/>
      <c r="V253" s="29"/>
      <c r="W253" s="29"/>
      <c r="X253" s="29"/>
      <c r="Y253" s="29"/>
      <c r="Z253" s="29"/>
      <c r="AA253" s="39" t="str">
        <f t="shared" si="57"/>
        <v/>
      </c>
      <c r="AB253" s="39" t="str">
        <f t="shared" si="58"/>
        <v/>
      </c>
      <c r="AC253" s="29"/>
      <c r="AD253" s="29"/>
      <c r="AE253" s="39" t="str">
        <f t="shared" si="48"/>
        <v/>
      </c>
      <c r="AF253" s="39" t="str">
        <f t="shared" si="49"/>
        <v/>
      </c>
      <c r="AG253" s="29"/>
      <c r="AH253" s="74" t="str">
        <f t="shared" ca="1" si="50"/>
        <v/>
      </c>
      <c r="AI253" s="74" t="str">
        <f ca="1">IF(A253="","",IF(OR(W253='02_マスタ'!$E$10,W253='02_マスタ'!$E$12),"",IF(V253="High","High",IF(AND(U253&lt;&gt;"",U253&lt;TODAY()),INDEX(_翻訳マスタ!$B$117:$D$247,MATCH("ALERT_OVERDUE",_翻訳マスタ!$A$117:$A$247,0),MATCH(言語切替!$B$3,_翻訳マスタ!$B$1:$D$1,0)),IF(AND(U253&lt;&gt;"",U253-TODAY()&lt;=7),INDEX(_翻訳マスタ!$B$117:$D$247,MATCH("ALERT_APPROACHING",_翻訳マスタ!$A$117:$A$247,0),MATCH(言語切替!$B$3,_翻訳マスタ!$B$1:$D$1,0)),IF(OR(W253='02_マスタ'!$E$7,W253='02_マスタ'!$E$8),INDEX(_翻訳マスタ!$B$117:$D$247,MATCH("ALERT_CHECK",_翻訳マスタ!$A$117:$A$247,0),MATCH(言語切替!$B$3,_翻訳マスタ!$B$1:$D$1,0)),""))))))</f>
        <v/>
      </c>
      <c r="AJ253" s="75"/>
    </row>
    <row r="254" spans="1:36" s="21" customFormat="1" x14ac:dyDescent="0.25">
      <c r="A254" s="81"/>
      <c r="B254" s="82"/>
      <c r="C254" s="82"/>
      <c r="D254" s="82"/>
      <c r="E254" s="82"/>
      <c r="F254" s="26"/>
      <c r="G254" s="26"/>
      <c r="H254" s="38" t="str">
        <f t="shared" si="51"/>
        <v/>
      </c>
      <c r="I254" s="38" t="str">
        <f t="shared" si="52"/>
        <v/>
      </c>
      <c r="J254" s="26"/>
      <c r="K254" s="26"/>
      <c r="L254" s="38" t="str">
        <f t="shared" si="53"/>
        <v/>
      </c>
      <c r="M254" s="38" t="str">
        <f t="shared" si="54"/>
        <v/>
      </c>
      <c r="N254" s="26"/>
      <c r="O254" s="26"/>
      <c r="P254" s="38" t="str">
        <f t="shared" si="55"/>
        <v/>
      </c>
      <c r="Q254" s="38" t="str">
        <f t="shared" si="56"/>
        <v/>
      </c>
      <c r="R254" s="26"/>
      <c r="S254" s="26"/>
      <c r="T254" s="27"/>
      <c r="U254" s="27"/>
      <c r="V254" s="26"/>
      <c r="W254" s="26"/>
      <c r="X254" s="26"/>
      <c r="Y254" s="26"/>
      <c r="Z254" s="26"/>
      <c r="AA254" s="38" t="str">
        <f t="shared" si="57"/>
        <v/>
      </c>
      <c r="AB254" s="38" t="str">
        <f t="shared" si="58"/>
        <v/>
      </c>
      <c r="AC254" s="26"/>
      <c r="AD254" s="26"/>
      <c r="AE254" s="38" t="str">
        <f t="shared" si="48"/>
        <v/>
      </c>
      <c r="AF254" s="38" t="str">
        <f t="shared" si="49"/>
        <v/>
      </c>
      <c r="AG254" s="26"/>
      <c r="AH254" s="72" t="str">
        <f t="shared" ca="1" si="50"/>
        <v/>
      </c>
      <c r="AI254" s="72" t="str">
        <f ca="1">IF(A254="","",IF(OR(W254='02_マスタ'!$E$10,W254='02_マスタ'!$E$12),"",IF(V254="High","High",IF(AND(U254&lt;&gt;"",U254&lt;TODAY()),INDEX(_翻訳マスタ!$B$117:$D$247,MATCH("ALERT_OVERDUE",_翻訳マスタ!$A$117:$A$247,0),MATCH(言語切替!$B$3,_翻訳マスタ!$B$1:$D$1,0)),IF(AND(U254&lt;&gt;"",U254-TODAY()&lt;=7),INDEX(_翻訳マスタ!$B$117:$D$247,MATCH("ALERT_APPROACHING",_翻訳マスタ!$A$117:$A$247,0),MATCH(言語切替!$B$3,_翻訳マスタ!$B$1:$D$1,0)),IF(OR(W254='02_マスタ'!$E$7,W254='02_マスタ'!$E$8),INDEX(_翻訳マスタ!$B$117:$D$247,MATCH("ALERT_CHECK",_翻訳マスタ!$A$117:$A$247,0),MATCH(言語切替!$B$3,_翻訳マスタ!$B$1:$D$1,0)),""))))))</f>
        <v/>
      </c>
      <c r="AJ254" s="73"/>
    </row>
    <row r="255" spans="1:36" s="21" customFormat="1" x14ac:dyDescent="0.25">
      <c r="A255" s="83"/>
      <c r="B255" s="84"/>
      <c r="C255" s="84"/>
      <c r="D255" s="84"/>
      <c r="E255" s="84"/>
      <c r="F255" s="29"/>
      <c r="G255" s="29"/>
      <c r="H255" s="39" t="str">
        <f t="shared" si="51"/>
        <v/>
      </c>
      <c r="I255" s="39" t="str">
        <f t="shared" si="52"/>
        <v/>
      </c>
      <c r="J255" s="29"/>
      <c r="K255" s="29"/>
      <c r="L255" s="39" t="str">
        <f t="shared" si="53"/>
        <v/>
      </c>
      <c r="M255" s="39" t="str">
        <f t="shared" si="54"/>
        <v/>
      </c>
      <c r="N255" s="29"/>
      <c r="O255" s="29"/>
      <c r="P255" s="39" t="str">
        <f t="shared" si="55"/>
        <v/>
      </c>
      <c r="Q255" s="39" t="str">
        <f t="shared" si="56"/>
        <v/>
      </c>
      <c r="R255" s="29"/>
      <c r="S255" s="29"/>
      <c r="T255" s="30"/>
      <c r="U255" s="30"/>
      <c r="V255" s="29"/>
      <c r="W255" s="29"/>
      <c r="X255" s="29"/>
      <c r="Y255" s="29"/>
      <c r="Z255" s="29"/>
      <c r="AA255" s="39" t="str">
        <f t="shared" si="57"/>
        <v/>
      </c>
      <c r="AB255" s="39" t="str">
        <f t="shared" si="58"/>
        <v/>
      </c>
      <c r="AC255" s="29"/>
      <c r="AD255" s="29"/>
      <c r="AE255" s="39" t="str">
        <f t="shared" si="48"/>
        <v/>
      </c>
      <c r="AF255" s="39" t="str">
        <f t="shared" si="49"/>
        <v/>
      </c>
      <c r="AG255" s="29"/>
      <c r="AH255" s="74" t="str">
        <f t="shared" ca="1" si="50"/>
        <v/>
      </c>
      <c r="AI255" s="74" t="str">
        <f ca="1">IF(A255="","",IF(OR(W255='02_マスタ'!$E$10,W255='02_マスタ'!$E$12),"",IF(V255="High","High",IF(AND(U255&lt;&gt;"",U255&lt;TODAY()),INDEX(_翻訳マスタ!$B$117:$D$247,MATCH("ALERT_OVERDUE",_翻訳マスタ!$A$117:$A$247,0),MATCH(言語切替!$B$3,_翻訳マスタ!$B$1:$D$1,0)),IF(AND(U255&lt;&gt;"",U255-TODAY()&lt;=7),INDEX(_翻訳マスタ!$B$117:$D$247,MATCH("ALERT_APPROACHING",_翻訳マスタ!$A$117:$A$247,0),MATCH(言語切替!$B$3,_翻訳マスタ!$B$1:$D$1,0)),IF(OR(W255='02_マスタ'!$E$7,W255='02_マスタ'!$E$8),INDEX(_翻訳マスタ!$B$117:$D$247,MATCH("ALERT_CHECK",_翻訳マスタ!$A$117:$A$247,0),MATCH(言語切替!$B$3,_翻訳マスタ!$B$1:$D$1,0)),""))))))</f>
        <v/>
      </c>
      <c r="AJ255" s="75"/>
    </row>
    <row r="256" spans="1:36" s="21" customFormat="1" x14ac:dyDescent="0.25">
      <c r="A256" s="81"/>
      <c r="B256" s="82"/>
      <c r="C256" s="82"/>
      <c r="D256" s="82"/>
      <c r="E256" s="82"/>
      <c r="F256" s="26"/>
      <c r="G256" s="26"/>
      <c r="H256" s="38" t="str">
        <f t="shared" si="51"/>
        <v/>
      </c>
      <c r="I256" s="38" t="str">
        <f t="shared" si="52"/>
        <v/>
      </c>
      <c r="J256" s="26"/>
      <c r="K256" s="26"/>
      <c r="L256" s="38" t="str">
        <f t="shared" si="53"/>
        <v/>
      </c>
      <c r="M256" s="38" t="str">
        <f t="shared" si="54"/>
        <v/>
      </c>
      <c r="N256" s="26"/>
      <c r="O256" s="26"/>
      <c r="P256" s="38" t="str">
        <f t="shared" si="55"/>
        <v/>
      </c>
      <c r="Q256" s="38" t="str">
        <f t="shared" si="56"/>
        <v/>
      </c>
      <c r="R256" s="26"/>
      <c r="S256" s="26"/>
      <c r="T256" s="27"/>
      <c r="U256" s="27"/>
      <c r="V256" s="26"/>
      <c r="W256" s="26"/>
      <c r="X256" s="26"/>
      <c r="Y256" s="26"/>
      <c r="Z256" s="26"/>
      <c r="AA256" s="38" t="str">
        <f t="shared" si="57"/>
        <v/>
      </c>
      <c r="AB256" s="38" t="str">
        <f t="shared" si="58"/>
        <v/>
      </c>
      <c r="AC256" s="26"/>
      <c r="AD256" s="26"/>
      <c r="AE256" s="38" t="str">
        <f t="shared" si="48"/>
        <v/>
      </c>
      <c r="AF256" s="38" t="str">
        <f t="shared" si="49"/>
        <v/>
      </c>
      <c r="AG256" s="26"/>
      <c r="AH256" s="72" t="str">
        <f t="shared" ca="1" si="50"/>
        <v/>
      </c>
      <c r="AI256" s="72" t="str">
        <f ca="1">IF(A256="","",IF(OR(W256='02_マスタ'!$E$10,W256='02_マスタ'!$E$12),"",IF(V256="High","High",IF(AND(U256&lt;&gt;"",U256&lt;TODAY()),INDEX(_翻訳マスタ!$B$117:$D$247,MATCH("ALERT_OVERDUE",_翻訳マスタ!$A$117:$A$247,0),MATCH(言語切替!$B$3,_翻訳マスタ!$B$1:$D$1,0)),IF(AND(U256&lt;&gt;"",U256-TODAY()&lt;=7),INDEX(_翻訳マスタ!$B$117:$D$247,MATCH("ALERT_APPROACHING",_翻訳マスタ!$A$117:$A$247,0),MATCH(言語切替!$B$3,_翻訳マスタ!$B$1:$D$1,0)),IF(OR(W256='02_マスタ'!$E$7,W256='02_マスタ'!$E$8),INDEX(_翻訳マスタ!$B$117:$D$247,MATCH("ALERT_CHECK",_翻訳マスタ!$A$117:$A$247,0),MATCH(言語切替!$B$3,_翻訳マスタ!$B$1:$D$1,0)),""))))))</f>
        <v/>
      </c>
      <c r="AJ256" s="73"/>
    </row>
    <row r="257" spans="1:36" s="21" customFormat="1" x14ac:dyDescent="0.25">
      <c r="A257" s="83"/>
      <c r="B257" s="84"/>
      <c r="C257" s="84"/>
      <c r="D257" s="84"/>
      <c r="E257" s="84"/>
      <c r="F257" s="29"/>
      <c r="G257" s="29"/>
      <c r="H257" s="39" t="str">
        <f t="shared" si="51"/>
        <v/>
      </c>
      <c r="I257" s="39" t="str">
        <f t="shared" si="52"/>
        <v/>
      </c>
      <c r="J257" s="29"/>
      <c r="K257" s="29"/>
      <c r="L257" s="39" t="str">
        <f t="shared" si="53"/>
        <v/>
      </c>
      <c r="M257" s="39" t="str">
        <f t="shared" si="54"/>
        <v/>
      </c>
      <c r="N257" s="29"/>
      <c r="O257" s="29"/>
      <c r="P257" s="39" t="str">
        <f t="shared" si="55"/>
        <v/>
      </c>
      <c r="Q257" s="39" t="str">
        <f t="shared" si="56"/>
        <v/>
      </c>
      <c r="R257" s="29"/>
      <c r="S257" s="29"/>
      <c r="T257" s="30"/>
      <c r="U257" s="30"/>
      <c r="V257" s="29"/>
      <c r="W257" s="29"/>
      <c r="X257" s="29"/>
      <c r="Y257" s="29"/>
      <c r="Z257" s="29"/>
      <c r="AA257" s="39" t="str">
        <f t="shared" si="57"/>
        <v/>
      </c>
      <c r="AB257" s="39" t="str">
        <f t="shared" si="58"/>
        <v/>
      </c>
      <c r="AC257" s="29"/>
      <c r="AD257" s="29"/>
      <c r="AE257" s="39" t="str">
        <f t="shared" si="48"/>
        <v/>
      </c>
      <c r="AF257" s="39" t="str">
        <f t="shared" si="49"/>
        <v/>
      </c>
      <c r="AG257" s="29"/>
      <c r="AH257" s="74" t="str">
        <f t="shared" ca="1" si="50"/>
        <v/>
      </c>
      <c r="AI257" s="74" t="str">
        <f ca="1">IF(A257="","",IF(OR(W257='02_マスタ'!$E$10,W257='02_マスタ'!$E$12),"",IF(V257="High","High",IF(AND(U257&lt;&gt;"",U257&lt;TODAY()),INDEX(_翻訳マスタ!$B$117:$D$247,MATCH("ALERT_OVERDUE",_翻訳マスタ!$A$117:$A$247,0),MATCH(言語切替!$B$3,_翻訳マスタ!$B$1:$D$1,0)),IF(AND(U257&lt;&gt;"",U257-TODAY()&lt;=7),INDEX(_翻訳マスタ!$B$117:$D$247,MATCH("ALERT_APPROACHING",_翻訳マスタ!$A$117:$A$247,0),MATCH(言語切替!$B$3,_翻訳マスタ!$B$1:$D$1,0)),IF(OR(W257='02_マスタ'!$E$7,W257='02_マスタ'!$E$8),INDEX(_翻訳マスタ!$B$117:$D$247,MATCH("ALERT_CHECK",_翻訳マスタ!$A$117:$A$247,0),MATCH(言語切替!$B$3,_翻訳マスタ!$B$1:$D$1,0)),""))))))</f>
        <v/>
      </c>
      <c r="AJ257" s="75"/>
    </row>
    <row r="258" spans="1:36" s="21" customFormat="1" x14ac:dyDescent="0.25">
      <c r="A258" s="81"/>
      <c r="B258" s="82"/>
      <c r="C258" s="82"/>
      <c r="D258" s="82"/>
      <c r="E258" s="82"/>
      <c r="F258" s="26"/>
      <c r="G258" s="26"/>
      <c r="H258" s="38" t="str">
        <f t="shared" si="51"/>
        <v/>
      </c>
      <c r="I258" s="38" t="str">
        <f t="shared" si="52"/>
        <v/>
      </c>
      <c r="J258" s="26"/>
      <c r="K258" s="26"/>
      <c r="L258" s="38" t="str">
        <f t="shared" si="53"/>
        <v/>
      </c>
      <c r="M258" s="38" t="str">
        <f t="shared" si="54"/>
        <v/>
      </c>
      <c r="N258" s="26"/>
      <c r="O258" s="26"/>
      <c r="P258" s="38" t="str">
        <f t="shared" si="55"/>
        <v/>
      </c>
      <c r="Q258" s="38" t="str">
        <f t="shared" si="56"/>
        <v/>
      </c>
      <c r="R258" s="26"/>
      <c r="S258" s="26"/>
      <c r="T258" s="27"/>
      <c r="U258" s="27"/>
      <c r="V258" s="26"/>
      <c r="W258" s="26"/>
      <c r="X258" s="26"/>
      <c r="Y258" s="26"/>
      <c r="Z258" s="26"/>
      <c r="AA258" s="38" t="str">
        <f t="shared" si="57"/>
        <v/>
      </c>
      <c r="AB258" s="38" t="str">
        <f t="shared" si="58"/>
        <v/>
      </c>
      <c r="AC258" s="26"/>
      <c r="AD258" s="26"/>
      <c r="AE258" s="38" t="str">
        <f t="shared" si="48"/>
        <v/>
      </c>
      <c r="AF258" s="38" t="str">
        <f t="shared" si="49"/>
        <v/>
      </c>
      <c r="AG258" s="26"/>
      <c r="AH258" s="72" t="str">
        <f t="shared" ca="1" si="50"/>
        <v/>
      </c>
      <c r="AI258" s="72" t="str">
        <f ca="1">IF(A258="","",IF(OR(W258='02_マスタ'!$E$10,W258='02_マスタ'!$E$12),"",IF(V258="High","High",IF(AND(U258&lt;&gt;"",U258&lt;TODAY()),INDEX(_翻訳マスタ!$B$117:$D$247,MATCH("ALERT_OVERDUE",_翻訳マスタ!$A$117:$A$247,0),MATCH(言語切替!$B$3,_翻訳マスタ!$B$1:$D$1,0)),IF(AND(U258&lt;&gt;"",U258-TODAY()&lt;=7),INDEX(_翻訳マスタ!$B$117:$D$247,MATCH("ALERT_APPROACHING",_翻訳マスタ!$A$117:$A$247,0),MATCH(言語切替!$B$3,_翻訳マスタ!$B$1:$D$1,0)),IF(OR(W258='02_マスタ'!$E$7,W258='02_マスタ'!$E$8),INDEX(_翻訳マスタ!$B$117:$D$247,MATCH("ALERT_CHECK",_翻訳マスタ!$A$117:$A$247,0),MATCH(言語切替!$B$3,_翻訳マスタ!$B$1:$D$1,0)),""))))))</f>
        <v/>
      </c>
      <c r="AJ258" s="73"/>
    </row>
    <row r="259" spans="1:36" s="21" customFormat="1" x14ac:dyDescent="0.25">
      <c r="A259" s="83"/>
      <c r="B259" s="84"/>
      <c r="C259" s="84"/>
      <c r="D259" s="84"/>
      <c r="E259" s="84"/>
      <c r="F259" s="29"/>
      <c r="G259" s="29"/>
      <c r="H259" s="39" t="str">
        <f t="shared" si="51"/>
        <v/>
      </c>
      <c r="I259" s="39" t="str">
        <f t="shared" si="52"/>
        <v/>
      </c>
      <c r="J259" s="29"/>
      <c r="K259" s="29"/>
      <c r="L259" s="39" t="str">
        <f t="shared" si="53"/>
        <v/>
      </c>
      <c r="M259" s="39" t="str">
        <f t="shared" si="54"/>
        <v/>
      </c>
      <c r="N259" s="29"/>
      <c r="O259" s="29"/>
      <c r="P259" s="39" t="str">
        <f t="shared" si="55"/>
        <v/>
      </c>
      <c r="Q259" s="39" t="str">
        <f t="shared" si="56"/>
        <v/>
      </c>
      <c r="R259" s="29"/>
      <c r="S259" s="29"/>
      <c r="T259" s="30"/>
      <c r="U259" s="30"/>
      <c r="V259" s="29"/>
      <c r="W259" s="29"/>
      <c r="X259" s="29"/>
      <c r="Y259" s="29"/>
      <c r="Z259" s="29"/>
      <c r="AA259" s="39" t="str">
        <f t="shared" si="57"/>
        <v/>
      </c>
      <c r="AB259" s="39" t="str">
        <f t="shared" si="58"/>
        <v/>
      </c>
      <c r="AC259" s="29"/>
      <c r="AD259" s="29"/>
      <c r="AE259" s="39" t="str">
        <f t="shared" si="48"/>
        <v/>
      </c>
      <c r="AF259" s="39" t="str">
        <f t="shared" si="49"/>
        <v/>
      </c>
      <c r="AG259" s="29"/>
      <c r="AH259" s="74" t="str">
        <f t="shared" ca="1" si="50"/>
        <v/>
      </c>
      <c r="AI259" s="74" t="str">
        <f ca="1">IF(A259="","",IF(OR(W259='02_マスタ'!$E$10,W259='02_マスタ'!$E$12),"",IF(V259="High","High",IF(AND(U259&lt;&gt;"",U259&lt;TODAY()),INDEX(_翻訳マスタ!$B$117:$D$247,MATCH("ALERT_OVERDUE",_翻訳マスタ!$A$117:$A$247,0),MATCH(言語切替!$B$3,_翻訳マスタ!$B$1:$D$1,0)),IF(AND(U259&lt;&gt;"",U259-TODAY()&lt;=7),INDEX(_翻訳マスタ!$B$117:$D$247,MATCH("ALERT_APPROACHING",_翻訳マスタ!$A$117:$A$247,0),MATCH(言語切替!$B$3,_翻訳マスタ!$B$1:$D$1,0)),IF(OR(W259='02_マスタ'!$E$7,W259='02_マスタ'!$E$8),INDEX(_翻訳マスタ!$B$117:$D$247,MATCH("ALERT_CHECK",_翻訳マスタ!$A$117:$A$247,0),MATCH(言語切替!$B$3,_翻訳マスタ!$B$1:$D$1,0)),""))))))</f>
        <v/>
      </c>
      <c r="AJ259" s="75"/>
    </row>
    <row r="260" spans="1:36" s="21" customFormat="1" x14ac:dyDescent="0.25">
      <c r="A260" s="81"/>
      <c r="B260" s="82"/>
      <c r="C260" s="82"/>
      <c r="D260" s="82"/>
      <c r="E260" s="82"/>
      <c r="F260" s="26"/>
      <c r="G260" s="26"/>
      <c r="H260" s="38" t="str">
        <f t="shared" si="51"/>
        <v/>
      </c>
      <c r="I260" s="38" t="str">
        <f t="shared" si="52"/>
        <v/>
      </c>
      <c r="J260" s="26"/>
      <c r="K260" s="26"/>
      <c r="L260" s="38" t="str">
        <f t="shared" si="53"/>
        <v/>
      </c>
      <c r="M260" s="38" t="str">
        <f t="shared" si="54"/>
        <v/>
      </c>
      <c r="N260" s="26"/>
      <c r="O260" s="26"/>
      <c r="P260" s="38" t="str">
        <f t="shared" si="55"/>
        <v/>
      </c>
      <c r="Q260" s="38" t="str">
        <f t="shared" si="56"/>
        <v/>
      </c>
      <c r="R260" s="26"/>
      <c r="S260" s="26"/>
      <c r="T260" s="27"/>
      <c r="U260" s="27"/>
      <c r="V260" s="26"/>
      <c r="W260" s="26"/>
      <c r="X260" s="26"/>
      <c r="Y260" s="26"/>
      <c r="Z260" s="26"/>
      <c r="AA260" s="38" t="str">
        <f t="shared" si="57"/>
        <v/>
      </c>
      <c r="AB260" s="38" t="str">
        <f t="shared" si="58"/>
        <v/>
      </c>
      <c r="AC260" s="26"/>
      <c r="AD260" s="26"/>
      <c r="AE260" s="38" t="str">
        <f t="shared" si="48"/>
        <v/>
      </c>
      <c r="AF260" s="38" t="str">
        <f t="shared" si="49"/>
        <v/>
      </c>
      <c r="AG260" s="26"/>
      <c r="AH260" s="72" t="str">
        <f t="shared" ca="1" si="50"/>
        <v/>
      </c>
      <c r="AI260" s="72" t="str">
        <f ca="1">IF(A260="","",IF(OR(W260='02_マスタ'!$E$10,W260='02_マスタ'!$E$12),"",IF(V260="High","High",IF(AND(U260&lt;&gt;"",U260&lt;TODAY()),INDEX(_翻訳マスタ!$B$117:$D$247,MATCH("ALERT_OVERDUE",_翻訳マスタ!$A$117:$A$247,0),MATCH(言語切替!$B$3,_翻訳マスタ!$B$1:$D$1,0)),IF(AND(U260&lt;&gt;"",U260-TODAY()&lt;=7),INDEX(_翻訳マスタ!$B$117:$D$247,MATCH("ALERT_APPROACHING",_翻訳マスタ!$A$117:$A$247,0),MATCH(言語切替!$B$3,_翻訳マスタ!$B$1:$D$1,0)),IF(OR(W260='02_マスタ'!$E$7,W260='02_マスタ'!$E$8),INDEX(_翻訳マスタ!$B$117:$D$247,MATCH("ALERT_CHECK",_翻訳マスタ!$A$117:$A$247,0),MATCH(言語切替!$B$3,_翻訳マスタ!$B$1:$D$1,0)),""))))))</f>
        <v/>
      </c>
      <c r="AJ260" s="73"/>
    </row>
    <row r="261" spans="1:36" s="21" customFormat="1" x14ac:dyDescent="0.25">
      <c r="A261" s="83"/>
      <c r="B261" s="84"/>
      <c r="C261" s="84"/>
      <c r="D261" s="84"/>
      <c r="E261" s="84"/>
      <c r="F261" s="29"/>
      <c r="G261" s="29"/>
      <c r="H261" s="39" t="str">
        <f t="shared" si="51"/>
        <v/>
      </c>
      <c r="I261" s="39" t="str">
        <f t="shared" si="52"/>
        <v/>
      </c>
      <c r="J261" s="29"/>
      <c r="K261" s="29"/>
      <c r="L261" s="39" t="str">
        <f t="shared" si="53"/>
        <v/>
      </c>
      <c r="M261" s="39" t="str">
        <f t="shared" si="54"/>
        <v/>
      </c>
      <c r="N261" s="29"/>
      <c r="O261" s="29"/>
      <c r="P261" s="39" t="str">
        <f t="shared" si="55"/>
        <v/>
      </c>
      <c r="Q261" s="39" t="str">
        <f t="shared" si="56"/>
        <v/>
      </c>
      <c r="R261" s="29"/>
      <c r="S261" s="29"/>
      <c r="T261" s="30"/>
      <c r="U261" s="30"/>
      <c r="V261" s="29"/>
      <c r="W261" s="29"/>
      <c r="X261" s="29"/>
      <c r="Y261" s="29"/>
      <c r="Z261" s="29"/>
      <c r="AA261" s="39" t="str">
        <f t="shared" si="57"/>
        <v/>
      </c>
      <c r="AB261" s="39" t="str">
        <f t="shared" si="58"/>
        <v/>
      </c>
      <c r="AC261" s="29"/>
      <c r="AD261" s="29"/>
      <c r="AE261" s="39" t="str">
        <f t="shared" ref="AE261:AE304" si="59">IF(AC261="","",_xlfn.TRANSLATE(AC261,"vi","ja"))</f>
        <v/>
      </c>
      <c r="AF261" s="39" t="str">
        <f t="shared" ref="AF261:AF304" si="60">IF(AC261="","",_xlfn.TRANSLATE(AC261,"vi","zh-Hans"))</f>
        <v/>
      </c>
      <c r="AG261" s="29"/>
      <c r="AH261" s="74" t="str">
        <f t="shared" ref="AH261:AH304" ca="1" si="61">IF(U261="","",U261-TODAY())</f>
        <v/>
      </c>
      <c r="AI261" s="74" t="str">
        <f ca="1">IF(A261="","",IF(OR(W261='02_マスタ'!$E$10,W261='02_マスタ'!$E$12),"",IF(V261="High","High",IF(AND(U261&lt;&gt;"",U261&lt;TODAY()),INDEX(_翻訳マスタ!$B$117:$D$247,MATCH("ALERT_OVERDUE",_翻訳マスタ!$A$117:$A$247,0),MATCH(言語切替!$B$3,_翻訳マスタ!$B$1:$D$1,0)),IF(AND(U261&lt;&gt;"",U261-TODAY()&lt;=7),INDEX(_翻訳マスタ!$B$117:$D$247,MATCH("ALERT_APPROACHING",_翻訳マスタ!$A$117:$A$247,0),MATCH(言語切替!$B$3,_翻訳マスタ!$B$1:$D$1,0)),IF(OR(W261='02_マスタ'!$E$7,W261='02_マスタ'!$E$8),INDEX(_翻訳マスタ!$B$117:$D$247,MATCH("ALERT_CHECK",_翻訳マスタ!$A$117:$A$247,0),MATCH(言語切替!$B$3,_翻訳マスタ!$B$1:$D$1,0)),""))))))</f>
        <v/>
      </c>
      <c r="AJ261" s="75"/>
    </row>
    <row r="262" spans="1:36" s="21" customFormat="1" x14ac:dyDescent="0.25">
      <c r="A262" s="81"/>
      <c r="B262" s="82"/>
      <c r="C262" s="82"/>
      <c r="D262" s="82"/>
      <c r="E262" s="82"/>
      <c r="F262" s="26"/>
      <c r="G262" s="26"/>
      <c r="H262" s="38" t="str">
        <f t="shared" si="51"/>
        <v/>
      </c>
      <c r="I262" s="38" t="str">
        <f t="shared" si="52"/>
        <v/>
      </c>
      <c r="J262" s="26"/>
      <c r="K262" s="26"/>
      <c r="L262" s="38" t="str">
        <f t="shared" si="53"/>
        <v/>
      </c>
      <c r="M262" s="38" t="str">
        <f t="shared" si="54"/>
        <v/>
      </c>
      <c r="N262" s="26"/>
      <c r="O262" s="26"/>
      <c r="P262" s="38" t="str">
        <f t="shared" si="55"/>
        <v/>
      </c>
      <c r="Q262" s="38" t="str">
        <f t="shared" si="56"/>
        <v/>
      </c>
      <c r="R262" s="26"/>
      <c r="S262" s="26"/>
      <c r="T262" s="27"/>
      <c r="U262" s="27"/>
      <c r="V262" s="26"/>
      <c r="W262" s="26"/>
      <c r="X262" s="26"/>
      <c r="Y262" s="26"/>
      <c r="Z262" s="26"/>
      <c r="AA262" s="38" t="str">
        <f t="shared" si="57"/>
        <v/>
      </c>
      <c r="AB262" s="38" t="str">
        <f t="shared" si="58"/>
        <v/>
      </c>
      <c r="AC262" s="26"/>
      <c r="AD262" s="26"/>
      <c r="AE262" s="38" t="str">
        <f t="shared" si="59"/>
        <v/>
      </c>
      <c r="AF262" s="38" t="str">
        <f t="shared" si="60"/>
        <v/>
      </c>
      <c r="AG262" s="26"/>
      <c r="AH262" s="72" t="str">
        <f t="shared" ca="1" si="61"/>
        <v/>
      </c>
      <c r="AI262" s="72" t="str">
        <f ca="1">IF(A262="","",IF(OR(W262='02_マスタ'!$E$10,W262='02_マスタ'!$E$12),"",IF(V262="High","High",IF(AND(U262&lt;&gt;"",U262&lt;TODAY()),INDEX(_翻訳マスタ!$B$117:$D$247,MATCH("ALERT_OVERDUE",_翻訳マスタ!$A$117:$A$247,0),MATCH(言語切替!$B$3,_翻訳マスタ!$B$1:$D$1,0)),IF(AND(U262&lt;&gt;"",U262-TODAY()&lt;=7),INDEX(_翻訳マスタ!$B$117:$D$247,MATCH("ALERT_APPROACHING",_翻訳マスタ!$A$117:$A$247,0),MATCH(言語切替!$B$3,_翻訳マスタ!$B$1:$D$1,0)),IF(OR(W262='02_マスタ'!$E$7,W262='02_マスタ'!$E$8),INDEX(_翻訳マスタ!$B$117:$D$247,MATCH("ALERT_CHECK",_翻訳マスタ!$A$117:$A$247,0),MATCH(言語切替!$B$3,_翻訳マスタ!$B$1:$D$1,0)),""))))))</f>
        <v/>
      </c>
      <c r="AJ262" s="73"/>
    </row>
    <row r="263" spans="1:36" s="21" customFormat="1" x14ac:dyDescent="0.25">
      <c r="A263" s="83"/>
      <c r="B263" s="84"/>
      <c r="C263" s="84"/>
      <c r="D263" s="84"/>
      <c r="E263" s="84"/>
      <c r="F263" s="29"/>
      <c r="G263" s="29"/>
      <c r="H263" s="39" t="str">
        <f t="shared" si="51"/>
        <v/>
      </c>
      <c r="I263" s="39" t="str">
        <f t="shared" si="52"/>
        <v/>
      </c>
      <c r="J263" s="29"/>
      <c r="K263" s="29"/>
      <c r="L263" s="39" t="str">
        <f t="shared" si="53"/>
        <v/>
      </c>
      <c r="M263" s="39" t="str">
        <f t="shared" si="54"/>
        <v/>
      </c>
      <c r="N263" s="29"/>
      <c r="O263" s="29"/>
      <c r="P263" s="39" t="str">
        <f t="shared" si="55"/>
        <v/>
      </c>
      <c r="Q263" s="39" t="str">
        <f t="shared" si="56"/>
        <v/>
      </c>
      <c r="R263" s="29"/>
      <c r="S263" s="29"/>
      <c r="T263" s="30"/>
      <c r="U263" s="30"/>
      <c r="V263" s="29"/>
      <c r="W263" s="29"/>
      <c r="X263" s="29"/>
      <c r="Y263" s="29"/>
      <c r="Z263" s="29"/>
      <c r="AA263" s="39" t="str">
        <f t="shared" si="57"/>
        <v/>
      </c>
      <c r="AB263" s="39" t="str">
        <f t="shared" si="58"/>
        <v/>
      </c>
      <c r="AC263" s="29"/>
      <c r="AD263" s="29"/>
      <c r="AE263" s="39" t="str">
        <f t="shared" si="59"/>
        <v/>
      </c>
      <c r="AF263" s="39" t="str">
        <f t="shared" si="60"/>
        <v/>
      </c>
      <c r="AG263" s="29"/>
      <c r="AH263" s="74" t="str">
        <f t="shared" ca="1" si="61"/>
        <v/>
      </c>
      <c r="AI263" s="74" t="str">
        <f ca="1">IF(A263="","",IF(OR(W263='02_マスタ'!$E$10,W263='02_マスタ'!$E$12),"",IF(V263="High","High",IF(AND(U263&lt;&gt;"",U263&lt;TODAY()),INDEX(_翻訳マスタ!$B$117:$D$247,MATCH("ALERT_OVERDUE",_翻訳マスタ!$A$117:$A$247,0),MATCH(言語切替!$B$3,_翻訳マスタ!$B$1:$D$1,0)),IF(AND(U263&lt;&gt;"",U263-TODAY()&lt;=7),INDEX(_翻訳マスタ!$B$117:$D$247,MATCH("ALERT_APPROACHING",_翻訳マスタ!$A$117:$A$247,0),MATCH(言語切替!$B$3,_翻訳マスタ!$B$1:$D$1,0)),IF(OR(W263='02_マスタ'!$E$7,W263='02_マスタ'!$E$8),INDEX(_翻訳マスタ!$B$117:$D$247,MATCH("ALERT_CHECK",_翻訳マスタ!$A$117:$A$247,0),MATCH(言語切替!$B$3,_翻訳マスタ!$B$1:$D$1,0)),""))))))</f>
        <v/>
      </c>
      <c r="AJ263" s="75"/>
    </row>
    <row r="264" spans="1:36" s="21" customFormat="1" x14ac:dyDescent="0.25">
      <c r="A264" s="81"/>
      <c r="B264" s="82"/>
      <c r="C264" s="82"/>
      <c r="D264" s="82"/>
      <c r="E264" s="82"/>
      <c r="F264" s="26"/>
      <c r="G264" s="26"/>
      <c r="H264" s="38" t="str">
        <f t="shared" si="51"/>
        <v/>
      </c>
      <c r="I264" s="38" t="str">
        <f t="shared" si="52"/>
        <v/>
      </c>
      <c r="J264" s="26"/>
      <c r="K264" s="26"/>
      <c r="L264" s="38" t="str">
        <f t="shared" si="53"/>
        <v/>
      </c>
      <c r="M264" s="38" t="str">
        <f t="shared" si="54"/>
        <v/>
      </c>
      <c r="N264" s="26"/>
      <c r="O264" s="26"/>
      <c r="P264" s="38" t="str">
        <f t="shared" si="55"/>
        <v/>
      </c>
      <c r="Q264" s="38" t="str">
        <f t="shared" si="56"/>
        <v/>
      </c>
      <c r="R264" s="26"/>
      <c r="S264" s="26"/>
      <c r="T264" s="27"/>
      <c r="U264" s="27"/>
      <c r="V264" s="26"/>
      <c r="W264" s="26"/>
      <c r="X264" s="26"/>
      <c r="Y264" s="26"/>
      <c r="Z264" s="26"/>
      <c r="AA264" s="38" t="str">
        <f t="shared" si="57"/>
        <v/>
      </c>
      <c r="AB264" s="38" t="str">
        <f t="shared" si="58"/>
        <v/>
      </c>
      <c r="AC264" s="26"/>
      <c r="AD264" s="26"/>
      <c r="AE264" s="38" t="str">
        <f t="shared" si="59"/>
        <v/>
      </c>
      <c r="AF264" s="38" t="str">
        <f t="shared" si="60"/>
        <v/>
      </c>
      <c r="AG264" s="26"/>
      <c r="AH264" s="72" t="str">
        <f t="shared" ca="1" si="61"/>
        <v/>
      </c>
      <c r="AI264" s="72" t="str">
        <f ca="1">IF(A264="","",IF(OR(W264='02_マスタ'!$E$10,W264='02_マスタ'!$E$12),"",IF(V264="High","High",IF(AND(U264&lt;&gt;"",U264&lt;TODAY()),INDEX(_翻訳マスタ!$B$117:$D$247,MATCH("ALERT_OVERDUE",_翻訳マスタ!$A$117:$A$247,0),MATCH(言語切替!$B$3,_翻訳マスタ!$B$1:$D$1,0)),IF(AND(U264&lt;&gt;"",U264-TODAY()&lt;=7),INDEX(_翻訳マスタ!$B$117:$D$247,MATCH("ALERT_APPROACHING",_翻訳マスタ!$A$117:$A$247,0),MATCH(言語切替!$B$3,_翻訳マスタ!$B$1:$D$1,0)),IF(OR(W264='02_マスタ'!$E$7,W264='02_マスタ'!$E$8),INDEX(_翻訳マスタ!$B$117:$D$247,MATCH("ALERT_CHECK",_翻訳マスタ!$A$117:$A$247,0),MATCH(言語切替!$B$3,_翻訳マスタ!$B$1:$D$1,0)),""))))))</f>
        <v/>
      </c>
      <c r="AJ264" s="73"/>
    </row>
    <row r="265" spans="1:36" s="21" customFormat="1" x14ac:dyDescent="0.25">
      <c r="A265" s="83"/>
      <c r="B265" s="84"/>
      <c r="C265" s="84"/>
      <c r="D265" s="84"/>
      <c r="E265" s="84"/>
      <c r="F265" s="29"/>
      <c r="G265" s="29"/>
      <c r="H265" s="39" t="str">
        <f t="shared" ref="H265:H304" si="62">IF(F265="","",_xlfn.TRANSLATE(F265,"vi","ja"))</f>
        <v/>
      </c>
      <c r="I265" s="39" t="str">
        <f t="shared" ref="I265:I304" si="63">IF(F265="","",_xlfn.TRANSLATE(F265,"vi","zh-Hans"))</f>
        <v/>
      </c>
      <c r="J265" s="29"/>
      <c r="K265" s="29"/>
      <c r="L265" s="39" t="str">
        <f t="shared" ref="L265:L304" si="64">IF(J265="","",_xlfn.TRANSLATE(J265,"vi","ja"))</f>
        <v/>
      </c>
      <c r="M265" s="39" t="str">
        <f t="shared" ref="M265:M304" si="65">IF(J265="","",_xlfn.TRANSLATE(J265,"vi","zh-Hans"))</f>
        <v/>
      </c>
      <c r="N265" s="29"/>
      <c r="O265" s="29"/>
      <c r="P265" s="39" t="str">
        <f t="shared" ref="P265:P304" si="66">IF(N265="","",_xlfn.TRANSLATE(N265,"vi","ja"))</f>
        <v/>
      </c>
      <c r="Q265" s="39" t="str">
        <f t="shared" ref="Q265:Q304" si="67">IF(N265="","",_xlfn.TRANSLATE(N265,"vi","zh-Hans"))</f>
        <v/>
      </c>
      <c r="R265" s="29"/>
      <c r="S265" s="29"/>
      <c r="T265" s="30"/>
      <c r="U265" s="30"/>
      <c r="V265" s="29"/>
      <c r="W265" s="29"/>
      <c r="X265" s="29"/>
      <c r="Y265" s="29"/>
      <c r="Z265" s="29"/>
      <c r="AA265" s="39" t="str">
        <f t="shared" ref="AA265:AA304" si="68">IF(Y265="","",_xlfn.TRANSLATE(Y265,"vi","ja"))</f>
        <v/>
      </c>
      <c r="AB265" s="39" t="str">
        <f t="shared" ref="AB265:AB304" si="69">IF(Y265="","",_xlfn.TRANSLATE(Y265,"vi","zh-Hans"))</f>
        <v/>
      </c>
      <c r="AC265" s="29"/>
      <c r="AD265" s="29"/>
      <c r="AE265" s="39" t="str">
        <f t="shared" si="59"/>
        <v/>
      </c>
      <c r="AF265" s="39" t="str">
        <f t="shared" si="60"/>
        <v/>
      </c>
      <c r="AG265" s="29"/>
      <c r="AH265" s="74" t="str">
        <f t="shared" ca="1" si="61"/>
        <v/>
      </c>
      <c r="AI265" s="74" t="str">
        <f ca="1">IF(A265="","",IF(OR(W265='02_マスタ'!$E$10,W265='02_マスタ'!$E$12),"",IF(V265="High","High",IF(AND(U265&lt;&gt;"",U265&lt;TODAY()),INDEX(_翻訳マスタ!$B$117:$D$247,MATCH("ALERT_OVERDUE",_翻訳マスタ!$A$117:$A$247,0),MATCH(言語切替!$B$3,_翻訳マスタ!$B$1:$D$1,0)),IF(AND(U265&lt;&gt;"",U265-TODAY()&lt;=7),INDEX(_翻訳マスタ!$B$117:$D$247,MATCH("ALERT_APPROACHING",_翻訳マスタ!$A$117:$A$247,0),MATCH(言語切替!$B$3,_翻訳マスタ!$B$1:$D$1,0)),IF(OR(W265='02_マスタ'!$E$7,W265='02_マスタ'!$E$8),INDEX(_翻訳マスタ!$B$117:$D$247,MATCH("ALERT_CHECK",_翻訳マスタ!$A$117:$A$247,0),MATCH(言語切替!$B$3,_翻訳マスタ!$B$1:$D$1,0)),""))))))</f>
        <v/>
      </c>
      <c r="AJ265" s="75"/>
    </row>
    <row r="266" spans="1:36" s="21" customFormat="1" x14ac:dyDescent="0.25">
      <c r="A266" s="81"/>
      <c r="B266" s="82"/>
      <c r="C266" s="82"/>
      <c r="D266" s="82"/>
      <c r="E266" s="82"/>
      <c r="F266" s="26"/>
      <c r="G266" s="26"/>
      <c r="H266" s="38" t="str">
        <f t="shared" si="62"/>
        <v/>
      </c>
      <c r="I266" s="38" t="str">
        <f t="shared" si="63"/>
        <v/>
      </c>
      <c r="J266" s="26"/>
      <c r="K266" s="26"/>
      <c r="L266" s="38" t="str">
        <f t="shared" si="64"/>
        <v/>
      </c>
      <c r="M266" s="38" t="str">
        <f t="shared" si="65"/>
        <v/>
      </c>
      <c r="N266" s="26"/>
      <c r="O266" s="26"/>
      <c r="P266" s="38" t="str">
        <f t="shared" si="66"/>
        <v/>
      </c>
      <c r="Q266" s="38" t="str">
        <f t="shared" si="67"/>
        <v/>
      </c>
      <c r="R266" s="26"/>
      <c r="S266" s="26"/>
      <c r="T266" s="27"/>
      <c r="U266" s="27"/>
      <c r="V266" s="26"/>
      <c r="W266" s="26"/>
      <c r="X266" s="26"/>
      <c r="Y266" s="26"/>
      <c r="Z266" s="26"/>
      <c r="AA266" s="38" t="str">
        <f t="shared" si="68"/>
        <v/>
      </c>
      <c r="AB266" s="38" t="str">
        <f t="shared" si="69"/>
        <v/>
      </c>
      <c r="AC266" s="26"/>
      <c r="AD266" s="26"/>
      <c r="AE266" s="38" t="str">
        <f t="shared" si="59"/>
        <v/>
      </c>
      <c r="AF266" s="38" t="str">
        <f t="shared" si="60"/>
        <v/>
      </c>
      <c r="AG266" s="26"/>
      <c r="AH266" s="72" t="str">
        <f t="shared" ca="1" si="61"/>
        <v/>
      </c>
      <c r="AI266" s="72" t="str">
        <f ca="1">IF(A266="","",IF(OR(W266='02_マスタ'!$E$10,W266='02_マスタ'!$E$12),"",IF(V266="High","High",IF(AND(U266&lt;&gt;"",U266&lt;TODAY()),INDEX(_翻訳マスタ!$B$117:$D$247,MATCH("ALERT_OVERDUE",_翻訳マスタ!$A$117:$A$247,0),MATCH(言語切替!$B$3,_翻訳マスタ!$B$1:$D$1,0)),IF(AND(U266&lt;&gt;"",U266-TODAY()&lt;=7),INDEX(_翻訳マスタ!$B$117:$D$247,MATCH("ALERT_APPROACHING",_翻訳マスタ!$A$117:$A$247,0),MATCH(言語切替!$B$3,_翻訳マスタ!$B$1:$D$1,0)),IF(OR(W266='02_マスタ'!$E$7,W266='02_マスタ'!$E$8),INDEX(_翻訳マスタ!$B$117:$D$247,MATCH("ALERT_CHECK",_翻訳マスタ!$A$117:$A$247,0),MATCH(言語切替!$B$3,_翻訳マスタ!$B$1:$D$1,0)),""))))))</f>
        <v/>
      </c>
      <c r="AJ266" s="73"/>
    </row>
    <row r="267" spans="1:36" s="21" customFormat="1" x14ac:dyDescent="0.25">
      <c r="A267" s="83"/>
      <c r="B267" s="84"/>
      <c r="C267" s="84"/>
      <c r="D267" s="84"/>
      <c r="E267" s="84"/>
      <c r="F267" s="29"/>
      <c r="G267" s="29"/>
      <c r="H267" s="39" t="str">
        <f t="shared" si="62"/>
        <v/>
      </c>
      <c r="I267" s="39" t="str">
        <f t="shared" si="63"/>
        <v/>
      </c>
      <c r="J267" s="29"/>
      <c r="K267" s="29"/>
      <c r="L267" s="39" t="str">
        <f t="shared" si="64"/>
        <v/>
      </c>
      <c r="M267" s="39" t="str">
        <f t="shared" si="65"/>
        <v/>
      </c>
      <c r="N267" s="29"/>
      <c r="O267" s="29"/>
      <c r="P267" s="39" t="str">
        <f t="shared" si="66"/>
        <v/>
      </c>
      <c r="Q267" s="39" t="str">
        <f t="shared" si="67"/>
        <v/>
      </c>
      <c r="R267" s="29"/>
      <c r="S267" s="29"/>
      <c r="T267" s="30"/>
      <c r="U267" s="30"/>
      <c r="V267" s="29"/>
      <c r="W267" s="29"/>
      <c r="X267" s="29"/>
      <c r="Y267" s="29"/>
      <c r="Z267" s="29"/>
      <c r="AA267" s="39" t="str">
        <f t="shared" si="68"/>
        <v/>
      </c>
      <c r="AB267" s="39" t="str">
        <f t="shared" si="69"/>
        <v/>
      </c>
      <c r="AC267" s="29"/>
      <c r="AD267" s="29"/>
      <c r="AE267" s="39" t="str">
        <f t="shared" si="59"/>
        <v/>
      </c>
      <c r="AF267" s="39" t="str">
        <f t="shared" si="60"/>
        <v/>
      </c>
      <c r="AG267" s="29"/>
      <c r="AH267" s="74" t="str">
        <f t="shared" ca="1" si="61"/>
        <v/>
      </c>
      <c r="AI267" s="74" t="str">
        <f ca="1">IF(A267="","",IF(OR(W267='02_マスタ'!$E$10,W267='02_マスタ'!$E$12),"",IF(V267="High","High",IF(AND(U267&lt;&gt;"",U267&lt;TODAY()),INDEX(_翻訳マスタ!$B$117:$D$247,MATCH("ALERT_OVERDUE",_翻訳マスタ!$A$117:$A$247,0),MATCH(言語切替!$B$3,_翻訳マスタ!$B$1:$D$1,0)),IF(AND(U267&lt;&gt;"",U267-TODAY()&lt;=7),INDEX(_翻訳マスタ!$B$117:$D$247,MATCH("ALERT_APPROACHING",_翻訳マスタ!$A$117:$A$247,0),MATCH(言語切替!$B$3,_翻訳マスタ!$B$1:$D$1,0)),IF(OR(W267='02_マスタ'!$E$7,W267='02_マスタ'!$E$8),INDEX(_翻訳マスタ!$B$117:$D$247,MATCH("ALERT_CHECK",_翻訳マスタ!$A$117:$A$247,0),MATCH(言語切替!$B$3,_翻訳マスタ!$B$1:$D$1,0)),""))))))</f>
        <v/>
      </c>
      <c r="AJ267" s="75"/>
    </row>
    <row r="268" spans="1:36" s="21" customFormat="1" x14ac:dyDescent="0.25">
      <c r="A268" s="81"/>
      <c r="B268" s="82"/>
      <c r="C268" s="82"/>
      <c r="D268" s="82"/>
      <c r="E268" s="82"/>
      <c r="F268" s="26"/>
      <c r="G268" s="26"/>
      <c r="H268" s="38" t="str">
        <f t="shared" si="62"/>
        <v/>
      </c>
      <c r="I268" s="38" t="str">
        <f t="shared" si="63"/>
        <v/>
      </c>
      <c r="J268" s="26"/>
      <c r="K268" s="26"/>
      <c r="L268" s="38" t="str">
        <f t="shared" si="64"/>
        <v/>
      </c>
      <c r="M268" s="38" t="str">
        <f t="shared" si="65"/>
        <v/>
      </c>
      <c r="N268" s="26"/>
      <c r="O268" s="26"/>
      <c r="P268" s="38" t="str">
        <f t="shared" si="66"/>
        <v/>
      </c>
      <c r="Q268" s="38" t="str">
        <f t="shared" si="67"/>
        <v/>
      </c>
      <c r="R268" s="26"/>
      <c r="S268" s="26"/>
      <c r="T268" s="27"/>
      <c r="U268" s="27"/>
      <c r="V268" s="26"/>
      <c r="W268" s="26"/>
      <c r="X268" s="26"/>
      <c r="Y268" s="26"/>
      <c r="Z268" s="26"/>
      <c r="AA268" s="38" t="str">
        <f t="shared" si="68"/>
        <v/>
      </c>
      <c r="AB268" s="38" t="str">
        <f t="shared" si="69"/>
        <v/>
      </c>
      <c r="AC268" s="26"/>
      <c r="AD268" s="26"/>
      <c r="AE268" s="38" t="str">
        <f t="shared" si="59"/>
        <v/>
      </c>
      <c r="AF268" s="38" t="str">
        <f t="shared" si="60"/>
        <v/>
      </c>
      <c r="AG268" s="26"/>
      <c r="AH268" s="72" t="str">
        <f t="shared" ca="1" si="61"/>
        <v/>
      </c>
      <c r="AI268" s="72" t="str">
        <f ca="1">IF(A268="","",IF(OR(W268='02_マスタ'!$E$10,W268='02_マスタ'!$E$12),"",IF(V268="High","High",IF(AND(U268&lt;&gt;"",U268&lt;TODAY()),INDEX(_翻訳マスタ!$B$117:$D$247,MATCH("ALERT_OVERDUE",_翻訳マスタ!$A$117:$A$247,0),MATCH(言語切替!$B$3,_翻訳マスタ!$B$1:$D$1,0)),IF(AND(U268&lt;&gt;"",U268-TODAY()&lt;=7),INDEX(_翻訳マスタ!$B$117:$D$247,MATCH("ALERT_APPROACHING",_翻訳マスタ!$A$117:$A$247,0),MATCH(言語切替!$B$3,_翻訳マスタ!$B$1:$D$1,0)),IF(OR(W268='02_マスタ'!$E$7,W268='02_マスタ'!$E$8),INDEX(_翻訳マスタ!$B$117:$D$247,MATCH("ALERT_CHECK",_翻訳マスタ!$A$117:$A$247,0),MATCH(言語切替!$B$3,_翻訳マスタ!$B$1:$D$1,0)),""))))))</f>
        <v/>
      </c>
      <c r="AJ268" s="73"/>
    </row>
    <row r="269" spans="1:36" s="21" customFormat="1" x14ac:dyDescent="0.25">
      <c r="A269" s="83"/>
      <c r="B269" s="84"/>
      <c r="C269" s="84"/>
      <c r="D269" s="84"/>
      <c r="E269" s="84"/>
      <c r="F269" s="29"/>
      <c r="G269" s="29"/>
      <c r="H269" s="39" t="str">
        <f t="shared" si="62"/>
        <v/>
      </c>
      <c r="I269" s="39" t="str">
        <f t="shared" si="63"/>
        <v/>
      </c>
      <c r="J269" s="29"/>
      <c r="K269" s="29"/>
      <c r="L269" s="39" t="str">
        <f t="shared" si="64"/>
        <v/>
      </c>
      <c r="M269" s="39" t="str">
        <f t="shared" si="65"/>
        <v/>
      </c>
      <c r="N269" s="29"/>
      <c r="O269" s="29"/>
      <c r="P269" s="39" t="str">
        <f t="shared" si="66"/>
        <v/>
      </c>
      <c r="Q269" s="39" t="str">
        <f t="shared" si="67"/>
        <v/>
      </c>
      <c r="R269" s="29"/>
      <c r="S269" s="29"/>
      <c r="T269" s="30"/>
      <c r="U269" s="30"/>
      <c r="V269" s="29"/>
      <c r="W269" s="29"/>
      <c r="X269" s="29"/>
      <c r="Y269" s="29"/>
      <c r="Z269" s="29"/>
      <c r="AA269" s="39" t="str">
        <f t="shared" si="68"/>
        <v/>
      </c>
      <c r="AB269" s="39" t="str">
        <f t="shared" si="69"/>
        <v/>
      </c>
      <c r="AC269" s="29"/>
      <c r="AD269" s="29"/>
      <c r="AE269" s="39" t="str">
        <f t="shared" si="59"/>
        <v/>
      </c>
      <c r="AF269" s="39" t="str">
        <f t="shared" si="60"/>
        <v/>
      </c>
      <c r="AG269" s="29"/>
      <c r="AH269" s="74" t="str">
        <f t="shared" ca="1" si="61"/>
        <v/>
      </c>
      <c r="AI269" s="74" t="str">
        <f ca="1">IF(A269="","",IF(OR(W269='02_マスタ'!$E$10,W269='02_マスタ'!$E$12),"",IF(V269="High","High",IF(AND(U269&lt;&gt;"",U269&lt;TODAY()),INDEX(_翻訳マスタ!$B$117:$D$247,MATCH("ALERT_OVERDUE",_翻訳マスタ!$A$117:$A$247,0),MATCH(言語切替!$B$3,_翻訳マスタ!$B$1:$D$1,0)),IF(AND(U269&lt;&gt;"",U269-TODAY()&lt;=7),INDEX(_翻訳マスタ!$B$117:$D$247,MATCH("ALERT_APPROACHING",_翻訳マスタ!$A$117:$A$247,0),MATCH(言語切替!$B$3,_翻訳マスタ!$B$1:$D$1,0)),IF(OR(W269='02_マスタ'!$E$7,W269='02_マスタ'!$E$8),INDEX(_翻訳マスタ!$B$117:$D$247,MATCH("ALERT_CHECK",_翻訳マスタ!$A$117:$A$247,0),MATCH(言語切替!$B$3,_翻訳マスタ!$B$1:$D$1,0)),""))))))</f>
        <v/>
      </c>
      <c r="AJ269" s="75"/>
    </row>
    <row r="270" spans="1:36" s="21" customFormat="1" x14ac:dyDescent="0.25">
      <c r="A270" s="81"/>
      <c r="B270" s="82"/>
      <c r="C270" s="82"/>
      <c r="D270" s="82"/>
      <c r="E270" s="82"/>
      <c r="F270" s="26"/>
      <c r="G270" s="26"/>
      <c r="H270" s="38" t="str">
        <f t="shared" si="62"/>
        <v/>
      </c>
      <c r="I270" s="38" t="str">
        <f t="shared" si="63"/>
        <v/>
      </c>
      <c r="J270" s="26"/>
      <c r="K270" s="26"/>
      <c r="L270" s="38" t="str">
        <f t="shared" si="64"/>
        <v/>
      </c>
      <c r="M270" s="38" t="str">
        <f t="shared" si="65"/>
        <v/>
      </c>
      <c r="N270" s="26"/>
      <c r="O270" s="26"/>
      <c r="P270" s="38" t="str">
        <f t="shared" si="66"/>
        <v/>
      </c>
      <c r="Q270" s="38" t="str">
        <f t="shared" si="67"/>
        <v/>
      </c>
      <c r="R270" s="26"/>
      <c r="S270" s="26"/>
      <c r="T270" s="27"/>
      <c r="U270" s="27"/>
      <c r="V270" s="26"/>
      <c r="W270" s="26"/>
      <c r="X270" s="26"/>
      <c r="Y270" s="26"/>
      <c r="Z270" s="26"/>
      <c r="AA270" s="38" t="str">
        <f t="shared" si="68"/>
        <v/>
      </c>
      <c r="AB270" s="38" t="str">
        <f t="shared" si="69"/>
        <v/>
      </c>
      <c r="AC270" s="26"/>
      <c r="AD270" s="26"/>
      <c r="AE270" s="38" t="str">
        <f t="shared" si="59"/>
        <v/>
      </c>
      <c r="AF270" s="38" t="str">
        <f t="shared" si="60"/>
        <v/>
      </c>
      <c r="AG270" s="26"/>
      <c r="AH270" s="72" t="str">
        <f t="shared" ca="1" si="61"/>
        <v/>
      </c>
      <c r="AI270" s="72" t="str">
        <f ca="1">IF(A270="","",IF(OR(W270='02_マスタ'!$E$10,W270='02_マスタ'!$E$12),"",IF(V270="High","High",IF(AND(U270&lt;&gt;"",U270&lt;TODAY()),INDEX(_翻訳マスタ!$B$117:$D$247,MATCH("ALERT_OVERDUE",_翻訳マスタ!$A$117:$A$247,0),MATCH(言語切替!$B$3,_翻訳マスタ!$B$1:$D$1,0)),IF(AND(U270&lt;&gt;"",U270-TODAY()&lt;=7),INDEX(_翻訳マスタ!$B$117:$D$247,MATCH("ALERT_APPROACHING",_翻訳マスタ!$A$117:$A$247,0),MATCH(言語切替!$B$3,_翻訳マスタ!$B$1:$D$1,0)),IF(OR(W270='02_マスタ'!$E$7,W270='02_マスタ'!$E$8),INDEX(_翻訳マスタ!$B$117:$D$247,MATCH("ALERT_CHECK",_翻訳マスタ!$A$117:$A$247,0),MATCH(言語切替!$B$3,_翻訳マスタ!$B$1:$D$1,0)),""))))))</f>
        <v/>
      </c>
      <c r="AJ270" s="73"/>
    </row>
    <row r="271" spans="1:36" s="21" customFormat="1" x14ac:dyDescent="0.25">
      <c r="A271" s="83"/>
      <c r="B271" s="84"/>
      <c r="C271" s="84"/>
      <c r="D271" s="84"/>
      <c r="E271" s="84"/>
      <c r="F271" s="29"/>
      <c r="G271" s="29"/>
      <c r="H271" s="39" t="str">
        <f t="shared" si="62"/>
        <v/>
      </c>
      <c r="I271" s="39" t="str">
        <f t="shared" si="63"/>
        <v/>
      </c>
      <c r="J271" s="29"/>
      <c r="K271" s="29"/>
      <c r="L271" s="39" t="str">
        <f t="shared" si="64"/>
        <v/>
      </c>
      <c r="M271" s="39" t="str">
        <f t="shared" si="65"/>
        <v/>
      </c>
      <c r="N271" s="29"/>
      <c r="O271" s="29"/>
      <c r="P271" s="39" t="str">
        <f t="shared" si="66"/>
        <v/>
      </c>
      <c r="Q271" s="39" t="str">
        <f t="shared" si="67"/>
        <v/>
      </c>
      <c r="R271" s="29"/>
      <c r="S271" s="29"/>
      <c r="T271" s="30"/>
      <c r="U271" s="30"/>
      <c r="V271" s="29"/>
      <c r="W271" s="29"/>
      <c r="X271" s="29"/>
      <c r="Y271" s="29"/>
      <c r="Z271" s="29"/>
      <c r="AA271" s="39" t="str">
        <f t="shared" si="68"/>
        <v/>
      </c>
      <c r="AB271" s="39" t="str">
        <f t="shared" si="69"/>
        <v/>
      </c>
      <c r="AC271" s="29"/>
      <c r="AD271" s="29"/>
      <c r="AE271" s="39" t="str">
        <f t="shared" si="59"/>
        <v/>
      </c>
      <c r="AF271" s="39" t="str">
        <f t="shared" si="60"/>
        <v/>
      </c>
      <c r="AG271" s="29"/>
      <c r="AH271" s="74" t="str">
        <f t="shared" ca="1" si="61"/>
        <v/>
      </c>
      <c r="AI271" s="74" t="str">
        <f ca="1">IF(A271="","",IF(OR(W271='02_マスタ'!$E$10,W271='02_マスタ'!$E$12),"",IF(V271="High","High",IF(AND(U271&lt;&gt;"",U271&lt;TODAY()),INDEX(_翻訳マスタ!$B$117:$D$247,MATCH("ALERT_OVERDUE",_翻訳マスタ!$A$117:$A$247,0),MATCH(言語切替!$B$3,_翻訳マスタ!$B$1:$D$1,0)),IF(AND(U271&lt;&gt;"",U271-TODAY()&lt;=7),INDEX(_翻訳マスタ!$B$117:$D$247,MATCH("ALERT_APPROACHING",_翻訳マスタ!$A$117:$A$247,0),MATCH(言語切替!$B$3,_翻訳マスタ!$B$1:$D$1,0)),IF(OR(W271='02_マスタ'!$E$7,W271='02_マスタ'!$E$8),INDEX(_翻訳マスタ!$B$117:$D$247,MATCH("ALERT_CHECK",_翻訳マスタ!$A$117:$A$247,0),MATCH(言語切替!$B$3,_翻訳マスタ!$B$1:$D$1,0)),""))))))</f>
        <v/>
      </c>
      <c r="AJ271" s="75"/>
    </row>
    <row r="272" spans="1:36" s="21" customFormat="1" x14ac:dyDescent="0.25">
      <c r="A272" s="81"/>
      <c r="B272" s="82"/>
      <c r="C272" s="82"/>
      <c r="D272" s="82"/>
      <c r="E272" s="82"/>
      <c r="F272" s="26"/>
      <c r="G272" s="26"/>
      <c r="H272" s="38" t="str">
        <f t="shared" si="62"/>
        <v/>
      </c>
      <c r="I272" s="38" t="str">
        <f t="shared" si="63"/>
        <v/>
      </c>
      <c r="J272" s="26"/>
      <c r="K272" s="26"/>
      <c r="L272" s="38" t="str">
        <f t="shared" si="64"/>
        <v/>
      </c>
      <c r="M272" s="38" t="str">
        <f t="shared" si="65"/>
        <v/>
      </c>
      <c r="N272" s="26"/>
      <c r="O272" s="26"/>
      <c r="P272" s="38" t="str">
        <f t="shared" si="66"/>
        <v/>
      </c>
      <c r="Q272" s="38" t="str">
        <f t="shared" si="67"/>
        <v/>
      </c>
      <c r="R272" s="26"/>
      <c r="S272" s="26"/>
      <c r="T272" s="27"/>
      <c r="U272" s="27"/>
      <c r="V272" s="26"/>
      <c r="W272" s="26"/>
      <c r="X272" s="26"/>
      <c r="Y272" s="26"/>
      <c r="Z272" s="26"/>
      <c r="AA272" s="38" t="str">
        <f t="shared" si="68"/>
        <v/>
      </c>
      <c r="AB272" s="38" t="str">
        <f t="shared" si="69"/>
        <v/>
      </c>
      <c r="AC272" s="26"/>
      <c r="AD272" s="26"/>
      <c r="AE272" s="38" t="str">
        <f t="shared" si="59"/>
        <v/>
      </c>
      <c r="AF272" s="38" t="str">
        <f t="shared" si="60"/>
        <v/>
      </c>
      <c r="AG272" s="26"/>
      <c r="AH272" s="72" t="str">
        <f t="shared" ca="1" si="61"/>
        <v/>
      </c>
      <c r="AI272" s="72" t="str">
        <f ca="1">IF(A272="","",IF(OR(W272='02_マスタ'!$E$10,W272='02_マスタ'!$E$12),"",IF(V272="High","High",IF(AND(U272&lt;&gt;"",U272&lt;TODAY()),INDEX(_翻訳マスタ!$B$117:$D$247,MATCH("ALERT_OVERDUE",_翻訳マスタ!$A$117:$A$247,0),MATCH(言語切替!$B$3,_翻訳マスタ!$B$1:$D$1,0)),IF(AND(U272&lt;&gt;"",U272-TODAY()&lt;=7),INDEX(_翻訳マスタ!$B$117:$D$247,MATCH("ALERT_APPROACHING",_翻訳マスタ!$A$117:$A$247,0),MATCH(言語切替!$B$3,_翻訳マスタ!$B$1:$D$1,0)),IF(OR(W272='02_マスタ'!$E$7,W272='02_マスタ'!$E$8),INDEX(_翻訳マスタ!$B$117:$D$247,MATCH("ALERT_CHECK",_翻訳マスタ!$A$117:$A$247,0),MATCH(言語切替!$B$3,_翻訳マスタ!$B$1:$D$1,0)),""))))))</f>
        <v/>
      </c>
      <c r="AJ272" s="73"/>
    </row>
    <row r="273" spans="1:36" s="21" customFormat="1" x14ac:dyDescent="0.25">
      <c r="A273" s="83"/>
      <c r="B273" s="84"/>
      <c r="C273" s="84"/>
      <c r="D273" s="84"/>
      <c r="E273" s="84"/>
      <c r="F273" s="29"/>
      <c r="G273" s="29"/>
      <c r="H273" s="39" t="str">
        <f t="shared" si="62"/>
        <v/>
      </c>
      <c r="I273" s="39" t="str">
        <f t="shared" si="63"/>
        <v/>
      </c>
      <c r="J273" s="29"/>
      <c r="K273" s="29"/>
      <c r="L273" s="39" t="str">
        <f t="shared" si="64"/>
        <v/>
      </c>
      <c r="M273" s="39" t="str">
        <f t="shared" si="65"/>
        <v/>
      </c>
      <c r="N273" s="29"/>
      <c r="O273" s="29"/>
      <c r="P273" s="39" t="str">
        <f t="shared" si="66"/>
        <v/>
      </c>
      <c r="Q273" s="39" t="str">
        <f t="shared" si="67"/>
        <v/>
      </c>
      <c r="R273" s="29"/>
      <c r="S273" s="29"/>
      <c r="T273" s="30"/>
      <c r="U273" s="30"/>
      <c r="V273" s="29"/>
      <c r="W273" s="29"/>
      <c r="X273" s="29"/>
      <c r="Y273" s="29"/>
      <c r="Z273" s="29"/>
      <c r="AA273" s="39" t="str">
        <f t="shared" si="68"/>
        <v/>
      </c>
      <c r="AB273" s="39" t="str">
        <f t="shared" si="69"/>
        <v/>
      </c>
      <c r="AC273" s="29"/>
      <c r="AD273" s="29"/>
      <c r="AE273" s="39" t="str">
        <f t="shared" si="59"/>
        <v/>
      </c>
      <c r="AF273" s="39" t="str">
        <f t="shared" si="60"/>
        <v/>
      </c>
      <c r="AG273" s="29"/>
      <c r="AH273" s="74" t="str">
        <f t="shared" ca="1" si="61"/>
        <v/>
      </c>
      <c r="AI273" s="74" t="str">
        <f ca="1">IF(A273="","",IF(OR(W273='02_マスタ'!$E$10,W273='02_マスタ'!$E$12),"",IF(V273="High","High",IF(AND(U273&lt;&gt;"",U273&lt;TODAY()),INDEX(_翻訳マスタ!$B$117:$D$247,MATCH("ALERT_OVERDUE",_翻訳マスタ!$A$117:$A$247,0),MATCH(言語切替!$B$3,_翻訳マスタ!$B$1:$D$1,0)),IF(AND(U273&lt;&gt;"",U273-TODAY()&lt;=7),INDEX(_翻訳マスタ!$B$117:$D$247,MATCH("ALERT_APPROACHING",_翻訳マスタ!$A$117:$A$247,0),MATCH(言語切替!$B$3,_翻訳マスタ!$B$1:$D$1,0)),IF(OR(W273='02_マスタ'!$E$7,W273='02_マスタ'!$E$8),INDEX(_翻訳マスタ!$B$117:$D$247,MATCH("ALERT_CHECK",_翻訳マスタ!$A$117:$A$247,0),MATCH(言語切替!$B$3,_翻訳マスタ!$B$1:$D$1,0)),""))))))</f>
        <v/>
      </c>
      <c r="AJ273" s="75"/>
    </row>
    <row r="274" spans="1:36" s="21" customFormat="1" x14ac:dyDescent="0.25">
      <c r="A274" s="81"/>
      <c r="B274" s="82"/>
      <c r="C274" s="82"/>
      <c r="D274" s="82"/>
      <c r="E274" s="82"/>
      <c r="F274" s="26"/>
      <c r="G274" s="26"/>
      <c r="H274" s="38" t="str">
        <f t="shared" si="62"/>
        <v/>
      </c>
      <c r="I274" s="38" t="str">
        <f t="shared" si="63"/>
        <v/>
      </c>
      <c r="J274" s="26"/>
      <c r="K274" s="26"/>
      <c r="L274" s="38" t="str">
        <f t="shared" si="64"/>
        <v/>
      </c>
      <c r="M274" s="38" t="str">
        <f t="shared" si="65"/>
        <v/>
      </c>
      <c r="N274" s="26"/>
      <c r="O274" s="26"/>
      <c r="P274" s="38" t="str">
        <f t="shared" si="66"/>
        <v/>
      </c>
      <c r="Q274" s="38" t="str">
        <f t="shared" si="67"/>
        <v/>
      </c>
      <c r="R274" s="26"/>
      <c r="S274" s="26"/>
      <c r="T274" s="27"/>
      <c r="U274" s="27"/>
      <c r="V274" s="26"/>
      <c r="W274" s="26"/>
      <c r="X274" s="26"/>
      <c r="Y274" s="26"/>
      <c r="Z274" s="26"/>
      <c r="AA274" s="38" t="str">
        <f t="shared" si="68"/>
        <v/>
      </c>
      <c r="AB274" s="38" t="str">
        <f t="shared" si="69"/>
        <v/>
      </c>
      <c r="AC274" s="26"/>
      <c r="AD274" s="26"/>
      <c r="AE274" s="38" t="str">
        <f t="shared" si="59"/>
        <v/>
      </c>
      <c r="AF274" s="38" t="str">
        <f t="shared" si="60"/>
        <v/>
      </c>
      <c r="AG274" s="26"/>
      <c r="AH274" s="72" t="str">
        <f t="shared" ca="1" si="61"/>
        <v/>
      </c>
      <c r="AI274" s="72" t="str">
        <f ca="1">IF(A274="","",IF(OR(W274='02_マスタ'!$E$10,W274='02_マスタ'!$E$12),"",IF(V274="High","High",IF(AND(U274&lt;&gt;"",U274&lt;TODAY()),INDEX(_翻訳マスタ!$B$117:$D$247,MATCH("ALERT_OVERDUE",_翻訳マスタ!$A$117:$A$247,0),MATCH(言語切替!$B$3,_翻訳マスタ!$B$1:$D$1,0)),IF(AND(U274&lt;&gt;"",U274-TODAY()&lt;=7),INDEX(_翻訳マスタ!$B$117:$D$247,MATCH("ALERT_APPROACHING",_翻訳マスタ!$A$117:$A$247,0),MATCH(言語切替!$B$3,_翻訳マスタ!$B$1:$D$1,0)),IF(OR(W274='02_マスタ'!$E$7,W274='02_マスタ'!$E$8),INDEX(_翻訳マスタ!$B$117:$D$247,MATCH("ALERT_CHECK",_翻訳マスタ!$A$117:$A$247,0),MATCH(言語切替!$B$3,_翻訳マスタ!$B$1:$D$1,0)),""))))))</f>
        <v/>
      </c>
      <c r="AJ274" s="73"/>
    </row>
    <row r="275" spans="1:36" s="21" customFormat="1" x14ac:dyDescent="0.25">
      <c r="A275" s="83"/>
      <c r="B275" s="84"/>
      <c r="C275" s="84"/>
      <c r="D275" s="84"/>
      <c r="E275" s="84"/>
      <c r="F275" s="29"/>
      <c r="G275" s="29"/>
      <c r="H275" s="39" t="str">
        <f t="shared" si="62"/>
        <v/>
      </c>
      <c r="I275" s="39" t="str">
        <f t="shared" si="63"/>
        <v/>
      </c>
      <c r="J275" s="29"/>
      <c r="K275" s="29"/>
      <c r="L275" s="39" t="str">
        <f t="shared" si="64"/>
        <v/>
      </c>
      <c r="M275" s="39" t="str">
        <f t="shared" si="65"/>
        <v/>
      </c>
      <c r="N275" s="29"/>
      <c r="O275" s="29"/>
      <c r="P275" s="39" t="str">
        <f t="shared" si="66"/>
        <v/>
      </c>
      <c r="Q275" s="39" t="str">
        <f t="shared" si="67"/>
        <v/>
      </c>
      <c r="R275" s="29"/>
      <c r="S275" s="29"/>
      <c r="T275" s="30"/>
      <c r="U275" s="30"/>
      <c r="V275" s="29"/>
      <c r="W275" s="29"/>
      <c r="X275" s="29"/>
      <c r="Y275" s="29"/>
      <c r="Z275" s="29"/>
      <c r="AA275" s="39" t="str">
        <f t="shared" si="68"/>
        <v/>
      </c>
      <c r="AB275" s="39" t="str">
        <f t="shared" si="69"/>
        <v/>
      </c>
      <c r="AC275" s="29"/>
      <c r="AD275" s="29"/>
      <c r="AE275" s="39" t="str">
        <f t="shared" si="59"/>
        <v/>
      </c>
      <c r="AF275" s="39" t="str">
        <f t="shared" si="60"/>
        <v/>
      </c>
      <c r="AG275" s="29"/>
      <c r="AH275" s="74" t="str">
        <f t="shared" ca="1" si="61"/>
        <v/>
      </c>
      <c r="AI275" s="74" t="str">
        <f ca="1">IF(A275="","",IF(OR(W275='02_マスタ'!$E$10,W275='02_マスタ'!$E$12),"",IF(V275="High","High",IF(AND(U275&lt;&gt;"",U275&lt;TODAY()),INDEX(_翻訳マスタ!$B$117:$D$247,MATCH("ALERT_OVERDUE",_翻訳マスタ!$A$117:$A$247,0),MATCH(言語切替!$B$3,_翻訳マスタ!$B$1:$D$1,0)),IF(AND(U275&lt;&gt;"",U275-TODAY()&lt;=7),INDEX(_翻訳マスタ!$B$117:$D$247,MATCH("ALERT_APPROACHING",_翻訳マスタ!$A$117:$A$247,0),MATCH(言語切替!$B$3,_翻訳マスタ!$B$1:$D$1,0)),IF(OR(W275='02_マスタ'!$E$7,W275='02_マスタ'!$E$8),INDEX(_翻訳マスタ!$B$117:$D$247,MATCH("ALERT_CHECK",_翻訳マスタ!$A$117:$A$247,0),MATCH(言語切替!$B$3,_翻訳マスタ!$B$1:$D$1,0)),""))))))</f>
        <v/>
      </c>
      <c r="AJ275" s="75"/>
    </row>
    <row r="276" spans="1:36" s="21" customFormat="1" x14ac:dyDescent="0.25">
      <c r="A276" s="81"/>
      <c r="B276" s="82"/>
      <c r="C276" s="82"/>
      <c r="D276" s="82"/>
      <c r="E276" s="82"/>
      <c r="F276" s="26"/>
      <c r="G276" s="26"/>
      <c r="H276" s="38" t="str">
        <f t="shared" si="62"/>
        <v/>
      </c>
      <c r="I276" s="38" t="str">
        <f t="shared" si="63"/>
        <v/>
      </c>
      <c r="J276" s="26"/>
      <c r="K276" s="26"/>
      <c r="L276" s="38" t="str">
        <f t="shared" si="64"/>
        <v/>
      </c>
      <c r="M276" s="38" t="str">
        <f t="shared" si="65"/>
        <v/>
      </c>
      <c r="N276" s="26"/>
      <c r="O276" s="26"/>
      <c r="P276" s="38" t="str">
        <f t="shared" si="66"/>
        <v/>
      </c>
      <c r="Q276" s="38" t="str">
        <f t="shared" si="67"/>
        <v/>
      </c>
      <c r="R276" s="26"/>
      <c r="S276" s="26"/>
      <c r="T276" s="27"/>
      <c r="U276" s="27"/>
      <c r="V276" s="26"/>
      <c r="W276" s="26"/>
      <c r="X276" s="26"/>
      <c r="Y276" s="26"/>
      <c r="Z276" s="26"/>
      <c r="AA276" s="38" t="str">
        <f t="shared" si="68"/>
        <v/>
      </c>
      <c r="AB276" s="38" t="str">
        <f t="shared" si="69"/>
        <v/>
      </c>
      <c r="AC276" s="26"/>
      <c r="AD276" s="26"/>
      <c r="AE276" s="38" t="str">
        <f t="shared" si="59"/>
        <v/>
      </c>
      <c r="AF276" s="38" t="str">
        <f t="shared" si="60"/>
        <v/>
      </c>
      <c r="AG276" s="26"/>
      <c r="AH276" s="72" t="str">
        <f t="shared" ca="1" si="61"/>
        <v/>
      </c>
      <c r="AI276" s="72" t="str">
        <f ca="1">IF(A276="","",IF(OR(W276='02_マスタ'!$E$10,W276='02_マスタ'!$E$12),"",IF(V276="High","High",IF(AND(U276&lt;&gt;"",U276&lt;TODAY()),INDEX(_翻訳マスタ!$B$117:$D$247,MATCH("ALERT_OVERDUE",_翻訳マスタ!$A$117:$A$247,0),MATCH(言語切替!$B$3,_翻訳マスタ!$B$1:$D$1,0)),IF(AND(U276&lt;&gt;"",U276-TODAY()&lt;=7),INDEX(_翻訳マスタ!$B$117:$D$247,MATCH("ALERT_APPROACHING",_翻訳マスタ!$A$117:$A$247,0),MATCH(言語切替!$B$3,_翻訳マスタ!$B$1:$D$1,0)),IF(OR(W276='02_マスタ'!$E$7,W276='02_マスタ'!$E$8),INDEX(_翻訳マスタ!$B$117:$D$247,MATCH("ALERT_CHECK",_翻訳マスタ!$A$117:$A$247,0),MATCH(言語切替!$B$3,_翻訳マスタ!$B$1:$D$1,0)),""))))))</f>
        <v/>
      </c>
      <c r="AJ276" s="73"/>
    </row>
    <row r="277" spans="1:36" s="21" customFormat="1" x14ac:dyDescent="0.25">
      <c r="A277" s="83"/>
      <c r="B277" s="84"/>
      <c r="C277" s="84"/>
      <c r="D277" s="84"/>
      <c r="E277" s="84"/>
      <c r="F277" s="29"/>
      <c r="G277" s="29"/>
      <c r="H277" s="39" t="str">
        <f t="shared" si="62"/>
        <v/>
      </c>
      <c r="I277" s="39" t="str">
        <f t="shared" si="63"/>
        <v/>
      </c>
      <c r="J277" s="29"/>
      <c r="K277" s="29"/>
      <c r="L277" s="39" t="str">
        <f t="shared" si="64"/>
        <v/>
      </c>
      <c r="M277" s="39" t="str">
        <f t="shared" si="65"/>
        <v/>
      </c>
      <c r="N277" s="29"/>
      <c r="O277" s="29"/>
      <c r="P277" s="39" t="str">
        <f t="shared" si="66"/>
        <v/>
      </c>
      <c r="Q277" s="39" t="str">
        <f t="shared" si="67"/>
        <v/>
      </c>
      <c r="R277" s="29"/>
      <c r="S277" s="29"/>
      <c r="T277" s="30"/>
      <c r="U277" s="30"/>
      <c r="V277" s="29"/>
      <c r="W277" s="29"/>
      <c r="X277" s="29"/>
      <c r="Y277" s="29"/>
      <c r="Z277" s="29"/>
      <c r="AA277" s="39" t="str">
        <f t="shared" si="68"/>
        <v/>
      </c>
      <c r="AB277" s="39" t="str">
        <f t="shared" si="69"/>
        <v/>
      </c>
      <c r="AC277" s="29"/>
      <c r="AD277" s="29"/>
      <c r="AE277" s="39" t="str">
        <f t="shared" si="59"/>
        <v/>
      </c>
      <c r="AF277" s="39" t="str">
        <f t="shared" si="60"/>
        <v/>
      </c>
      <c r="AG277" s="29"/>
      <c r="AH277" s="74" t="str">
        <f t="shared" ca="1" si="61"/>
        <v/>
      </c>
      <c r="AI277" s="74" t="str">
        <f ca="1">IF(A277="","",IF(OR(W277='02_マスタ'!$E$10,W277='02_マスタ'!$E$12),"",IF(V277="High","High",IF(AND(U277&lt;&gt;"",U277&lt;TODAY()),INDEX(_翻訳マスタ!$B$117:$D$247,MATCH("ALERT_OVERDUE",_翻訳マスタ!$A$117:$A$247,0),MATCH(言語切替!$B$3,_翻訳マスタ!$B$1:$D$1,0)),IF(AND(U277&lt;&gt;"",U277-TODAY()&lt;=7),INDEX(_翻訳マスタ!$B$117:$D$247,MATCH("ALERT_APPROACHING",_翻訳マスタ!$A$117:$A$247,0),MATCH(言語切替!$B$3,_翻訳マスタ!$B$1:$D$1,0)),IF(OR(W277='02_マスタ'!$E$7,W277='02_マスタ'!$E$8),INDEX(_翻訳マスタ!$B$117:$D$247,MATCH("ALERT_CHECK",_翻訳マスタ!$A$117:$A$247,0),MATCH(言語切替!$B$3,_翻訳マスタ!$B$1:$D$1,0)),""))))))</f>
        <v/>
      </c>
      <c r="AJ277" s="75"/>
    </row>
    <row r="278" spans="1:36" s="21" customFormat="1" x14ac:dyDescent="0.25">
      <c r="A278" s="81"/>
      <c r="B278" s="82"/>
      <c r="C278" s="82"/>
      <c r="D278" s="82"/>
      <c r="E278" s="82"/>
      <c r="F278" s="26"/>
      <c r="G278" s="26"/>
      <c r="H278" s="38" t="str">
        <f t="shared" si="62"/>
        <v/>
      </c>
      <c r="I278" s="38" t="str">
        <f t="shared" si="63"/>
        <v/>
      </c>
      <c r="J278" s="26"/>
      <c r="K278" s="26"/>
      <c r="L278" s="38" t="str">
        <f t="shared" si="64"/>
        <v/>
      </c>
      <c r="M278" s="38" t="str">
        <f t="shared" si="65"/>
        <v/>
      </c>
      <c r="N278" s="26"/>
      <c r="O278" s="26"/>
      <c r="P278" s="38" t="str">
        <f t="shared" si="66"/>
        <v/>
      </c>
      <c r="Q278" s="38" t="str">
        <f t="shared" si="67"/>
        <v/>
      </c>
      <c r="R278" s="26"/>
      <c r="S278" s="26"/>
      <c r="T278" s="27"/>
      <c r="U278" s="27"/>
      <c r="V278" s="26"/>
      <c r="W278" s="26"/>
      <c r="X278" s="26"/>
      <c r="Y278" s="26"/>
      <c r="Z278" s="26"/>
      <c r="AA278" s="38" t="str">
        <f t="shared" si="68"/>
        <v/>
      </c>
      <c r="AB278" s="38" t="str">
        <f t="shared" si="69"/>
        <v/>
      </c>
      <c r="AC278" s="26"/>
      <c r="AD278" s="26"/>
      <c r="AE278" s="38" t="str">
        <f t="shared" si="59"/>
        <v/>
      </c>
      <c r="AF278" s="38" t="str">
        <f t="shared" si="60"/>
        <v/>
      </c>
      <c r="AG278" s="26"/>
      <c r="AH278" s="72" t="str">
        <f t="shared" ca="1" si="61"/>
        <v/>
      </c>
      <c r="AI278" s="72" t="str">
        <f ca="1">IF(A278="","",IF(OR(W278='02_マスタ'!$E$10,W278='02_マスタ'!$E$12),"",IF(V278="High","High",IF(AND(U278&lt;&gt;"",U278&lt;TODAY()),INDEX(_翻訳マスタ!$B$117:$D$247,MATCH("ALERT_OVERDUE",_翻訳マスタ!$A$117:$A$247,0),MATCH(言語切替!$B$3,_翻訳マスタ!$B$1:$D$1,0)),IF(AND(U278&lt;&gt;"",U278-TODAY()&lt;=7),INDEX(_翻訳マスタ!$B$117:$D$247,MATCH("ALERT_APPROACHING",_翻訳マスタ!$A$117:$A$247,0),MATCH(言語切替!$B$3,_翻訳マスタ!$B$1:$D$1,0)),IF(OR(W278='02_マスタ'!$E$7,W278='02_マスタ'!$E$8),INDEX(_翻訳マスタ!$B$117:$D$247,MATCH("ALERT_CHECK",_翻訳マスタ!$A$117:$A$247,0),MATCH(言語切替!$B$3,_翻訳マスタ!$B$1:$D$1,0)),""))))))</f>
        <v/>
      </c>
      <c r="AJ278" s="73"/>
    </row>
    <row r="279" spans="1:36" s="21" customFormat="1" x14ac:dyDescent="0.25">
      <c r="A279" s="83"/>
      <c r="B279" s="84"/>
      <c r="C279" s="84"/>
      <c r="D279" s="84"/>
      <c r="E279" s="84"/>
      <c r="F279" s="29"/>
      <c r="G279" s="29"/>
      <c r="H279" s="39" t="str">
        <f t="shared" si="62"/>
        <v/>
      </c>
      <c r="I279" s="39" t="str">
        <f t="shared" si="63"/>
        <v/>
      </c>
      <c r="J279" s="29"/>
      <c r="K279" s="29"/>
      <c r="L279" s="39" t="str">
        <f t="shared" si="64"/>
        <v/>
      </c>
      <c r="M279" s="39" t="str">
        <f t="shared" si="65"/>
        <v/>
      </c>
      <c r="N279" s="29"/>
      <c r="O279" s="29"/>
      <c r="P279" s="39" t="str">
        <f t="shared" si="66"/>
        <v/>
      </c>
      <c r="Q279" s="39" t="str">
        <f t="shared" si="67"/>
        <v/>
      </c>
      <c r="R279" s="29"/>
      <c r="S279" s="29"/>
      <c r="T279" s="30"/>
      <c r="U279" s="30"/>
      <c r="V279" s="29"/>
      <c r="W279" s="29"/>
      <c r="X279" s="29"/>
      <c r="Y279" s="29"/>
      <c r="Z279" s="29"/>
      <c r="AA279" s="39" t="str">
        <f t="shared" si="68"/>
        <v/>
      </c>
      <c r="AB279" s="39" t="str">
        <f t="shared" si="69"/>
        <v/>
      </c>
      <c r="AC279" s="29"/>
      <c r="AD279" s="29"/>
      <c r="AE279" s="39" t="str">
        <f t="shared" si="59"/>
        <v/>
      </c>
      <c r="AF279" s="39" t="str">
        <f t="shared" si="60"/>
        <v/>
      </c>
      <c r="AG279" s="29"/>
      <c r="AH279" s="74" t="str">
        <f t="shared" ca="1" si="61"/>
        <v/>
      </c>
      <c r="AI279" s="74" t="str">
        <f ca="1">IF(A279="","",IF(OR(W279='02_マスタ'!$E$10,W279='02_マスタ'!$E$12),"",IF(V279="High","High",IF(AND(U279&lt;&gt;"",U279&lt;TODAY()),INDEX(_翻訳マスタ!$B$117:$D$247,MATCH("ALERT_OVERDUE",_翻訳マスタ!$A$117:$A$247,0),MATCH(言語切替!$B$3,_翻訳マスタ!$B$1:$D$1,0)),IF(AND(U279&lt;&gt;"",U279-TODAY()&lt;=7),INDEX(_翻訳マスタ!$B$117:$D$247,MATCH("ALERT_APPROACHING",_翻訳マスタ!$A$117:$A$247,0),MATCH(言語切替!$B$3,_翻訳マスタ!$B$1:$D$1,0)),IF(OR(W279='02_マスタ'!$E$7,W279='02_マスタ'!$E$8),INDEX(_翻訳マスタ!$B$117:$D$247,MATCH("ALERT_CHECK",_翻訳マスタ!$A$117:$A$247,0),MATCH(言語切替!$B$3,_翻訳マスタ!$B$1:$D$1,0)),""))))))</f>
        <v/>
      </c>
      <c r="AJ279" s="75"/>
    </row>
    <row r="280" spans="1:36" s="21" customFormat="1" x14ac:dyDescent="0.25">
      <c r="A280" s="81"/>
      <c r="B280" s="82"/>
      <c r="C280" s="82"/>
      <c r="D280" s="82"/>
      <c r="E280" s="82"/>
      <c r="F280" s="26"/>
      <c r="G280" s="26"/>
      <c r="H280" s="38" t="str">
        <f t="shared" si="62"/>
        <v/>
      </c>
      <c r="I280" s="38" t="str">
        <f t="shared" si="63"/>
        <v/>
      </c>
      <c r="J280" s="26"/>
      <c r="K280" s="26"/>
      <c r="L280" s="38" t="str">
        <f t="shared" si="64"/>
        <v/>
      </c>
      <c r="M280" s="38" t="str">
        <f t="shared" si="65"/>
        <v/>
      </c>
      <c r="N280" s="26"/>
      <c r="O280" s="26"/>
      <c r="P280" s="38" t="str">
        <f t="shared" si="66"/>
        <v/>
      </c>
      <c r="Q280" s="38" t="str">
        <f t="shared" si="67"/>
        <v/>
      </c>
      <c r="R280" s="26"/>
      <c r="S280" s="26"/>
      <c r="T280" s="27"/>
      <c r="U280" s="27"/>
      <c r="V280" s="26"/>
      <c r="W280" s="26"/>
      <c r="X280" s="26"/>
      <c r="Y280" s="26"/>
      <c r="Z280" s="26"/>
      <c r="AA280" s="38" t="str">
        <f t="shared" si="68"/>
        <v/>
      </c>
      <c r="AB280" s="38" t="str">
        <f t="shared" si="69"/>
        <v/>
      </c>
      <c r="AC280" s="26"/>
      <c r="AD280" s="26"/>
      <c r="AE280" s="38" t="str">
        <f t="shared" si="59"/>
        <v/>
      </c>
      <c r="AF280" s="38" t="str">
        <f t="shared" si="60"/>
        <v/>
      </c>
      <c r="AG280" s="26"/>
      <c r="AH280" s="72" t="str">
        <f t="shared" ca="1" si="61"/>
        <v/>
      </c>
      <c r="AI280" s="72" t="str">
        <f ca="1">IF(A280="","",IF(OR(W280='02_マスタ'!$E$10,W280='02_マスタ'!$E$12),"",IF(V280="High","High",IF(AND(U280&lt;&gt;"",U280&lt;TODAY()),INDEX(_翻訳マスタ!$B$117:$D$247,MATCH("ALERT_OVERDUE",_翻訳マスタ!$A$117:$A$247,0),MATCH(言語切替!$B$3,_翻訳マスタ!$B$1:$D$1,0)),IF(AND(U280&lt;&gt;"",U280-TODAY()&lt;=7),INDEX(_翻訳マスタ!$B$117:$D$247,MATCH("ALERT_APPROACHING",_翻訳マスタ!$A$117:$A$247,0),MATCH(言語切替!$B$3,_翻訳マスタ!$B$1:$D$1,0)),IF(OR(W280='02_マスタ'!$E$7,W280='02_マスタ'!$E$8),INDEX(_翻訳マスタ!$B$117:$D$247,MATCH("ALERT_CHECK",_翻訳マスタ!$A$117:$A$247,0),MATCH(言語切替!$B$3,_翻訳マスタ!$B$1:$D$1,0)),""))))))</f>
        <v/>
      </c>
      <c r="AJ280" s="73"/>
    </row>
    <row r="281" spans="1:36" s="21" customFormat="1" x14ac:dyDescent="0.25">
      <c r="A281" s="83"/>
      <c r="B281" s="84"/>
      <c r="C281" s="84"/>
      <c r="D281" s="84"/>
      <c r="E281" s="84"/>
      <c r="F281" s="29"/>
      <c r="G281" s="29"/>
      <c r="H281" s="39" t="str">
        <f t="shared" si="62"/>
        <v/>
      </c>
      <c r="I281" s="39" t="str">
        <f t="shared" si="63"/>
        <v/>
      </c>
      <c r="J281" s="29"/>
      <c r="K281" s="29"/>
      <c r="L281" s="39" t="str">
        <f t="shared" si="64"/>
        <v/>
      </c>
      <c r="M281" s="39" t="str">
        <f t="shared" si="65"/>
        <v/>
      </c>
      <c r="N281" s="29"/>
      <c r="O281" s="29"/>
      <c r="P281" s="39" t="str">
        <f t="shared" si="66"/>
        <v/>
      </c>
      <c r="Q281" s="39" t="str">
        <f t="shared" si="67"/>
        <v/>
      </c>
      <c r="R281" s="29"/>
      <c r="S281" s="29"/>
      <c r="T281" s="30"/>
      <c r="U281" s="30"/>
      <c r="V281" s="29"/>
      <c r="W281" s="29"/>
      <c r="X281" s="29"/>
      <c r="Y281" s="29"/>
      <c r="Z281" s="29"/>
      <c r="AA281" s="39" t="str">
        <f t="shared" si="68"/>
        <v/>
      </c>
      <c r="AB281" s="39" t="str">
        <f t="shared" si="69"/>
        <v/>
      </c>
      <c r="AC281" s="29"/>
      <c r="AD281" s="29"/>
      <c r="AE281" s="39" t="str">
        <f t="shared" si="59"/>
        <v/>
      </c>
      <c r="AF281" s="39" t="str">
        <f t="shared" si="60"/>
        <v/>
      </c>
      <c r="AG281" s="29"/>
      <c r="AH281" s="74" t="str">
        <f t="shared" ca="1" si="61"/>
        <v/>
      </c>
      <c r="AI281" s="74" t="str">
        <f ca="1">IF(A281="","",IF(OR(W281='02_マスタ'!$E$10,W281='02_マスタ'!$E$12),"",IF(V281="High","High",IF(AND(U281&lt;&gt;"",U281&lt;TODAY()),INDEX(_翻訳マスタ!$B$117:$D$247,MATCH("ALERT_OVERDUE",_翻訳マスタ!$A$117:$A$247,0),MATCH(言語切替!$B$3,_翻訳マスタ!$B$1:$D$1,0)),IF(AND(U281&lt;&gt;"",U281-TODAY()&lt;=7),INDEX(_翻訳マスタ!$B$117:$D$247,MATCH("ALERT_APPROACHING",_翻訳マスタ!$A$117:$A$247,0),MATCH(言語切替!$B$3,_翻訳マスタ!$B$1:$D$1,0)),IF(OR(W281='02_マスタ'!$E$7,W281='02_マスタ'!$E$8),INDEX(_翻訳マスタ!$B$117:$D$247,MATCH("ALERT_CHECK",_翻訳マスタ!$A$117:$A$247,0),MATCH(言語切替!$B$3,_翻訳マスタ!$B$1:$D$1,0)),""))))))</f>
        <v/>
      </c>
      <c r="AJ281" s="75"/>
    </row>
    <row r="282" spans="1:36" s="21" customFormat="1" x14ac:dyDescent="0.25">
      <c r="A282" s="81"/>
      <c r="B282" s="82"/>
      <c r="C282" s="82"/>
      <c r="D282" s="82"/>
      <c r="E282" s="82"/>
      <c r="F282" s="26"/>
      <c r="G282" s="26"/>
      <c r="H282" s="38" t="str">
        <f t="shared" si="62"/>
        <v/>
      </c>
      <c r="I282" s="38" t="str">
        <f t="shared" si="63"/>
        <v/>
      </c>
      <c r="J282" s="26"/>
      <c r="K282" s="26"/>
      <c r="L282" s="38" t="str">
        <f t="shared" si="64"/>
        <v/>
      </c>
      <c r="M282" s="38" t="str">
        <f t="shared" si="65"/>
        <v/>
      </c>
      <c r="N282" s="26"/>
      <c r="O282" s="26"/>
      <c r="P282" s="38" t="str">
        <f t="shared" si="66"/>
        <v/>
      </c>
      <c r="Q282" s="38" t="str">
        <f t="shared" si="67"/>
        <v/>
      </c>
      <c r="R282" s="26"/>
      <c r="S282" s="26"/>
      <c r="T282" s="27"/>
      <c r="U282" s="27"/>
      <c r="V282" s="26"/>
      <c r="W282" s="26"/>
      <c r="X282" s="26"/>
      <c r="Y282" s="26"/>
      <c r="Z282" s="26"/>
      <c r="AA282" s="38" t="str">
        <f t="shared" si="68"/>
        <v/>
      </c>
      <c r="AB282" s="38" t="str">
        <f t="shared" si="69"/>
        <v/>
      </c>
      <c r="AC282" s="26"/>
      <c r="AD282" s="26"/>
      <c r="AE282" s="38" t="str">
        <f t="shared" si="59"/>
        <v/>
      </c>
      <c r="AF282" s="38" t="str">
        <f t="shared" si="60"/>
        <v/>
      </c>
      <c r="AG282" s="26"/>
      <c r="AH282" s="72" t="str">
        <f t="shared" ca="1" si="61"/>
        <v/>
      </c>
      <c r="AI282" s="72" t="str">
        <f ca="1">IF(A282="","",IF(OR(W282='02_マスタ'!$E$10,W282='02_マスタ'!$E$12),"",IF(V282="High","High",IF(AND(U282&lt;&gt;"",U282&lt;TODAY()),INDEX(_翻訳マスタ!$B$117:$D$247,MATCH("ALERT_OVERDUE",_翻訳マスタ!$A$117:$A$247,0),MATCH(言語切替!$B$3,_翻訳マスタ!$B$1:$D$1,0)),IF(AND(U282&lt;&gt;"",U282-TODAY()&lt;=7),INDEX(_翻訳マスタ!$B$117:$D$247,MATCH("ALERT_APPROACHING",_翻訳マスタ!$A$117:$A$247,0),MATCH(言語切替!$B$3,_翻訳マスタ!$B$1:$D$1,0)),IF(OR(W282='02_マスタ'!$E$7,W282='02_マスタ'!$E$8),INDEX(_翻訳マスタ!$B$117:$D$247,MATCH("ALERT_CHECK",_翻訳マスタ!$A$117:$A$247,0),MATCH(言語切替!$B$3,_翻訳マスタ!$B$1:$D$1,0)),""))))))</f>
        <v/>
      </c>
      <c r="AJ282" s="73"/>
    </row>
    <row r="283" spans="1:36" s="21" customFormat="1" x14ac:dyDescent="0.25">
      <c r="A283" s="83"/>
      <c r="B283" s="84"/>
      <c r="C283" s="84"/>
      <c r="D283" s="84"/>
      <c r="E283" s="84"/>
      <c r="F283" s="29"/>
      <c r="G283" s="29"/>
      <c r="H283" s="39" t="str">
        <f t="shared" si="62"/>
        <v/>
      </c>
      <c r="I283" s="39" t="str">
        <f t="shared" si="63"/>
        <v/>
      </c>
      <c r="J283" s="29"/>
      <c r="K283" s="29"/>
      <c r="L283" s="39" t="str">
        <f t="shared" si="64"/>
        <v/>
      </c>
      <c r="M283" s="39" t="str">
        <f t="shared" si="65"/>
        <v/>
      </c>
      <c r="N283" s="29"/>
      <c r="O283" s="29"/>
      <c r="P283" s="39" t="str">
        <f t="shared" si="66"/>
        <v/>
      </c>
      <c r="Q283" s="39" t="str">
        <f t="shared" si="67"/>
        <v/>
      </c>
      <c r="R283" s="29"/>
      <c r="S283" s="29"/>
      <c r="T283" s="30"/>
      <c r="U283" s="30"/>
      <c r="V283" s="29"/>
      <c r="W283" s="29"/>
      <c r="X283" s="29"/>
      <c r="Y283" s="29"/>
      <c r="Z283" s="29"/>
      <c r="AA283" s="39" t="str">
        <f t="shared" si="68"/>
        <v/>
      </c>
      <c r="AB283" s="39" t="str">
        <f t="shared" si="69"/>
        <v/>
      </c>
      <c r="AC283" s="29"/>
      <c r="AD283" s="29"/>
      <c r="AE283" s="39" t="str">
        <f t="shared" si="59"/>
        <v/>
      </c>
      <c r="AF283" s="39" t="str">
        <f t="shared" si="60"/>
        <v/>
      </c>
      <c r="AG283" s="29"/>
      <c r="AH283" s="74" t="str">
        <f t="shared" ca="1" si="61"/>
        <v/>
      </c>
      <c r="AI283" s="74" t="str">
        <f ca="1">IF(A283="","",IF(OR(W283='02_マスタ'!$E$10,W283='02_マスタ'!$E$12),"",IF(V283="High","High",IF(AND(U283&lt;&gt;"",U283&lt;TODAY()),INDEX(_翻訳マスタ!$B$117:$D$247,MATCH("ALERT_OVERDUE",_翻訳マスタ!$A$117:$A$247,0),MATCH(言語切替!$B$3,_翻訳マスタ!$B$1:$D$1,0)),IF(AND(U283&lt;&gt;"",U283-TODAY()&lt;=7),INDEX(_翻訳マスタ!$B$117:$D$247,MATCH("ALERT_APPROACHING",_翻訳マスタ!$A$117:$A$247,0),MATCH(言語切替!$B$3,_翻訳マスタ!$B$1:$D$1,0)),IF(OR(W283='02_マスタ'!$E$7,W283='02_マスタ'!$E$8),INDEX(_翻訳マスタ!$B$117:$D$247,MATCH("ALERT_CHECK",_翻訳マスタ!$A$117:$A$247,0),MATCH(言語切替!$B$3,_翻訳マスタ!$B$1:$D$1,0)),""))))))</f>
        <v/>
      </c>
      <c r="AJ283" s="75"/>
    </row>
    <row r="284" spans="1:36" s="21" customFormat="1" x14ac:dyDescent="0.25">
      <c r="A284" s="81"/>
      <c r="B284" s="82"/>
      <c r="C284" s="82"/>
      <c r="D284" s="82"/>
      <c r="E284" s="82"/>
      <c r="F284" s="26"/>
      <c r="G284" s="26"/>
      <c r="H284" s="38" t="str">
        <f t="shared" si="62"/>
        <v/>
      </c>
      <c r="I284" s="38" t="str">
        <f t="shared" si="63"/>
        <v/>
      </c>
      <c r="J284" s="26"/>
      <c r="K284" s="26"/>
      <c r="L284" s="38" t="str">
        <f t="shared" si="64"/>
        <v/>
      </c>
      <c r="M284" s="38" t="str">
        <f t="shared" si="65"/>
        <v/>
      </c>
      <c r="N284" s="26"/>
      <c r="O284" s="26"/>
      <c r="P284" s="38" t="str">
        <f t="shared" si="66"/>
        <v/>
      </c>
      <c r="Q284" s="38" t="str">
        <f t="shared" si="67"/>
        <v/>
      </c>
      <c r="R284" s="26"/>
      <c r="S284" s="26"/>
      <c r="T284" s="27"/>
      <c r="U284" s="27"/>
      <c r="V284" s="26"/>
      <c r="W284" s="26"/>
      <c r="X284" s="26"/>
      <c r="Y284" s="26"/>
      <c r="Z284" s="26"/>
      <c r="AA284" s="38" t="str">
        <f t="shared" si="68"/>
        <v/>
      </c>
      <c r="AB284" s="38" t="str">
        <f t="shared" si="69"/>
        <v/>
      </c>
      <c r="AC284" s="26"/>
      <c r="AD284" s="26"/>
      <c r="AE284" s="38" t="str">
        <f t="shared" si="59"/>
        <v/>
      </c>
      <c r="AF284" s="38" t="str">
        <f t="shared" si="60"/>
        <v/>
      </c>
      <c r="AG284" s="26"/>
      <c r="AH284" s="72" t="str">
        <f t="shared" ca="1" si="61"/>
        <v/>
      </c>
      <c r="AI284" s="72" t="str">
        <f ca="1">IF(A284="","",IF(OR(W284='02_マスタ'!$E$10,W284='02_マスタ'!$E$12),"",IF(V284="High","High",IF(AND(U284&lt;&gt;"",U284&lt;TODAY()),INDEX(_翻訳マスタ!$B$117:$D$247,MATCH("ALERT_OVERDUE",_翻訳マスタ!$A$117:$A$247,0),MATCH(言語切替!$B$3,_翻訳マスタ!$B$1:$D$1,0)),IF(AND(U284&lt;&gt;"",U284-TODAY()&lt;=7),INDEX(_翻訳マスタ!$B$117:$D$247,MATCH("ALERT_APPROACHING",_翻訳マスタ!$A$117:$A$247,0),MATCH(言語切替!$B$3,_翻訳マスタ!$B$1:$D$1,0)),IF(OR(W284='02_マスタ'!$E$7,W284='02_マスタ'!$E$8),INDEX(_翻訳マスタ!$B$117:$D$247,MATCH("ALERT_CHECK",_翻訳マスタ!$A$117:$A$247,0),MATCH(言語切替!$B$3,_翻訳マスタ!$B$1:$D$1,0)),""))))))</f>
        <v/>
      </c>
      <c r="AJ284" s="73"/>
    </row>
    <row r="285" spans="1:36" s="21" customFormat="1" x14ac:dyDescent="0.25">
      <c r="A285" s="83"/>
      <c r="B285" s="84"/>
      <c r="C285" s="84"/>
      <c r="D285" s="84"/>
      <c r="E285" s="84"/>
      <c r="F285" s="29"/>
      <c r="G285" s="29"/>
      <c r="H285" s="39" t="str">
        <f t="shared" si="62"/>
        <v/>
      </c>
      <c r="I285" s="39" t="str">
        <f t="shared" si="63"/>
        <v/>
      </c>
      <c r="J285" s="29"/>
      <c r="K285" s="29"/>
      <c r="L285" s="39" t="str">
        <f t="shared" si="64"/>
        <v/>
      </c>
      <c r="M285" s="39" t="str">
        <f t="shared" si="65"/>
        <v/>
      </c>
      <c r="N285" s="29"/>
      <c r="O285" s="29"/>
      <c r="P285" s="39" t="str">
        <f t="shared" si="66"/>
        <v/>
      </c>
      <c r="Q285" s="39" t="str">
        <f t="shared" si="67"/>
        <v/>
      </c>
      <c r="R285" s="29"/>
      <c r="S285" s="29"/>
      <c r="T285" s="30"/>
      <c r="U285" s="30"/>
      <c r="V285" s="29"/>
      <c r="W285" s="29"/>
      <c r="X285" s="29"/>
      <c r="Y285" s="29"/>
      <c r="Z285" s="29"/>
      <c r="AA285" s="39" t="str">
        <f t="shared" si="68"/>
        <v/>
      </c>
      <c r="AB285" s="39" t="str">
        <f t="shared" si="69"/>
        <v/>
      </c>
      <c r="AC285" s="29"/>
      <c r="AD285" s="29"/>
      <c r="AE285" s="39" t="str">
        <f t="shared" si="59"/>
        <v/>
      </c>
      <c r="AF285" s="39" t="str">
        <f t="shared" si="60"/>
        <v/>
      </c>
      <c r="AG285" s="29"/>
      <c r="AH285" s="74" t="str">
        <f t="shared" ca="1" si="61"/>
        <v/>
      </c>
      <c r="AI285" s="74" t="str">
        <f ca="1">IF(A285="","",IF(OR(W285='02_マスタ'!$E$10,W285='02_マスタ'!$E$12),"",IF(V285="High","High",IF(AND(U285&lt;&gt;"",U285&lt;TODAY()),INDEX(_翻訳マスタ!$B$117:$D$247,MATCH("ALERT_OVERDUE",_翻訳マスタ!$A$117:$A$247,0),MATCH(言語切替!$B$3,_翻訳マスタ!$B$1:$D$1,0)),IF(AND(U285&lt;&gt;"",U285-TODAY()&lt;=7),INDEX(_翻訳マスタ!$B$117:$D$247,MATCH("ALERT_APPROACHING",_翻訳マスタ!$A$117:$A$247,0),MATCH(言語切替!$B$3,_翻訳マスタ!$B$1:$D$1,0)),IF(OR(W285='02_マスタ'!$E$7,W285='02_マスタ'!$E$8),INDEX(_翻訳マスタ!$B$117:$D$247,MATCH("ALERT_CHECK",_翻訳マスタ!$A$117:$A$247,0),MATCH(言語切替!$B$3,_翻訳マスタ!$B$1:$D$1,0)),""))))))</f>
        <v/>
      </c>
      <c r="AJ285" s="75"/>
    </row>
    <row r="286" spans="1:36" s="21" customFormat="1" x14ac:dyDescent="0.25">
      <c r="A286" s="81"/>
      <c r="B286" s="82"/>
      <c r="C286" s="82"/>
      <c r="D286" s="82"/>
      <c r="E286" s="82"/>
      <c r="F286" s="26"/>
      <c r="G286" s="26"/>
      <c r="H286" s="38" t="str">
        <f t="shared" si="62"/>
        <v/>
      </c>
      <c r="I286" s="38" t="str">
        <f t="shared" si="63"/>
        <v/>
      </c>
      <c r="J286" s="26"/>
      <c r="K286" s="26"/>
      <c r="L286" s="38" t="str">
        <f t="shared" si="64"/>
        <v/>
      </c>
      <c r="M286" s="38" t="str">
        <f t="shared" si="65"/>
        <v/>
      </c>
      <c r="N286" s="26"/>
      <c r="O286" s="26"/>
      <c r="P286" s="38" t="str">
        <f t="shared" si="66"/>
        <v/>
      </c>
      <c r="Q286" s="38" t="str">
        <f t="shared" si="67"/>
        <v/>
      </c>
      <c r="R286" s="26"/>
      <c r="S286" s="26"/>
      <c r="T286" s="27"/>
      <c r="U286" s="27"/>
      <c r="V286" s="26"/>
      <c r="W286" s="26"/>
      <c r="X286" s="26"/>
      <c r="Y286" s="26"/>
      <c r="Z286" s="26"/>
      <c r="AA286" s="38" t="str">
        <f t="shared" si="68"/>
        <v/>
      </c>
      <c r="AB286" s="38" t="str">
        <f t="shared" si="69"/>
        <v/>
      </c>
      <c r="AC286" s="26"/>
      <c r="AD286" s="26"/>
      <c r="AE286" s="38" t="str">
        <f t="shared" si="59"/>
        <v/>
      </c>
      <c r="AF286" s="38" t="str">
        <f t="shared" si="60"/>
        <v/>
      </c>
      <c r="AG286" s="26"/>
      <c r="AH286" s="72" t="str">
        <f t="shared" ca="1" si="61"/>
        <v/>
      </c>
      <c r="AI286" s="72" t="str">
        <f ca="1">IF(A286="","",IF(OR(W286='02_マスタ'!$E$10,W286='02_マスタ'!$E$12),"",IF(V286="High","High",IF(AND(U286&lt;&gt;"",U286&lt;TODAY()),INDEX(_翻訳マスタ!$B$117:$D$247,MATCH("ALERT_OVERDUE",_翻訳マスタ!$A$117:$A$247,0),MATCH(言語切替!$B$3,_翻訳マスタ!$B$1:$D$1,0)),IF(AND(U286&lt;&gt;"",U286-TODAY()&lt;=7),INDEX(_翻訳マスタ!$B$117:$D$247,MATCH("ALERT_APPROACHING",_翻訳マスタ!$A$117:$A$247,0),MATCH(言語切替!$B$3,_翻訳マスタ!$B$1:$D$1,0)),IF(OR(W286='02_マスタ'!$E$7,W286='02_マスタ'!$E$8),INDEX(_翻訳マスタ!$B$117:$D$247,MATCH("ALERT_CHECK",_翻訳マスタ!$A$117:$A$247,0),MATCH(言語切替!$B$3,_翻訳マスタ!$B$1:$D$1,0)),""))))))</f>
        <v/>
      </c>
      <c r="AJ286" s="73"/>
    </row>
    <row r="287" spans="1:36" s="21" customFormat="1" x14ac:dyDescent="0.25">
      <c r="A287" s="83"/>
      <c r="B287" s="84"/>
      <c r="C287" s="84"/>
      <c r="D287" s="84"/>
      <c r="E287" s="84"/>
      <c r="F287" s="29"/>
      <c r="G287" s="29"/>
      <c r="H287" s="39" t="str">
        <f t="shared" si="62"/>
        <v/>
      </c>
      <c r="I287" s="39" t="str">
        <f t="shared" si="63"/>
        <v/>
      </c>
      <c r="J287" s="29"/>
      <c r="K287" s="29"/>
      <c r="L287" s="39" t="str">
        <f t="shared" si="64"/>
        <v/>
      </c>
      <c r="M287" s="39" t="str">
        <f t="shared" si="65"/>
        <v/>
      </c>
      <c r="N287" s="29"/>
      <c r="O287" s="29"/>
      <c r="P287" s="39" t="str">
        <f t="shared" si="66"/>
        <v/>
      </c>
      <c r="Q287" s="39" t="str">
        <f t="shared" si="67"/>
        <v/>
      </c>
      <c r="R287" s="29"/>
      <c r="S287" s="29"/>
      <c r="T287" s="30"/>
      <c r="U287" s="30"/>
      <c r="V287" s="29"/>
      <c r="W287" s="29"/>
      <c r="X287" s="29"/>
      <c r="Y287" s="29"/>
      <c r="Z287" s="29"/>
      <c r="AA287" s="39" t="str">
        <f t="shared" si="68"/>
        <v/>
      </c>
      <c r="AB287" s="39" t="str">
        <f t="shared" si="69"/>
        <v/>
      </c>
      <c r="AC287" s="29"/>
      <c r="AD287" s="29"/>
      <c r="AE287" s="39" t="str">
        <f t="shared" si="59"/>
        <v/>
      </c>
      <c r="AF287" s="39" t="str">
        <f t="shared" si="60"/>
        <v/>
      </c>
      <c r="AG287" s="29"/>
      <c r="AH287" s="74" t="str">
        <f t="shared" ca="1" si="61"/>
        <v/>
      </c>
      <c r="AI287" s="74" t="str">
        <f ca="1">IF(A287="","",IF(OR(W287='02_マスタ'!$E$10,W287='02_マスタ'!$E$12),"",IF(V287="High","High",IF(AND(U287&lt;&gt;"",U287&lt;TODAY()),INDEX(_翻訳マスタ!$B$117:$D$247,MATCH("ALERT_OVERDUE",_翻訳マスタ!$A$117:$A$247,0),MATCH(言語切替!$B$3,_翻訳マスタ!$B$1:$D$1,0)),IF(AND(U287&lt;&gt;"",U287-TODAY()&lt;=7),INDEX(_翻訳マスタ!$B$117:$D$247,MATCH("ALERT_APPROACHING",_翻訳マスタ!$A$117:$A$247,0),MATCH(言語切替!$B$3,_翻訳マスタ!$B$1:$D$1,0)),IF(OR(W287='02_マスタ'!$E$7,W287='02_マスタ'!$E$8),INDEX(_翻訳マスタ!$B$117:$D$247,MATCH("ALERT_CHECK",_翻訳マスタ!$A$117:$A$247,0),MATCH(言語切替!$B$3,_翻訳マスタ!$B$1:$D$1,0)),""))))))</f>
        <v/>
      </c>
      <c r="AJ287" s="75"/>
    </row>
    <row r="288" spans="1:36" s="21" customFormat="1" x14ac:dyDescent="0.25">
      <c r="A288" s="81"/>
      <c r="B288" s="82"/>
      <c r="C288" s="82"/>
      <c r="D288" s="82"/>
      <c r="E288" s="82"/>
      <c r="F288" s="26"/>
      <c r="G288" s="26"/>
      <c r="H288" s="38" t="str">
        <f t="shared" si="62"/>
        <v/>
      </c>
      <c r="I288" s="38" t="str">
        <f t="shared" si="63"/>
        <v/>
      </c>
      <c r="J288" s="26"/>
      <c r="K288" s="26"/>
      <c r="L288" s="38" t="str">
        <f t="shared" si="64"/>
        <v/>
      </c>
      <c r="M288" s="38" t="str">
        <f t="shared" si="65"/>
        <v/>
      </c>
      <c r="N288" s="26"/>
      <c r="O288" s="26"/>
      <c r="P288" s="38" t="str">
        <f t="shared" si="66"/>
        <v/>
      </c>
      <c r="Q288" s="38" t="str">
        <f t="shared" si="67"/>
        <v/>
      </c>
      <c r="R288" s="26"/>
      <c r="S288" s="26"/>
      <c r="T288" s="27"/>
      <c r="U288" s="27"/>
      <c r="V288" s="26"/>
      <c r="W288" s="26"/>
      <c r="X288" s="26"/>
      <c r="Y288" s="26"/>
      <c r="Z288" s="26"/>
      <c r="AA288" s="38" t="str">
        <f t="shared" si="68"/>
        <v/>
      </c>
      <c r="AB288" s="38" t="str">
        <f t="shared" si="69"/>
        <v/>
      </c>
      <c r="AC288" s="26"/>
      <c r="AD288" s="26"/>
      <c r="AE288" s="38" t="str">
        <f t="shared" si="59"/>
        <v/>
      </c>
      <c r="AF288" s="38" t="str">
        <f t="shared" si="60"/>
        <v/>
      </c>
      <c r="AG288" s="26"/>
      <c r="AH288" s="72" t="str">
        <f t="shared" ca="1" si="61"/>
        <v/>
      </c>
      <c r="AI288" s="72" t="str">
        <f ca="1">IF(A288="","",IF(OR(W288='02_マスタ'!$E$10,W288='02_マスタ'!$E$12),"",IF(V288="High","High",IF(AND(U288&lt;&gt;"",U288&lt;TODAY()),INDEX(_翻訳マスタ!$B$117:$D$247,MATCH("ALERT_OVERDUE",_翻訳マスタ!$A$117:$A$247,0),MATCH(言語切替!$B$3,_翻訳マスタ!$B$1:$D$1,0)),IF(AND(U288&lt;&gt;"",U288-TODAY()&lt;=7),INDEX(_翻訳マスタ!$B$117:$D$247,MATCH("ALERT_APPROACHING",_翻訳マスタ!$A$117:$A$247,0),MATCH(言語切替!$B$3,_翻訳マスタ!$B$1:$D$1,0)),IF(OR(W288='02_マスタ'!$E$7,W288='02_マスタ'!$E$8),INDEX(_翻訳マスタ!$B$117:$D$247,MATCH("ALERT_CHECK",_翻訳マスタ!$A$117:$A$247,0),MATCH(言語切替!$B$3,_翻訳マスタ!$B$1:$D$1,0)),""))))))</f>
        <v/>
      </c>
      <c r="AJ288" s="73"/>
    </row>
    <row r="289" spans="1:36" s="21" customFormat="1" x14ac:dyDescent="0.25">
      <c r="A289" s="83"/>
      <c r="B289" s="84"/>
      <c r="C289" s="84"/>
      <c r="D289" s="84"/>
      <c r="E289" s="84"/>
      <c r="F289" s="29"/>
      <c r="G289" s="29"/>
      <c r="H289" s="39" t="str">
        <f t="shared" si="62"/>
        <v/>
      </c>
      <c r="I289" s="39" t="str">
        <f t="shared" si="63"/>
        <v/>
      </c>
      <c r="J289" s="29"/>
      <c r="K289" s="29"/>
      <c r="L289" s="39" t="str">
        <f t="shared" si="64"/>
        <v/>
      </c>
      <c r="M289" s="39" t="str">
        <f t="shared" si="65"/>
        <v/>
      </c>
      <c r="N289" s="29"/>
      <c r="O289" s="29"/>
      <c r="P289" s="39" t="str">
        <f t="shared" si="66"/>
        <v/>
      </c>
      <c r="Q289" s="39" t="str">
        <f t="shared" si="67"/>
        <v/>
      </c>
      <c r="R289" s="29"/>
      <c r="S289" s="29"/>
      <c r="T289" s="30"/>
      <c r="U289" s="30"/>
      <c r="V289" s="29"/>
      <c r="W289" s="29"/>
      <c r="X289" s="29"/>
      <c r="Y289" s="29"/>
      <c r="Z289" s="29"/>
      <c r="AA289" s="39" t="str">
        <f t="shared" si="68"/>
        <v/>
      </c>
      <c r="AB289" s="39" t="str">
        <f t="shared" si="69"/>
        <v/>
      </c>
      <c r="AC289" s="29"/>
      <c r="AD289" s="29"/>
      <c r="AE289" s="39" t="str">
        <f t="shared" si="59"/>
        <v/>
      </c>
      <c r="AF289" s="39" t="str">
        <f t="shared" si="60"/>
        <v/>
      </c>
      <c r="AG289" s="29"/>
      <c r="AH289" s="74" t="str">
        <f t="shared" ca="1" si="61"/>
        <v/>
      </c>
      <c r="AI289" s="74" t="str">
        <f ca="1">IF(A289="","",IF(OR(W289='02_マスタ'!$E$10,W289='02_マスタ'!$E$12),"",IF(V289="High","High",IF(AND(U289&lt;&gt;"",U289&lt;TODAY()),INDEX(_翻訳マスタ!$B$117:$D$247,MATCH("ALERT_OVERDUE",_翻訳マスタ!$A$117:$A$247,0),MATCH(言語切替!$B$3,_翻訳マスタ!$B$1:$D$1,0)),IF(AND(U289&lt;&gt;"",U289-TODAY()&lt;=7),INDEX(_翻訳マスタ!$B$117:$D$247,MATCH("ALERT_APPROACHING",_翻訳マスタ!$A$117:$A$247,0),MATCH(言語切替!$B$3,_翻訳マスタ!$B$1:$D$1,0)),IF(OR(W289='02_マスタ'!$E$7,W289='02_マスタ'!$E$8),INDEX(_翻訳マスタ!$B$117:$D$247,MATCH("ALERT_CHECK",_翻訳マスタ!$A$117:$A$247,0),MATCH(言語切替!$B$3,_翻訳マスタ!$B$1:$D$1,0)),""))))))</f>
        <v/>
      </c>
      <c r="AJ289" s="75"/>
    </row>
    <row r="290" spans="1:36" s="21" customFormat="1" x14ac:dyDescent="0.25">
      <c r="A290" s="81"/>
      <c r="B290" s="82"/>
      <c r="C290" s="82"/>
      <c r="D290" s="82"/>
      <c r="E290" s="82"/>
      <c r="F290" s="26"/>
      <c r="G290" s="26"/>
      <c r="H290" s="38" t="str">
        <f t="shared" si="62"/>
        <v/>
      </c>
      <c r="I290" s="38" t="str">
        <f t="shared" si="63"/>
        <v/>
      </c>
      <c r="J290" s="26"/>
      <c r="K290" s="26"/>
      <c r="L290" s="38" t="str">
        <f t="shared" si="64"/>
        <v/>
      </c>
      <c r="M290" s="38" t="str">
        <f t="shared" si="65"/>
        <v/>
      </c>
      <c r="N290" s="26"/>
      <c r="O290" s="26"/>
      <c r="P290" s="38" t="str">
        <f t="shared" si="66"/>
        <v/>
      </c>
      <c r="Q290" s="38" t="str">
        <f t="shared" si="67"/>
        <v/>
      </c>
      <c r="R290" s="26"/>
      <c r="S290" s="26"/>
      <c r="T290" s="27"/>
      <c r="U290" s="27"/>
      <c r="V290" s="26"/>
      <c r="W290" s="26"/>
      <c r="X290" s="26"/>
      <c r="Y290" s="26"/>
      <c r="Z290" s="26"/>
      <c r="AA290" s="38" t="str">
        <f t="shared" si="68"/>
        <v/>
      </c>
      <c r="AB290" s="38" t="str">
        <f t="shared" si="69"/>
        <v/>
      </c>
      <c r="AC290" s="26"/>
      <c r="AD290" s="26"/>
      <c r="AE290" s="38" t="str">
        <f t="shared" si="59"/>
        <v/>
      </c>
      <c r="AF290" s="38" t="str">
        <f t="shared" si="60"/>
        <v/>
      </c>
      <c r="AG290" s="26"/>
      <c r="AH290" s="72" t="str">
        <f t="shared" ca="1" si="61"/>
        <v/>
      </c>
      <c r="AI290" s="72" t="str">
        <f ca="1">IF(A290="","",IF(OR(W290='02_マスタ'!$E$10,W290='02_マスタ'!$E$12),"",IF(V290="High","High",IF(AND(U290&lt;&gt;"",U290&lt;TODAY()),INDEX(_翻訳マスタ!$B$117:$D$247,MATCH("ALERT_OVERDUE",_翻訳マスタ!$A$117:$A$247,0),MATCH(言語切替!$B$3,_翻訳マスタ!$B$1:$D$1,0)),IF(AND(U290&lt;&gt;"",U290-TODAY()&lt;=7),INDEX(_翻訳マスタ!$B$117:$D$247,MATCH("ALERT_APPROACHING",_翻訳マスタ!$A$117:$A$247,0),MATCH(言語切替!$B$3,_翻訳マスタ!$B$1:$D$1,0)),IF(OR(W290='02_マスタ'!$E$7,W290='02_マスタ'!$E$8),INDEX(_翻訳マスタ!$B$117:$D$247,MATCH("ALERT_CHECK",_翻訳マスタ!$A$117:$A$247,0),MATCH(言語切替!$B$3,_翻訳マスタ!$B$1:$D$1,0)),""))))))</f>
        <v/>
      </c>
      <c r="AJ290" s="73"/>
    </row>
    <row r="291" spans="1:36" s="21" customFormat="1" x14ac:dyDescent="0.25">
      <c r="A291" s="83"/>
      <c r="B291" s="84"/>
      <c r="C291" s="84"/>
      <c r="D291" s="84"/>
      <c r="E291" s="84"/>
      <c r="F291" s="29"/>
      <c r="G291" s="29"/>
      <c r="H291" s="39" t="str">
        <f t="shared" si="62"/>
        <v/>
      </c>
      <c r="I291" s="39" t="str">
        <f t="shared" si="63"/>
        <v/>
      </c>
      <c r="J291" s="29"/>
      <c r="K291" s="29"/>
      <c r="L291" s="39" t="str">
        <f t="shared" si="64"/>
        <v/>
      </c>
      <c r="M291" s="39" t="str">
        <f t="shared" si="65"/>
        <v/>
      </c>
      <c r="N291" s="29"/>
      <c r="O291" s="29"/>
      <c r="P291" s="39" t="str">
        <f t="shared" si="66"/>
        <v/>
      </c>
      <c r="Q291" s="39" t="str">
        <f t="shared" si="67"/>
        <v/>
      </c>
      <c r="R291" s="29"/>
      <c r="S291" s="29"/>
      <c r="T291" s="30"/>
      <c r="U291" s="30"/>
      <c r="V291" s="29"/>
      <c r="W291" s="29"/>
      <c r="X291" s="29"/>
      <c r="Y291" s="29"/>
      <c r="Z291" s="29"/>
      <c r="AA291" s="39" t="str">
        <f t="shared" si="68"/>
        <v/>
      </c>
      <c r="AB291" s="39" t="str">
        <f t="shared" si="69"/>
        <v/>
      </c>
      <c r="AC291" s="29"/>
      <c r="AD291" s="29"/>
      <c r="AE291" s="39" t="str">
        <f t="shared" si="59"/>
        <v/>
      </c>
      <c r="AF291" s="39" t="str">
        <f t="shared" si="60"/>
        <v/>
      </c>
      <c r="AG291" s="29"/>
      <c r="AH291" s="74" t="str">
        <f t="shared" ca="1" si="61"/>
        <v/>
      </c>
      <c r="AI291" s="74" t="str">
        <f ca="1">IF(A291="","",IF(OR(W291='02_マスタ'!$E$10,W291='02_マスタ'!$E$12),"",IF(V291="High","High",IF(AND(U291&lt;&gt;"",U291&lt;TODAY()),INDEX(_翻訳マスタ!$B$117:$D$247,MATCH("ALERT_OVERDUE",_翻訳マスタ!$A$117:$A$247,0),MATCH(言語切替!$B$3,_翻訳マスタ!$B$1:$D$1,0)),IF(AND(U291&lt;&gt;"",U291-TODAY()&lt;=7),INDEX(_翻訳マスタ!$B$117:$D$247,MATCH("ALERT_APPROACHING",_翻訳マスタ!$A$117:$A$247,0),MATCH(言語切替!$B$3,_翻訳マスタ!$B$1:$D$1,0)),IF(OR(W291='02_マスタ'!$E$7,W291='02_マスタ'!$E$8),INDEX(_翻訳マスタ!$B$117:$D$247,MATCH("ALERT_CHECK",_翻訳マスタ!$A$117:$A$247,0),MATCH(言語切替!$B$3,_翻訳マスタ!$B$1:$D$1,0)),""))))))</f>
        <v/>
      </c>
      <c r="AJ291" s="75"/>
    </row>
    <row r="292" spans="1:36" s="21" customFormat="1" x14ac:dyDescent="0.25">
      <c r="A292" s="81"/>
      <c r="B292" s="82"/>
      <c r="C292" s="82"/>
      <c r="D292" s="82"/>
      <c r="E292" s="82"/>
      <c r="F292" s="26"/>
      <c r="G292" s="26"/>
      <c r="H292" s="38" t="str">
        <f t="shared" si="62"/>
        <v/>
      </c>
      <c r="I292" s="38" t="str">
        <f t="shared" si="63"/>
        <v/>
      </c>
      <c r="J292" s="26"/>
      <c r="K292" s="26"/>
      <c r="L292" s="38" t="str">
        <f t="shared" si="64"/>
        <v/>
      </c>
      <c r="M292" s="38" t="str">
        <f t="shared" si="65"/>
        <v/>
      </c>
      <c r="N292" s="26"/>
      <c r="O292" s="26"/>
      <c r="P292" s="38" t="str">
        <f t="shared" si="66"/>
        <v/>
      </c>
      <c r="Q292" s="38" t="str">
        <f t="shared" si="67"/>
        <v/>
      </c>
      <c r="R292" s="26"/>
      <c r="S292" s="26"/>
      <c r="T292" s="27"/>
      <c r="U292" s="27"/>
      <c r="V292" s="26"/>
      <c r="W292" s="26"/>
      <c r="X292" s="26"/>
      <c r="Y292" s="26"/>
      <c r="Z292" s="26"/>
      <c r="AA292" s="38" t="str">
        <f t="shared" si="68"/>
        <v/>
      </c>
      <c r="AB292" s="38" t="str">
        <f t="shared" si="69"/>
        <v/>
      </c>
      <c r="AC292" s="26"/>
      <c r="AD292" s="26"/>
      <c r="AE292" s="38" t="str">
        <f t="shared" si="59"/>
        <v/>
      </c>
      <c r="AF292" s="38" t="str">
        <f t="shared" si="60"/>
        <v/>
      </c>
      <c r="AG292" s="26"/>
      <c r="AH292" s="72" t="str">
        <f t="shared" ca="1" si="61"/>
        <v/>
      </c>
      <c r="AI292" s="72" t="str">
        <f ca="1">IF(A292="","",IF(OR(W292='02_マスタ'!$E$10,W292='02_マスタ'!$E$12),"",IF(V292="High","High",IF(AND(U292&lt;&gt;"",U292&lt;TODAY()),INDEX(_翻訳マスタ!$B$117:$D$247,MATCH("ALERT_OVERDUE",_翻訳マスタ!$A$117:$A$247,0),MATCH(言語切替!$B$3,_翻訳マスタ!$B$1:$D$1,0)),IF(AND(U292&lt;&gt;"",U292-TODAY()&lt;=7),INDEX(_翻訳マスタ!$B$117:$D$247,MATCH("ALERT_APPROACHING",_翻訳マスタ!$A$117:$A$247,0),MATCH(言語切替!$B$3,_翻訳マスタ!$B$1:$D$1,0)),IF(OR(W292='02_マスタ'!$E$7,W292='02_マスタ'!$E$8),INDEX(_翻訳マスタ!$B$117:$D$247,MATCH("ALERT_CHECK",_翻訳マスタ!$A$117:$A$247,0),MATCH(言語切替!$B$3,_翻訳マスタ!$B$1:$D$1,0)),""))))))</f>
        <v/>
      </c>
      <c r="AJ292" s="73"/>
    </row>
    <row r="293" spans="1:36" s="21" customFormat="1" x14ac:dyDescent="0.25">
      <c r="A293" s="83"/>
      <c r="B293" s="84"/>
      <c r="C293" s="84"/>
      <c r="D293" s="84"/>
      <c r="E293" s="84"/>
      <c r="F293" s="29"/>
      <c r="G293" s="29"/>
      <c r="H293" s="39" t="str">
        <f t="shared" si="62"/>
        <v/>
      </c>
      <c r="I293" s="39" t="str">
        <f t="shared" si="63"/>
        <v/>
      </c>
      <c r="J293" s="29"/>
      <c r="K293" s="29"/>
      <c r="L293" s="39" t="str">
        <f t="shared" si="64"/>
        <v/>
      </c>
      <c r="M293" s="39" t="str">
        <f t="shared" si="65"/>
        <v/>
      </c>
      <c r="N293" s="29"/>
      <c r="O293" s="29"/>
      <c r="P293" s="39" t="str">
        <f t="shared" si="66"/>
        <v/>
      </c>
      <c r="Q293" s="39" t="str">
        <f t="shared" si="67"/>
        <v/>
      </c>
      <c r="R293" s="29"/>
      <c r="S293" s="29"/>
      <c r="T293" s="30"/>
      <c r="U293" s="30"/>
      <c r="V293" s="29"/>
      <c r="W293" s="29"/>
      <c r="X293" s="29"/>
      <c r="Y293" s="29"/>
      <c r="Z293" s="29"/>
      <c r="AA293" s="39" t="str">
        <f t="shared" si="68"/>
        <v/>
      </c>
      <c r="AB293" s="39" t="str">
        <f t="shared" si="69"/>
        <v/>
      </c>
      <c r="AC293" s="29"/>
      <c r="AD293" s="29"/>
      <c r="AE293" s="39" t="str">
        <f t="shared" si="59"/>
        <v/>
      </c>
      <c r="AF293" s="39" t="str">
        <f t="shared" si="60"/>
        <v/>
      </c>
      <c r="AG293" s="29"/>
      <c r="AH293" s="74" t="str">
        <f t="shared" ca="1" si="61"/>
        <v/>
      </c>
      <c r="AI293" s="74" t="str">
        <f ca="1">IF(A293="","",IF(OR(W293='02_マスタ'!$E$10,W293='02_マスタ'!$E$12),"",IF(V293="High","High",IF(AND(U293&lt;&gt;"",U293&lt;TODAY()),INDEX(_翻訳マスタ!$B$117:$D$247,MATCH("ALERT_OVERDUE",_翻訳マスタ!$A$117:$A$247,0),MATCH(言語切替!$B$3,_翻訳マスタ!$B$1:$D$1,0)),IF(AND(U293&lt;&gt;"",U293-TODAY()&lt;=7),INDEX(_翻訳マスタ!$B$117:$D$247,MATCH("ALERT_APPROACHING",_翻訳マスタ!$A$117:$A$247,0),MATCH(言語切替!$B$3,_翻訳マスタ!$B$1:$D$1,0)),IF(OR(W293='02_マスタ'!$E$7,W293='02_マスタ'!$E$8),INDEX(_翻訳マスタ!$B$117:$D$247,MATCH("ALERT_CHECK",_翻訳マスタ!$A$117:$A$247,0),MATCH(言語切替!$B$3,_翻訳マスタ!$B$1:$D$1,0)),""))))))</f>
        <v/>
      </c>
      <c r="AJ293" s="75"/>
    </row>
    <row r="294" spans="1:36" s="21" customFormat="1" x14ac:dyDescent="0.25">
      <c r="A294" s="81"/>
      <c r="B294" s="82"/>
      <c r="C294" s="82"/>
      <c r="D294" s="82"/>
      <c r="E294" s="82"/>
      <c r="F294" s="26"/>
      <c r="G294" s="26"/>
      <c r="H294" s="38" t="str">
        <f t="shared" si="62"/>
        <v/>
      </c>
      <c r="I294" s="38" t="str">
        <f t="shared" si="63"/>
        <v/>
      </c>
      <c r="J294" s="26"/>
      <c r="K294" s="26"/>
      <c r="L294" s="38" t="str">
        <f t="shared" si="64"/>
        <v/>
      </c>
      <c r="M294" s="38" t="str">
        <f t="shared" si="65"/>
        <v/>
      </c>
      <c r="N294" s="26"/>
      <c r="O294" s="26"/>
      <c r="P294" s="38" t="str">
        <f t="shared" si="66"/>
        <v/>
      </c>
      <c r="Q294" s="38" t="str">
        <f t="shared" si="67"/>
        <v/>
      </c>
      <c r="R294" s="26"/>
      <c r="S294" s="26"/>
      <c r="T294" s="27"/>
      <c r="U294" s="27"/>
      <c r="V294" s="26"/>
      <c r="W294" s="26"/>
      <c r="X294" s="26"/>
      <c r="Y294" s="26"/>
      <c r="Z294" s="26"/>
      <c r="AA294" s="38" t="str">
        <f t="shared" si="68"/>
        <v/>
      </c>
      <c r="AB294" s="38" t="str">
        <f t="shared" si="69"/>
        <v/>
      </c>
      <c r="AC294" s="26"/>
      <c r="AD294" s="26"/>
      <c r="AE294" s="38" t="str">
        <f t="shared" si="59"/>
        <v/>
      </c>
      <c r="AF294" s="38" t="str">
        <f t="shared" si="60"/>
        <v/>
      </c>
      <c r="AG294" s="26"/>
      <c r="AH294" s="72" t="str">
        <f t="shared" ca="1" si="61"/>
        <v/>
      </c>
      <c r="AI294" s="72" t="str">
        <f ca="1">IF(A294="","",IF(OR(W294='02_マスタ'!$E$10,W294='02_マスタ'!$E$12),"",IF(V294="High","High",IF(AND(U294&lt;&gt;"",U294&lt;TODAY()),INDEX(_翻訳マスタ!$B$117:$D$247,MATCH("ALERT_OVERDUE",_翻訳マスタ!$A$117:$A$247,0),MATCH(言語切替!$B$3,_翻訳マスタ!$B$1:$D$1,0)),IF(AND(U294&lt;&gt;"",U294-TODAY()&lt;=7),INDEX(_翻訳マスタ!$B$117:$D$247,MATCH("ALERT_APPROACHING",_翻訳マスタ!$A$117:$A$247,0),MATCH(言語切替!$B$3,_翻訳マスタ!$B$1:$D$1,0)),IF(OR(W294='02_マスタ'!$E$7,W294='02_マスタ'!$E$8),INDEX(_翻訳マスタ!$B$117:$D$247,MATCH("ALERT_CHECK",_翻訳マスタ!$A$117:$A$247,0),MATCH(言語切替!$B$3,_翻訳マスタ!$B$1:$D$1,0)),""))))))</f>
        <v/>
      </c>
      <c r="AJ294" s="73"/>
    </row>
    <row r="295" spans="1:36" s="21" customFormat="1" x14ac:dyDescent="0.25">
      <c r="A295" s="83"/>
      <c r="B295" s="84"/>
      <c r="C295" s="84"/>
      <c r="D295" s="84"/>
      <c r="E295" s="84"/>
      <c r="F295" s="29"/>
      <c r="G295" s="29"/>
      <c r="H295" s="39" t="str">
        <f t="shared" si="62"/>
        <v/>
      </c>
      <c r="I295" s="39" t="str">
        <f t="shared" si="63"/>
        <v/>
      </c>
      <c r="J295" s="29"/>
      <c r="K295" s="29"/>
      <c r="L295" s="39" t="str">
        <f t="shared" si="64"/>
        <v/>
      </c>
      <c r="M295" s="39" t="str">
        <f t="shared" si="65"/>
        <v/>
      </c>
      <c r="N295" s="29"/>
      <c r="O295" s="29"/>
      <c r="P295" s="39" t="str">
        <f t="shared" si="66"/>
        <v/>
      </c>
      <c r="Q295" s="39" t="str">
        <f t="shared" si="67"/>
        <v/>
      </c>
      <c r="R295" s="29"/>
      <c r="S295" s="29"/>
      <c r="T295" s="30"/>
      <c r="U295" s="30"/>
      <c r="V295" s="29"/>
      <c r="W295" s="29"/>
      <c r="X295" s="29"/>
      <c r="Y295" s="29"/>
      <c r="Z295" s="29"/>
      <c r="AA295" s="39" t="str">
        <f t="shared" si="68"/>
        <v/>
      </c>
      <c r="AB295" s="39" t="str">
        <f t="shared" si="69"/>
        <v/>
      </c>
      <c r="AC295" s="29"/>
      <c r="AD295" s="29"/>
      <c r="AE295" s="39" t="str">
        <f t="shared" si="59"/>
        <v/>
      </c>
      <c r="AF295" s="39" t="str">
        <f t="shared" si="60"/>
        <v/>
      </c>
      <c r="AG295" s="29"/>
      <c r="AH295" s="74" t="str">
        <f t="shared" ca="1" si="61"/>
        <v/>
      </c>
      <c r="AI295" s="74" t="str">
        <f ca="1">IF(A295="","",IF(OR(W295='02_マスタ'!$E$10,W295='02_マスタ'!$E$12),"",IF(V295="High","High",IF(AND(U295&lt;&gt;"",U295&lt;TODAY()),INDEX(_翻訳マスタ!$B$117:$D$247,MATCH("ALERT_OVERDUE",_翻訳マスタ!$A$117:$A$247,0),MATCH(言語切替!$B$3,_翻訳マスタ!$B$1:$D$1,0)),IF(AND(U295&lt;&gt;"",U295-TODAY()&lt;=7),INDEX(_翻訳マスタ!$B$117:$D$247,MATCH("ALERT_APPROACHING",_翻訳マスタ!$A$117:$A$247,0),MATCH(言語切替!$B$3,_翻訳マスタ!$B$1:$D$1,0)),IF(OR(W295='02_マスタ'!$E$7,W295='02_マスタ'!$E$8),INDEX(_翻訳マスタ!$B$117:$D$247,MATCH("ALERT_CHECK",_翻訳マスタ!$A$117:$A$247,0),MATCH(言語切替!$B$3,_翻訳マスタ!$B$1:$D$1,0)),""))))))</f>
        <v/>
      </c>
      <c r="AJ295" s="75"/>
    </row>
    <row r="296" spans="1:36" s="21" customFormat="1" x14ac:dyDescent="0.25">
      <c r="A296" s="81"/>
      <c r="B296" s="82"/>
      <c r="C296" s="82"/>
      <c r="D296" s="82"/>
      <c r="E296" s="82"/>
      <c r="F296" s="26"/>
      <c r="G296" s="26"/>
      <c r="H296" s="38" t="str">
        <f t="shared" si="62"/>
        <v/>
      </c>
      <c r="I296" s="38" t="str">
        <f t="shared" si="63"/>
        <v/>
      </c>
      <c r="J296" s="26"/>
      <c r="K296" s="26"/>
      <c r="L296" s="38" t="str">
        <f t="shared" si="64"/>
        <v/>
      </c>
      <c r="M296" s="38" t="str">
        <f t="shared" si="65"/>
        <v/>
      </c>
      <c r="N296" s="26"/>
      <c r="O296" s="26"/>
      <c r="P296" s="38" t="str">
        <f t="shared" si="66"/>
        <v/>
      </c>
      <c r="Q296" s="38" t="str">
        <f t="shared" si="67"/>
        <v/>
      </c>
      <c r="R296" s="26"/>
      <c r="S296" s="26"/>
      <c r="T296" s="27"/>
      <c r="U296" s="27"/>
      <c r="V296" s="26"/>
      <c r="W296" s="26"/>
      <c r="X296" s="26"/>
      <c r="Y296" s="26"/>
      <c r="Z296" s="26"/>
      <c r="AA296" s="38" t="str">
        <f t="shared" si="68"/>
        <v/>
      </c>
      <c r="AB296" s="38" t="str">
        <f t="shared" si="69"/>
        <v/>
      </c>
      <c r="AC296" s="26"/>
      <c r="AD296" s="26"/>
      <c r="AE296" s="38" t="str">
        <f t="shared" si="59"/>
        <v/>
      </c>
      <c r="AF296" s="38" t="str">
        <f t="shared" si="60"/>
        <v/>
      </c>
      <c r="AG296" s="26"/>
      <c r="AH296" s="72" t="str">
        <f t="shared" ca="1" si="61"/>
        <v/>
      </c>
      <c r="AI296" s="72" t="str">
        <f ca="1">IF(A296="","",IF(OR(W296='02_マスタ'!$E$10,W296='02_マスタ'!$E$12),"",IF(V296="High","High",IF(AND(U296&lt;&gt;"",U296&lt;TODAY()),INDEX(_翻訳マスタ!$B$117:$D$247,MATCH("ALERT_OVERDUE",_翻訳マスタ!$A$117:$A$247,0),MATCH(言語切替!$B$3,_翻訳マスタ!$B$1:$D$1,0)),IF(AND(U296&lt;&gt;"",U296-TODAY()&lt;=7),INDEX(_翻訳マスタ!$B$117:$D$247,MATCH("ALERT_APPROACHING",_翻訳マスタ!$A$117:$A$247,0),MATCH(言語切替!$B$3,_翻訳マスタ!$B$1:$D$1,0)),IF(OR(W296='02_マスタ'!$E$7,W296='02_マスタ'!$E$8),INDEX(_翻訳マスタ!$B$117:$D$247,MATCH("ALERT_CHECK",_翻訳マスタ!$A$117:$A$247,0),MATCH(言語切替!$B$3,_翻訳マスタ!$B$1:$D$1,0)),""))))))</f>
        <v/>
      </c>
      <c r="AJ296" s="73"/>
    </row>
    <row r="297" spans="1:36" s="21" customFormat="1" x14ac:dyDescent="0.25">
      <c r="A297" s="83"/>
      <c r="B297" s="84"/>
      <c r="C297" s="84"/>
      <c r="D297" s="84"/>
      <c r="E297" s="84"/>
      <c r="F297" s="29"/>
      <c r="G297" s="29"/>
      <c r="H297" s="39" t="str">
        <f t="shared" si="62"/>
        <v/>
      </c>
      <c r="I297" s="39" t="str">
        <f t="shared" si="63"/>
        <v/>
      </c>
      <c r="J297" s="29"/>
      <c r="K297" s="29"/>
      <c r="L297" s="39" t="str">
        <f t="shared" si="64"/>
        <v/>
      </c>
      <c r="M297" s="39" t="str">
        <f t="shared" si="65"/>
        <v/>
      </c>
      <c r="N297" s="29"/>
      <c r="O297" s="29"/>
      <c r="P297" s="39" t="str">
        <f t="shared" si="66"/>
        <v/>
      </c>
      <c r="Q297" s="39" t="str">
        <f t="shared" si="67"/>
        <v/>
      </c>
      <c r="R297" s="29"/>
      <c r="S297" s="29"/>
      <c r="T297" s="30"/>
      <c r="U297" s="30"/>
      <c r="V297" s="29"/>
      <c r="W297" s="29"/>
      <c r="X297" s="29"/>
      <c r="Y297" s="29"/>
      <c r="Z297" s="29"/>
      <c r="AA297" s="39" t="str">
        <f t="shared" si="68"/>
        <v/>
      </c>
      <c r="AB297" s="39" t="str">
        <f t="shared" si="69"/>
        <v/>
      </c>
      <c r="AC297" s="29"/>
      <c r="AD297" s="29"/>
      <c r="AE297" s="39" t="str">
        <f t="shared" si="59"/>
        <v/>
      </c>
      <c r="AF297" s="39" t="str">
        <f t="shared" si="60"/>
        <v/>
      </c>
      <c r="AG297" s="29"/>
      <c r="AH297" s="74" t="str">
        <f t="shared" ca="1" si="61"/>
        <v/>
      </c>
      <c r="AI297" s="74" t="str">
        <f ca="1">IF(A297="","",IF(OR(W297='02_マスタ'!$E$10,W297='02_マスタ'!$E$12),"",IF(V297="High","High",IF(AND(U297&lt;&gt;"",U297&lt;TODAY()),INDEX(_翻訳マスタ!$B$117:$D$247,MATCH("ALERT_OVERDUE",_翻訳マスタ!$A$117:$A$247,0),MATCH(言語切替!$B$3,_翻訳マスタ!$B$1:$D$1,0)),IF(AND(U297&lt;&gt;"",U297-TODAY()&lt;=7),INDEX(_翻訳マスタ!$B$117:$D$247,MATCH("ALERT_APPROACHING",_翻訳マスタ!$A$117:$A$247,0),MATCH(言語切替!$B$3,_翻訳マスタ!$B$1:$D$1,0)),IF(OR(W297='02_マスタ'!$E$7,W297='02_マスタ'!$E$8),INDEX(_翻訳マスタ!$B$117:$D$247,MATCH("ALERT_CHECK",_翻訳マスタ!$A$117:$A$247,0),MATCH(言語切替!$B$3,_翻訳マスタ!$B$1:$D$1,0)),""))))))</f>
        <v/>
      </c>
      <c r="AJ297" s="75"/>
    </row>
    <row r="298" spans="1:36" s="21" customFormat="1" x14ac:dyDescent="0.25">
      <c r="A298" s="81"/>
      <c r="B298" s="82"/>
      <c r="C298" s="82"/>
      <c r="D298" s="82"/>
      <c r="E298" s="82"/>
      <c r="F298" s="26"/>
      <c r="G298" s="26"/>
      <c r="H298" s="38" t="str">
        <f t="shared" si="62"/>
        <v/>
      </c>
      <c r="I298" s="38" t="str">
        <f t="shared" si="63"/>
        <v/>
      </c>
      <c r="J298" s="26"/>
      <c r="K298" s="26"/>
      <c r="L298" s="38" t="str">
        <f t="shared" si="64"/>
        <v/>
      </c>
      <c r="M298" s="38" t="str">
        <f t="shared" si="65"/>
        <v/>
      </c>
      <c r="N298" s="26"/>
      <c r="O298" s="26"/>
      <c r="P298" s="38" t="str">
        <f t="shared" si="66"/>
        <v/>
      </c>
      <c r="Q298" s="38" t="str">
        <f t="shared" si="67"/>
        <v/>
      </c>
      <c r="R298" s="26"/>
      <c r="S298" s="26"/>
      <c r="T298" s="27"/>
      <c r="U298" s="27"/>
      <c r="V298" s="26"/>
      <c r="W298" s="26"/>
      <c r="X298" s="26"/>
      <c r="Y298" s="26"/>
      <c r="Z298" s="26"/>
      <c r="AA298" s="38" t="str">
        <f t="shared" si="68"/>
        <v/>
      </c>
      <c r="AB298" s="38" t="str">
        <f t="shared" si="69"/>
        <v/>
      </c>
      <c r="AC298" s="26"/>
      <c r="AD298" s="26"/>
      <c r="AE298" s="38" t="str">
        <f t="shared" si="59"/>
        <v/>
      </c>
      <c r="AF298" s="38" t="str">
        <f t="shared" si="60"/>
        <v/>
      </c>
      <c r="AG298" s="26"/>
      <c r="AH298" s="72" t="str">
        <f t="shared" ca="1" si="61"/>
        <v/>
      </c>
      <c r="AI298" s="72" t="str">
        <f ca="1">IF(A298="","",IF(OR(W298='02_マスタ'!$E$10,W298='02_マスタ'!$E$12),"",IF(V298="High","High",IF(AND(U298&lt;&gt;"",U298&lt;TODAY()),INDEX(_翻訳マスタ!$B$117:$D$247,MATCH("ALERT_OVERDUE",_翻訳マスタ!$A$117:$A$247,0),MATCH(言語切替!$B$3,_翻訳マスタ!$B$1:$D$1,0)),IF(AND(U298&lt;&gt;"",U298-TODAY()&lt;=7),INDEX(_翻訳マスタ!$B$117:$D$247,MATCH("ALERT_APPROACHING",_翻訳マスタ!$A$117:$A$247,0),MATCH(言語切替!$B$3,_翻訳マスタ!$B$1:$D$1,0)),IF(OR(W298='02_マスタ'!$E$7,W298='02_マスタ'!$E$8),INDEX(_翻訳マスタ!$B$117:$D$247,MATCH("ALERT_CHECK",_翻訳マスタ!$A$117:$A$247,0),MATCH(言語切替!$B$3,_翻訳マスタ!$B$1:$D$1,0)),""))))))</f>
        <v/>
      </c>
      <c r="AJ298" s="73"/>
    </row>
    <row r="299" spans="1:36" s="21" customFormat="1" x14ac:dyDescent="0.25">
      <c r="A299" s="83"/>
      <c r="B299" s="84"/>
      <c r="C299" s="84"/>
      <c r="D299" s="84"/>
      <c r="E299" s="84"/>
      <c r="F299" s="29"/>
      <c r="G299" s="29"/>
      <c r="H299" s="39" t="str">
        <f t="shared" si="62"/>
        <v/>
      </c>
      <c r="I299" s="39" t="str">
        <f t="shared" si="63"/>
        <v/>
      </c>
      <c r="J299" s="29"/>
      <c r="K299" s="29"/>
      <c r="L299" s="39" t="str">
        <f t="shared" si="64"/>
        <v/>
      </c>
      <c r="M299" s="39" t="str">
        <f t="shared" si="65"/>
        <v/>
      </c>
      <c r="N299" s="29"/>
      <c r="O299" s="29"/>
      <c r="P299" s="39" t="str">
        <f t="shared" si="66"/>
        <v/>
      </c>
      <c r="Q299" s="39" t="str">
        <f t="shared" si="67"/>
        <v/>
      </c>
      <c r="R299" s="29"/>
      <c r="S299" s="29"/>
      <c r="T299" s="30"/>
      <c r="U299" s="30"/>
      <c r="V299" s="29"/>
      <c r="W299" s="29"/>
      <c r="X299" s="29"/>
      <c r="Y299" s="29"/>
      <c r="Z299" s="29"/>
      <c r="AA299" s="39" t="str">
        <f t="shared" si="68"/>
        <v/>
      </c>
      <c r="AB299" s="39" t="str">
        <f t="shared" si="69"/>
        <v/>
      </c>
      <c r="AC299" s="29"/>
      <c r="AD299" s="29"/>
      <c r="AE299" s="39" t="str">
        <f t="shared" si="59"/>
        <v/>
      </c>
      <c r="AF299" s="39" t="str">
        <f t="shared" si="60"/>
        <v/>
      </c>
      <c r="AG299" s="29"/>
      <c r="AH299" s="74" t="str">
        <f t="shared" ca="1" si="61"/>
        <v/>
      </c>
      <c r="AI299" s="74" t="str">
        <f ca="1">IF(A299="","",IF(OR(W299='02_マスタ'!$E$10,W299='02_マスタ'!$E$12),"",IF(V299="High","High",IF(AND(U299&lt;&gt;"",U299&lt;TODAY()),INDEX(_翻訳マスタ!$B$117:$D$247,MATCH("ALERT_OVERDUE",_翻訳マスタ!$A$117:$A$247,0),MATCH(言語切替!$B$3,_翻訳マスタ!$B$1:$D$1,0)),IF(AND(U299&lt;&gt;"",U299-TODAY()&lt;=7),INDEX(_翻訳マスタ!$B$117:$D$247,MATCH("ALERT_APPROACHING",_翻訳マスタ!$A$117:$A$247,0),MATCH(言語切替!$B$3,_翻訳マスタ!$B$1:$D$1,0)),IF(OR(W299='02_マスタ'!$E$7,W299='02_マスタ'!$E$8),INDEX(_翻訳マスタ!$B$117:$D$247,MATCH("ALERT_CHECK",_翻訳マスタ!$A$117:$A$247,0),MATCH(言語切替!$B$3,_翻訳マスタ!$B$1:$D$1,0)),""))))))</f>
        <v/>
      </c>
      <c r="AJ299" s="75"/>
    </row>
    <row r="300" spans="1:36" s="21" customFormat="1" x14ac:dyDescent="0.25">
      <c r="A300" s="81"/>
      <c r="B300" s="82"/>
      <c r="C300" s="82"/>
      <c r="D300" s="82"/>
      <c r="E300" s="82"/>
      <c r="F300" s="26"/>
      <c r="G300" s="26"/>
      <c r="H300" s="38" t="str">
        <f t="shared" si="62"/>
        <v/>
      </c>
      <c r="I300" s="38" t="str">
        <f t="shared" si="63"/>
        <v/>
      </c>
      <c r="J300" s="26"/>
      <c r="K300" s="26"/>
      <c r="L300" s="38" t="str">
        <f t="shared" si="64"/>
        <v/>
      </c>
      <c r="M300" s="38" t="str">
        <f t="shared" si="65"/>
        <v/>
      </c>
      <c r="N300" s="26"/>
      <c r="O300" s="26"/>
      <c r="P300" s="38" t="str">
        <f t="shared" si="66"/>
        <v/>
      </c>
      <c r="Q300" s="38" t="str">
        <f t="shared" si="67"/>
        <v/>
      </c>
      <c r="R300" s="26"/>
      <c r="S300" s="26"/>
      <c r="T300" s="27"/>
      <c r="U300" s="27"/>
      <c r="V300" s="26"/>
      <c r="W300" s="26"/>
      <c r="X300" s="26"/>
      <c r="Y300" s="26"/>
      <c r="Z300" s="26"/>
      <c r="AA300" s="38" t="str">
        <f t="shared" si="68"/>
        <v/>
      </c>
      <c r="AB300" s="38" t="str">
        <f t="shared" si="69"/>
        <v/>
      </c>
      <c r="AC300" s="26"/>
      <c r="AD300" s="26"/>
      <c r="AE300" s="38" t="str">
        <f t="shared" si="59"/>
        <v/>
      </c>
      <c r="AF300" s="38" t="str">
        <f t="shared" si="60"/>
        <v/>
      </c>
      <c r="AG300" s="26"/>
      <c r="AH300" s="72" t="str">
        <f t="shared" ca="1" si="61"/>
        <v/>
      </c>
      <c r="AI300" s="72" t="str">
        <f ca="1">IF(A300="","",IF(OR(W300='02_マスタ'!$E$10,W300='02_マスタ'!$E$12),"",IF(V300="High","High",IF(AND(U300&lt;&gt;"",U300&lt;TODAY()),INDEX(_翻訳マスタ!$B$117:$D$247,MATCH("ALERT_OVERDUE",_翻訳マスタ!$A$117:$A$247,0),MATCH(言語切替!$B$3,_翻訳マスタ!$B$1:$D$1,0)),IF(AND(U300&lt;&gt;"",U300-TODAY()&lt;=7),INDEX(_翻訳マスタ!$B$117:$D$247,MATCH("ALERT_APPROACHING",_翻訳マスタ!$A$117:$A$247,0),MATCH(言語切替!$B$3,_翻訳マスタ!$B$1:$D$1,0)),IF(OR(W300='02_マスタ'!$E$7,W300='02_マスタ'!$E$8),INDEX(_翻訳マスタ!$B$117:$D$247,MATCH("ALERT_CHECK",_翻訳マスタ!$A$117:$A$247,0),MATCH(言語切替!$B$3,_翻訳マスタ!$B$1:$D$1,0)),""))))))</f>
        <v/>
      </c>
      <c r="AJ300" s="73"/>
    </row>
    <row r="301" spans="1:36" s="21" customFormat="1" x14ac:dyDescent="0.25">
      <c r="A301" s="83"/>
      <c r="B301" s="84"/>
      <c r="C301" s="84"/>
      <c r="D301" s="84"/>
      <c r="E301" s="84"/>
      <c r="F301" s="29"/>
      <c r="G301" s="29"/>
      <c r="H301" s="39" t="str">
        <f t="shared" si="62"/>
        <v/>
      </c>
      <c r="I301" s="39" t="str">
        <f t="shared" si="63"/>
        <v/>
      </c>
      <c r="J301" s="29"/>
      <c r="K301" s="29"/>
      <c r="L301" s="39" t="str">
        <f t="shared" si="64"/>
        <v/>
      </c>
      <c r="M301" s="39" t="str">
        <f t="shared" si="65"/>
        <v/>
      </c>
      <c r="N301" s="29"/>
      <c r="O301" s="29"/>
      <c r="P301" s="39" t="str">
        <f t="shared" si="66"/>
        <v/>
      </c>
      <c r="Q301" s="39" t="str">
        <f t="shared" si="67"/>
        <v/>
      </c>
      <c r="R301" s="29"/>
      <c r="S301" s="29"/>
      <c r="T301" s="30"/>
      <c r="U301" s="30"/>
      <c r="V301" s="29"/>
      <c r="W301" s="29"/>
      <c r="X301" s="29"/>
      <c r="Y301" s="29"/>
      <c r="Z301" s="29"/>
      <c r="AA301" s="39" t="str">
        <f t="shared" si="68"/>
        <v/>
      </c>
      <c r="AB301" s="39" t="str">
        <f t="shared" si="69"/>
        <v/>
      </c>
      <c r="AC301" s="29"/>
      <c r="AD301" s="29"/>
      <c r="AE301" s="39" t="str">
        <f t="shared" si="59"/>
        <v/>
      </c>
      <c r="AF301" s="39" t="str">
        <f t="shared" si="60"/>
        <v/>
      </c>
      <c r="AG301" s="29"/>
      <c r="AH301" s="74" t="str">
        <f t="shared" ca="1" si="61"/>
        <v/>
      </c>
      <c r="AI301" s="74" t="str">
        <f ca="1">IF(A301="","",IF(OR(W301='02_マスタ'!$E$10,W301='02_マスタ'!$E$12),"",IF(V301="High","High",IF(AND(U301&lt;&gt;"",U301&lt;TODAY()),INDEX(_翻訳マスタ!$B$117:$D$247,MATCH("ALERT_OVERDUE",_翻訳マスタ!$A$117:$A$247,0),MATCH(言語切替!$B$3,_翻訳マスタ!$B$1:$D$1,0)),IF(AND(U301&lt;&gt;"",U301-TODAY()&lt;=7),INDEX(_翻訳マスタ!$B$117:$D$247,MATCH("ALERT_APPROACHING",_翻訳マスタ!$A$117:$A$247,0),MATCH(言語切替!$B$3,_翻訳マスタ!$B$1:$D$1,0)),IF(OR(W301='02_マスタ'!$E$7,W301='02_マスタ'!$E$8),INDEX(_翻訳マスタ!$B$117:$D$247,MATCH("ALERT_CHECK",_翻訳マスタ!$A$117:$A$247,0),MATCH(言語切替!$B$3,_翻訳マスタ!$B$1:$D$1,0)),""))))))</f>
        <v/>
      </c>
      <c r="AJ301" s="75"/>
    </row>
    <row r="302" spans="1:36" s="21" customFormat="1" x14ac:dyDescent="0.25">
      <c r="A302" s="81"/>
      <c r="B302" s="82"/>
      <c r="C302" s="82"/>
      <c r="D302" s="82"/>
      <c r="E302" s="82"/>
      <c r="F302" s="26"/>
      <c r="G302" s="26"/>
      <c r="H302" s="38" t="str">
        <f t="shared" si="62"/>
        <v/>
      </c>
      <c r="I302" s="38" t="str">
        <f t="shared" si="63"/>
        <v/>
      </c>
      <c r="J302" s="26"/>
      <c r="K302" s="26"/>
      <c r="L302" s="38" t="str">
        <f t="shared" si="64"/>
        <v/>
      </c>
      <c r="M302" s="38" t="str">
        <f t="shared" si="65"/>
        <v/>
      </c>
      <c r="N302" s="26"/>
      <c r="O302" s="26"/>
      <c r="P302" s="38" t="str">
        <f t="shared" si="66"/>
        <v/>
      </c>
      <c r="Q302" s="38" t="str">
        <f t="shared" si="67"/>
        <v/>
      </c>
      <c r="R302" s="26"/>
      <c r="S302" s="26"/>
      <c r="T302" s="27"/>
      <c r="U302" s="27"/>
      <c r="V302" s="26"/>
      <c r="W302" s="26"/>
      <c r="X302" s="26"/>
      <c r="Y302" s="26"/>
      <c r="Z302" s="26"/>
      <c r="AA302" s="38" t="str">
        <f t="shared" si="68"/>
        <v/>
      </c>
      <c r="AB302" s="38" t="str">
        <f t="shared" si="69"/>
        <v/>
      </c>
      <c r="AC302" s="26"/>
      <c r="AD302" s="26"/>
      <c r="AE302" s="38" t="str">
        <f t="shared" si="59"/>
        <v/>
      </c>
      <c r="AF302" s="38" t="str">
        <f t="shared" si="60"/>
        <v/>
      </c>
      <c r="AG302" s="26"/>
      <c r="AH302" s="72" t="str">
        <f t="shared" ca="1" si="61"/>
        <v/>
      </c>
      <c r="AI302" s="72" t="str">
        <f ca="1">IF(A302="","",IF(OR(W302='02_マスタ'!$E$10,W302='02_マスタ'!$E$12),"",IF(V302="High","High",IF(AND(U302&lt;&gt;"",U302&lt;TODAY()),INDEX(_翻訳マスタ!$B$117:$D$247,MATCH("ALERT_OVERDUE",_翻訳マスタ!$A$117:$A$247,0),MATCH(言語切替!$B$3,_翻訳マスタ!$B$1:$D$1,0)),IF(AND(U302&lt;&gt;"",U302-TODAY()&lt;=7),INDEX(_翻訳マスタ!$B$117:$D$247,MATCH("ALERT_APPROACHING",_翻訳マスタ!$A$117:$A$247,0),MATCH(言語切替!$B$3,_翻訳マスタ!$B$1:$D$1,0)),IF(OR(W302='02_マスタ'!$E$7,W302='02_マスタ'!$E$8),INDEX(_翻訳マスタ!$B$117:$D$247,MATCH("ALERT_CHECK",_翻訳マスタ!$A$117:$A$247,0),MATCH(言語切替!$B$3,_翻訳マスタ!$B$1:$D$1,0)),""))))))</f>
        <v/>
      </c>
      <c r="AJ302" s="73"/>
    </row>
    <row r="303" spans="1:36" s="21" customFormat="1" x14ac:dyDescent="0.25">
      <c r="A303" s="83"/>
      <c r="B303" s="84"/>
      <c r="C303" s="84"/>
      <c r="D303" s="84"/>
      <c r="E303" s="84"/>
      <c r="F303" s="29"/>
      <c r="G303" s="29"/>
      <c r="H303" s="39" t="str">
        <f t="shared" si="62"/>
        <v/>
      </c>
      <c r="I303" s="39" t="str">
        <f t="shared" si="63"/>
        <v/>
      </c>
      <c r="J303" s="29"/>
      <c r="K303" s="29"/>
      <c r="L303" s="39" t="str">
        <f t="shared" si="64"/>
        <v/>
      </c>
      <c r="M303" s="39" t="str">
        <f t="shared" si="65"/>
        <v/>
      </c>
      <c r="N303" s="29"/>
      <c r="O303" s="29"/>
      <c r="P303" s="39" t="str">
        <f t="shared" si="66"/>
        <v/>
      </c>
      <c r="Q303" s="39" t="str">
        <f t="shared" si="67"/>
        <v/>
      </c>
      <c r="R303" s="29"/>
      <c r="S303" s="29"/>
      <c r="T303" s="30"/>
      <c r="U303" s="30"/>
      <c r="V303" s="29"/>
      <c r="W303" s="29"/>
      <c r="X303" s="29"/>
      <c r="Y303" s="29"/>
      <c r="Z303" s="29"/>
      <c r="AA303" s="39" t="str">
        <f t="shared" si="68"/>
        <v/>
      </c>
      <c r="AB303" s="39" t="str">
        <f t="shared" si="69"/>
        <v/>
      </c>
      <c r="AC303" s="29"/>
      <c r="AD303" s="29"/>
      <c r="AE303" s="39" t="str">
        <f t="shared" si="59"/>
        <v/>
      </c>
      <c r="AF303" s="39" t="str">
        <f t="shared" si="60"/>
        <v/>
      </c>
      <c r="AG303" s="29"/>
      <c r="AH303" s="74" t="str">
        <f t="shared" ca="1" si="61"/>
        <v/>
      </c>
      <c r="AI303" s="74" t="str">
        <f ca="1">IF(A303="","",IF(OR(W303='02_マスタ'!$E$10,W303='02_マスタ'!$E$12),"",IF(V303="High","High",IF(AND(U303&lt;&gt;"",U303&lt;TODAY()),INDEX(_翻訳マスタ!$B$117:$D$247,MATCH("ALERT_OVERDUE",_翻訳マスタ!$A$117:$A$247,0),MATCH(言語切替!$B$3,_翻訳マスタ!$B$1:$D$1,0)),IF(AND(U303&lt;&gt;"",U303-TODAY()&lt;=7),INDEX(_翻訳マスタ!$B$117:$D$247,MATCH("ALERT_APPROACHING",_翻訳マスタ!$A$117:$A$247,0),MATCH(言語切替!$B$3,_翻訳マスタ!$B$1:$D$1,0)),IF(OR(W303='02_マスタ'!$E$7,W303='02_マスタ'!$E$8),INDEX(_翻訳マスタ!$B$117:$D$247,MATCH("ALERT_CHECK",_翻訳マスタ!$A$117:$A$247,0),MATCH(言語切替!$B$3,_翻訳マスタ!$B$1:$D$1,0)),""))))))</f>
        <v/>
      </c>
      <c r="AJ303" s="75"/>
    </row>
    <row r="304" spans="1:36" s="21" customFormat="1" x14ac:dyDescent="0.25">
      <c r="A304" s="85"/>
      <c r="B304" s="86"/>
      <c r="C304" s="86"/>
      <c r="D304" s="86"/>
      <c r="E304" s="86"/>
      <c r="F304" s="32"/>
      <c r="G304" s="32"/>
      <c r="H304" s="40" t="str">
        <f t="shared" si="62"/>
        <v/>
      </c>
      <c r="I304" s="40" t="str">
        <f t="shared" si="63"/>
        <v/>
      </c>
      <c r="J304" s="32"/>
      <c r="K304" s="32"/>
      <c r="L304" s="40" t="str">
        <f t="shared" si="64"/>
        <v/>
      </c>
      <c r="M304" s="40" t="str">
        <f t="shared" si="65"/>
        <v/>
      </c>
      <c r="N304" s="32"/>
      <c r="O304" s="32"/>
      <c r="P304" s="40" t="str">
        <f t="shared" si="66"/>
        <v/>
      </c>
      <c r="Q304" s="40" t="str">
        <f t="shared" si="67"/>
        <v/>
      </c>
      <c r="R304" s="32"/>
      <c r="S304" s="32"/>
      <c r="T304" s="33"/>
      <c r="U304" s="33"/>
      <c r="V304" s="32"/>
      <c r="W304" s="32"/>
      <c r="X304" s="32"/>
      <c r="Y304" s="32"/>
      <c r="Z304" s="32"/>
      <c r="AA304" s="40" t="str">
        <f t="shared" si="68"/>
        <v/>
      </c>
      <c r="AB304" s="40" t="str">
        <f t="shared" si="69"/>
        <v/>
      </c>
      <c r="AC304" s="32"/>
      <c r="AD304" s="32"/>
      <c r="AE304" s="40" t="str">
        <f t="shared" si="59"/>
        <v/>
      </c>
      <c r="AF304" s="40" t="str">
        <f t="shared" si="60"/>
        <v/>
      </c>
      <c r="AG304" s="32"/>
      <c r="AH304" s="76" t="str">
        <f t="shared" ca="1" si="61"/>
        <v/>
      </c>
      <c r="AI304" s="76" t="str">
        <f ca="1">IF(A304="","",IF(OR(W304='02_マスタ'!$E$10,W304='02_マスタ'!$E$12),"",IF(V304="High","High",IF(AND(U304&lt;&gt;"",U304&lt;TODAY()),INDEX(_翻訳マスタ!$B$117:$D$247,MATCH("ALERT_OVERDUE",_翻訳マスタ!$A$117:$A$247,0),MATCH(言語切替!$B$3,_翻訳マスタ!$B$1:$D$1,0)),IF(AND(U304&lt;&gt;"",U304-TODAY()&lt;=7),INDEX(_翻訳マスタ!$B$117:$D$247,MATCH("ALERT_APPROACHING",_翻訳マスタ!$A$117:$A$247,0),MATCH(言語切替!$B$3,_翻訳マスタ!$B$1:$D$1,0)),IF(OR(W304='02_マスタ'!$E$7,W304='02_マスタ'!$E$8),INDEX(_翻訳マスタ!$B$117:$D$247,MATCH("ALERT_CHECK",_翻訳マスタ!$A$117:$A$247,0),MATCH(言語切替!$B$3,_翻訳マスタ!$B$1:$D$1,0)),""))))))</f>
        <v/>
      </c>
      <c r="AJ304" s="77"/>
    </row>
  </sheetData>
  <sheetProtection formatCells="0" formatColumns="0" formatRows="0" deleteRows="0" sort="0" autoFilter="0"/>
  <autoFilter ref="A4:AJ304" xr:uid="{00000000-0001-0000-0400-000000000000}"/>
  <mergeCells count="3">
    <mergeCell ref="A2:X2"/>
    <mergeCell ref="A1:X1"/>
    <mergeCell ref="A3:X3"/>
  </mergeCells>
  <phoneticPr fontId="1"/>
  <conditionalFormatting sqref="AI5:AI304">
    <cfRule type="expression" dxfId="1" priority="1" stopIfTrue="1">
      <formula>OR(AI5="High",AI5="期限超過",AI5="逾期",AI5="Quá hạn")</formula>
    </cfRule>
    <cfRule type="expression" dxfId="0" priority="2" stopIfTrue="1">
      <formula>OR(AI5="期限接近",AI5="临近期限",AI5="Sắp đến hạn")</formula>
    </cfRule>
  </conditionalFormatting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400-000000000000}">
          <x14:formula1>
            <xm:f>'02_マスタ'!$I$5:$I$8</xm:f>
          </x14:formula1>
          <xm:sqref>B5:B304</xm:sqref>
        </x14:dataValidation>
        <x14:dataValidation type="list" allowBlank="1" xr:uid="{00000000-0002-0000-0400-000001000000}">
          <x14:formula1>
            <xm:f>'02_マスタ'!$A$5:$A$14</xm:f>
          </x14:formula1>
          <xm:sqref>C5:C304</xm:sqref>
        </x14:dataValidation>
        <x14:dataValidation type="list" allowBlank="1" xr:uid="{00000000-0002-0000-0400-000002000000}">
          <x14:formula1>
            <xm:f>'02_マスタ'!$C$5:$C$8</xm:f>
          </x14:formula1>
          <xm:sqref>D5:D304 E5:E8 E10:E304</xm:sqref>
        </x14:dataValidation>
        <x14:dataValidation type="list" allowBlank="1" xr:uid="{00000000-0002-0000-0400-000003000000}">
          <x14:formula1>
            <xm:f>'02_マスタ'!$G$5:$G$7</xm:f>
          </x14:formula1>
          <xm:sqref>V5:V304</xm:sqref>
        </x14:dataValidation>
        <x14:dataValidation type="list" allowBlank="1" xr:uid="{00000000-0002-0000-0400-000004000000}">
          <x14:formula1>
            <xm:f>'02_マスタ'!$E$5:$E$12</xm:f>
          </x14:formula1>
          <xm:sqref>W5:W304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D204"/>
  <sheetViews>
    <sheetView showGridLines="0" zoomScale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G5" sqref="G5"/>
    </sheetView>
  </sheetViews>
  <sheetFormatPr defaultColWidth="8.75" defaultRowHeight="15.75" x14ac:dyDescent="0.25"/>
  <cols>
    <col min="1" max="2" width="12" style="1" customWidth="1"/>
    <col min="3" max="3" width="24" style="1" customWidth="1"/>
    <col min="4" max="7" width="28" style="1" customWidth="1"/>
    <col min="8" max="11" width="44" style="1" customWidth="1"/>
    <col min="12" max="15" width="38" style="1" customWidth="1"/>
    <col min="16" max="16" width="18" style="1" customWidth="1"/>
    <col min="17" max="17" width="20" style="1" customWidth="1"/>
    <col min="18" max="18" width="13" style="1" customWidth="1"/>
    <col min="19" max="22" width="34" style="1" customWidth="1"/>
    <col min="23" max="23" width="18" style="1" customWidth="1"/>
    <col min="24" max="24" width="12" style="1" customWidth="1"/>
    <col min="25" max="25" width="15" style="1" customWidth="1"/>
    <col min="26" max="26" width="30" style="1" customWidth="1"/>
    <col min="27" max="30" width="22" style="1" customWidth="1"/>
    <col min="31" max="16384" width="8.75" style="1"/>
  </cols>
  <sheetData>
    <row r="1" spans="1:30" ht="27.95" customHeight="1" x14ac:dyDescent="0.25">
      <c r="A1" s="95" t="str">
        <f>INDEX(_翻訳マスタ!$B$117:$D$247,MATCH("DEC_TITLE",_翻訳マスタ!$A$117:$A$247,0),MATCH(言語切替!$B$3,_翻訳マスタ!$B$1:$D$1,0))</f>
        <v>Nhật ký quyết định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30" ht="27.95" customHeight="1" x14ac:dyDescent="0.25">
      <c r="A2" s="93" t="str">
        <f>INDEX(_翻訳マスタ!$B$117:$D$247,MATCH("DEC_DESC",_翻訳マスタ!$A$117:$A$247,0),MATCH(言語切替!$B$3,_翻訳マスタ!$B$1:$D$1,0))</f>
        <v>Ghi lại nội dung quyết định trong cuộc họp và phạm vi ảnh hưởng. Giúp theo dõi lại lý do đưa ra quyết định.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30" s="3" customFormat="1" ht="38.1" customHeight="1" x14ac:dyDescent="0.15">
      <c r="A3" s="96" t="str">
        <f>INDEX(_翻訳マスタ!$B$2:$D$300,MATCH("PARA_HOWTO",_翻訳マスタ!$A$2:$A$300,0),MATCH(言語切替!$B$3,_翻訳マスタ!$B$1:$D$1,0))</f>
        <v>Quy tắc nhập: 【Tiêu đề VÀNG】= Được phép nhập / chọn dữ liệu (Gõ bất kỳ tiếng Việt/Nhật/Trung vào ô [Nhập])
【Tiêu đề XANH DƯƠNG】= Cấm nhập (Tự động tính toán &amp; dịch tự động 3 thứ tiếng).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30" ht="27.95" customHeight="1" x14ac:dyDescent="0.25">
      <c r="A4" s="48" t="str">
        <f>INDEX(_翻訳マスタ!$B$117:$D$247,MATCH("DEC_COL_ID",_翻訳マスタ!$A$117:$A$247,0),MATCH(言語切替!$B$3,_翻訳マスタ!$B$1:$D$1,0))</f>
        <v>Mã quyết định</v>
      </c>
      <c r="B4" s="49" t="str">
        <f>INDEX(_翻訳マスタ!$B$117:$D$247,MATCH("DEC_COL_DATE",_翻訳マスタ!$A$117:$A$247,0),MATCH(言語切替!$B$3,_翻訳マスタ!$B$1:$D$1,0))</f>
        <v>Ngày quyết định</v>
      </c>
      <c r="C4" s="49" t="str">
        <f>INDEX(_翻訳マスタ!$B$117:$D$247,MATCH("DEC_COL_FORUM",_翻訳マスタ!$A$117:$A$247,0),MATCH(言語切替!$B$3,_翻訳マスタ!$B$1:$D$1,0))</f>
        <v>Cuộc họp / Diễn đàn</v>
      </c>
      <c r="D4" s="49" t="str">
        <f>INDEX(_翻訳マスタ!$B$2:$D$300,MATCH("DEC_COL_TITLE",_翻訳マスタ!$A$2:$A$300,0),MATCH(言語切替!$B$3,_翻訳マスタ!$B$1:$D$1,0))&amp;INDEX(_翻訳マスタ!$B$2:$D$300,MATCH("NEW_INPUT_SUFFIX",_翻訳マスタ!$A$2:$A$300,0),MATCH(言語切替!$B$3,_翻訳マスタ!$B$1:$D$1,0))</f>
        <v>Tiêu đề [Nhập: VI/JP/CN]</v>
      </c>
      <c r="E4" s="51" t="str">
        <f>INDEX(_翻訳マスタ!$B$2:$D$300,MATCH("DEC_COL_TITLE",_翻訳マスタ!$A$2:$A$300,0),MATCH(言語切替!$B$3,_翻訳マスタ!$B$1:$D$1,0))&amp;INDEX(_翻訳マスタ!$B$2:$D$300,MATCH("NEW_VI_SUFFIX",_翻訳マスタ!$A$2:$A$300,0),MATCH(言語切替!$B$3,_翻訳マスタ!$B$1:$D$1,0))</f>
        <v>Tiêu đề (VI)</v>
      </c>
      <c r="F4" s="51" t="str">
        <f>INDEX(_翻訳マスタ!$B$2:$D$300,MATCH("DEC_COL_TITLE",_翻訳マスタ!$A$2:$A$300,0),MATCH(言語切替!$B$3,_翻訳マスタ!$B$1:$D$1,0))&amp;INDEX(_翻訳マスタ!$B$2:$D$300,MATCH("NEW_JP_SUFFIX",_翻訳マスタ!$A$2:$A$300,0),MATCH(言語切替!$B$3,_翻訳マスタ!$B$1:$D$1,0))</f>
        <v>Tiêu đề (JP)</v>
      </c>
      <c r="G4" s="51" t="str">
        <f>INDEX(_翻訳マスタ!$B$2:$D$300,MATCH("DEC_COL_TITLE",_翻訳マスタ!$A$2:$A$300,0),MATCH(言語切替!$B$3,_翻訳マスタ!$B$1:$D$1,0))&amp;INDEX(_翻訳マスタ!$B$2:$D$300,MATCH("NEW_CN_SUFFIX",_翻訳マスタ!$A$2:$A$300,0),MATCH(言語切替!$B$3,_翻訳マスタ!$B$1:$D$1,0))</f>
        <v>Tiêu đề (CN)</v>
      </c>
      <c r="H4" s="49" t="str">
        <f>INDEX(_翻訳マスタ!$B$2:$D$300,MATCH("DEC_COL_CONTENT",_翻訳マスタ!$A$2:$A$300,0),MATCH(言語切替!$B$3,_翻訳マスタ!$B$1:$D$1,0))&amp;INDEX(_翻訳マスタ!$B$2:$D$300,MATCH("NEW_INPUT_SUFFIX",_翻訳マスタ!$A$2:$A$300,0),MATCH(言語切替!$B$3,_翻訳マスタ!$B$1:$D$1,0))</f>
        <v>Nội dung quyết định [Nhập: VI/JP/CN]</v>
      </c>
      <c r="I4" s="51" t="str">
        <f>INDEX(_翻訳マスタ!$B$2:$D$300,MATCH("DEC_COL_CONTENT",_翻訳マスタ!$A$2:$A$300,0),MATCH(言語切替!$B$3,_翻訳マスタ!$B$1:$D$1,0))&amp;INDEX(_翻訳マスタ!$B$2:$D$300,MATCH("NEW_VI_SUFFIX",_翻訳マスタ!$A$2:$A$300,0),MATCH(言語切替!$B$3,_翻訳マスタ!$B$1:$D$1,0))</f>
        <v>Nội dung quyết định (VI)</v>
      </c>
      <c r="J4" s="51" t="str">
        <f>INDEX(_翻訳マスタ!$B$2:$D$300,MATCH("DEC_COL_CONTENT",_翻訳マスタ!$A$2:$A$300,0),MATCH(言語切替!$B$3,_翻訳マスタ!$B$1:$D$1,0))&amp;INDEX(_翻訳マスタ!$B$2:$D$300,MATCH("NEW_JP_SUFFIX",_翻訳マスタ!$A$2:$A$300,0),MATCH(言語切替!$B$3,_翻訳マスタ!$B$1:$D$1,0))</f>
        <v>Nội dung quyết định (JP)</v>
      </c>
      <c r="K4" s="51" t="str">
        <f>INDEX(_翻訳マスタ!$B$2:$D$300,MATCH("DEC_COL_CONTENT",_翻訳マスタ!$A$2:$A$300,0),MATCH(言語切替!$B$3,_翻訳マスタ!$B$1:$D$1,0))&amp;INDEX(_翻訳マスタ!$B$2:$D$300,MATCH("NEW_CN_SUFFIX",_翻訳マスタ!$A$2:$A$300,0),MATCH(言語切替!$B$3,_翻訳マスタ!$B$1:$D$1,0))</f>
        <v>Nội dung quyết định (CN)</v>
      </c>
      <c r="L4" s="49" t="str">
        <f>INDEX(_翻訳マスタ!$B$2:$D$300,MATCH("DEC_COL_REASON",_翻訳マスタ!$A$2:$A$300,0),MATCH(言語切替!$B$3,_翻訳マスタ!$B$1:$D$1,0))&amp;INDEX(_翻訳マスタ!$B$2:$D$300,MATCH("NEW_INPUT_SUFFIX",_翻訳マスタ!$A$2:$A$300,0),MATCH(言語切替!$B$3,_翻訳マスタ!$B$1:$D$1,0))</f>
        <v>Lý do quyết định [Nhập: VI/JP/CN]</v>
      </c>
      <c r="M4" s="51" t="str">
        <f>INDEX(_翻訳マスタ!$B$2:$D$300,MATCH("DEC_COL_REASON",_翻訳マスタ!$A$2:$A$300,0),MATCH(言語切替!$B$3,_翻訳マスタ!$B$1:$D$1,0))&amp;INDEX(_翻訳マスタ!$B$2:$D$300,MATCH("NEW_VI_SUFFIX",_翻訳マスタ!$A$2:$A$300,0),MATCH(言語切替!$B$3,_翻訳マスタ!$B$1:$D$1,0))</f>
        <v>Lý do quyết định (VI)</v>
      </c>
      <c r="N4" s="51" t="str">
        <f>INDEX(_翻訳マスタ!$B$2:$D$300,MATCH("DEC_COL_REASON",_翻訳マスタ!$A$2:$A$300,0),MATCH(言語切替!$B$3,_翻訳マスタ!$B$1:$D$1,0))&amp;INDEX(_翻訳マスタ!$B$2:$D$300,MATCH("NEW_JP_SUFFIX",_翻訳マスタ!$A$2:$A$300,0),MATCH(言語切替!$B$3,_翻訳マスタ!$B$1:$D$1,0))</f>
        <v>Lý do quyết định (JP)</v>
      </c>
      <c r="O4" s="51" t="str">
        <f>INDEX(_翻訳マスタ!$B$2:$D$300,MATCH("DEC_COL_REASON",_翻訳マスタ!$A$2:$A$300,0),MATCH(言語切替!$B$3,_翻訳マスタ!$B$1:$D$1,0))&amp;INDEX(_翻訳マスタ!$B$2:$D$300,MATCH("NEW_CN_SUFFIX",_翻訳マスタ!$A$2:$A$300,0),MATCH(言語切替!$B$3,_翻訳マスタ!$B$1:$D$1,0))</f>
        <v>Lý do quyết định (CN)</v>
      </c>
      <c r="P4" s="49" t="str">
        <f>INDEX(_翻訳マスタ!$B$117:$D$247,MATCH("DEC_COL_DECIDER",_翻訳マスタ!$A$117:$A$247,0),MATCH(言語切替!$B$3,_翻訳マスタ!$B$1:$D$1,0))</f>
        <v>Người quyết định</v>
      </c>
      <c r="Q4" s="49" t="str">
        <f>INDEX(_翻訳マスタ!$B$117:$D$247,MATCH("DEC_COL_WG",_翻訳マスタ!$A$117:$A$247,0),MATCH(言語切替!$B$3,_翻訳マスタ!$B$1:$D$1,0))</f>
        <v>WG áp dụng</v>
      </c>
      <c r="R4" s="49" t="str">
        <f>INDEX(_翻訳マスタ!$B$117:$D$247,MATCH("DEC_COL_SITE",_翻訳マスタ!$A$117:$A$247,0),MATCH(言語切替!$B$3,_翻訳マスタ!$B$1:$D$1,0))</f>
        <v>Đơn vị áp dụng</v>
      </c>
      <c r="S4" s="49" t="str">
        <f>INDEX(_翻訳マスタ!$B$2:$D$300,MATCH("DEC_COL_SCOPE",_翻訳マスタ!$A$2:$A$300,0),MATCH(言語切替!$B$3,_翻訳マスタ!$B$1:$D$1,0))&amp;INDEX(_翻訳マスタ!$B$2:$D$300,MATCH("NEW_INPUT_SUFFIX",_翻訳マスタ!$A$2:$A$300,0),MATCH(言語切替!$B$3,_翻訳マスタ!$B$1:$D$1,0))</f>
        <v>Phạm vi ảnh hưởng [Nhập: VI/JP/CN]</v>
      </c>
      <c r="T4" s="51" t="str">
        <f>INDEX(_翻訳マスタ!$B$2:$D$300,MATCH("DEC_COL_SCOPE",_翻訳マスタ!$A$2:$A$300,0),MATCH(言語切替!$B$3,_翻訳マスタ!$B$1:$D$1,0))&amp;INDEX(_翻訳マスタ!$B$2:$D$300,MATCH("NEW_VI_SUFFIX",_翻訳マスタ!$A$2:$A$300,0),MATCH(言語切替!$B$3,_翻訳マスタ!$B$1:$D$1,0))</f>
        <v>Phạm vi ảnh hưởng (VI)</v>
      </c>
      <c r="U4" s="51" t="str">
        <f>INDEX(_翻訳マスタ!$B$2:$D$300,MATCH("DEC_COL_SCOPE",_翻訳マスタ!$A$2:$A$300,0),MATCH(言語切替!$B$3,_翻訳マスタ!$B$1:$D$1,0))&amp;INDEX(_翻訳マスタ!$B$2:$D$300,MATCH("NEW_JP_SUFFIX",_翻訳マスタ!$A$2:$A$300,0),MATCH(言語切替!$B$3,_翻訳マスタ!$B$1:$D$1,0))</f>
        <v>Phạm vi ảnh hưởng (JP)</v>
      </c>
      <c r="V4" s="51" t="str">
        <f>INDEX(_翻訳マスタ!$B$2:$D$300,MATCH("DEC_COL_SCOPE",_翻訳マスタ!$A$2:$A$300,0),MATCH(言語切替!$B$3,_翻訳マスタ!$B$1:$D$1,0))&amp;INDEX(_翻訳マスタ!$B$2:$D$300,MATCH("NEW_CN_SUFFIX",_翻訳マスタ!$A$2:$A$300,0),MATCH(言語切替!$B$3,_翻訳マスタ!$B$1:$D$1,0))</f>
        <v>Phạm vi ảnh hưởng (CN)</v>
      </c>
      <c r="W4" s="49" t="str">
        <f>INDEX(_翻訳マスタ!$B$117:$D$247,MATCH("DEC_COL_LEAD",_翻訳マスタ!$A$117:$A$247,0),MATCH(言語切替!$B$3,_翻訳マスタ!$B$1:$D$1,0))</f>
        <v>Người chịu trách nhiệm thực hiện</v>
      </c>
      <c r="X4" s="49" t="str">
        <f>INDEX(_翻訳マスタ!$B$117:$D$247,MATCH("DEC_COL_DUE",_翻訳マスタ!$A$117:$A$247,0),MATCH(言語切替!$B$3,_翻訳マスタ!$B$1:$D$1,0))</f>
        <v>Thời hạn áp dụng</v>
      </c>
      <c r="Y4" s="49" t="str">
        <f>INDEX(_翻訳マスタ!$B$117:$D$247,MATCH("DEC_COL_ISSUE_ID",_翻訳マスタ!$A$117:$A$247,0),MATCH(言語切替!$B$3,_翻訳マスタ!$B$1:$D$1,0))</f>
        <v>Mã vấn đề liên quan</v>
      </c>
      <c r="Z4" s="49" t="str">
        <f>INDEX(_翻訳マスタ!$B$117:$D$247,MATCH("DEC_COL_LINK",_翻訳マスタ!$A$117:$A$247,0),MATCH(言語切替!$B$3,_翻訳マスタ!$B$1:$D$1,0))</f>
        <v>Liên kết tài liệu liên quan</v>
      </c>
      <c r="AA4" s="50" t="str">
        <f>INDEX(_翻訳マスタ!$B$2:$D$300,MATCH("DEC_COL_NOTE",_翻訳マスタ!$A$2:$A$300,0),MATCH(言語切替!$B$3,_翻訳マスタ!$B$1:$D$1,0))&amp;INDEX(_翻訳マスタ!$B$2:$D$300,MATCH("NEW_INPUT_SUFFIX",_翻訳マスタ!$A$2:$A$300,0),MATCH(言語切替!$B$3,_翻訳マスタ!$B$1:$D$1,0))</f>
        <v>Ghi chú [Nhập: VI/JP/CN]</v>
      </c>
      <c r="AB4" s="53" t="str">
        <f>INDEX(_翻訳マスタ!$B$2:$D$300,MATCH("DEC_COL_NOTE",_翻訳マスタ!$A$2:$A$300,0),MATCH(言語切替!$B$3,_翻訳マスタ!$B$1:$D$1,0))&amp;INDEX(_翻訳マスタ!$B$2:$D$300,MATCH("NEW_VI_SUFFIX",_翻訳マスタ!$A$2:$A$300,0),MATCH(言語切替!$B$3,_翻訳マスタ!$B$1:$D$1,0))</f>
        <v>Ghi chú (VI)</v>
      </c>
      <c r="AC4" s="53" t="str">
        <f>INDEX(_翻訳マスタ!$B$2:$D$300,MATCH("DEC_COL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AD4" s="53" t="str">
        <f>INDEX(_翻訳マスタ!$B$2:$D$300,MATCH("DEC_COL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</row>
    <row r="5" spans="1:30" s="21" customFormat="1" ht="31.5" customHeight="1" x14ac:dyDescent="0.25">
      <c r="A5" s="22" t="s">
        <v>162</v>
      </c>
      <c r="B5" s="24">
        <v>46288</v>
      </c>
      <c r="C5" s="23" t="str">
        <f>INDEX(_翻訳マスタ!$B$117:$D$247,MATCH("DEC_EX1_FORUM",_翻訳マスタ!$A$117:$A$247,0),MATCH(言語切替!$B$3,_翻訳マスタ!$B$1:$D$1,0))</f>
        <v>Họp ban điều hành</v>
      </c>
      <c r="D5" s="23" t="str">
        <f>INDEX(_翻訳マスタ!$D$2:$D$300,MATCH("DEC_EX1_TITLE",_翻訳マスタ!$A$2:$A$300,0))</f>
        <v>Bản đầu tiên công cụ quản lý</v>
      </c>
      <c r="E5" s="52" t="str">
        <f t="shared" ref="E5:E30" si="0">IF(D5="","",_xlfn.TRANSLATE(D5,"","vi"))</f>
        <v>Bản đầu tiên công cụ quản lý</v>
      </c>
      <c r="F5" s="52" t="str">
        <f t="shared" ref="F5:F30" si="1">IF(D5="","",_xlfn.TRANSLATE(D5,"","ja"))</f>
        <v>管理ツールの最初のバージョン</v>
      </c>
      <c r="G5" s="52" t="str">
        <f t="shared" ref="G5:G30" si="2">IF(D5="","",_xlfn.TRANSLATE(D5,"","zh-Hans"))</f>
        <v>管理工具的第一个版本</v>
      </c>
      <c r="H5" s="23" t="str">
        <f>INDEX(_翻訳マスタ!$D$2:$D$300,MATCH("DEC_EX1_CONTENT",_翻訳マスタ!$A$2:$A$300,0))</f>
        <v>Đưa phương án quản lý tập trung bằng Excel vào rà soát nội bộ ban điều hành</v>
      </c>
      <c r="I5" s="52" t="str">
        <f t="shared" ref="I5:I30" si="3">IF(H5="","",_xlfn.TRANSLATE(H5,"","vi"))</f>
        <v>Đưa phương án quản lý tập trung bằng Excel vào rà soát nội bộ ban điều hành</v>
      </c>
      <c r="J5" s="52" t="str">
        <f t="shared" ref="J5:J30" si="4">IF(H5="","",_xlfn.TRANSLATE(H5,"","ja"))</f>
        <v>Excelを用いた中央集権的な経営計画を執行委員会の内部レビューに持ち込むこと</v>
      </c>
      <c r="K5" s="52" t="str">
        <f t="shared" ref="K5:K30" si="5">IF(H5="","",_xlfn.TRANSLATE(H5,"","zh-Hans"))</f>
        <v>将使用Excel的集中管理计划引入执行委员会内部审查</v>
      </c>
      <c r="L5" s="23" t="str">
        <f>INDEX(_翻訳マスタ!$D$2:$D$300,MATCH("DEC_EX1_REASON",_翻訳マスタ!$A$2:$A$300,0))</f>
        <v>Để củng cố các quy tắc chung trước tiên</v>
      </c>
      <c r="M5" s="52" t="str">
        <f t="shared" ref="M5:M30" si="6">IF(L5="","",_xlfn.TRANSLATE(L5,"","vi"))</f>
        <v>Để củng cố các quy tắc chung trước tiên</v>
      </c>
      <c r="N5" s="52" t="str">
        <f t="shared" ref="N5:N30" si="7">IF(L5="","",_xlfn.TRANSLATE(L5,"","ja"))</f>
        <v>まずは一般的なルールを強化する</v>
      </c>
      <c r="O5" s="52" t="str">
        <f t="shared" ref="O5:O30" si="8">IF(L5="","",_xlfn.TRANSLATE(L5,"","zh-Hans"))</f>
        <v>先强调一般规则</v>
      </c>
      <c r="P5" s="23" t="str">
        <f>INDEX(_翻訳マスタ!$B$117:$D$247,MATCH("ROLE_SUBLEADER",_翻訳マスタ!$A$117:$A$247,0),MATCH(言語切替!$B$3,_翻訳マスタ!$B$1:$D$1,0))</f>
        <v>Trưởng tiểu ban</v>
      </c>
      <c r="Q5" s="23" t="str">
        <f>'02_マスタ'!$A$5</f>
        <v>Toàn bộ</v>
      </c>
      <c r="R5" s="23" t="str">
        <f>'02_マスタ'!$C$5</f>
        <v>Chung</v>
      </c>
      <c r="S5" s="23" t="str">
        <f>INDEX(_翻訳マスタ!$D$2:$D$300,MATCH("COMMON_ALL_WG",_翻訳マスタ!$A$2:$A$300,0))</f>
        <v>Tất cả WG</v>
      </c>
      <c r="T5" s="52" t="str">
        <f t="shared" ref="T5:T30" si="9">IF(S5="","",_xlfn.TRANSLATE(S5,"","vi"))</f>
        <v>Tất cả WG</v>
      </c>
      <c r="U5" s="52" t="str">
        <f t="shared" ref="U5:U30" si="10">IF(S5="","",_xlfn.TRANSLATE(S5,"","ja"))</f>
        <v>全WG</v>
      </c>
      <c r="V5" s="52" t="str">
        <f t="shared" ref="V5:V30" si="11">IF(S5="","",_xlfn.TRANSLATE(S5,"","zh-Hans"))</f>
        <v>所有世界政府</v>
      </c>
      <c r="W5" s="23" t="str">
        <f>INDEX(_翻訳マスタ!$B$117:$D$247,MATCH("ROLE_PMO",_翻訳マスタ!$A$117:$A$247,0),MATCH(言語切替!$B$3,_翻訳マスタ!$B$1:$D$1,0))</f>
        <v>Ban điều hành</v>
      </c>
      <c r="X5" s="24">
        <v>46295</v>
      </c>
      <c r="Y5" s="23" t="s">
        <v>127</v>
      </c>
      <c r="Z5" s="23"/>
      <c r="AA5" s="34" t="str">
        <f>INDEX(_翻訳マスタ!$D$2:$D$300,MATCH("COMMON_EXAMPLE",_翻訳マスタ!$A$2:$A$300,0))</f>
        <v>Ví dụ nhập liệu</v>
      </c>
      <c r="AB5" s="44" t="str">
        <f t="shared" ref="AB5:AB30" si="12">IF(AA5="","",_xlfn.TRANSLATE(AA5,"","vi"))</f>
        <v>Ví dụ nhập liệu</v>
      </c>
      <c r="AC5" s="44" t="str">
        <f t="shared" ref="AC5:AC30" si="13">IF(AA5="","",_xlfn.TRANSLATE(AA5,"","ja"))</f>
        <v>データ入力の例</v>
      </c>
      <c r="AD5" s="44" t="str">
        <f t="shared" ref="AD5:AD30" si="14">IF(AA5="","",_xlfn.TRANSLATE(AA5,"","zh-Hans"))</f>
        <v>数据录入示例</v>
      </c>
    </row>
    <row r="6" spans="1:30" s="21" customFormat="1" ht="31.5" customHeight="1" x14ac:dyDescent="0.25">
      <c r="A6" s="25"/>
      <c r="B6" s="27"/>
      <c r="C6" s="26"/>
      <c r="D6" s="26"/>
      <c r="E6" s="38" t="str">
        <f t="shared" si="0"/>
        <v/>
      </c>
      <c r="F6" s="38" t="str">
        <f t="shared" si="1"/>
        <v/>
      </c>
      <c r="G6" s="38" t="str">
        <f t="shared" si="2"/>
        <v/>
      </c>
      <c r="H6" s="26"/>
      <c r="I6" s="38" t="str">
        <f t="shared" si="3"/>
        <v/>
      </c>
      <c r="J6" s="38" t="str">
        <f t="shared" si="4"/>
        <v/>
      </c>
      <c r="K6" s="38" t="str">
        <f t="shared" si="5"/>
        <v/>
      </c>
      <c r="L6" s="26"/>
      <c r="M6" s="38" t="str">
        <f t="shared" si="6"/>
        <v/>
      </c>
      <c r="N6" s="38" t="str">
        <f t="shared" si="7"/>
        <v/>
      </c>
      <c r="O6" s="38" t="str">
        <f t="shared" si="8"/>
        <v/>
      </c>
      <c r="P6" s="26"/>
      <c r="Q6" s="26"/>
      <c r="R6" s="26"/>
      <c r="S6" s="26"/>
      <c r="T6" s="38" t="str">
        <f t="shared" si="9"/>
        <v/>
      </c>
      <c r="U6" s="38" t="str">
        <f t="shared" si="10"/>
        <v/>
      </c>
      <c r="V6" s="38" t="str">
        <f t="shared" si="11"/>
        <v/>
      </c>
      <c r="W6" s="26"/>
      <c r="X6" s="27"/>
      <c r="Y6" s="26"/>
      <c r="Z6" s="26"/>
      <c r="AA6" s="35"/>
      <c r="AB6" s="45" t="str">
        <f t="shared" si="12"/>
        <v/>
      </c>
      <c r="AC6" s="45" t="str">
        <f t="shared" si="13"/>
        <v/>
      </c>
      <c r="AD6" s="45" t="str">
        <f t="shared" si="14"/>
        <v/>
      </c>
    </row>
    <row r="7" spans="1:30" s="21" customFormat="1" ht="31.5" customHeight="1" x14ac:dyDescent="0.25">
      <c r="A7" s="28"/>
      <c r="B7" s="30"/>
      <c r="C7" s="29"/>
      <c r="D7" s="29"/>
      <c r="E7" s="39" t="str">
        <f t="shared" si="0"/>
        <v/>
      </c>
      <c r="F7" s="39" t="str">
        <f t="shared" si="1"/>
        <v/>
      </c>
      <c r="G7" s="39" t="str">
        <f t="shared" si="2"/>
        <v/>
      </c>
      <c r="H7" s="29"/>
      <c r="I7" s="39" t="str">
        <f t="shared" si="3"/>
        <v/>
      </c>
      <c r="J7" s="39" t="str">
        <f t="shared" si="4"/>
        <v/>
      </c>
      <c r="K7" s="39" t="str">
        <f t="shared" si="5"/>
        <v/>
      </c>
      <c r="L7" s="29"/>
      <c r="M7" s="39" t="str">
        <f t="shared" si="6"/>
        <v/>
      </c>
      <c r="N7" s="39" t="str">
        <f t="shared" si="7"/>
        <v/>
      </c>
      <c r="O7" s="39" t="str">
        <f t="shared" si="8"/>
        <v/>
      </c>
      <c r="P7" s="29"/>
      <c r="Q7" s="29"/>
      <c r="R7" s="29"/>
      <c r="S7" s="29"/>
      <c r="T7" s="39" t="str">
        <f t="shared" si="9"/>
        <v/>
      </c>
      <c r="U7" s="39" t="str">
        <f t="shared" si="10"/>
        <v/>
      </c>
      <c r="V7" s="39" t="str">
        <f t="shared" si="11"/>
        <v/>
      </c>
      <c r="W7" s="29"/>
      <c r="X7" s="30"/>
      <c r="Y7" s="29"/>
      <c r="Z7" s="29"/>
      <c r="AA7" s="36"/>
      <c r="AB7" s="44" t="str">
        <f t="shared" si="12"/>
        <v/>
      </c>
      <c r="AC7" s="44" t="str">
        <f t="shared" si="13"/>
        <v/>
      </c>
      <c r="AD7" s="44" t="str">
        <f t="shared" si="14"/>
        <v/>
      </c>
    </row>
    <row r="8" spans="1:30" s="21" customFormat="1" ht="31.5" customHeight="1" x14ac:dyDescent="0.25">
      <c r="A8" s="25"/>
      <c r="B8" s="27"/>
      <c r="C8" s="26"/>
      <c r="D8" s="26"/>
      <c r="E8" s="38" t="str">
        <f t="shared" si="0"/>
        <v/>
      </c>
      <c r="F8" s="38" t="str">
        <f t="shared" si="1"/>
        <v/>
      </c>
      <c r="G8" s="38" t="str">
        <f t="shared" si="2"/>
        <v/>
      </c>
      <c r="H8" s="26"/>
      <c r="I8" s="38" t="str">
        <f t="shared" si="3"/>
        <v/>
      </c>
      <c r="J8" s="38" t="str">
        <f t="shared" si="4"/>
        <v/>
      </c>
      <c r="K8" s="38" t="str">
        <f t="shared" si="5"/>
        <v/>
      </c>
      <c r="L8" s="26"/>
      <c r="M8" s="38" t="str">
        <f t="shared" si="6"/>
        <v/>
      </c>
      <c r="N8" s="38" t="str">
        <f t="shared" si="7"/>
        <v/>
      </c>
      <c r="O8" s="38" t="str">
        <f t="shared" si="8"/>
        <v/>
      </c>
      <c r="P8" s="26"/>
      <c r="Q8" s="26"/>
      <c r="R8" s="26"/>
      <c r="S8" s="26"/>
      <c r="T8" s="38" t="str">
        <f t="shared" si="9"/>
        <v/>
      </c>
      <c r="U8" s="38" t="str">
        <f t="shared" si="10"/>
        <v/>
      </c>
      <c r="V8" s="38" t="str">
        <f t="shared" si="11"/>
        <v/>
      </c>
      <c r="W8" s="26"/>
      <c r="X8" s="27"/>
      <c r="Y8" s="26"/>
      <c r="Z8" s="26"/>
      <c r="AA8" s="35"/>
      <c r="AB8" s="45" t="str">
        <f t="shared" si="12"/>
        <v/>
      </c>
      <c r="AC8" s="45" t="str">
        <f t="shared" si="13"/>
        <v/>
      </c>
      <c r="AD8" s="45" t="str">
        <f t="shared" si="14"/>
        <v/>
      </c>
    </row>
    <row r="9" spans="1:30" s="21" customFormat="1" ht="15" customHeight="1" x14ac:dyDescent="0.25">
      <c r="A9" s="28"/>
      <c r="B9" s="30"/>
      <c r="C9" s="29"/>
      <c r="D9" s="29"/>
      <c r="E9" s="39" t="str">
        <f t="shared" si="0"/>
        <v/>
      </c>
      <c r="F9" s="39" t="str">
        <f t="shared" si="1"/>
        <v/>
      </c>
      <c r="G9" s="39" t="str">
        <f t="shared" si="2"/>
        <v/>
      </c>
      <c r="H9" s="29"/>
      <c r="I9" s="39" t="str">
        <f t="shared" si="3"/>
        <v/>
      </c>
      <c r="J9" s="39" t="str">
        <f t="shared" si="4"/>
        <v/>
      </c>
      <c r="K9" s="39" t="str">
        <f t="shared" si="5"/>
        <v/>
      </c>
      <c r="L9" s="29"/>
      <c r="M9" s="39" t="str">
        <f t="shared" si="6"/>
        <v/>
      </c>
      <c r="N9" s="39" t="str">
        <f t="shared" si="7"/>
        <v/>
      </c>
      <c r="O9" s="39" t="str">
        <f t="shared" si="8"/>
        <v/>
      </c>
      <c r="P9" s="29"/>
      <c r="Q9" s="29"/>
      <c r="R9" s="29"/>
      <c r="S9" s="29"/>
      <c r="T9" s="39" t="str">
        <f t="shared" si="9"/>
        <v/>
      </c>
      <c r="U9" s="39" t="str">
        <f t="shared" si="10"/>
        <v/>
      </c>
      <c r="V9" s="39" t="str">
        <f t="shared" si="11"/>
        <v/>
      </c>
      <c r="W9" s="29"/>
      <c r="X9" s="30"/>
      <c r="Y9" s="29"/>
      <c r="Z9" s="29"/>
      <c r="AA9" s="36"/>
      <c r="AB9" s="44" t="str">
        <f t="shared" si="12"/>
        <v/>
      </c>
      <c r="AC9" s="44" t="str">
        <f t="shared" si="13"/>
        <v/>
      </c>
      <c r="AD9" s="44" t="str">
        <f t="shared" si="14"/>
        <v/>
      </c>
    </row>
    <row r="10" spans="1:30" s="21" customFormat="1" ht="15" customHeight="1" x14ac:dyDescent="0.25">
      <c r="A10" s="25"/>
      <c r="B10" s="27"/>
      <c r="C10" s="26"/>
      <c r="D10" s="26"/>
      <c r="E10" s="38" t="str">
        <f t="shared" si="0"/>
        <v/>
      </c>
      <c r="F10" s="38" t="str">
        <f t="shared" si="1"/>
        <v/>
      </c>
      <c r="G10" s="38" t="str">
        <f t="shared" si="2"/>
        <v/>
      </c>
      <c r="H10" s="26"/>
      <c r="I10" s="38" t="str">
        <f t="shared" si="3"/>
        <v/>
      </c>
      <c r="J10" s="38" t="str">
        <f t="shared" si="4"/>
        <v/>
      </c>
      <c r="K10" s="38" t="str">
        <f t="shared" si="5"/>
        <v/>
      </c>
      <c r="L10" s="26"/>
      <c r="M10" s="38" t="str">
        <f t="shared" si="6"/>
        <v/>
      </c>
      <c r="N10" s="38" t="str">
        <f t="shared" si="7"/>
        <v/>
      </c>
      <c r="O10" s="38" t="str">
        <f t="shared" si="8"/>
        <v/>
      </c>
      <c r="P10" s="26"/>
      <c r="Q10" s="26"/>
      <c r="R10" s="26"/>
      <c r="S10" s="26"/>
      <c r="T10" s="38" t="str">
        <f t="shared" si="9"/>
        <v/>
      </c>
      <c r="U10" s="38" t="str">
        <f t="shared" si="10"/>
        <v/>
      </c>
      <c r="V10" s="38" t="str">
        <f t="shared" si="11"/>
        <v/>
      </c>
      <c r="W10" s="26"/>
      <c r="X10" s="27"/>
      <c r="Y10" s="26"/>
      <c r="Z10" s="26"/>
      <c r="AA10" s="35"/>
      <c r="AB10" s="45" t="str">
        <f t="shared" si="12"/>
        <v/>
      </c>
      <c r="AC10" s="45" t="str">
        <f t="shared" si="13"/>
        <v/>
      </c>
      <c r="AD10" s="45" t="str">
        <f t="shared" si="14"/>
        <v/>
      </c>
    </row>
    <row r="11" spans="1:30" s="21" customFormat="1" ht="15" customHeight="1" x14ac:dyDescent="0.25">
      <c r="A11" s="28"/>
      <c r="B11" s="30"/>
      <c r="C11" s="29"/>
      <c r="D11" s="29"/>
      <c r="E11" s="39" t="str">
        <f t="shared" si="0"/>
        <v/>
      </c>
      <c r="F11" s="39" t="str">
        <f t="shared" si="1"/>
        <v/>
      </c>
      <c r="G11" s="39" t="str">
        <f t="shared" si="2"/>
        <v/>
      </c>
      <c r="H11" s="29"/>
      <c r="I11" s="39" t="str">
        <f t="shared" si="3"/>
        <v/>
      </c>
      <c r="J11" s="39" t="str">
        <f t="shared" si="4"/>
        <v/>
      </c>
      <c r="K11" s="39" t="str">
        <f t="shared" si="5"/>
        <v/>
      </c>
      <c r="L11" s="29"/>
      <c r="M11" s="39" t="str">
        <f t="shared" si="6"/>
        <v/>
      </c>
      <c r="N11" s="39" t="str">
        <f t="shared" si="7"/>
        <v/>
      </c>
      <c r="O11" s="39" t="str">
        <f t="shared" si="8"/>
        <v/>
      </c>
      <c r="P11" s="29"/>
      <c r="Q11" s="29"/>
      <c r="R11" s="29"/>
      <c r="S11" s="29"/>
      <c r="T11" s="39" t="str">
        <f t="shared" si="9"/>
        <v/>
      </c>
      <c r="U11" s="39" t="str">
        <f t="shared" si="10"/>
        <v/>
      </c>
      <c r="V11" s="39" t="str">
        <f t="shared" si="11"/>
        <v/>
      </c>
      <c r="W11" s="29"/>
      <c r="X11" s="30"/>
      <c r="Y11" s="29"/>
      <c r="Z11" s="29"/>
      <c r="AA11" s="36"/>
      <c r="AB11" s="44" t="str">
        <f t="shared" si="12"/>
        <v/>
      </c>
      <c r="AC11" s="44" t="str">
        <f t="shared" si="13"/>
        <v/>
      </c>
      <c r="AD11" s="44" t="str">
        <f t="shared" si="14"/>
        <v/>
      </c>
    </row>
    <row r="12" spans="1:30" s="21" customFormat="1" ht="15" customHeight="1" x14ac:dyDescent="0.25">
      <c r="A12" s="25"/>
      <c r="B12" s="27"/>
      <c r="C12" s="26"/>
      <c r="D12" s="26"/>
      <c r="E12" s="38" t="str">
        <f t="shared" si="0"/>
        <v/>
      </c>
      <c r="F12" s="38" t="str">
        <f t="shared" si="1"/>
        <v/>
      </c>
      <c r="G12" s="38" t="str">
        <f t="shared" si="2"/>
        <v/>
      </c>
      <c r="H12" s="26"/>
      <c r="I12" s="38" t="str">
        <f t="shared" si="3"/>
        <v/>
      </c>
      <c r="J12" s="38" t="str">
        <f t="shared" si="4"/>
        <v/>
      </c>
      <c r="K12" s="38" t="str">
        <f t="shared" si="5"/>
        <v/>
      </c>
      <c r="L12" s="26"/>
      <c r="M12" s="38" t="str">
        <f t="shared" si="6"/>
        <v/>
      </c>
      <c r="N12" s="38" t="str">
        <f t="shared" si="7"/>
        <v/>
      </c>
      <c r="O12" s="38" t="str">
        <f t="shared" si="8"/>
        <v/>
      </c>
      <c r="P12" s="26"/>
      <c r="Q12" s="26"/>
      <c r="R12" s="26"/>
      <c r="S12" s="26"/>
      <c r="T12" s="38" t="str">
        <f t="shared" si="9"/>
        <v/>
      </c>
      <c r="U12" s="38" t="str">
        <f t="shared" si="10"/>
        <v/>
      </c>
      <c r="V12" s="38" t="str">
        <f t="shared" si="11"/>
        <v/>
      </c>
      <c r="W12" s="26"/>
      <c r="X12" s="27"/>
      <c r="Y12" s="26"/>
      <c r="Z12" s="26"/>
      <c r="AA12" s="35"/>
      <c r="AB12" s="45" t="str">
        <f t="shared" si="12"/>
        <v/>
      </c>
      <c r="AC12" s="45" t="str">
        <f t="shared" si="13"/>
        <v/>
      </c>
      <c r="AD12" s="45" t="str">
        <f t="shared" si="14"/>
        <v/>
      </c>
    </row>
    <row r="13" spans="1:30" s="21" customFormat="1" ht="15" customHeight="1" x14ac:dyDescent="0.25">
      <c r="A13" s="28"/>
      <c r="B13" s="30"/>
      <c r="C13" s="29"/>
      <c r="D13" s="29"/>
      <c r="E13" s="39" t="str">
        <f t="shared" si="0"/>
        <v/>
      </c>
      <c r="F13" s="39" t="str">
        <f t="shared" si="1"/>
        <v/>
      </c>
      <c r="G13" s="39" t="str">
        <f t="shared" si="2"/>
        <v/>
      </c>
      <c r="H13" s="29"/>
      <c r="I13" s="39" t="str">
        <f t="shared" si="3"/>
        <v/>
      </c>
      <c r="J13" s="39" t="str">
        <f t="shared" si="4"/>
        <v/>
      </c>
      <c r="K13" s="39" t="str">
        <f t="shared" si="5"/>
        <v/>
      </c>
      <c r="L13" s="29"/>
      <c r="M13" s="39" t="str">
        <f t="shared" si="6"/>
        <v/>
      </c>
      <c r="N13" s="39" t="str">
        <f t="shared" si="7"/>
        <v/>
      </c>
      <c r="O13" s="39" t="str">
        <f t="shared" si="8"/>
        <v/>
      </c>
      <c r="P13" s="29"/>
      <c r="Q13" s="29"/>
      <c r="R13" s="29"/>
      <c r="S13" s="29"/>
      <c r="T13" s="39" t="str">
        <f t="shared" si="9"/>
        <v/>
      </c>
      <c r="U13" s="39" t="str">
        <f t="shared" si="10"/>
        <v/>
      </c>
      <c r="V13" s="39" t="str">
        <f t="shared" si="11"/>
        <v/>
      </c>
      <c r="W13" s="29"/>
      <c r="X13" s="30"/>
      <c r="Y13" s="29"/>
      <c r="Z13" s="29"/>
      <c r="AA13" s="36"/>
      <c r="AB13" s="44" t="str">
        <f t="shared" si="12"/>
        <v/>
      </c>
      <c r="AC13" s="44" t="str">
        <f t="shared" si="13"/>
        <v/>
      </c>
      <c r="AD13" s="44" t="str">
        <f t="shared" si="14"/>
        <v/>
      </c>
    </row>
    <row r="14" spans="1:30" s="21" customFormat="1" ht="15" customHeight="1" x14ac:dyDescent="0.25">
      <c r="A14" s="25"/>
      <c r="B14" s="27"/>
      <c r="C14" s="26"/>
      <c r="D14" s="26"/>
      <c r="E14" s="38" t="str">
        <f t="shared" si="0"/>
        <v/>
      </c>
      <c r="F14" s="38" t="str">
        <f t="shared" si="1"/>
        <v/>
      </c>
      <c r="G14" s="38" t="str">
        <f t="shared" si="2"/>
        <v/>
      </c>
      <c r="H14" s="26"/>
      <c r="I14" s="38" t="str">
        <f t="shared" si="3"/>
        <v/>
      </c>
      <c r="J14" s="38" t="str">
        <f t="shared" si="4"/>
        <v/>
      </c>
      <c r="K14" s="38" t="str">
        <f t="shared" si="5"/>
        <v/>
      </c>
      <c r="L14" s="26"/>
      <c r="M14" s="38" t="str">
        <f t="shared" si="6"/>
        <v/>
      </c>
      <c r="N14" s="38" t="str">
        <f t="shared" si="7"/>
        <v/>
      </c>
      <c r="O14" s="38" t="str">
        <f t="shared" si="8"/>
        <v/>
      </c>
      <c r="P14" s="26"/>
      <c r="Q14" s="26"/>
      <c r="R14" s="26"/>
      <c r="S14" s="26"/>
      <c r="T14" s="38" t="str">
        <f t="shared" si="9"/>
        <v/>
      </c>
      <c r="U14" s="38" t="str">
        <f t="shared" si="10"/>
        <v/>
      </c>
      <c r="V14" s="38" t="str">
        <f t="shared" si="11"/>
        <v/>
      </c>
      <c r="W14" s="26"/>
      <c r="X14" s="27"/>
      <c r="Y14" s="26"/>
      <c r="Z14" s="26"/>
      <c r="AA14" s="35"/>
      <c r="AB14" s="45" t="str">
        <f t="shared" si="12"/>
        <v/>
      </c>
      <c r="AC14" s="45" t="str">
        <f t="shared" si="13"/>
        <v/>
      </c>
      <c r="AD14" s="45" t="str">
        <f t="shared" si="14"/>
        <v/>
      </c>
    </row>
    <row r="15" spans="1:30" s="21" customFormat="1" ht="30" customHeight="1" x14ac:dyDescent="0.25">
      <c r="A15" s="28"/>
      <c r="B15" s="30"/>
      <c r="C15" s="29"/>
      <c r="D15" s="29"/>
      <c r="E15" s="39" t="str">
        <f t="shared" si="0"/>
        <v/>
      </c>
      <c r="F15" s="39" t="str">
        <f t="shared" si="1"/>
        <v/>
      </c>
      <c r="G15" s="39" t="str">
        <f t="shared" si="2"/>
        <v/>
      </c>
      <c r="H15" s="29"/>
      <c r="I15" s="39" t="str">
        <f t="shared" si="3"/>
        <v/>
      </c>
      <c r="J15" s="39" t="str">
        <f t="shared" si="4"/>
        <v/>
      </c>
      <c r="K15" s="39" t="str">
        <f t="shared" si="5"/>
        <v/>
      </c>
      <c r="L15" s="29"/>
      <c r="M15" s="39" t="str">
        <f t="shared" si="6"/>
        <v/>
      </c>
      <c r="N15" s="39" t="str">
        <f t="shared" si="7"/>
        <v/>
      </c>
      <c r="O15" s="39" t="str">
        <f t="shared" si="8"/>
        <v/>
      </c>
      <c r="P15" s="29"/>
      <c r="Q15" s="29"/>
      <c r="R15" s="29"/>
      <c r="S15" s="29"/>
      <c r="T15" s="39" t="str">
        <f t="shared" si="9"/>
        <v/>
      </c>
      <c r="U15" s="39" t="str">
        <f t="shared" si="10"/>
        <v/>
      </c>
      <c r="V15" s="39" t="str">
        <f t="shared" si="11"/>
        <v/>
      </c>
      <c r="W15" s="29"/>
      <c r="X15" s="30"/>
      <c r="Y15" s="29"/>
      <c r="Z15" s="29"/>
      <c r="AA15" s="36"/>
      <c r="AB15" s="44" t="str">
        <f t="shared" si="12"/>
        <v/>
      </c>
      <c r="AC15" s="44" t="str">
        <f t="shared" si="13"/>
        <v/>
      </c>
      <c r="AD15" s="44" t="str">
        <f t="shared" si="14"/>
        <v/>
      </c>
    </row>
    <row r="16" spans="1:30" s="21" customFormat="1" ht="30" customHeight="1" x14ac:dyDescent="0.25">
      <c r="A16" s="25"/>
      <c r="B16" s="27"/>
      <c r="C16" s="26"/>
      <c r="D16" s="26"/>
      <c r="E16" s="38" t="str">
        <f t="shared" si="0"/>
        <v/>
      </c>
      <c r="F16" s="38" t="str">
        <f t="shared" si="1"/>
        <v/>
      </c>
      <c r="G16" s="38" t="str">
        <f t="shared" si="2"/>
        <v/>
      </c>
      <c r="H16" s="26"/>
      <c r="I16" s="38" t="str">
        <f t="shared" si="3"/>
        <v/>
      </c>
      <c r="J16" s="38" t="str">
        <f t="shared" si="4"/>
        <v/>
      </c>
      <c r="K16" s="38" t="str">
        <f t="shared" si="5"/>
        <v/>
      </c>
      <c r="L16" s="26"/>
      <c r="M16" s="38" t="str">
        <f t="shared" si="6"/>
        <v/>
      </c>
      <c r="N16" s="38" t="str">
        <f t="shared" si="7"/>
        <v/>
      </c>
      <c r="O16" s="38" t="str">
        <f t="shared" si="8"/>
        <v/>
      </c>
      <c r="P16" s="26"/>
      <c r="Q16" s="26"/>
      <c r="R16" s="26"/>
      <c r="S16" s="26"/>
      <c r="T16" s="38" t="str">
        <f t="shared" si="9"/>
        <v/>
      </c>
      <c r="U16" s="38" t="str">
        <f t="shared" si="10"/>
        <v/>
      </c>
      <c r="V16" s="38" t="str">
        <f t="shared" si="11"/>
        <v/>
      </c>
      <c r="W16" s="26"/>
      <c r="X16" s="27"/>
      <c r="Y16" s="26"/>
      <c r="Z16" s="26"/>
      <c r="AA16" s="35"/>
      <c r="AB16" s="45" t="str">
        <f t="shared" si="12"/>
        <v/>
      </c>
      <c r="AC16" s="45" t="str">
        <f t="shared" si="13"/>
        <v/>
      </c>
      <c r="AD16" s="45" t="str">
        <f t="shared" si="14"/>
        <v/>
      </c>
    </row>
    <row r="17" spans="1:30" s="21" customFormat="1" ht="30" customHeight="1" x14ac:dyDescent="0.25">
      <c r="A17" s="28"/>
      <c r="B17" s="30"/>
      <c r="C17" s="29"/>
      <c r="D17" s="29"/>
      <c r="E17" s="39" t="str">
        <f t="shared" si="0"/>
        <v/>
      </c>
      <c r="F17" s="39" t="str">
        <f t="shared" si="1"/>
        <v/>
      </c>
      <c r="G17" s="39" t="str">
        <f t="shared" si="2"/>
        <v/>
      </c>
      <c r="H17" s="29"/>
      <c r="I17" s="39" t="str">
        <f t="shared" si="3"/>
        <v/>
      </c>
      <c r="J17" s="39" t="str">
        <f t="shared" si="4"/>
        <v/>
      </c>
      <c r="K17" s="39" t="str">
        <f t="shared" si="5"/>
        <v/>
      </c>
      <c r="L17" s="29"/>
      <c r="M17" s="39" t="str">
        <f t="shared" si="6"/>
        <v/>
      </c>
      <c r="N17" s="39" t="str">
        <f t="shared" si="7"/>
        <v/>
      </c>
      <c r="O17" s="39" t="str">
        <f t="shared" si="8"/>
        <v/>
      </c>
      <c r="P17" s="29"/>
      <c r="Q17" s="29"/>
      <c r="R17" s="29"/>
      <c r="S17" s="29"/>
      <c r="T17" s="39" t="str">
        <f t="shared" si="9"/>
        <v/>
      </c>
      <c r="U17" s="39" t="str">
        <f t="shared" si="10"/>
        <v/>
      </c>
      <c r="V17" s="39" t="str">
        <f t="shared" si="11"/>
        <v/>
      </c>
      <c r="W17" s="29"/>
      <c r="X17" s="30"/>
      <c r="Y17" s="29"/>
      <c r="Z17" s="29"/>
      <c r="AA17" s="36"/>
      <c r="AB17" s="44" t="str">
        <f t="shared" si="12"/>
        <v/>
      </c>
      <c r="AC17" s="44" t="str">
        <f t="shared" si="13"/>
        <v/>
      </c>
      <c r="AD17" s="44" t="str">
        <f t="shared" si="14"/>
        <v/>
      </c>
    </row>
    <row r="18" spans="1:30" s="21" customFormat="1" ht="30" customHeight="1" x14ac:dyDescent="0.25">
      <c r="A18" s="25"/>
      <c r="B18" s="27"/>
      <c r="C18" s="26"/>
      <c r="D18" s="26"/>
      <c r="E18" s="38" t="str">
        <f t="shared" si="0"/>
        <v/>
      </c>
      <c r="F18" s="38" t="str">
        <f t="shared" si="1"/>
        <v/>
      </c>
      <c r="G18" s="38" t="str">
        <f t="shared" si="2"/>
        <v/>
      </c>
      <c r="H18" s="26"/>
      <c r="I18" s="38" t="str">
        <f t="shared" si="3"/>
        <v/>
      </c>
      <c r="J18" s="38" t="str">
        <f t="shared" si="4"/>
        <v/>
      </c>
      <c r="K18" s="38" t="str">
        <f t="shared" si="5"/>
        <v/>
      </c>
      <c r="L18" s="26"/>
      <c r="M18" s="38" t="str">
        <f t="shared" si="6"/>
        <v/>
      </c>
      <c r="N18" s="38" t="str">
        <f t="shared" si="7"/>
        <v/>
      </c>
      <c r="O18" s="38" t="str">
        <f t="shared" si="8"/>
        <v/>
      </c>
      <c r="P18" s="26"/>
      <c r="Q18" s="26"/>
      <c r="R18" s="26"/>
      <c r="S18" s="26"/>
      <c r="T18" s="38" t="str">
        <f t="shared" si="9"/>
        <v/>
      </c>
      <c r="U18" s="38" t="str">
        <f t="shared" si="10"/>
        <v/>
      </c>
      <c r="V18" s="38" t="str">
        <f t="shared" si="11"/>
        <v/>
      </c>
      <c r="W18" s="26"/>
      <c r="X18" s="27"/>
      <c r="Y18" s="26"/>
      <c r="Z18" s="26"/>
      <c r="AA18" s="35"/>
      <c r="AB18" s="45" t="str">
        <f t="shared" si="12"/>
        <v/>
      </c>
      <c r="AC18" s="45" t="str">
        <f t="shared" si="13"/>
        <v/>
      </c>
      <c r="AD18" s="45" t="str">
        <f t="shared" si="14"/>
        <v/>
      </c>
    </row>
    <row r="19" spans="1:30" s="21" customFormat="1" ht="30" customHeight="1" x14ac:dyDescent="0.25">
      <c r="A19" s="28"/>
      <c r="B19" s="30"/>
      <c r="C19" s="29"/>
      <c r="D19" s="29"/>
      <c r="E19" s="39" t="str">
        <f t="shared" si="0"/>
        <v/>
      </c>
      <c r="F19" s="39" t="str">
        <f t="shared" si="1"/>
        <v/>
      </c>
      <c r="G19" s="39" t="str">
        <f t="shared" si="2"/>
        <v/>
      </c>
      <c r="H19" s="29"/>
      <c r="I19" s="39" t="str">
        <f t="shared" si="3"/>
        <v/>
      </c>
      <c r="J19" s="39" t="str">
        <f t="shared" si="4"/>
        <v/>
      </c>
      <c r="K19" s="39" t="str">
        <f t="shared" si="5"/>
        <v/>
      </c>
      <c r="L19" s="29"/>
      <c r="M19" s="39" t="str">
        <f t="shared" si="6"/>
        <v/>
      </c>
      <c r="N19" s="39" t="str">
        <f t="shared" si="7"/>
        <v/>
      </c>
      <c r="O19" s="39" t="str">
        <f t="shared" si="8"/>
        <v/>
      </c>
      <c r="P19" s="29"/>
      <c r="Q19" s="29"/>
      <c r="R19" s="29"/>
      <c r="S19" s="29"/>
      <c r="T19" s="39" t="str">
        <f t="shared" si="9"/>
        <v/>
      </c>
      <c r="U19" s="39" t="str">
        <f t="shared" si="10"/>
        <v/>
      </c>
      <c r="V19" s="39" t="str">
        <f t="shared" si="11"/>
        <v/>
      </c>
      <c r="W19" s="29"/>
      <c r="X19" s="30"/>
      <c r="Y19" s="29"/>
      <c r="Z19" s="29"/>
      <c r="AA19" s="36"/>
      <c r="AB19" s="44" t="str">
        <f t="shared" si="12"/>
        <v/>
      </c>
      <c r="AC19" s="44" t="str">
        <f t="shared" si="13"/>
        <v/>
      </c>
      <c r="AD19" s="44" t="str">
        <f t="shared" si="14"/>
        <v/>
      </c>
    </row>
    <row r="20" spans="1:30" s="21" customFormat="1" x14ac:dyDescent="0.25">
      <c r="A20" s="25"/>
      <c r="B20" s="27"/>
      <c r="C20" s="26"/>
      <c r="D20" s="26"/>
      <c r="E20" s="38" t="str">
        <f t="shared" si="0"/>
        <v/>
      </c>
      <c r="F20" s="38" t="str">
        <f t="shared" si="1"/>
        <v/>
      </c>
      <c r="G20" s="38" t="str">
        <f t="shared" si="2"/>
        <v/>
      </c>
      <c r="H20" s="26"/>
      <c r="I20" s="38" t="str">
        <f t="shared" si="3"/>
        <v/>
      </c>
      <c r="J20" s="38" t="str">
        <f t="shared" si="4"/>
        <v/>
      </c>
      <c r="K20" s="38" t="str">
        <f t="shared" si="5"/>
        <v/>
      </c>
      <c r="L20" s="26"/>
      <c r="M20" s="38" t="str">
        <f t="shared" si="6"/>
        <v/>
      </c>
      <c r="N20" s="38" t="str">
        <f t="shared" si="7"/>
        <v/>
      </c>
      <c r="O20" s="38" t="str">
        <f t="shared" si="8"/>
        <v/>
      </c>
      <c r="P20" s="26"/>
      <c r="Q20" s="26"/>
      <c r="R20" s="26"/>
      <c r="S20" s="26"/>
      <c r="T20" s="38" t="str">
        <f t="shared" si="9"/>
        <v/>
      </c>
      <c r="U20" s="38" t="str">
        <f t="shared" si="10"/>
        <v/>
      </c>
      <c r="V20" s="38" t="str">
        <f t="shared" si="11"/>
        <v/>
      </c>
      <c r="W20" s="26"/>
      <c r="X20" s="27"/>
      <c r="Y20" s="26"/>
      <c r="Z20" s="26"/>
      <c r="AA20" s="35"/>
      <c r="AB20" s="45" t="str">
        <f t="shared" si="12"/>
        <v/>
      </c>
      <c r="AC20" s="45" t="str">
        <f t="shared" si="13"/>
        <v/>
      </c>
      <c r="AD20" s="45" t="str">
        <f t="shared" si="14"/>
        <v/>
      </c>
    </row>
    <row r="21" spans="1:30" s="21" customFormat="1" x14ac:dyDescent="0.25">
      <c r="A21" s="28"/>
      <c r="B21" s="30"/>
      <c r="C21" s="29"/>
      <c r="D21" s="29"/>
      <c r="E21" s="39" t="str">
        <f t="shared" si="0"/>
        <v/>
      </c>
      <c r="F21" s="39" t="str">
        <f t="shared" si="1"/>
        <v/>
      </c>
      <c r="G21" s="39" t="str">
        <f t="shared" si="2"/>
        <v/>
      </c>
      <c r="H21" s="29"/>
      <c r="I21" s="39" t="str">
        <f t="shared" si="3"/>
        <v/>
      </c>
      <c r="J21" s="39" t="str">
        <f t="shared" si="4"/>
        <v/>
      </c>
      <c r="K21" s="39" t="str">
        <f t="shared" si="5"/>
        <v/>
      </c>
      <c r="L21" s="29"/>
      <c r="M21" s="39" t="str">
        <f t="shared" si="6"/>
        <v/>
      </c>
      <c r="N21" s="39" t="str">
        <f t="shared" si="7"/>
        <v/>
      </c>
      <c r="O21" s="39" t="str">
        <f t="shared" si="8"/>
        <v/>
      </c>
      <c r="P21" s="29"/>
      <c r="Q21" s="29"/>
      <c r="R21" s="29"/>
      <c r="S21" s="29"/>
      <c r="T21" s="39" t="str">
        <f t="shared" si="9"/>
        <v/>
      </c>
      <c r="U21" s="39" t="str">
        <f t="shared" si="10"/>
        <v/>
      </c>
      <c r="V21" s="39" t="str">
        <f t="shared" si="11"/>
        <v/>
      </c>
      <c r="W21" s="29"/>
      <c r="X21" s="30"/>
      <c r="Y21" s="29"/>
      <c r="Z21" s="29"/>
      <c r="AA21" s="36"/>
      <c r="AB21" s="44" t="str">
        <f t="shared" si="12"/>
        <v/>
      </c>
      <c r="AC21" s="44" t="str">
        <f t="shared" si="13"/>
        <v/>
      </c>
      <c r="AD21" s="44" t="str">
        <f t="shared" si="14"/>
        <v/>
      </c>
    </row>
    <row r="22" spans="1:30" s="21" customFormat="1" x14ac:dyDescent="0.25">
      <c r="A22" s="25"/>
      <c r="B22" s="27"/>
      <c r="C22" s="26"/>
      <c r="D22" s="26"/>
      <c r="E22" s="38" t="str">
        <f t="shared" si="0"/>
        <v/>
      </c>
      <c r="F22" s="38" t="str">
        <f t="shared" si="1"/>
        <v/>
      </c>
      <c r="G22" s="38" t="str">
        <f t="shared" si="2"/>
        <v/>
      </c>
      <c r="H22" s="26"/>
      <c r="I22" s="38" t="str">
        <f t="shared" si="3"/>
        <v/>
      </c>
      <c r="J22" s="38" t="str">
        <f t="shared" si="4"/>
        <v/>
      </c>
      <c r="K22" s="38" t="str">
        <f t="shared" si="5"/>
        <v/>
      </c>
      <c r="L22" s="26"/>
      <c r="M22" s="38" t="str">
        <f t="shared" si="6"/>
        <v/>
      </c>
      <c r="N22" s="38" t="str">
        <f t="shared" si="7"/>
        <v/>
      </c>
      <c r="O22" s="38" t="str">
        <f t="shared" si="8"/>
        <v/>
      </c>
      <c r="P22" s="26"/>
      <c r="Q22" s="26"/>
      <c r="R22" s="26"/>
      <c r="S22" s="26"/>
      <c r="T22" s="38" t="str">
        <f t="shared" si="9"/>
        <v/>
      </c>
      <c r="U22" s="38" t="str">
        <f t="shared" si="10"/>
        <v/>
      </c>
      <c r="V22" s="38" t="str">
        <f t="shared" si="11"/>
        <v/>
      </c>
      <c r="W22" s="26"/>
      <c r="X22" s="27"/>
      <c r="Y22" s="26"/>
      <c r="Z22" s="26"/>
      <c r="AA22" s="35"/>
      <c r="AB22" s="45" t="str">
        <f t="shared" si="12"/>
        <v/>
      </c>
      <c r="AC22" s="45" t="str">
        <f t="shared" si="13"/>
        <v/>
      </c>
      <c r="AD22" s="45" t="str">
        <f t="shared" si="14"/>
        <v/>
      </c>
    </row>
    <row r="23" spans="1:30" s="21" customFormat="1" x14ac:dyDescent="0.25">
      <c r="A23" s="28"/>
      <c r="B23" s="30"/>
      <c r="C23" s="29"/>
      <c r="D23" s="29"/>
      <c r="E23" s="39" t="str">
        <f t="shared" si="0"/>
        <v/>
      </c>
      <c r="F23" s="39" t="str">
        <f t="shared" si="1"/>
        <v/>
      </c>
      <c r="G23" s="39" t="str">
        <f t="shared" si="2"/>
        <v/>
      </c>
      <c r="H23" s="29"/>
      <c r="I23" s="39" t="str">
        <f t="shared" si="3"/>
        <v/>
      </c>
      <c r="J23" s="39" t="str">
        <f t="shared" si="4"/>
        <v/>
      </c>
      <c r="K23" s="39" t="str">
        <f t="shared" si="5"/>
        <v/>
      </c>
      <c r="L23" s="29"/>
      <c r="M23" s="39" t="str">
        <f t="shared" si="6"/>
        <v/>
      </c>
      <c r="N23" s="39" t="str">
        <f t="shared" si="7"/>
        <v/>
      </c>
      <c r="O23" s="39" t="str">
        <f t="shared" si="8"/>
        <v/>
      </c>
      <c r="P23" s="29"/>
      <c r="Q23" s="29"/>
      <c r="R23" s="29"/>
      <c r="S23" s="29"/>
      <c r="T23" s="39" t="str">
        <f t="shared" si="9"/>
        <v/>
      </c>
      <c r="U23" s="39" t="str">
        <f t="shared" si="10"/>
        <v/>
      </c>
      <c r="V23" s="39" t="str">
        <f t="shared" si="11"/>
        <v/>
      </c>
      <c r="W23" s="29"/>
      <c r="X23" s="30"/>
      <c r="Y23" s="29"/>
      <c r="Z23" s="29"/>
      <c r="AA23" s="36"/>
      <c r="AB23" s="44" t="str">
        <f t="shared" si="12"/>
        <v/>
      </c>
      <c r="AC23" s="44" t="str">
        <f t="shared" si="13"/>
        <v/>
      </c>
      <c r="AD23" s="44" t="str">
        <f t="shared" si="14"/>
        <v/>
      </c>
    </row>
    <row r="24" spans="1:30" s="21" customFormat="1" x14ac:dyDescent="0.25">
      <c r="A24" s="25"/>
      <c r="B24" s="27"/>
      <c r="C24" s="26"/>
      <c r="D24" s="26"/>
      <c r="E24" s="38" t="str">
        <f t="shared" si="0"/>
        <v/>
      </c>
      <c r="F24" s="38" t="str">
        <f t="shared" si="1"/>
        <v/>
      </c>
      <c r="G24" s="38" t="str">
        <f t="shared" si="2"/>
        <v/>
      </c>
      <c r="H24" s="26"/>
      <c r="I24" s="38" t="str">
        <f t="shared" si="3"/>
        <v/>
      </c>
      <c r="J24" s="38" t="str">
        <f t="shared" si="4"/>
        <v/>
      </c>
      <c r="K24" s="38" t="str">
        <f t="shared" si="5"/>
        <v/>
      </c>
      <c r="L24" s="26"/>
      <c r="M24" s="38" t="str">
        <f t="shared" si="6"/>
        <v/>
      </c>
      <c r="N24" s="38" t="str">
        <f t="shared" si="7"/>
        <v/>
      </c>
      <c r="O24" s="38" t="str">
        <f t="shared" si="8"/>
        <v/>
      </c>
      <c r="P24" s="26"/>
      <c r="Q24" s="26"/>
      <c r="R24" s="26"/>
      <c r="S24" s="26"/>
      <c r="T24" s="38" t="str">
        <f t="shared" si="9"/>
        <v/>
      </c>
      <c r="U24" s="38" t="str">
        <f t="shared" si="10"/>
        <v/>
      </c>
      <c r="V24" s="38" t="str">
        <f t="shared" si="11"/>
        <v/>
      </c>
      <c r="W24" s="26"/>
      <c r="X24" s="27"/>
      <c r="Y24" s="26"/>
      <c r="Z24" s="26"/>
      <c r="AA24" s="35"/>
      <c r="AB24" s="45" t="str">
        <f t="shared" si="12"/>
        <v/>
      </c>
      <c r="AC24" s="45" t="str">
        <f t="shared" si="13"/>
        <v/>
      </c>
      <c r="AD24" s="45" t="str">
        <f t="shared" si="14"/>
        <v/>
      </c>
    </row>
    <row r="25" spans="1:30" s="21" customFormat="1" x14ac:dyDescent="0.25">
      <c r="A25" s="28"/>
      <c r="B25" s="30"/>
      <c r="C25" s="29"/>
      <c r="D25" s="29"/>
      <c r="E25" s="39" t="str">
        <f t="shared" si="0"/>
        <v/>
      </c>
      <c r="F25" s="39" t="str">
        <f t="shared" si="1"/>
        <v/>
      </c>
      <c r="G25" s="39" t="str">
        <f t="shared" si="2"/>
        <v/>
      </c>
      <c r="H25" s="29"/>
      <c r="I25" s="39" t="str">
        <f t="shared" si="3"/>
        <v/>
      </c>
      <c r="J25" s="39" t="str">
        <f t="shared" si="4"/>
        <v/>
      </c>
      <c r="K25" s="39" t="str">
        <f t="shared" si="5"/>
        <v/>
      </c>
      <c r="L25" s="29"/>
      <c r="M25" s="39" t="str">
        <f t="shared" si="6"/>
        <v/>
      </c>
      <c r="N25" s="39" t="str">
        <f t="shared" si="7"/>
        <v/>
      </c>
      <c r="O25" s="39" t="str">
        <f t="shared" si="8"/>
        <v/>
      </c>
      <c r="P25" s="29"/>
      <c r="Q25" s="29"/>
      <c r="R25" s="29"/>
      <c r="S25" s="29"/>
      <c r="T25" s="39" t="str">
        <f t="shared" si="9"/>
        <v/>
      </c>
      <c r="U25" s="39" t="str">
        <f t="shared" si="10"/>
        <v/>
      </c>
      <c r="V25" s="39" t="str">
        <f t="shared" si="11"/>
        <v/>
      </c>
      <c r="W25" s="29"/>
      <c r="X25" s="30"/>
      <c r="Y25" s="29"/>
      <c r="Z25" s="29"/>
      <c r="AA25" s="36"/>
      <c r="AB25" s="44" t="str">
        <f t="shared" si="12"/>
        <v/>
      </c>
      <c r="AC25" s="44" t="str">
        <f t="shared" si="13"/>
        <v/>
      </c>
      <c r="AD25" s="44" t="str">
        <f t="shared" si="14"/>
        <v/>
      </c>
    </row>
    <row r="26" spans="1:30" s="21" customFormat="1" x14ac:dyDescent="0.25">
      <c r="A26" s="25"/>
      <c r="B26" s="27"/>
      <c r="C26" s="26"/>
      <c r="D26" s="26"/>
      <c r="E26" s="38" t="str">
        <f t="shared" si="0"/>
        <v/>
      </c>
      <c r="F26" s="38" t="str">
        <f t="shared" si="1"/>
        <v/>
      </c>
      <c r="G26" s="38" t="str">
        <f t="shared" si="2"/>
        <v/>
      </c>
      <c r="H26" s="26"/>
      <c r="I26" s="38" t="str">
        <f t="shared" si="3"/>
        <v/>
      </c>
      <c r="J26" s="38" t="str">
        <f t="shared" si="4"/>
        <v/>
      </c>
      <c r="K26" s="38" t="str">
        <f t="shared" si="5"/>
        <v/>
      </c>
      <c r="L26" s="26"/>
      <c r="M26" s="38" t="str">
        <f t="shared" si="6"/>
        <v/>
      </c>
      <c r="N26" s="38" t="str">
        <f t="shared" si="7"/>
        <v/>
      </c>
      <c r="O26" s="38" t="str">
        <f t="shared" si="8"/>
        <v/>
      </c>
      <c r="P26" s="26"/>
      <c r="Q26" s="26"/>
      <c r="R26" s="26"/>
      <c r="S26" s="26"/>
      <c r="T26" s="38" t="str">
        <f t="shared" si="9"/>
        <v/>
      </c>
      <c r="U26" s="38" t="str">
        <f t="shared" si="10"/>
        <v/>
      </c>
      <c r="V26" s="38" t="str">
        <f t="shared" si="11"/>
        <v/>
      </c>
      <c r="W26" s="26"/>
      <c r="X26" s="27"/>
      <c r="Y26" s="26"/>
      <c r="Z26" s="26"/>
      <c r="AA26" s="35"/>
      <c r="AB26" s="45" t="str">
        <f t="shared" si="12"/>
        <v/>
      </c>
      <c r="AC26" s="45" t="str">
        <f t="shared" si="13"/>
        <v/>
      </c>
      <c r="AD26" s="45" t="str">
        <f t="shared" si="14"/>
        <v/>
      </c>
    </row>
    <row r="27" spans="1:30" s="21" customFormat="1" x14ac:dyDescent="0.25">
      <c r="A27" s="28"/>
      <c r="B27" s="30"/>
      <c r="C27" s="29"/>
      <c r="D27" s="29"/>
      <c r="E27" s="39" t="str">
        <f t="shared" si="0"/>
        <v/>
      </c>
      <c r="F27" s="39" t="str">
        <f t="shared" si="1"/>
        <v/>
      </c>
      <c r="G27" s="39" t="str">
        <f t="shared" si="2"/>
        <v/>
      </c>
      <c r="H27" s="29"/>
      <c r="I27" s="39" t="str">
        <f t="shared" si="3"/>
        <v/>
      </c>
      <c r="J27" s="39" t="str">
        <f t="shared" si="4"/>
        <v/>
      </c>
      <c r="K27" s="39" t="str">
        <f t="shared" si="5"/>
        <v/>
      </c>
      <c r="L27" s="29"/>
      <c r="M27" s="39" t="str">
        <f t="shared" si="6"/>
        <v/>
      </c>
      <c r="N27" s="39" t="str">
        <f t="shared" si="7"/>
        <v/>
      </c>
      <c r="O27" s="39" t="str">
        <f t="shared" si="8"/>
        <v/>
      </c>
      <c r="P27" s="29"/>
      <c r="Q27" s="29"/>
      <c r="R27" s="29"/>
      <c r="S27" s="29"/>
      <c r="T27" s="39" t="str">
        <f t="shared" si="9"/>
        <v/>
      </c>
      <c r="U27" s="39" t="str">
        <f t="shared" si="10"/>
        <v/>
      </c>
      <c r="V27" s="39" t="str">
        <f t="shared" si="11"/>
        <v/>
      </c>
      <c r="W27" s="29"/>
      <c r="X27" s="30"/>
      <c r="Y27" s="29"/>
      <c r="Z27" s="29"/>
      <c r="AA27" s="36"/>
      <c r="AB27" s="44" t="str">
        <f t="shared" si="12"/>
        <v/>
      </c>
      <c r="AC27" s="44" t="str">
        <f t="shared" si="13"/>
        <v/>
      </c>
      <c r="AD27" s="44" t="str">
        <f t="shared" si="14"/>
        <v/>
      </c>
    </row>
    <row r="28" spans="1:30" s="21" customFormat="1" x14ac:dyDescent="0.25">
      <c r="A28" s="25"/>
      <c r="B28" s="27"/>
      <c r="C28" s="26"/>
      <c r="D28" s="26"/>
      <c r="E28" s="38" t="str">
        <f t="shared" si="0"/>
        <v/>
      </c>
      <c r="F28" s="38" t="str">
        <f t="shared" si="1"/>
        <v/>
      </c>
      <c r="G28" s="38" t="str">
        <f t="shared" si="2"/>
        <v/>
      </c>
      <c r="H28" s="26"/>
      <c r="I28" s="38" t="str">
        <f t="shared" si="3"/>
        <v/>
      </c>
      <c r="J28" s="38" t="str">
        <f t="shared" si="4"/>
        <v/>
      </c>
      <c r="K28" s="38" t="str">
        <f t="shared" si="5"/>
        <v/>
      </c>
      <c r="L28" s="26"/>
      <c r="M28" s="38" t="str">
        <f t="shared" si="6"/>
        <v/>
      </c>
      <c r="N28" s="38" t="str">
        <f t="shared" si="7"/>
        <v/>
      </c>
      <c r="O28" s="38" t="str">
        <f t="shared" si="8"/>
        <v/>
      </c>
      <c r="P28" s="26"/>
      <c r="Q28" s="26"/>
      <c r="R28" s="26"/>
      <c r="S28" s="26"/>
      <c r="T28" s="38" t="str">
        <f t="shared" si="9"/>
        <v/>
      </c>
      <c r="U28" s="38" t="str">
        <f t="shared" si="10"/>
        <v/>
      </c>
      <c r="V28" s="38" t="str">
        <f t="shared" si="11"/>
        <v/>
      </c>
      <c r="W28" s="26"/>
      <c r="X28" s="27"/>
      <c r="Y28" s="26"/>
      <c r="Z28" s="26"/>
      <c r="AA28" s="35"/>
      <c r="AB28" s="45" t="str">
        <f t="shared" si="12"/>
        <v/>
      </c>
      <c r="AC28" s="45" t="str">
        <f t="shared" si="13"/>
        <v/>
      </c>
      <c r="AD28" s="45" t="str">
        <f t="shared" si="14"/>
        <v/>
      </c>
    </row>
    <row r="29" spans="1:30" s="21" customFormat="1" x14ac:dyDescent="0.25">
      <c r="A29" s="28"/>
      <c r="B29" s="30"/>
      <c r="C29" s="29"/>
      <c r="D29" s="29"/>
      <c r="E29" s="39" t="str">
        <f t="shared" si="0"/>
        <v/>
      </c>
      <c r="F29" s="39" t="str">
        <f t="shared" si="1"/>
        <v/>
      </c>
      <c r="G29" s="39" t="str">
        <f t="shared" si="2"/>
        <v/>
      </c>
      <c r="H29" s="29"/>
      <c r="I29" s="39" t="str">
        <f t="shared" si="3"/>
        <v/>
      </c>
      <c r="J29" s="39" t="str">
        <f t="shared" si="4"/>
        <v/>
      </c>
      <c r="K29" s="39" t="str">
        <f t="shared" si="5"/>
        <v/>
      </c>
      <c r="L29" s="29"/>
      <c r="M29" s="39" t="str">
        <f t="shared" si="6"/>
        <v/>
      </c>
      <c r="N29" s="39" t="str">
        <f t="shared" si="7"/>
        <v/>
      </c>
      <c r="O29" s="39" t="str">
        <f t="shared" si="8"/>
        <v/>
      </c>
      <c r="P29" s="29"/>
      <c r="Q29" s="29"/>
      <c r="R29" s="29"/>
      <c r="S29" s="29"/>
      <c r="T29" s="39" t="str">
        <f t="shared" si="9"/>
        <v/>
      </c>
      <c r="U29" s="39" t="str">
        <f t="shared" si="10"/>
        <v/>
      </c>
      <c r="V29" s="39" t="str">
        <f t="shared" si="11"/>
        <v/>
      </c>
      <c r="W29" s="29"/>
      <c r="X29" s="30"/>
      <c r="Y29" s="29"/>
      <c r="Z29" s="29"/>
      <c r="AA29" s="36"/>
      <c r="AB29" s="44" t="str">
        <f t="shared" si="12"/>
        <v/>
      </c>
      <c r="AC29" s="44" t="str">
        <f t="shared" si="13"/>
        <v/>
      </c>
      <c r="AD29" s="44" t="str">
        <f t="shared" si="14"/>
        <v/>
      </c>
    </row>
    <row r="30" spans="1:30" s="21" customFormat="1" x14ac:dyDescent="0.25">
      <c r="A30" s="25"/>
      <c r="B30" s="27"/>
      <c r="C30" s="26"/>
      <c r="D30" s="26"/>
      <c r="E30" s="38" t="str">
        <f t="shared" si="0"/>
        <v/>
      </c>
      <c r="F30" s="38" t="str">
        <f t="shared" si="1"/>
        <v/>
      </c>
      <c r="G30" s="38" t="str">
        <f t="shared" si="2"/>
        <v/>
      </c>
      <c r="H30" s="26"/>
      <c r="I30" s="38" t="str">
        <f t="shared" si="3"/>
        <v/>
      </c>
      <c r="J30" s="38" t="str">
        <f t="shared" si="4"/>
        <v/>
      </c>
      <c r="K30" s="38" t="str">
        <f t="shared" si="5"/>
        <v/>
      </c>
      <c r="L30" s="26"/>
      <c r="M30" s="38" t="str">
        <f t="shared" si="6"/>
        <v/>
      </c>
      <c r="N30" s="38" t="str">
        <f t="shared" si="7"/>
        <v/>
      </c>
      <c r="O30" s="38" t="str">
        <f t="shared" si="8"/>
        <v/>
      </c>
      <c r="P30" s="26"/>
      <c r="Q30" s="26"/>
      <c r="R30" s="26"/>
      <c r="S30" s="26"/>
      <c r="T30" s="38" t="str">
        <f t="shared" si="9"/>
        <v/>
      </c>
      <c r="U30" s="38" t="str">
        <f t="shared" si="10"/>
        <v/>
      </c>
      <c r="V30" s="38" t="str">
        <f t="shared" si="11"/>
        <v/>
      </c>
      <c r="W30" s="26"/>
      <c r="X30" s="27"/>
      <c r="Y30" s="26"/>
      <c r="Z30" s="26"/>
      <c r="AA30" s="35"/>
      <c r="AB30" s="45" t="str">
        <f t="shared" si="12"/>
        <v/>
      </c>
      <c r="AC30" s="45" t="str">
        <f t="shared" si="13"/>
        <v/>
      </c>
      <c r="AD30" s="45" t="str">
        <f t="shared" si="14"/>
        <v/>
      </c>
    </row>
    <row r="31" spans="1:30" s="21" customFormat="1" x14ac:dyDescent="0.25">
      <c r="A31" s="28"/>
      <c r="B31" s="30"/>
      <c r="C31" s="29"/>
      <c r="D31" s="29"/>
      <c r="E31" s="39"/>
      <c r="F31" s="39" t="str">
        <f t="shared" ref="F31:F37" si="15">IF(D31="","",_xlfn.TRANSLATE(D31,"vi","ja"))</f>
        <v/>
      </c>
      <c r="G31" s="39" t="str">
        <f t="shared" ref="G31:G37" si="16">IF(D31="","",_xlfn.TRANSLATE(D31,"vi","zh-Hans"))</f>
        <v/>
      </c>
      <c r="H31" s="29"/>
      <c r="I31" s="39"/>
      <c r="J31" s="39" t="str">
        <f t="shared" ref="J31:J37" si="17">IF(H31="","",_xlfn.TRANSLATE(H31,"vi","ja"))</f>
        <v/>
      </c>
      <c r="K31" s="39" t="str">
        <f t="shared" ref="K31:K37" si="18">IF(H31="","",_xlfn.TRANSLATE(H31,"vi","zh-Hans"))</f>
        <v/>
      </c>
      <c r="L31" s="29"/>
      <c r="M31" s="39"/>
      <c r="N31" s="39" t="str">
        <f t="shared" ref="N31:N37" si="19">IF(L31="","",_xlfn.TRANSLATE(L31,"vi","ja"))</f>
        <v/>
      </c>
      <c r="O31" s="39" t="str">
        <f t="shared" ref="O31:O37" si="20">IF(L31="","",_xlfn.TRANSLATE(L31,"vi","zh-Hans"))</f>
        <v/>
      </c>
      <c r="P31" s="29"/>
      <c r="Q31" s="29"/>
      <c r="R31" s="29"/>
      <c r="S31" s="29"/>
      <c r="T31" s="39"/>
      <c r="U31" s="39" t="str">
        <f t="shared" ref="U31:U37" si="21">IF(S31="","",_xlfn.TRANSLATE(S31,"vi","ja"))</f>
        <v/>
      </c>
      <c r="V31" s="39" t="str">
        <f t="shared" ref="V31:V37" si="22">IF(S31="","",_xlfn.TRANSLATE(S31,"vi","zh-Hans"))</f>
        <v/>
      </c>
      <c r="W31" s="29"/>
      <c r="X31" s="30"/>
      <c r="Y31" s="29"/>
      <c r="Z31" s="29"/>
      <c r="AA31" s="36"/>
      <c r="AB31" s="44"/>
      <c r="AC31" s="44" t="str">
        <f t="shared" ref="AC31:AC37" si="23">IF(AA31="","",_xlfn.TRANSLATE(AA31,"vi","ja"))</f>
        <v/>
      </c>
      <c r="AD31" s="44" t="str">
        <f t="shared" ref="AD31:AD37" si="24">IF(AA31="","",_xlfn.TRANSLATE(AA31,"vi","zh-Hans"))</f>
        <v/>
      </c>
    </row>
    <row r="32" spans="1:30" s="21" customFormat="1" x14ac:dyDescent="0.25">
      <c r="A32" s="25"/>
      <c r="B32" s="27"/>
      <c r="C32" s="26"/>
      <c r="D32" s="26"/>
      <c r="E32" s="38"/>
      <c r="F32" s="38" t="str">
        <f t="shared" si="15"/>
        <v/>
      </c>
      <c r="G32" s="38" t="str">
        <f t="shared" si="16"/>
        <v/>
      </c>
      <c r="H32" s="26"/>
      <c r="I32" s="38"/>
      <c r="J32" s="38" t="str">
        <f t="shared" si="17"/>
        <v/>
      </c>
      <c r="K32" s="38" t="str">
        <f t="shared" si="18"/>
        <v/>
      </c>
      <c r="L32" s="26"/>
      <c r="M32" s="38"/>
      <c r="N32" s="38" t="str">
        <f t="shared" si="19"/>
        <v/>
      </c>
      <c r="O32" s="38" t="str">
        <f t="shared" si="20"/>
        <v/>
      </c>
      <c r="P32" s="26"/>
      <c r="Q32" s="26"/>
      <c r="R32" s="26"/>
      <c r="S32" s="26"/>
      <c r="T32" s="38"/>
      <c r="U32" s="38" t="str">
        <f t="shared" si="21"/>
        <v/>
      </c>
      <c r="V32" s="38" t="str">
        <f t="shared" si="22"/>
        <v/>
      </c>
      <c r="W32" s="26"/>
      <c r="X32" s="27"/>
      <c r="Y32" s="26"/>
      <c r="Z32" s="26"/>
      <c r="AA32" s="35"/>
      <c r="AB32" s="45"/>
      <c r="AC32" s="45" t="str">
        <f t="shared" si="23"/>
        <v/>
      </c>
      <c r="AD32" s="45" t="str">
        <f t="shared" si="24"/>
        <v/>
      </c>
    </row>
    <row r="33" spans="1:30" s="21" customFormat="1" x14ac:dyDescent="0.25">
      <c r="A33" s="28"/>
      <c r="B33" s="30"/>
      <c r="C33" s="29"/>
      <c r="D33" s="29"/>
      <c r="E33" s="39"/>
      <c r="F33" s="39" t="str">
        <f t="shared" si="15"/>
        <v/>
      </c>
      <c r="G33" s="39" t="str">
        <f t="shared" si="16"/>
        <v/>
      </c>
      <c r="H33" s="29"/>
      <c r="I33" s="39"/>
      <c r="J33" s="39" t="str">
        <f t="shared" si="17"/>
        <v/>
      </c>
      <c r="K33" s="39" t="str">
        <f t="shared" si="18"/>
        <v/>
      </c>
      <c r="L33" s="29"/>
      <c r="M33" s="39"/>
      <c r="N33" s="39" t="str">
        <f t="shared" si="19"/>
        <v/>
      </c>
      <c r="O33" s="39" t="str">
        <f t="shared" si="20"/>
        <v/>
      </c>
      <c r="P33" s="29"/>
      <c r="Q33" s="29"/>
      <c r="R33" s="29"/>
      <c r="S33" s="29"/>
      <c r="T33" s="39"/>
      <c r="U33" s="39" t="str">
        <f t="shared" si="21"/>
        <v/>
      </c>
      <c r="V33" s="39" t="str">
        <f t="shared" si="22"/>
        <v/>
      </c>
      <c r="W33" s="29"/>
      <c r="X33" s="30"/>
      <c r="Y33" s="29"/>
      <c r="Z33" s="29"/>
      <c r="AA33" s="36"/>
      <c r="AB33" s="44"/>
      <c r="AC33" s="44" t="str">
        <f t="shared" si="23"/>
        <v/>
      </c>
      <c r="AD33" s="44" t="str">
        <f t="shared" si="24"/>
        <v/>
      </c>
    </row>
    <row r="34" spans="1:30" s="21" customFormat="1" x14ac:dyDescent="0.25">
      <c r="A34" s="25"/>
      <c r="B34" s="27"/>
      <c r="C34" s="26"/>
      <c r="D34" s="26"/>
      <c r="E34" s="38"/>
      <c r="F34" s="38" t="str">
        <f t="shared" si="15"/>
        <v/>
      </c>
      <c r="G34" s="38" t="str">
        <f t="shared" si="16"/>
        <v/>
      </c>
      <c r="H34" s="26"/>
      <c r="I34" s="38"/>
      <c r="J34" s="38" t="str">
        <f t="shared" si="17"/>
        <v/>
      </c>
      <c r="K34" s="38" t="str">
        <f t="shared" si="18"/>
        <v/>
      </c>
      <c r="L34" s="26"/>
      <c r="M34" s="38"/>
      <c r="N34" s="38" t="str">
        <f t="shared" si="19"/>
        <v/>
      </c>
      <c r="O34" s="38" t="str">
        <f t="shared" si="20"/>
        <v/>
      </c>
      <c r="P34" s="26"/>
      <c r="Q34" s="26"/>
      <c r="R34" s="26"/>
      <c r="S34" s="26"/>
      <c r="T34" s="38"/>
      <c r="U34" s="38" t="str">
        <f t="shared" si="21"/>
        <v/>
      </c>
      <c r="V34" s="38" t="str">
        <f t="shared" si="22"/>
        <v/>
      </c>
      <c r="W34" s="26"/>
      <c r="X34" s="27"/>
      <c r="Y34" s="26"/>
      <c r="Z34" s="26"/>
      <c r="AA34" s="35"/>
      <c r="AB34" s="45"/>
      <c r="AC34" s="45" t="str">
        <f t="shared" si="23"/>
        <v/>
      </c>
      <c r="AD34" s="45" t="str">
        <f t="shared" si="24"/>
        <v/>
      </c>
    </row>
    <row r="35" spans="1:30" s="21" customFormat="1" x14ac:dyDescent="0.25">
      <c r="A35" s="28"/>
      <c r="B35" s="30"/>
      <c r="C35" s="29"/>
      <c r="D35" s="29"/>
      <c r="E35" s="39"/>
      <c r="F35" s="39" t="str">
        <f t="shared" si="15"/>
        <v/>
      </c>
      <c r="G35" s="39" t="str">
        <f t="shared" si="16"/>
        <v/>
      </c>
      <c r="H35" s="29"/>
      <c r="I35" s="39"/>
      <c r="J35" s="39" t="str">
        <f t="shared" si="17"/>
        <v/>
      </c>
      <c r="K35" s="39" t="str">
        <f t="shared" si="18"/>
        <v/>
      </c>
      <c r="L35" s="29"/>
      <c r="M35" s="39"/>
      <c r="N35" s="39" t="str">
        <f t="shared" si="19"/>
        <v/>
      </c>
      <c r="O35" s="39" t="str">
        <f t="shared" si="20"/>
        <v/>
      </c>
      <c r="P35" s="29"/>
      <c r="Q35" s="29"/>
      <c r="R35" s="29"/>
      <c r="S35" s="29"/>
      <c r="T35" s="39"/>
      <c r="U35" s="39" t="str">
        <f t="shared" si="21"/>
        <v/>
      </c>
      <c r="V35" s="39" t="str">
        <f t="shared" si="22"/>
        <v/>
      </c>
      <c r="W35" s="29"/>
      <c r="X35" s="30"/>
      <c r="Y35" s="29"/>
      <c r="Z35" s="29"/>
      <c r="AA35" s="36"/>
      <c r="AB35" s="44"/>
      <c r="AC35" s="44" t="str">
        <f t="shared" si="23"/>
        <v/>
      </c>
      <c r="AD35" s="44" t="str">
        <f t="shared" si="24"/>
        <v/>
      </c>
    </row>
    <row r="36" spans="1:30" s="21" customFormat="1" x14ac:dyDescent="0.25">
      <c r="A36" s="25"/>
      <c r="B36" s="27"/>
      <c r="C36" s="26"/>
      <c r="D36" s="26"/>
      <c r="E36" s="38"/>
      <c r="F36" s="38" t="str">
        <f t="shared" si="15"/>
        <v/>
      </c>
      <c r="G36" s="38" t="str">
        <f t="shared" si="16"/>
        <v/>
      </c>
      <c r="H36" s="26"/>
      <c r="I36" s="38"/>
      <c r="J36" s="38" t="str">
        <f t="shared" si="17"/>
        <v/>
      </c>
      <c r="K36" s="38" t="str">
        <f t="shared" si="18"/>
        <v/>
      </c>
      <c r="L36" s="26"/>
      <c r="M36" s="38"/>
      <c r="N36" s="38" t="str">
        <f t="shared" si="19"/>
        <v/>
      </c>
      <c r="O36" s="38" t="str">
        <f t="shared" si="20"/>
        <v/>
      </c>
      <c r="P36" s="26"/>
      <c r="Q36" s="26"/>
      <c r="R36" s="26"/>
      <c r="S36" s="26"/>
      <c r="T36" s="38"/>
      <c r="U36" s="38" t="str">
        <f t="shared" si="21"/>
        <v/>
      </c>
      <c r="V36" s="38" t="str">
        <f t="shared" si="22"/>
        <v/>
      </c>
      <c r="W36" s="26"/>
      <c r="X36" s="27"/>
      <c r="Y36" s="26"/>
      <c r="Z36" s="26"/>
      <c r="AA36" s="35"/>
      <c r="AB36" s="45"/>
      <c r="AC36" s="45" t="str">
        <f t="shared" si="23"/>
        <v/>
      </c>
      <c r="AD36" s="45" t="str">
        <f t="shared" si="24"/>
        <v/>
      </c>
    </row>
    <row r="37" spans="1:30" s="21" customFormat="1" x14ac:dyDescent="0.25">
      <c r="A37" s="28"/>
      <c r="B37" s="30"/>
      <c r="C37" s="29"/>
      <c r="D37" s="29"/>
      <c r="E37" s="39"/>
      <c r="F37" s="39" t="str">
        <f t="shared" si="15"/>
        <v/>
      </c>
      <c r="G37" s="39" t="str">
        <f t="shared" si="16"/>
        <v/>
      </c>
      <c r="H37" s="29"/>
      <c r="I37" s="39"/>
      <c r="J37" s="39" t="str">
        <f t="shared" si="17"/>
        <v/>
      </c>
      <c r="K37" s="39" t="str">
        <f t="shared" si="18"/>
        <v/>
      </c>
      <c r="L37" s="29"/>
      <c r="M37" s="39"/>
      <c r="N37" s="39" t="str">
        <f t="shared" si="19"/>
        <v/>
      </c>
      <c r="O37" s="39" t="str">
        <f t="shared" si="20"/>
        <v/>
      </c>
      <c r="P37" s="29"/>
      <c r="Q37" s="29"/>
      <c r="R37" s="29"/>
      <c r="S37" s="29"/>
      <c r="T37" s="39"/>
      <c r="U37" s="39" t="str">
        <f t="shared" si="21"/>
        <v/>
      </c>
      <c r="V37" s="39" t="str">
        <f t="shared" si="22"/>
        <v/>
      </c>
      <c r="W37" s="29"/>
      <c r="X37" s="30"/>
      <c r="Y37" s="29"/>
      <c r="Z37" s="29"/>
      <c r="AA37" s="36"/>
      <c r="AB37" s="44"/>
      <c r="AC37" s="44" t="str">
        <f t="shared" si="23"/>
        <v/>
      </c>
      <c r="AD37" s="44" t="str">
        <f t="shared" si="24"/>
        <v/>
      </c>
    </row>
    <row r="38" spans="1:30" s="21" customFormat="1" x14ac:dyDescent="0.25">
      <c r="A38" s="25"/>
      <c r="B38" s="27"/>
      <c r="C38" s="26"/>
      <c r="D38" s="26"/>
      <c r="E38" s="38"/>
      <c r="F38" s="38" t="str">
        <f t="shared" ref="F38:F69" si="25">IF(D38="","",_xlfn.TRANSLATE(D38,"vi","ja"))</f>
        <v/>
      </c>
      <c r="G38" s="38" t="str">
        <f t="shared" ref="G38:G69" si="26">IF(D38="","",_xlfn.TRANSLATE(D38,"vi","zh-Hans"))</f>
        <v/>
      </c>
      <c r="H38" s="26"/>
      <c r="I38" s="38"/>
      <c r="J38" s="38" t="str">
        <f t="shared" ref="J38:J69" si="27">IF(H38="","",_xlfn.TRANSLATE(H38,"vi","ja"))</f>
        <v/>
      </c>
      <c r="K38" s="38" t="str">
        <f t="shared" ref="K38:K69" si="28">IF(H38="","",_xlfn.TRANSLATE(H38,"vi","zh-Hans"))</f>
        <v/>
      </c>
      <c r="L38" s="26"/>
      <c r="M38" s="38"/>
      <c r="N38" s="38" t="str">
        <f t="shared" ref="N38:N69" si="29">IF(L38="","",_xlfn.TRANSLATE(L38,"vi","ja"))</f>
        <v/>
      </c>
      <c r="O38" s="38" t="str">
        <f t="shared" ref="O38:O69" si="30">IF(L38="","",_xlfn.TRANSLATE(L38,"vi","zh-Hans"))</f>
        <v/>
      </c>
      <c r="P38" s="26"/>
      <c r="Q38" s="26"/>
      <c r="R38" s="26"/>
      <c r="S38" s="26"/>
      <c r="T38" s="38"/>
      <c r="U38" s="38" t="str">
        <f t="shared" ref="U38:U69" si="31">IF(S38="","",_xlfn.TRANSLATE(S38,"vi","ja"))</f>
        <v/>
      </c>
      <c r="V38" s="38" t="str">
        <f t="shared" ref="V38:V69" si="32">IF(S38="","",_xlfn.TRANSLATE(S38,"vi","zh-Hans"))</f>
        <v/>
      </c>
      <c r="W38" s="26"/>
      <c r="X38" s="27"/>
      <c r="Y38" s="26"/>
      <c r="Z38" s="26"/>
      <c r="AA38" s="35"/>
      <c r="AB38" s="45"/>
      <c r="AC38" s="45" t="str">
        <f t="shared" ref="AC38:AC69" si="33">IF(AA38="","",_xlfn.TRANSLATE(AA38,"vi","ja"))</f>
        <v/>
      </c>
      <c r="AD38" s="45" t="str">
        <f t="shared" ref="AD38:AD69" si="34">IF(AA38="","",_xlfn.TRANSLATE(AA38,"vi","zh-Hans"))</f>
        <v/>
      </c>
    </row>
    <row r="39" spans="1:30" s="21" customFormat="1" x14ac:dyDescent="0.25">
      <c r="A39" s="28"/>
      <c r="B39" s="30"/>
      <c r="C39" s="29"/>
      <c r="D39" s="29"/>
      <c r="E39" s="39"/>
      <c r="F39" s="39" t="str">
        <f t="shared" si="25"/>
        <v/>
      </c>
      <c r="G39" s="39" t="str">
        <f t="shared" si="26"/>
        <v/>
      </c>
      <c r="H39" s="29"/>
      <c r="I39" s="39"/>
      <c r="J39" s="39" t="str">
        <f t="shared" si="27"/>
        <v/>
      </c>
      <c r="K39" s="39" t="str">
        <f t="shared" si="28"/>
        <v/>
      </c>
      <c r="L39" s="29"/>
      <c r="M39" s="39"/>
      <c r="N39" s="39" t="str">
        <f t="shared" si="29"/>
        <v/>
      </c>
      <c r="O39" s="39" t="str">
        <f t="shared" si="30"/>
        <v/>
      </c>
      <c r="P39" s="29"/>
      <c r="Q39" s="29"/>
      <c r="R39" s="29"/>
      <c r="S39" s="29"/>
      <c r="T39" s="39"/>
      <c r="U39" s="39" t="str">
        <f t="shared" si="31"/>
        <v/>
      </c>
      <c r="V39" s="39" t="str">
        <f t="shared" si="32"/>
        <v/>
      </c>
      <c r="W39" s="29"/>
      <c r="X39" s="30"/>
      <c r="Y39" s="29"/>
      <c r="Z39" s="29"/>
      <c r="AA39" s="36"/>
      <c r="AB39" s="44"/>
      <c r="AC39" s="44" t="str">
        <f t="shared" si="33"/>
        <v/>
      </c>
      <c r="AD39" s="44" t="str">
        <f t="shared" si="34"/>
        <v/>
      </c>
    </row>
    <row r="40" spans="1:30" s="21" customFormat="1" x14ac:dyDescent="0.25">
      <c r="A40" s="25"/>
      <c r="B40" s="27"/>
      <c r="C40" s="26"/>
      <c r="D40" s="26"/>
      <c r="E40" s="38"/>
      <c r="F40" s="38" t="str">
        <f t="shared" si="25"/>
        <v/>
      </c>
      <c r="G40" s="38" t="str">
        <f t="shared" si="26"/>
        <v/>
      </c>
      <c r="H40" s="26"/>
      <c r="I40" s="38"/>
      <c r="J40" s="38" t="str">
        <f t="shared" si="27"/>
        <v/>
      </c>
      <c r="K40" s="38" t="str">
        <f t="shared" si="28"/>
        <v/>
      </c>
      <c r="L40" s="26"/>
      <c r="M40" s="38"/>
      <c r="N40" s="38" t="str">
        <f t="shared" si="29"/>
        <v/>
      </c>
      <c r="O40" s="38" t="str">
        <f t="shared" si="30"/>
        <v/>
      </c>
      <c r="P40" s="26"/>
      <c r="Q40" s="26"/>
      <c r="R40" s="26"/>
      <c r="S40" s="26"/>
      <c r="T40" s="38"/>
      <c r="U40" s="38" t="str">
        <f t="shared" si="31"/>
        <v/>
      </c>
      <c r="V40" s="38" t="str">
        <f t="shared" si="32"/>
        <v/>
      </c>
      <c r="W40" s="26"/>
      <c r="X40" s="27"/>
      <c r="Y40" s="26"/>
      <c r="Z40" s="26"/>
      <c r="AA40" s="35"/>
      <c r="AB40" s="45"/>
      <c r="AC40" s="45" t="str">
        <f t="shared" si="33"/>
        <v/>
      </c>
      <c r="AD40" s="45" t="str">
        <f t="shared" si="34"/>
        <v/>
      </c>
    </row>
    <row r="41" spans="1:30" s="21" customFormat="1" x14ac:dyDescent="0.25">
      <c r="A41" s="28"/>
      <c r="B41" s="30"/>
      <c r="C41" s="29"/>
      <c r="D41" s="29"/>
      <c r="E41" s="39"/>
      <c r="F41" s="39" t="str">
        <f t="shared" si="25"/>
        <v/>
      </c>
      <c r="G41" s="39" t="str">
        <f t="shared" si="26"/>
        <v/>
      </c>
      <c r="H41" s="29"/>
      <c r="I41" s="39"/>
      <c r="J41" s="39" t="str">
        <f t="shared" si="27"/>
        <v/>
      </c>
      <c r="K41" s="39" t="str">
        <f t="shared" si="28"/>
        <v/>
      </c>
      <c r="L41" s="29"/>
      <c r="M41" s="39"/>
      <c r="N41" s="39" t="str">
        <f t="shared" si="29"/>
        <v/>
      </c>
      <c r="O41" s="39" t="str">
        <f t="shared" si="30"/>
        <v/>
      </c>
      <c r="P41" s="29"/>
      <c r="Q41" s="29"/>
      <c r="R41" s="29"/>
      <c r="S41" s="29"/>
      <c r="T41" s="39"/>
      <c r="U41" s="39" t="str">
        <f t="shared" si="31"/>
        <v/>
      </c>
      <c r="V41" s="39" t="str">
        <f t="shared" si="32"/>
        <v/>
      </c>
      <c r="W41" s="29"/>
      <c r="X41" s="30"/>
      <c r="Y41" s="29"/>
      <c r="Z41" s="29"/>
      <c r="AA41" s="36"/>
      <c r="AB41" s="44"/>
      <c r="AC41" s="44" t="str">
        <f t="shared" si="33"/>
        <v/>
      </c>
      <c r="AD41" s="44" t="str">
        <f t="shared" si="34"/>
        <v/>
      </c>
    </row>
    <row r="42" spans="1:30" s="21" customFormat="1" x14ac:dyDescent="0.25">
      <c r="A42" s="25"/>
      <c r="B42" s="27"/>
      <c r="C42" s="26"/>
      <c r="D42" s="26"/>
      <c r="E42" s="38"/>
      <c r="F42" s="38" t="str">
        <f t="shared" si="25"/>
        <v/>
      </c>
      <c r="G42" s="38" t="str">
        <f t="shared" si="26"/>
        <v/>
      </c>
      <c r="H42" s="26"/>
      <c r="I42" s="38"/>
      <c r="J42" s="38" t="str">
        <f t="shared" si="27"/>
        <v/>
      </c>
      <c r="K42" s="38" t="str">
        <f t="shared" si="28"/>
        <v/>
      </c>
      <c r="L42" s="26"/>
      <c r="M42" s="38"/>
      <c r="N42" s="38" t="str">
        <f t="shared" si="29"/>
        <v/>
      </c>
      <c r="O42" s="38" t="str">
        <f t="shared" si="30"/>
        <v/>
      </c>
      <c r="P42" s="26"/>
      <c r="Q42" s="26"/>
      <c r="R42" s="26"/>
      <c r="S42" s="26"/>
      <c r="T42" s="38"/>
      <c r="U42" s="38" t="str">
        <f t="shared" si="31"/>
        <v/>
      </c>
      <c r="V42" s="38" t="str">
        <f t="shared" si="32"/>
        <v/>
      </c>
      <c r="W42" s="26"/>
      <c r="X42" s="27"/>
      <c r="Y42" s="26"/>
      <c r="Z42" s="26"/>
      <c r="AA42" s="35"/>
      <c r="AB42" s="45"/>
      <c r="AC42" s="45" t="str">
        <f t="shared" si="33"/>
        <v/>
      </c>
      <c r="AD42" s="45" t="str">
        <f t="shared" si="34"/>
        <v/>
      </c>
    </row>
    <row r="43" spans="1:30" s="21" customFormat="1" x14ac:dyDescent="0.25">
      <c r="A43" s="28"/>
      <c r="B43" s="30"/>
      <c r="C43" s="29"/>
      <c r="D43" s="29"/>
      <c r="E43" s="39"/>
      <c r="F43" s="39" t="str">
        <f t="shared" si="25"/>
        <v/>
      </c>
      <c r="G43" s="39" t="str">
        <f t="shared" si="26"/>
        <v/>
      </c>
      <c r="H43" s="29"/>
      <c r="I43" s="39"/>
      <c r="J43" s="39" t="str">
        <f t="shared" si="27"/>
        <v/>
      </c>
      <c r="K43" s="39" t="str">
        <f t="shared" si="28"/>
        <v/>
      </c>
      <c r="L43" s="29"/>
      <c r="M43" s="39"/>
      <c r="N43" s="39" t="str">
        <f t="shared" si="29"/>
        <v/>
      </c>
      <c r="O43" s="39" t="str">
        <f t="shared" si="30"/>
        <v/>
      </c>
      <c r="P43" s="29"/>
      <c r="Q43" s="29"/>
      <c r="R43" s="29"/>
      <c r="S43" s="29"/>
      <c r="T43" s="39"/>
      <c r="U43" s="39" t="str">
        <f t="shared" si="31"/>
        <v/>
      </c>
      <c r="V43" s="39" t="str">
        <f t="shared" si="32"/>
        <v/>
      </c>
      <c r="W43" s="29"/>
      <c r="X43" s="30"/>
      <c r="Y43" s="29"/>
      <c r="Z43" s="29"/>
      <c r="AA43" s="36"/>
      <c r="AB43" s="44"/>
      <c r="AC43" s="44" t="str">
        <f t="shared" si="33"/>
        <v/>
      </c>
      <c r="AD43" s="44" t="str">
        <f t="shared" si="34"/>
        <v/>
      </c>
    </row>
    <row r="44" spans="1:30" s="21" customFormat="1" x14ac:dyDescent="0.25">
      <c r="A44" s="25"/>
      <c r="B44" s="27"/>
      <c r="C44" s="26"/>
      <c r="D44" s="26"/>
      <c r="E44" s="38"/>
      <c r="F44" s="38" t="str">
        <f t="shared" si="25"/>
        <v/>
      </c>
      <c r="G44" s="38" t="str">
        <f t="shared" si="26"/>
        <v/>
      </c>
      <c r="H44" s="26"/>
      <c r="I44" s="38"/>
      <c r="J44" s="38" t="str">
        <f t="shared" si="27"/>
        <v/>
      </c>
      <c r="K44" s="38" t="str">
        <f t="shared" si="28"/>
        <v/>
      </c>
      <c r="L44" s="26"/>
      <c r="M44" s="38"/>
      <c r="N44" s="38" t="str">
        <f t="shared" si="29"/>
        <v/>
      </c>
      <c r="O44" s="38" t="str">
        <f t="shared" si="30"/>
        <v/>
      </c>
      <c r="P44" s="26"/>
      <c r="Q44" s="26"/>
      <c r="R44" s="26"/>
      <c r="S44" s="26"/>
      <c r="T44" s="38"/>
      <c r="U44" s="38" t="str">
        <f t="shared" si="31"/>
        <v/>
      </c>
      <c r="V44" s="38" t="str">
        <f t="shared" si="32"/>
        <v/>
      </c>
      <c r="W44" s="26"/>
      <c r="X44" s="27"/>
      <c r="Y44" s="26"/>
      <c r="Z44" s="26"/>
      <c r="AA44" s="35"/>
      <c r="AB44" s="45"/>
      <c r="AC44" s="45" t="str">
        <f t="shared" si="33"/>
        <v/>
      </c>
      <c r="AD44" s="45" t="str">
        <f t="shared" si="34"/>
        <v/>
      </c>
    </row>
    <row r="45" spans="1:30" s="21" customFormat="1" x14ac:dyDescent="0.25">
      <c r="A45" s="28"/>
      <c r="B45" s="30"/>
      <c r="C45" s="29"/>
      <c r="D45" s="29"/>
      <c r="E45" s="39"/>
      <c r="F45" s="39" t="str">
        <f t="shared" si="25"/>
        <v/>
      </c>
      <c r="G45" s="39" t="str">
        <f t="shared" si="26"/>
        <v/>
      </c>
      <c r="H45" s="29"/>
      <c r="I45" s="39"/>
      <c r="J45" s="39" t="str">
        <f t="shared" si="27"/>
        <v/>
      </c>
      <c r="K45" s="39" t="str">
        <f t="shared" si="28"/>
        <v/>
      </c>
      <c r="L45" s="29"/>
      <c r="M45" s="39"/>
      <c r="N45" s="39" t="str">
        <f t="shared" si="29"/>
        <v/>
      </c>
      <c r="O45" s="39" t="str">
        <f t="shared" si="30"/>
        <v/>
      </c>
      <c r="P45" s="29"/>
      <c r="Q45" s="29"/>
      <c r="R45" s="29"/>
      <c r="S45" s="29"/>
      <c r="T45" s="39"/>
      <c r="U45" s="39" t="str">
        <f t="shared" si="31"/>
        <v/>
      </c>
      <c r="V45" s="39" t="str">
        <f t="shared" si="32"/>
        <v/>
      </c>
      <c r="W45" s="29"/>
      <c r="X45" s="30"/>
      <c r="Y45" s="29"/>
      <c r="Z45" s="29"/>
      <c r="AA45" s="36"/>
      <c r="AB45" s="44"/>
      <c r="AC45" s="44" t="str">
        <f t="shared" si="33"/>
        <v/>
      </c>
      <c r="AD45" s="44" t="str">
        <f t="shared" si="34"/>
        <v/>
      </c>
    </row>
    <row r="46" spans="1:30" s="21" customFormat="1" x14ac:dyDescent="0.25">
      <c r="A46" s="25"/>
      <c r="B46" s="27"/>
      <c r="C46" s="26"/>
      <c r="D46" s="26"/>
      <c r="E46" s="38"/>
      <c r="F46" s="38" t="str">
        <f t="shared" si="25"/>
        <v/>
      </c>
      <c r="G46" s="38" t="str">
        <f t="shared" si="26"/>
        <v/>
      </c>
      <c r="H46" s="26"/>
      <c r="I46" s="38"/>
      <c r="J46" s="38" t="str">
        <f t="shared" si="27"/>
        <v/>
      </c>
      <c r="K46" s="38" t="str">
        <f t="shared" si="28"/>
        <v/>
      </c>
      <c r="L46" s="26"/>
      <c r="M46" s="38"/>
      <c r="N46" s="38" t="str">
        <f t="shared" si="29"/>
        <v/>
      </c>
      <c r="O46" s="38" t="str">
        <f t="shared" si="30"/>
        <v/>
      </c>
      <c r="P46" s="26"/>
      <c r="Q46" s="26"/>
      <c r="R46" s="26"/>
      <c r="S46" s="26"/>
      <c r="T46" s="38"/>
      <c r="U46" s="38" t="str">
        <f t="shared" si="31"/>
        <v/>
      </c>
      <c r="V46" s="38" t="str">
        <f t="shared" si="32"/>
        <v/>
      </c>
      <c r="W46" s="26"/>
      <c r="X46" s="27"/>
      <c r="Y46" s="26"/>
      <c r="Z46" s="26"/>
      <c r="AA46" s="35"/>
      <c r="AB46" s="45"/>
      <c r="AC46" s="45" t="str">
        <f t="shared" si="33"/>
        <v/>
      </c>
      <c r="AD46" s="45" t="str">
        <f t="shared" si="34"/>
        <v/>
      </c>
    </row>
    <row r="47" spans="1:30" s="21" customFormat="1" x14ac:dyDescent="0.25">
      <c r="A47" s="28"/>
      <c r="B47" s="30"/>
      <c r="C47" s="29"/>
      <c r="D47" s="29"/>
      <c r="E47" s="39"/>
      <c r="F47" s="39" t="str">
        <f t="shared" si="25"/>
        <v/>
      </c>
      <c r="G47" s="39" t="str">
        <f t="shared" si="26"/>
        <v/>
      </c>
      <c r="H47" s="29"/>
      <c r="I47" s="39"/>
      <c r="J47" s="39" t="str">
        <f t="shared" si="27"/>
        <v/>
      </c>
      <c r="K47" s="39" t="str">
        <f t="shared" si="28"/>
        <v/>
      </c>
      <c r="L47" s="29"/>
      <c r="M47" s="39"/>
      <c r="N47" s="39" t="str">
        <f t="shared" si="29"/>
        <v/>
      </c>
      <c r="O47" s="39" t="str">
        <f t="shared" si="30"/>
        <v/>
      </c>
      <c r="P47" s="29"/>
      <c r="Q47" s="29"/>
      <c r="R47" s="29"/>
      <c r="S47" s="29"/>
      <c r="T47" s="39"/>
      <c r="U47" s="39" t="str">
        <f t="shared" si="31"/>
        <v/>
      </c>
      <c r="V47" s="39" t="str">
        <f t="shared" si="32"/>
        <v/>
      </c>
      <c r="W47" s="29"/>
      <c r="X47" s="30"/>
      <c r="Y47" s="29"/>
      <c r="Z47" s="29"/>
      <c r="AA47" s="36"/>
      <c r="AB47" s="44"/>
      <c r="AC47" s="44" t="str">
        <f t="shared" si="33"/>
        <v/>
      </c>
      <c r="AD47" s="44" t="str">
        <f t="shared" si="34"/>
        <v/>
      </c>
    </row>
    <row r="48" spans="1:30" s="21" customFormat="1" x14ac:dyDescent="0.25">
      <c r="A48" s="25"/>
      <c r="B48" s="27"/>
      <c r="C48" s="26"/>
      <c r="D48" s="26"/>
      <c r="E48" s="38"/>
      <c r="F48" s="38" t="str">
        <f t="shared" si="25"/>
        <v/>
      </c>
      <c r="G48" s="38" t="str">
        <f t="shared" si="26"/>
        <v/>
      </c>
      <c r="H48" s="26"/>
      <c r="I48" s="38"/>
      <c r="J48" s="38" t="str">
        <f t="shared" si="27"/>
        <v/>
      </c>
      <c r="K48" s="38" t="str">
        <f t="shared" si="28"/>
        <v/>
      </c>
      <c r="L48" s="26"/>
      <c r="M48" s="38"/>
      <c r="N48" s="38" t="str">
        <f t="shared" si="29"/>
        <v/>
      </c>
      <c r="O48" s="38" t="str">
        <f t="shared" si="30"/>
        <v/>
      </c>
      <c r="P48" s="26"/>
      <c r="Q48" s="26"/>
      <c r="R48" s="26"/>
      <c r="S48" s="26"/>
      <c r="T48" s="38"/>
      <c r="U48" s="38" t="str">
        <f t="shared" si="31"/>
        <v/>
      </c>
      <c r="V48" s="38" t="str">
        <f t="shared" si="32"/>
        <v/>
      </c>
      <c r="W48" s="26"/>
      <c r="X48" s="27"/>
      <c r="Y48" s="26"/>
      <c r="Z48" s="26"/>
      <c r="AA48" s="35"/>
      <c r="AB48" s="45"/>
      <c r="AC48" s="45" t="str">
        <f t="shared" si="33"/>
        <v/>
      </c>
      <c r="AD48" s="45" t="str">
        <f t="shared" si="34"/>
        <v/>
      </c>
    </row>
    <row r="49" spans="1:30" s="21" customFormat="1" x14ac:dyDescent="0.25">
      <c r="A49" s="28"/>
      <c r="B49" s="30"/>
      <c r="C49" s="29"/>
      <c r="D49" s="29"/>
      <c r="E49" s="39"/>
      <c r="F49" s="39" t="str">
        <f t="shared" si="25"/>
        <v/>
      </c>
      <c r="G49" s="39" t="str">
        <f t="shared" si="26"/>
        <v/>
      </c>
      <c r="H49" s="29"/>
      <c r="I49" s="39"/>
      <c r="J49" s="39" t="str">
        <f t="shared" si="27"/>
        <v/>
      </c>
      <c r="K49" s="39" t="str">
        <f t="shared" si="28"/>
        <v/>
      </c>
      <c r="L49" s="29"/>
      <c r="M49" s="39"/>
      <c r="N49" s="39" t="str">
        <f t="shared" si="29"/>
        <v/>
      </c>
      <c r="O49" s="39" t="str">
        <f t="shared" si="30"/>
        <v/>
      </c>
      <c r="P49" s="29"/>
      <c r="Q49" s="29"/>
      <c r="R49" s="29"/>
      <c r="S49" s="29"/>
      <c r="T49" s="39"/>
      <c r="U49" s="39" t="str">
        <f t="shared" si="31"/>
        <v/>
      </c>
      <c r="V49" s="39" t="str">
        <f t="shared" si="32"/>
        <v/>
      </c>
      <c r="W49" s="29"/>
      <c r="X49" s="30"/>
      <c r="Y49" s="29"/>
      <c r="Z49" s="29"/>
      <c r="AA49" s="36"/>
      <c r="AB49" s="44"/>
      <c r="AC49" s="44" t="str">
        <f t="shared" si="33"/>
        <v/>
      </c>
      <c r="AD49" s="44" t="str">
        <f t="shared" si="34"/>
        <v/>
      </c>
    </row>
    <row r="50" spans="1:30" s="21" customFormat="1" x14ac:dyDescent="0.25">
      <c r="A50" s="25"/>
      <c r="B50" s="27"/>
      <c r="C50" s="26"/>
      <c r="D50" s="26"/>
      <c r="E50" s="38"/>
      <c r="F50" s="38" t="str">
        <f t="shared" si="25"/>
        <v/>
      </c>
      <c r="G50" s="38" t="str">
        <f t="shared" si="26"/>
        <v/>
      </c>
      <c r="H50" s="26"/>
      <c r="I50" s="38"/>
      <c r="J50" s="38" t="str">
        <f t="shared" si="27"/>
        <v/>
      </c>
      <c r="K50" s="38" t="str">
        <f t="shared" si="28"/>
        <v/>
      </c>
      <c r="L50" s="26"/>
      <c r="M50" s="38"/>
      <c r="N50" s="38" t="str">
        <f t="shared" si="29"/>
        <v/>
      </c>
      <c r="O50" s="38" t="str">
        <f t="shared" si="30"/>
        <v/>
      </c>
      <c r="P50" s="26"/>
      <c r="Q50" s="26"/>
      <c r="R50" s="26"/>
      <c r="S50" s="26"/>
      <c r="T50" s="38"/>
      <c r="U50" s="38" t="str">
        <f t="shared" si="31"/>
        <v/>
      </c>
      <c r="V50" s="38" t="str">
        <f t="shared" si="32"/>
        <v/>
      </c>
      <c r="W50" s="26"/>
      <c r="X50" s="27"/>
      <c r="Y50" s="26"/>
      <c r="Z50" s="26"/>
      <c r="AA50" s="35"/>
      <c r="AB50" s="45"/>
      <c r="AC50" s="45" t="str">
        <f t="shared" si="33"/>
        <v/>
      </c>
      <c r="AD50" s="45" t="str">
        <f t="shared" si="34"/>
        <v/>
      </c>
    </row>
    <row r="51" spans="1:30" s="21" customFormat="1" x14ac:dyDescent="0.25">
      <c r="A51" s="28"/>
      <c r="B51" s="30"/>
      <c r="C51" s="29"/>
      <c r="D51" s="29"/>
      <c r="E51" s="39"/>
      <c r="F51" s="39" t="str">
        <f t="shared" si="25"/>
        <v/>
      </c>
      <c r="G51" s="39" t="str">
        <f t="shared" si="26"/>
        <v/>
      </c>
      <c r="H51" s="29"/>
      <c r="I51" s="39"/>
      <c r="J51" s="39" t="str">
        <f t="shared" si="27"/>
        <v/>
      </c>
      <c r="K51" s="39" t="str">
        <f t="shared" si="28"/>
        <v/>
      </c>
      <c r="L51" s="29"/>
      <c r="M51" s="39"/>
      <c r="N51" s="39" t="str">
        <f t="shared" si="29"/>
        <v/>
      </c>
      <c r="O51" s="39" t="str">
        <f t="shared" si="30"/>
        <v/>
      </c>
      <c r="P51" s="29"/>
      <c r="Q51" s="29"/>
      <c r="R51" s="29"/>
      <c r="S51" s="29"/>
      <c r="T51" s="39"/>
      <c r="U51" s="39" t="str">
        <f t="shared" si="31"/>
        <v/>
      </c>
      <c r="V51" s="39" t="str">
        <f t="shared" si="32"/>
        <v/>
      </c>
      <c r="W51" s="29"/>
      <c r="X51" s="30"/>
      <c r="Y51" s="29"/>
      <c r="Z51" s="29"/>
      <c r="AA51" s="36"/>
      <c r="AB51" s="44"/>
      <c r="AC51" s="44" t="str">
        <f t="shared" si="33"/>
        <v/>
      </c>
      <c r="AD51" s="44" t="str">
        <f t="shared" si="34"/>
        <v/>
      </c>
    </row>
    <row r="52" spans="1:30" s="21" customFormat="1" x14ac:dyDescent="0.25">
      <c r="A52" s="25"/>
      <c r="B52" s="27"/>
      <c r="C52" s="26"/>
      <c r="D52" s="26"/>
      <c r="E52" s="38"/>
      <c r="F52" s="38" t="str">
        <f t="shared" si="25"/>
        <v/>
      </c>
      <c r="G52" s="38" t="str">
        <f t="shared" si="26"/>
        <v/>
      </c>
      <c r="H52" s="26"/>
      <c r="I52" s="38"/>
      <c r="J52" s="38" t="str">
        <f t="shared" si="27"/>
        <v/>
      </c>
      <c r="K52" s="38" t="str">
        <f t="shared" si="28"/>
        <v/>
      </c>
      <c r="L52" s="26"/>
      <c r="M52" s="38"/>
      <c r="N52" s="38" t="str">
        <f t="shared" si="29"/>
        <v/>
      </c>
      <c r="O52" s="38" t="str">
        <f t="shared" si="30"/>
        <v/>
      </c>
      <c r="P52" s="26"/>
      <c r="Q52" s="26"/>
      <c r="R52" s="26"/>
      <c r="S52" s="26"/>
      <c r="T52" s="38"/>
      <c r="U52" s="38" t="str">
        <f t="shared" si="31"/>
        <v/>
      </c>
      <c r="V52" s="38" t="str">
        <f t="shared" si="32"/>
        <v/>
      </c>
      <c r="W52" s="26"/>
      <c r="X52" s="27"/>
      <c r="Y52" s="26"/>
      <c r="Z52" s="26"/>
      <c r="AA52" s="35"/>
      <c r="AB52" s="45"/>
      <c r="AC52" s="45" t="str">
        <f t="shared" si="33"/>
        <v/>
      </c>
      <c r="AD52" s="45" t="str">
        <f t="shared" si="34"/>
        <v/>
      </c>
    </row>
    <row r="53" spans="1:30" s="21" customFormat="1" x14ac:dyDescent="0.25">
      <c r="A53" s="28"/>
      <c r="B53" s="30"/>
      <c r="C53" s="29"/>
      <c r="D53" s="29"/>
      <c r="E53" s="39"/>
      <c r="F53" s="39" t="str">
        <f t="shared" si="25"/>
        <v/>
      </c>
      <c r="G53" s="39" t="str">
        <f t="shared" si="26"/>
        <v/>
      </c>
      <c r="H53" s="29"/>
      <c r="I53" s="39"/>
      <c r="J53" s="39" t="str">
        <f t="shared" si="27"/>
        <v/>
      </c>
      <c r="K53" s="39" t="str">
        <f t="shared" si="28"/>
        <v/>
      </c>
      <c r="L53" s="29"/>
      <c r="M53" s="39"/>
      <c r="N53" s="39" t="str">
        <f t="shared" si="29"/>
        <v/>
      </c>
      <c r="O53" s="39" t="str">
        <f t="shared" si="30"/>
        <v/>
      </c>
      <c r="P53" s="29"/>
      <c r="Q53" s="29"/>
      <c r="R53" s="29"/>
      <c r="S53" s="29"/>
      <c r="T53" s="39"/>
      <c r="U53" s="39" t="str">
        <f t="shared" si="31"/>
        <v/>
      </c>
      <c r="V53" s="39" t="str">
        <f t="shared" si="32"/>
        <v/>
      </c>
      <c r="W53" s="29"/>
      <c r="X53" s="30"/>
      <c r="Y53" s="29"/>
      <c r="Z53" s="29"/>
      <c r="AA53" s="36"/>
      <c r="AB53" s="44"/>
      <c r="AC53" s="44" t="str">
        <f t="shared" si="33"/>
        <v/>
      </c>
      <c r="AD53" s="44" t="str">
        <f t="shared" si="34"/>
        <v/>
      </c>
    </row>
    <row r="54" spans="1:30" s="21" customFormat="1" x14ac:dyDescent="0.25">
      <c r="A54" s="25"/>
      <c r="B54" s="27"/>
      <c r="C54" s="26"/>
      <c r="D54" s="26"/>
      <c r="E54" s="38"/>
      <c r="F54" s="38" t="str">
        <f t="shared" si="25"/>
        <v/>
      </c>
      <c r="G54" s="38" t="str">
        <f t="shared" si="26"/>
        <v/>
      </c>
      <c r="H54" s="26"/>
      <c r="I54" s="38"/>
      <c r="J54" s="38" t="str">
        <f t="shared" si="27"/>
        <v/>
      </c>
      <c r="K54" s="38" t="str">
        <f t="shared" si="28"/>
        <v/>
      </c>
      <c r="L54" s="26"/>
      <c r="M54" s="38"/>
      <c r="N54" s="38" t="str">
        <f t="shared" si="29"/>
        <v/>
      </c>
      <c r="O54" s="38" t="str">
        <f t="shared" si="30"/>
        <v/>
      </c>
      <c r="P54" s="26"/>
      <c r="Q54" s="26"/>
      <c r="R54" s="26"/>
      <c r="S54" s="26"/>
      <c r="T54" s="38"/>
      <c r="U54" s="38" t="str">
        <f t="shared" si="31"/>
        <v/>
      </c>
      <c r="V54" s="38" t="str">
        <f t="shared" si="32"/>
        <v/>
      </c>
      <c r="W54" s="26"/>
      <c r="X54" s="27"/>
      <c r="Y54" s="26"/>
      <c r="Z54" s="26"/>
      <c r="AA54" s="35"/>
      <c r="AB54" s="45"/>
      <c r="AC54" s="45" t="str">
        <f t="shared" si="33"/>
        <v/>
      </c>
      <c r="AD54" s="45" t="str">
        <f t="shared" si="34"/>
        <v/>
      </c>
    </row>
    <row r="55" spans="1:30" s="21" customFormat="1" x14ac:dyDescent="0.25">
      <c r="A55" s="28"/>
      <c r="B55" s="30"/>
      <c r="C55" s="29"/>
      <c r="D55" s="29"/>
      <c r="E55" s="39"/>
      <c r="F55" s="39" t="str">
        <f t="shared" si="25"/>
        <v/>
      </c>
      <c r="G55" s="39" t="str">
        <f t="shared" si="26"/>
        <v/>
      </c>
      <c r="H55" s="29"/>
      <c r="I55" s="39"/>
      <c r="J55" s="39" t="str">
        <f t="shared" si="27"/>
        <v/>
      </c>
      <c r="K55" s="39" t="str">
        <f t="shared" si="28"/>
        <v/>
      </c>
      <c r="L55" s="29"/>
      <c r="M55" s="39"/>
      <c r="N55" s="39" t="str">
        <f t="shared" si="29"/>
        <v/>
      </c>
      <c r="O55" s="39" t="str">
        <f t="shared" si="30"/>
        <v/>
      </c>
      <c r="P55" s="29"/>
      <c r="Q55" s="29"/>
      <c r="R55" s="29"/>
      <c r="S55" s="29"/>
      <c r="T55" s="39"/>
      <c r="U55" s="39" t="str">
        <f t="shared" si="31"/>
        <v/>
      </c>
      <c r="V55" s="39" t="str">
        <f t="shared" si="32"/>
        <v/>
      </c>
      <c r="W55" s="29"/>
      <c r="X55" s="30"/>
      <c r="Y55" s="29"/>
      <c r="Z55" s="29"/>
      <c r="AA55" s="36"/>
      <c r="AB55" s="44"/>
      <c r="AC55" s="44" t="str">
        <f t="shared" si="33"/>
        <v/>
      </c>
      <c r="AD55" s="44" t="str">
        <f t="shared" si="34"/>
        <v/>
      </c>
    </row>
    <row r="56" spans="1:30" s="21" customFormat="1" x14ac:dyDescent="0.25">
      <c r="A56" s="25"/>
      <c r="B56" s="27"/>
      <c r="C56" s="26"/>
      <c r="D56" s="26"/>
      <c r="E56" s="38"/>
      <c r="F56" s="38" t="str">
        <f t="shared" si="25"/>
        <v/>
      </c>
      <c r="G56" s="38" t="str">
        <f t="shared" si="26"/>
        <v/>
      </c>
      <c r="H56" s="26"/>
      <c r="I56" s="38"/>
      <c r="J56" s="38" t="str">
        <f t="shared" si="27"/>
        <v/>
      </c>
      <c r="K56" s="38" t="str">
        <f t="shared" si="28"/>
        <v/>
      </c>
      <c r="L56" s="26"/>
      <c r="M56" s="38"/>
      <c r="N56" s="38" t="str">
        <f t="shared" si="29"/>
        <v/>
      </c>
      <c r="O56" s="38" t="str">
        <f t="shared" si="30"/>
        <v/>
      </c>
      <c r="P56" s="26"/>
      <c r="Q56" s="26"/>
      <c r="R56" s="26"/>
      <c r="S56" s="26"/>
      <c r="T56" s="38"/>
      <c r="U56" s="38" t="str">
        <f t="shared" si="31"/>
        <v/>
      </c>
      <c r="V56" s="38" t="str">
        <f t="shared" si="32"/>
        <v/>
      </c>
      <c r="W56" s="26"/>
      <c r="X56" s="27"/>
      <c r="Y56" s="26"/>
      <c r="Z56" s="26"/>
      <c r="AA56" s="35"/>
      <c r="AB56" s="45"/>
      <c r="AC56" s="45" t="str">
        <f t="shared" si="33"/>
        <v/>
      </c>
      <c r="AD56" s="45" t="str">
        <f t="shared" si="34"/>
        <v/>
      </c>
    </row>
    <row r="57" spans="1:30" s="21" customFormat="1" x14ac:dyDescent="0.25">
      <c r="A57" s="28"/>
      <c r="B57" s="30"/>
      <c r="C57" s="29"/>
      <c r="D57" s="29"/>
      <c r="E57" s="39"/>
      <c r="F57" s="39" t="str">
        <f t="shared" si="25"/>
        <v/>
      </c>
      <c r="G57" s="39" t="str">
        <f t="shared" si="26"/>
        <v/>
      </c>
      <c r="H57" s="29"/>
      <c r="I57" s="39"/>
      <c r="J57" s="39" t="str">
        <f t="shared" si="27"/>
        <v/>
      </c>
      <c r="K57" s="39" t="str">
        <f t="shared" si="28"/>
        <v/>
      </c>
      <c r="L57" s="29"/>
      <c r="M57" s="39"/>
      <c r="N57" s="39" t="str">
        <f t="shared" si="29"/>
        <v/>
      </c>
      <c r="O57" s="39" t="str">
        <f t="shared" si="30"/>
        <v/>
      </c>
      <c r="P57" s="29"/>
      <c r="Q57" s="29"/>
      <c r="R57" s="29"/>
      <c r="S57" s="29"/>
      <c r="T57" s="39"/>
      <c r="U57" s="39" t="str">
        <f t="shared" si="31"/>
        <v/>
      </c>
      <c r="V57" s="39" t="str">
        <f t="shared" si="32"/>
        <v/>
      </c>
      <c r="W57" s="29"/>
      <c r="X57" s="30"/>
      <c r="Y57" s="29"/>
      <c r="Z57" s="29"/>
      <c r="AA57" s="36"/>
      <c r="AB57" s="44"/>
      <c r="AC57" s="44" t="str">
        <f t="shared" si="33"/>
        <v/>
      </c>
      <c r="AD57" s="44" t="str">
        <f t="shared" si="34"/>
        <v/>
      </c>
    </row>
    <row r="58" spans="1:30" s="21" customFormat="1" x14ac:dyDescent="0.25">
      <c r="A58" s="25"/>
      <c r="B58" s="27"/>
      <c r="C58" s="26"/>
      <c r="D58" s="26"/>
      <c r="E58" s="38"/>
      <c r="F58" s="38" t="str">
        <f t="shared" si="25"/>
        <v/>
      </c>
      <c r="G58" s="38" t="str">
        <f t="shared" si="26"/>
        <v/>
      </c>
      <c r="H58" s="26"/>
      <c r="I58" s="38"/>
      <c r="J58" s="38" t="str">
        <f t="shared" si="27"/>
        <v/>
      </c>
      <c r="K58" s="38" t="str">
        <f t="shared" si="28"/>
        <v/>
      </c>
      <c r="L58" s="26"/>
      <c r="M58" s="38"/>
      <c r="N58" s="38" t="str">
        <f t="shared" si="29"/>
        <v/>
      </c>
      <c r="O58" s="38" t="str">
        <f t="shared" si="30"/>
        <v/>
      </c>
      <c r="P58" s="26"/>
      <c r="Q58" s="26"/>
      <c r="R58" s="26"/>
      <c r="S58" s="26"/>
      <c r="T58" s="38"/>
      <c r="U58" s="38" t="str">
        <f t="shared" si="31"/>
        <v/>
      </c>
      <c r="V58" s="38" t="str">
        <f t="shared" si="32"/>
        <v/>
      </c>
      <c r="W58" s="26"/>
      <c r="X58" s="27"/>
      <c r="Y58" s="26"/>
      <c r="Z58" s="26"/>
      <c r="AA58" s="35"/>
      <c r="AB58" s="45"/>
      <c r="AC58" s="45" t="str">
        <f t="shared" si="33"/>
        <v/>
      </c>
      <c r="AD58" s="45" t="str">
        <f t="shared" si="34"/>
        <v/>
      </c>
    </row>
    <row r="59" spans="1:30" s="21" customFormat="1" x14ac:dyDescent="0.25">
      <c r="A59" s="28"/>
      <c r="B59" s="30"/>
      <c r="C59" s="29"/>
      <c r="D59" s="29"/>
      <c r="E59" s="39"/>
      <c r="F59" s="39" t="str">
        <f t="shared" si="25"/>
        <v/>
      </c>
      <c r="G59" s="39" t="str">
        <f t="shared" si="26"/>
        <v/>
      </c>
      <c r="H59" s="29"/>
      <c r="I59" s="39"/>
      <c r="J59" s="39" t="str">
        <f t="shared" si="27"/>
        <v/>
      </c>
      <c r="K59" s="39" t="str">
        <f t="shared" si="28"/>
        <v/>
      </c>
      <c r="L59" s="29"/>
      <c r="M59" s="39"/>
      <c r="N59" s="39" t="str">
        <f t="shared" si="29"/>
        <v/>
      </c>
      <c r="O59" s="39" t="str">
        <f t="shared" si="30"/>
        <v/>
      </c>
      <c r="P59" s="29"/>
      <c r="Q59" s="29"/>
      <c r="R59" s="29"/>
      <c r="S59" s="29"/>
      <c r="T59" s="39"/>
      <c r="U59" s="39" t="str">
        <f t="shared" si="31"/>
        <v/>
      </c>
      <c r="V59" s="39" t="str">
        <f t="shared" si="32"/>
        <v/>
      </c>
      <c r="W59" s="29"/>
      <c r="X59" s="30"/>
      <c r="Y59" s="29"/>
      <c r="Z59" s="29"/>
      <c r="AA59" s="36"/>
      <c r="AB59" s="44"/>
      <c r="AC59" s="44" t="str">
        <f t="shared" si="33"/>
        <v/>
      </c>
      <c r="AD59" s="44" t="str">
        <f t="shared" si="34"/>
        <v/>
      </c>
    </row>
    <row r="60" spans="1:30" s="21" customFormat="1" x14ac:dyDescent="0.25">
      <c r="A60" s="25"/>
      <c r="B60" s="27"/>
      <c r="C60" s="26"/>
      <c r="D60" s="26"/>
      <c r="E60" s="38"/>
      <c r="F60" s="38" t="str">
        <f t="shared" si="25"/>
        <v/>
      </c>
      <c r="G60" s="38" t="str">
        <f t="shared" si="26"/>
        <v/>
      </c>
      <c r="H60" s="26"/>
      <c r="I60" s="38"/>
      <c r="J60" s="38" t="str">
        <f t="shared" si="27"/>
        <v/>
      </c>
      <c r="K60" s="38" t="str">
        <f t="shared" si="28"/>
        <v/>
      </c>
      <c r="L60" s="26"/>
      <c r="M60" s="38"/>
      <c r="N60" s="38" t="str">
        <f t="shared" si="29"/>
        <v/>
      </c>
      <c r="O60" s="38" t="str">
        <f t="shared" si="30"/>
        <v/>
      </c>
      <c r="P60" s="26"/>
      <c r="Q60" s="26"/>
      <c r="R60" s="26"/>
      <c r="S60" s="26"/>
      <c r="T60" s="38"/>
      <c r="U60" s="38" t="str">
        <f t="shared" si="31"/>
        <v/>
      </c>
      <c r="V60" s="38" t="str">
        <f t="shared" si="32"/>
        <v/>
      </c>
      <c r="W60" s="26"/>
      <c r="X60" s="27"/>
      <c r="Y60" s="26"/>
      <c r="Z60" s="26"/>
      <c r="AA60" s="35"/>
      <c r="AB60" s="45"/>
      <c r="AC60" s="45" t="str">
        <f t="shared" si="33"/>
        <v/>
      </c>
      <c r="AD60" s="45" t="str">
        <f t="shared" si="34"/>
        <v/>
      </c>
    </row>
    <row r="61" spans="1:30" s="21" customFormat="1" x14ac:dyDescent="0.25">
      <c r="A61" s="28"/>
      <c r="B61" s="30"/>
      <c r="C61" s="29"/>
      <c r="D61" s="29"/>
      <c r="E61" s="39"/>
      <c r="F61" s="39" t="str">
        <f t="shared" si="25"/>
        <v/>
      </c>
      <c r="G61" s="39" t="str">
        <f t="shared" si="26"/>
        <v/>
      </c>
      <c r="H61" s="29"/>
      <c r="I61" s="39"/>
      <c r="J61" s="39" t="str">
        <f t="shared" si="27"/>
        <v/>
      </c>
      <c r="K61" s="39" t="str">
        <f t="shared" si="28"/>
        <v/>
      </c>
      <c r="L61" s="29"/>
      <c r="M61" s="39"/>
      <c r="N61" s="39" t="str">
        <f t="shared" si="29"/>
        <v/>
      </c>
      <c r="O61" s="39" t="str">
        <f t="shared" si="30"/>
        <v/>
      </c>
      <c r="P61" s="29"/>
      <c r="Q61" s="29"/>
      <c r="R61" s="29"/>
      <c r="S61" s="29"/>
      <c r="T61" s="39"/>
      <c r="U61" s="39" t="str">
        <f t="shared" si="31"/>
        <v/>
      </c>
      <c r="V61" s="39" t="str">
        <f t="shared" si="32"/>
        <v/>
      </c>
      <c r="W61" s="29"/>
      <c r="X61" s="30"/>
      <c r="Y61" s="29"/>
      <c r="Z61" s="29"/>
      <c r="AA61" s="36"/>
      <c r="AB61" s="44"/>
      <c r="AC61" s="44" t="str">
        <f t="shared" si="33"/>
        <v/>
      </c>
      <c r="AD61" s="44" t="str">
        <f t="shared" si="34"/>
        <v/>
      </c>
    </row>
    <row r="62" spans="1:30" s="21" customFormat="1" x14ac:dyDescent="0.25">
      <c r="A62" s="25"/>
      <c r="B62" s="27"/>
      <c r="C62" s="26"/>
      <c r="D62" s="26"/>
      <c r="E62" s="38"/>
      <c r="F62" s="38" t="str">
        <f t="shared" si="25"/>
        <v/>
      </c>
      <c r="G62" s="38" t="str">
        <f t="shared" si="26"/>
        <v/>
      </c>
      <c r="H62" s="26"/>
      <c r="I62" s="38"/>
      <c r="J62" s="38" t="str">
        <f t="shared" si="27"/>
        <v/>
      </c>
      <c r="K62" s="38" t="str">
        <f t="shared" si="28"/>
        <v/>
      </c>
      <c r="L62" s="26"/>
      <c r="M62" s="38"/>
      <c r="N62" s="38" t="str">
        <f t="shared" si="29"/>
        <v/>
      </c>
      <c r="O62" s="38" t="str">
        <f t="shared" si="30"/>
        <v/>
      </c>
      <c r="P62" s="26"/>
      <c r="Q62" s="26"/>
      <c r="R62" s="26"/>
      <c r="S62" s="26"/>
      <c r="T62" s="38"/>
      <c r="U62" s="38" t="str">
        <f t="shared" si="31"/>
        <v/>
      </c>
      <c r="V62" s="38" t="str">
        <f t="shared" si="32"/>
        <v/>
      </c>
      <c r="W62" s="26"/>
      <c r="X62" s="27"/>
      <c r="Y62" s="26"/>
      <c r="Z62" s="26"/>
      <c r="AA62" s="35"/>
      <c r="AB62" s="45"/>
      <c r="AC62" s="45" t="str">
        <f t="shared" si="33"/>
        <v/>
      </c>
      <c r="AD62" s="45" t="str">
        <f t="shared" si="34"/>
        <v/>
      </c>
    </row>
    <row r="63" spans="1:30" s="21" customFormat="1" x14ac:dyDescent="0.25">
      <c r="A63" s="28"/>
      <c r="B63" s="30"/>
      <c r="C63" s="29"/>
      <c r="D63" s="29"/>
      <c r="E63" s="39"/>
      <c r="F63" s="39" t="str">
        <f t="shared" si="25"/>
        <v/>
      </c>
      <c r="G63" s="39" t="str">
        <f t="shared" si="26"/>
        <v/>
      </c>
      <c r="H63" s="29"/>
      <c r="I63" s="39"/>
      <c r="J63" s="39" t="str">
        <f t="shared" si="27"/>
        <v/>
      </c>
      <c r="K63" s="39" t="str">
        <f t="shared" si="28"/>
        <v/>
      </c>
      <c r="L63" s="29"/>
      <c r="M63" s="39"/>
      <c r="N63" s="39" t="str">
        <f t="shared" si="29"/>
        <v/>
      </c>
      <c r="O63" s="39" t="str">
        <f t="shared" si="30"/>
        <v/>
      </c>
      <c r="P63" s="29"/>
      <c r="Q63" s="29"/>
      <c r="R63" s="29"/>
      <c r="S63" s="29"/>
      <c r="T63" s="39"/>
      <c r="U63" s="39" t="str">
        <f t="shared" si="31"/>
        <v/>
      </c>
      <c r="V63" s="39" t="str">
        <f t="shared" si="32"/>
        <v/>
      </c>
      <c r="W63" s="29"/>
      <c r="X63" s="30"/>
      <c r="Y63" s="29"/>
      <c r="Z63" s="29"/>
      <c r="AA63" s="36"/>
      <c r="AB63" s="44"/>
      <c r="AC63" s="44" t="str">
        <f t="shared" si="33"/>
        <v/>
      </c>
      <c r="AD63" s="44" t="str">
        <f t="shared" si="34"/>
        <v/>
      </c>
    </row>
    <row r="64" spans="1:30" s="21" customFormat="1" x14ac:dyDescent="0.25">
      <c r="A64" s="25"/>
      <c r="B64" s="27"/>
      <c r="C64" s="26"/>
      <c r="D64" s="26"/>
      <c r="E64" s="38"/>
      <c r="F64" s="38" t="str">
        <f t="shared" si="25"/>
        <v/>
      </c>
      <c r="G64" s="38" t="str">
        <f t="shared" si="26"/>
        <v/>
      </c>
      <c r="H64" s="26"/>
      <c r="I64" s="38"/>
      <c r="J64" s="38" t="str">
        <f t="shared" si="27"/>
        <v/>
      </c>
      <c r="K64" s="38" t="str">
        <f t="shared" si="28"/>
        <v/>
      </c>
      <c r="L64" s="26"/>
      <c r="M64" s="38"/>
      <c r="N64" s="38" t="str">
        <f t="shared" si="29"/>
        <v/>
      </c>
      <c r="O64" s="38" t="str">
        <f t="shared" si="30"/>
        <v/>
      </c>
      <c r="P64" s="26"/>
      <c r="Q64" s="26"/>
      <c r="R64" s="26"/>
      <c r="S64" s="26"/>
      <c r="T64" s="38"/>
      <c r="U64" s="38" t="str">
        <f t="shared" si="31"/>
        <v/>
      </c>
      <c r="V64" s="38" t="str">
        <f t="shared" si="32"/>
        <v/>
      </c>
      <c r="W64" s="26"/>
      <c r="X64" s="27"/>
      <c r="Y64" s="26"/>
      <c r="Z64" s="26"/>
      <c r="AA64" s="35"/>
      <c r="AB64" s="45"/>
      <c r="AC64" s="45" t="str">
        <f t="shared" si="33"/>
        <v/>
      </c>
      <c r="AD64" s="45" t="str">
        <f t="shared" si="34"/>
        <v/>
      </c>
    </row>
    <row r="65" spans="1:30" s="21" customFormat="1" x14ac:dyDescent="0.25">
      <c r="A65" s="28"/>
      <c r="B65" s="30"/>
      <c r="C65" s="29"/>
      <c r="D65" s="29"/>
      <c r="E65" s="39"/>
      <c r="F65" s="39" t="str">
        <f t="shared" si="25"/>
        <v/>
      </c>
      <c r="G65" s="39" t="str">
        <f t="shared" si="26"/>
        <v/>
      </c>
      <c r="H65" s="29"/>
      <c r="I65" s="39"/>
      <c r="J65" s="39" t="str">
        <f t="shared" si="27"/>
        <v/>
      </c>
      <c r="K65" s="39" t="str">
        <f t="shared" si="28"/>
        <v/>
      </c>
      <c r="L65" s="29"/>
      <c r="M65" s="39"/>
      <c r="N65" s="39" t="str">
        <f t="shared" si="29"/>
        <v/>
      </c>
      <c r="O65" s="39" t="str">
        <f t="shared" si="30"/>
        <v/>
      </c>
      <c r="P65" s="29"/>
      <c r="Q65" s="29"/>
      <c r="R65" s="29"/>
      <c r="S65" s="29"/>
      <c r="T65" s="39"/>
      <c r="U65" s="39" t="str">
        <f t="shared" si="31"/>
        <v/>
      </c>
      <c r="V65" s="39" t="str">
        <f t="shared" si="32"/>
        <v/>
      </c>
      <c r="W65" s="29"/>
      <c r="X65" s="30"/>
      <c r="Y65" s="29"/>
      <c r="Z65" s="29"/>
      <c r="AA65" s="36"/>
      <c r="AB65" s="44"/>
      <c r="AC65" s="44" t="str">
        <f t="shared" si="33"/>
        <v/>
      </c>
      <c r="AD65" s="44" t="str">
        <f t="shared" si="34"/>
        <v/>
      </c>
    </row>
    <row r="66" spans="1:30" s="21" customFormat="1" x14ac:dyDescent="0.25">
      <c r="A66" s="25"/>
      <c r="B66" s="27"/>
      <c r="C66" s="26"/>
      <c r="D66" s="26"/>
      <c r="E66" s="38"/>
      <c r="F66" s="38" t="str">
        <f t="shared" si="25"/>
        <v/>
      </c>
      <c r="G66" s="38" t="str">
        <f t="shared" si="26"/>
        <v/>
      </c>
      <c r="H66" s="26"/>
      <c r="I66" s="38"/>
      <c r="J66" s="38" t="str">
        <f t="shared" si="27"/>
        <v/>
      </c>
      <c r="K66" s="38" t="str">
        <f t="shared" si="28"/>
        <v/>
      </c>
      <c r="L66" s="26"/>
      <c r="M66" s="38"/>
      <c r="N66" s="38" t="str">
        <f t="shared" si="29"/>
        <v/>
      </c>
      <c r="O66" s="38" t="str">
        <f t="shared" si="30"/>
        <v/>
      </c>
      <c r="P66" s="26"/>
      <c r="Q66" s="26"/>
      <c r="R66" s="26"/>
      <c r="S66" s="26"/>
      <c r="T66" s="38"/>
      <c r="U66" s="38" t="str">
        <f t="shared" si="31"/>
        <v/>
      </c>
      <c r="V66" s="38" t="str">
        <f t="shared" si="32"/>
        <v/>
      </c>
      <c r="W66" s="26"/>
      <c r="X66" s="27"/>
      <c r="Y66" s="26"/>
      <c r="Z66" s="26"/>
      <c r="AA66" s="35"/>
      <c r="AB66" s="45"/>
      <c r="AC66" s="45" t="str">
        <f t="shared" si="33"/>
        <v/>
      </c>
      <c r="AD66" s="45" t="str">
        <f t="shared" si="34"/>
        <v/>
      </c>
    </row>
    <row r="67" spans="1:30" s="21" customFormat="1" x14ac:dyDescent="0.25">
      <c r="A67" s="28"/>
      <c r="B67" s="30"/>
      <c r="C67" s="29"/>
      <c r="D67" s="29"/>
      <c r="E67" s="39"/>
      <c r="F67" s="39" t="str">
        <f t="shared" si="25"/>
        <v/>
      </c>
      <c r="G67" s="39" t="str">
        <f t="shared" si="26"/>
        <v/>
      </c>
      <c r="H67" s="29"/>
      <c r="I67" s="39"/>
      <c r="J67" s="39" t="str">
        <f t="shared" si="27"/>
        <v/>
      </c>
      <c r="K67" s="39" t="str">
        <f t="shared" si="28"/>
        <v/>
      </c>
      <c r="L67" s="29"/>
      <c r="M67" s="39"/>
      <c r="N67" s="39" t="str">
        <f t="shared" si="29"/>
        <v/>
      </c>
      <c r="O67" s="39" t="str">
        <f t="shared" si="30"/>
        <v/>
      </c>
      <c r="P67" s="29"/>
      <c r="Q67" s="29"/>
      <c r="R67" s="29"/>
      <c r="S67" s="29"/>
      <c r="T67" s="39"/>
      <c r="U67" s="39" t="str">
        <f t="shared" si="31"/>
        <v/>
      </c>
      <c r="V67" s="39" t="str">
        <f t="shared" si="32"/>
        <v/>
      </c>
      <c r="W67" s="29"/>
      <c r="X67" s="30"/>
      <c r="Y67" s="29"/>
      <c r="Z67" s="29"/>
      <c r="AA67" s="36"/>
      <c r="AB67" s="44"/>
      <c r="AC67" s="44" t="str">
        <f t="shared" si="33"/>
        <v/>
      </c>
      <c r="AD67" s="44" t="str">
        <f t="shared" si="34"/>
        <v/>
      </c>
    </row>
    <row r="68" spans="1:30" s="21" customFormat="1" x14ac:dyDescent="0.25">
      <c r="A68" s="25"/>
      <c r="B68" s="27"/>
      <c r="C68" s="26"/>
      <c r="D68" s="26"/>
      <c r="E68" s="38"/>
      <c r="F68" s="38" t="str">
        <f t="shared" si="25"/>
        <v/>
      </c>
      <c r="G68" s="38" t="str">
        <f t="shared" si="26"/>
        <v/>
      </c>
      <c r="H68" s="26"/>
      <c r="I68" s="38"/>
      <c r="J68" s="38" t="str">
        <f t="shared" si="27"/>
        <v/>
      </c>
      <c r="K68" s="38" t="str">
        <f t="shared" si="28"/>
        <v/>
      </c>
      <c r="L68" s="26"/>
      <c r="M68" s="38"/>
      <c r="N68" s="38" t="str">
        <f t="shared" si="29"/>
        <v/>
      </c>
      <c r="O68" s="38" t="str">
        <f t="shared" si="30"/>
        <v/>
      </c>
      <c r="P68" s="26"/>
      <c r="Q68" s="26"/>
      <c r="R68" s="26"/>
      <c r="S68" s="26"/>
      <c r="T68" s="38"/>
      <c r="U68" s="38" t="str">
        <f t="shared" si="31"/>
        <v/>
      </c>
      <c r="V68" s="38" t="str">
        <f t="shared" si="32"/>
        <v/>
      </c>
      <c r="W68" s="26"/>
      <c r="X68" s="27"/>
      <c r="Y68" s="26"/>
      <c r="Z68" s="26"/>
      <c r="AA68" s="35"/>
      <c r="AB68" s="45"/>
      <c r="AC68" s="45" t="str">
        <f t="shared" si="33"/>
        <v/>
      </c>
      <c r="AD68" s="45" t="str">
        <f t="shared" si="34"/>
        <v/>
      </c>
    </row>
    <row r="69" spans="1:30" s="21" customFormat="1" x14ac:dyDescent="0.25">
      <c r="A69" s="28"/>
      <c r="B69" s="30"/>
      <c r="C69" s="29"/>
      <c r="D69" s="29"/>
      <c r="E69" s="39"/>
      <c r="F69" s="39" t="str">
        <f t="shared" si="25"/>
        <v/>
      </c>
      <c r="G69" s="39" t="str">
        <f t="shared" si="26"/>
        <v/>
      </c>
      <c r="H69" s="29"/>
      <c r="I69" s="39"/>
      <c r="J69" s="39" t="str">
        <f t="shared" si="27"/>
        <v/>
      </c>
      <c r="K69" s="39" t="str">
        <f t="shared" si="28"/>
        <v/>
      </c>
      <c r="L69" s="29"/>
      <c r="M69" s="39"/>
      <c r="N69" s="39" t="str">
        <f t="shared" si="29"/>
        <v/>
      </c>
      <c r="O69" s="39" t="str">
        <f t="shared" si="30"/>
        <v/>
      </c>
      <c r="P69" s="29"/>
      <c r="Q69" s="29"/>
      <c r="R69" s="29"/>
      <c r="S69" s="29"/>
      <c r="T69" s="39"/>
      <c r="U69" s="39" t="str">
        <f t="shared" si="31"/>
        <v/>
      </c>
      <c r="V69" s="39" t="str">
        <f t="shared" si="32"/>
        <v/>
      </c>
      <c r="W69" s="29"/>
      <c r="X69" s="30"/>
      <c r="Y69" s="29"/>
      <c r="Z69" s="29"/>
      <c r="AA69" s="36"/>
      <c r="AB69" s="44"/>
      <c r="AC69" s="44" t="str">
        <f t="shared" si="33"/>
        <v/>
      </c>
      <c r="AD69" s="44" t="str">
        <f t="shared" si="34"/>
        <v/>
      </c>
    </row>
    <row r="70" spans="1:30" s="21" customFormat="1" x14ac:dyDescent="0.25">
      <c r="A70" s="25"/>
      <c r="B70" s="27"/>
      <c r="C70" s="26"/>
      <c r="D70" s="26"/>
      <c r="E70" s="38"/>
      <c r="F70" s="38" t="str">
        <f t="shared" ref="F70:F101" si="35">IF(D70="","",_xlfn.TRANSLATE(D70,"vi","ja"))</f>
        <v/>
      </c>
      <c r="G70" s="38" t="str">
        <f t="shared" ref="G70:G101" si="36">IF(D70="","",_xlfn.TRANSLATE(D70,"vi","zh-Hans"))</f>
        <v/>
      </c>
      <c r="H70" s="26"/>
      <c r="I70" s="38"/>
      <c r="J70" s="38" t="str">
        <f t="shared" ref="J70:J101" si="37">IF(H70="","",_xlfn.TRANSLATE(H70,"vi","ja"))</f>
        <v/>
      </c>
      <c r="K70" s="38" t="str">
        <f t="shared" ref="K70:K101" si="38">IF(H70="","",_xlfn.TRANSLATE(H70,"vi","zh-Hans"))</f>
        <v/>
      </c>
      <c r="L70" s="26"/>
      <c r="M70" s="38"/>
      <c r="N70" s="38" t="str">
        <f t="shared" ref="N70:N101" si="39">IF(L70="","",_xlfn.TRANSLATE(L70,"vi","ja"))</f>
        <v/>
      </c>
      <c r="O70" s="38" t="str">
        <f t="shared" ref="O70:O101" si="40">IF(L70="","",_xlfn.TRANSLATE(L70,"vi","zh-Hans"))</f>
        <v/>
      </c>
      <c r="P70" s="26"/>
      <c r="Q70" s="26"/>
      <c r="R70" s="26"/>
      <c r="S70" s="26"/>
      <c r="T70" s="38"/>
      <c r="U70" s="38" t="str">
        <f t="shared" ref="U70:U101" si="41">IF(S70="","",_xlfn.TRANSLATE(S70,"vi","ja"))</f>
        <v/>
      </c>
      <c r="V70" s="38" t="str">
        <f t="shared" ref="V70:V101" si="42">IF(S70="","",_xlfn.TRANSLATE(S70,"vi","zh-Hans"))</f>
        <v/>
      </c>
      <c r="W70" s="26"/>
      <c r="X70" s="27"/>
      <c r="Y70" s="26"/>
      <c r="Z70" s="26"/>
      <c r="AA70" s="35"/>
      <c r="AB70" s="45"/>
      <c r="AC70" s="45" t="str">
        <f t="shared" ref="AC70:AC101" si="43">IF(AA70="","",_xlfn.TRANSLATE(AA70,"vi","ja"))</f>
        <v/>
      </c>
      <c r="AD70" s="45" t="str">
        <f t="shared" ref="AD70:AD101" si="44">IF(AA70="","",_xlfn.TRANSLATE(AA70,"vi","zh-Hans"))</f>
        <v/>
      </c>
    </row>
    <row r="71" spans="1:30" s="21" customFormat="1" x14ac:dyDescent="0.25">
      <c r="A71" s="28"/>
      <c r="B71" s="30"/>
      <c r="C71" s="29"/>
      <c r="D71" s="29"/>
      <c r="E71" s="39"/>
      <c r="F71" s="39" t="str">
        <f t="shared" si="35"/>
        <v/>
      </c>
      <c r="G71" s="39" t="str">
        <f t="shared" si="36"/>
        <v/>
      </c>
      <c r="H71" s="29"/>
      <c r="I71" s="39"/>
      <c r="J71" s="39" t="str">
        <f t="shared" si="37"/>
        <v/>
      </c>
      <c r="K71" s="39" t="str">
        <f t="shared" si="38"/>
        <v/>
      </c>
      <c r="L71" s="29"/>
      <c r="M71" s="39"/>
      <c r="N71" s="39" t="str">
        <f t="shared" si="39"/>
        <v/>
      </c>
      <c r="O71" s="39" t="str">
        <f t="shared" si="40"/>
        <v/>
      </c>
      <c r="P71" s="29"/>
      <c r="Q71" s="29"/>
      <c r="R71" s="29"/>
      <c r="S71" s="29"/>
      <c r="T71" s="39"/>
      <c r="U71" s="39" t="str">
        <f t="shared" si="41"/>
        <v/>
      </c>
      <c r="V71" s="39" t="str">
        <f t="shared" si="42"/>
        <v/>
      </c>
      <c r="W71" s="29"/>
      <c r="X71" s="30"/>
      <c r="Y71" s="29"/>
      <c r="Z71" s="29"/>
      <c r="AA71" s="36"/>
      <c r="AB71" s="44"/>
      <c r="AC71" s="44" t="str">
        <f t="shared" si="43"/>
        <v/>
      </c>
      <c r="AD71" s="44" t="str">
        <f t="shared" si="44"/>
        <v/>
      </c>
    </row>
    <row r="72" spans="1:30" s="21" customFormat="1" x14ac:dyDescent="0.25">
      <c r="A72" s="25"/>
      <c r="B72" s="27"/>
      <c r="C72" s="26"/>
      <c r="D72" s="26"/>
      <c r="E72" s="38"/>
      <c r="F72" s="38" t="str">
        <f t="shared" si="35"/>
        <v/>
      </c>
      <c r="G72" s="38" t="str">
        <f t="shared" si="36"/>
        <v/>
      </c>
      <c r="H72" s="26"/>
      <c r="I72" s="38"/>
      <c r="J72" s="38" t="str">
        <f t="shared" si="37"/>
        <v/>
      </c>
      <c r="K72" s="38" t="str">
        <f t="shared" si="38"/>
        <v/>
      </c>
      <c r="L72" s="26"/>
      <c r="M72" s="38"/>
      <c r="N72" s="38" t="str">
        <f t="shared" si="39"/>
        <v/>
      </c>
      <c r="O72" s="38" t="str">
        <f t="shared" si="40"/>
        <v/>
      </c>
      <c r="P72" s="26"/>
      <c r="Q72" s="26"/>
      <c r="R72" s="26"/>
      <c r="S72" s="26"/>
      <c r="T72" s="38"/>
      <c r="U72" s="38" t="str">
        <f t="shared" si="41"/>
        <v/>
      </c>
      <c r="V72" s="38" t="str">
        <f t="shared" si="42"/>
        <v/>
      </c>
      <c r="W72" s="26"/>
      <c r="X72" s="27"/>
      <c r="Y72" s="26"/>
      <c r="Z72" s="26"/>
      <c r="AA72" s="35"/>
      <c r="AB72" s="45"/>
      <c r="AC72" s="45" t="str">
        <f t="shared" si="43"/>
        <v/>
      </c>
      <c r="AD72" s="45" t="str">
        <f t="shared" si="44"/>
        <v/>
      </c>
    </row>
    <row r="73" spans="1:30" s="21" customFormat="1" x14ac:dyDescent="0.25">
      <c r="A73" s="28"/>
      <c r="B73" s="30"/>
      <c r="C73" s="29"/>
      <c r="D73" s="29"/>
      <c r="E73" s="39"/>
      <c r="F73" s="39" t="str">
        <f t="shared" si="35"/>
        <v/>
      </c>
      <c r="G73" s="39" t="str">
        <f t="shared" si="36"/>
        <v/>
      </c>
      <c r="H73" s="29"/>
      <c r="I73" s="39"/>
      <c r="J73" s="39" t="str">
        <f t="shared" si="37"/>
        <v/>
      </c>
      <c r="K73" s="39" t="str">
        <f t="shared" si="38"/>
        <v/>
      </c>
      <c r="L73" s="29"/>
      <c r="M73" s="39"/>
      <c r="N73" s="39" t="str">
        <f t="shared" si="39"/>
        <v/>
      </c>
      <c r="O73" s="39" t="str">
        <f t="shared" si="40"/>
        <v/>
      </c>
      <c r="P73" s="29"/>
      <c r="Q73" s="29"/>
      <c r="R73" s="29"/>
      <c r="S73" s="29"/>
      <c r="T73" s="39"/>
      <c r="U73" s="39" t="str">
        <f t="shared" si="41"/>
        <v/>
      </c>
      <c r="V73" s="39" t="str">
        <f t="shared" si="42"/>
        <v/>
      </c>
      <c r="W73" s="29"/>
      <c r="X73" s="30"/>
      <c r="Y73" s="29"/>
      <c r="Z73" s="29"/>
      <c r="AA73" s="36"/>
      <c r="AB73" s="44"/>
      <c r="AC73" s="44" t="str">
        <f t="shared" si="43"/>
        <v/>
      </c>
      <c r="AD73" s="44" t="str">
        <f t="shared" si="44"/>
        <v/>
      </c>
    </row>
    <row r="74" spans="1:30" s="21" customFormat="1" x14ac:dyDescent="0.25">
      <c r="A74" s="25"/>
      <c r="B74" s="27"/>
      <c r="C74" s="26"/>
      <c r="D74" s="26"/>
      <c r="E74" s="38"/>
      <c r="F74" s="38" t="str">
        <f t="shared" si="35"/>
        <v/>
      </c>
      <c r="G74" s="38" t="str">
        <f t="shared" si="36"/>
        <v/>
      </c>
      <c r="H74" s="26"/>
      <c r="I74" s="38"/>
      <c r="J74" s="38" t="str">
        <f t="shared" si="37"/>
        <v/>
      </c>
      <c r="K74" s="38" t="str">
        <f t="shared" si="38"/>
        <v/>
      </c>
      <c r="L74" s="26"/>
      <c r="M74" s="38"/>
      <c r="N74" s="38" t="str">
        <f t="shared" si="39"/>
        <v/>
      </c>
      <c r="O74" s="38" t="str">
        <f t="shared" si="40"/>
        <v/>
      </c>
      <c r="P74" s="26"/>
      <c r="Q74" s="26"/>
      <c r="R74" s="26"/>
      <c r="S74" s="26"/>
      <c r="T74" s="38"/>
      <c r="U74" s="38" t="str">
        <f t="shared" si="41"/>
        <v/>
      </c>
      <c r="V74" s="38" t="str">
        <f t="shared" si="42"/>
        <v/>
      </c>
      <c r="W74" s="26"/>
      <c r="X74" s="27"/>
      <c r="Y74" s="26"/>
      <c r="Z74" s="26"/>
      <c r="AA74" s="35"/>
      <c r="AB74" s="45"/>
      <c r="AC74" s="45" t="str">
        <f t="shared" si="43"/>
        <v/>
      </c>
      <c r="AD74" s="45" t="str">
        <f t="shared" si="44"/>
        <v/>
      </c>
    </row>
    <row r="75" spans="1:30" s="21" customFormat="1" x14ac:dyDescent="0.25">
      <c r="A75" s="28"/>
      <c r="B75" s="30"/>
      <c r="C75" s="29"/>
      <c r="D75" s="29"/>
      <c r="E75" s="39"/>
      <c r="F75" s="39" t="str">
        <f t="shared" si="35"/>
        <v/>
      </c>
      <c r="G75" s="39" t="str">
        <f t="shared" si="36"/>
        <v/>
      </c>
      <c r="H75" s="29"/>
      <c r="I75" s="39"/>
      <c r="J75" s="39" t="str">
        <f t="shared" si="37"/>
        <v/>
      </c>
      <c r="K75" s="39" t="str">
        <f t="shared" si="38"/>
        <v/>
      </c>
      <c r="L75" s="29"/>
      <c r="M75" s="39"/>
      <c r="N75" s="39" t="str">
        <f t="shared" si="39"/>
        <v/>
      </c>
      <c r="O75" s="39" t="str">
        <f t="shared" si="40"/>
        <v/>
      </c>
      <c r="P75" s="29"/>
      <c r="Q75" s="29"/>
      <c r="R75" s="29"/>
      <c r="S75" s="29"/>
      <c r="T75" s="39"/>
      <c r="U75" s="39" t="str">
        <f t="shared" si="41"/>
        <v/>
      </c>
      <c r="V75" s="39" t="str">
        <f t="shared" si="42"/>
        <v/>
      </c>
      <c r="W75" s="29"/>
      <c r="X75" s="30"/>
      <c r="Y75" s="29"/>
      <c r="Z75" s="29"/>
      <c r="AA75" s="36"/>
      <c r="AB75" s="44"/>
      <c r="AC75" s="44" t="str">
        <f t="shared" si="43"/>
        <v/>
      </c>
      <c r="AD75" s="44" t="str">
        <f t="shared" si="44"/>
        <v/>
      </c>
    </row>
    <row r="76" spans="1:30" s="21" customFormat="1" x14ac:dyDescent="0.25">
      <c r="A76" s="25"/>
      <c r="B76" s="27"/>
      <c r="C76" s="26"/>
      <c r="D76" s="26"/>
      <c r="E76" s="38"/>
      <c r="F76" s="38" t="str">
        <f t="shared" si="35"/>
        <v/>
      </c>
      <c r="G76" s="38" t="str">
        <f t="shared" si="36"/>
        <v/>
      </c>
      <c r="H76" s="26"/>
      <c r="I76" s="38"/>
      <c r="J76" s="38" t="str">
        <f t="shared" si="37"/>
        <v/>
      </c>
      <c r="K76" s="38" t="str">
        <f t="shared" si="38"/>
        <v/>
      </c>
      <c r="L76" s="26"/>
      <c r="M76" s="38"/>
      <c r="N76" s="38" t="str">
        <f t="shared" si="39"/>
        <v/>
      </c>
      <c r="O76" s="38" t="str">
        <f t="shared" si="40"/>
        <v/>
      </c>
      <c r="P76" s="26"/>
      <c r="Q76" s="26"/>
      <c r="R76" s="26"/>
      <c r="S76" s="26"/>
      <c r="T76" s="38"/>
      <c r="U76" s="38" t="str">
        <f t="shared" si="41"/>
        <v/>
      </c>
      <c r="V76" s="38" t="str">
        <f t="shared" si="42"/>
        <v/>
      </c>
      <c r="W76" s="26"/>
      <c r="X76" s="27"/>
      <c r="Y76" s="26"/>
      <c r="Z76" s="26"/>
      <c r="AA76" s="35"/>
      <c r="AB76" s="45"/>
      <c r="AC76" s="45" t="str">
        <f t="shared" si="43"/>
        <v/>
      </c>
      <c r="AD76" s="45" t="str">
        <f t="shared" si="44"/>
        <v/>
      </c>
    </row>
    <row r="77" spans="1:30" s="21" customFormat="1" x14ac:dyDescent="0.25">
      <c r="A77" s="28"/>
      <c r="B77" s="30"/>
      <c r="C77" s="29"/>
      <c r="D77" s="29"/>
      <c r="E77" s="39"/>
      <c r="F77" s="39" t="str">
        <f t="shared" si="35"/>
        <v/>
      </c>
      <c r="G77" s="39" t="str">
        <f t="shared" si="36"/>
        <v/>
      </c>
      <c r="H77" s="29"/>
      <c r="I77" s="39"/>
      <c r="J77" s="39" t="str">
        <f t="shared" si="37"/>
        <v/>
      </c>
      <c r="K77" s="39" t="str">
        <f t="shared" si="38"/>
        <v/>
      </c>
      <c r="L77" s="29"/>
      <c r="M77" s="39"/>
      <c r="N77" s="39" t="str">
        <f t="shared" si="39"/>
        <v/>
      </c>
      <c r="O77" s="39" t="str">
        <f t="shared" si="40"/>
        <v/>
      </c>
      <c r="P77" s="29"/>
      <c r="Q77" s="29"/>
      <c r="R77" s="29"/>
      <c r="S77" s="29"/>
      <c r="T77" s="39"/>
      <c r="U77" s="39" t="str">
        <f t="shared" si="41"/>
        <v/>
      </c>
      <c r="V77" s="39" t="str">
        <f t="shared" si="42"/>
        <v/>
      </c>
      <c r="W77" s="29"/>
      <c r="X77" s="30"/>
      <c r="Y77" s="29"/>
      <c r="Z77" s="29"/>
      <c r="AA77" s="36"/>
      <c r="AB77" s="44"/>
      <c r="AC77" s="44" t="str">
        <f t="shared" si="43"/>
        <v/>
      </c>
      <c r="AD77" s="44" t="str">
        <f t="shared" si="44"/>
        <v/>
      </c>
    </row>
    <row r="78" spans="1:30" s="21" customFormat="1" x14ac:dyDescent="0.25">
      <c r="A78" s="25"/>
      <c r="B78" s="27"/>
      <c r="C78" s="26"/>
      <c r="D78" s="26"/>
      <c r="E78" s="38"/>
      <c r="F78" s="38" t="str">
        <f t="shared" si="35"/>
        <v/>
      </c>
      <c r="G78" s="38" t="str">
        <f t="shared" si="36"/>
        <v/>
      </c>
      <c r="H78" s="26"/>
      <c r="I78" s="38"/>
      <c r="J78" s="38" t="str">
        <f t="shared" si="37"/>
        <v/>
      </c>
      <c r="K78" s="38" t="str">
        <f t="shared" si="38"/>
        <v/>
      </c>
      <c r="L78" s="26"/>
      <c r="M78" s="38"/>
      <c r="N78" s="38" t="str">
        <f t="shared" si="39"/>
        <v/>
      </c>
      <c r="O78" s="38" t="str">
        <f t="shared" si="40"/>
        <v/>
      </c>
      <c r="P78" s="26"/>
      <c r="Q78" s="26"/>
      <c r="R78" s="26"/>
      <c r="S78" s="26"/>
      <c r="T78" s="38"/>
      <c r="U78" s="38" t="str">
        <f t="shared" si="41"/>
        <v/>
      </c>
      <c r="V78" s="38" t="str">
        <f t="shared" si="42"/>
        <v/>
      </c>
      <c r="W78" s="26"/>
      <c r="X78" s="27"/>
      <c r="Y78" s="26"/>
      <c r="Z78" s="26"/>
      <c r="AA78" s="35"/>
      <c r="AB78" s="45"/>
      <c r="AC78" s="45" t="str">
        <f t="shared" si="43"/>
        <v/>
      </c>
      <c r="AD78" s="45" t="str">
        <f t="shared" si="44"/>
        <v/>
      </c>
    </row>
    <row r="79" spans="1:30" s="21" customFormat="1" x14ac:dyDescent="0.25">
      <c r="A79" s="28"/>
      <c r="B79" s="30"/>
      <c r="C79" s="29"/>
      <c r="D79" s="29"/>
      <c r="E79" s="39"/>
      <c r="F79" s="39" t="str">
        <f t="shared" si="35"/>
        <v/>
      </c>
      <c r="G79" s="39" t="str">
        <f t="shared" si="36"/>
        <v/>
      </c>
      <c r="H79" s="29"/>
      <c r="I79" s="39"/>
      <c r="J79" s="39" t="str">
        <f t="shared" si="37"/>
        <v/>
      </c>
      <c r="K79" s="39" t="str">
        <f t="shared" si="38"/>
        <v/>
      </c>
      <c r="L79" s="29"/>
      <c r="M79" s="39"/>
      <c r="N79" s="39" t="str">
        <f t="shared" si="39"/>
        <v/>
      </c>
      <c r="O79" s="39" t="str">
        <f t="shared" si="40"/>
        <v/>
      </c>
      <c r="P79" s="29"/>
      <c r="Q79" s="29"/>
      <c r="R79" s="29"/>
      <c r="S79" s="29"/>
      <c r="T79" s="39"/>
      <c r="U79" s="39" t="str">
        <f t="shared" si="41"/>
        <v/>
      </c>
      <c r="V79" s="39" t="str">
        <f t="shared" si="42"/>
        <v/>
      </c>
      <c r="W79" s="29"/>
      <c r="X79" s="30"/>
      <c r="Y79" s="29"/>
      <c r="Z79" s="29"/>
      <c r="AA79" s="36"/>
      <c r="AB79" s="44"/>
      <c r="AC79" s="44" t="str">
        <f t="shared" si="43"/>
        <v/>
      </c>
      <c r="AD79" s="44" t="str">
        <f t="shared" si="44"/>
        <v/>
      </c>
    </row>
    <row r="80" spans="1:30" s="21" customFormat="1" x14ac:dyDescent="0.25">
      <c r="A80" s="25"/>
      <c r="B80" s="27"/>
      <c r="C80" s="26"/>
      <c r="D80" s="26"/>
      <c r="E80" s="38"/>
      <c r="F80" s="38" t="str">
        <f t="shared" si="35"/>
        <v/>
      </c>
      <c r="G80" s="38" t="str">
        <f t="shared" si="36"/>
        <v/>
      </c>
      <c r="H80" s="26"/>
      <c r="I80" s="38"/>
      <c r="J80" s="38" t="str">
        <f t="shared" si="37"/>
        <v/>
      </c>
      <c r="K80" s="38" t="str">
        <f t="shared" si="38"/>
        <v/>
      </c>
      <c r="L80" s="26"/>
      <c r="M80" s="38"/>
      <c r="N80" s="38" t="str">
        <f t="shared" si="39"/>
        <v/>
      </c>
      <c r="O80" s="38" t="str">
        <f t="shared" si="40"/>
        <v/>
      </c>
      <c r="P80" s="26"/>
      <c r="Q80" s="26"/>
      <c r="R80" s="26"/>
      <c r="S80" s="26"/>
      <c r="T80" s="38"/>
      <c r="U80" s="38" t="str">
        <f t="shared" si="41"/>
        <v/>
      </c>
      <c r="V80" s="38" t="str">
        <f t="shared" si="42"/>
        <v/>
      </c>
      <c r="W80" s="26"/>
      <c r="X80" s="27"/>
      <c r="Y80" s="26"/>
      <c r="Z80" s="26"/>
      <c r="AA80" s="35"/>
      <c r="AB80" s="45"/>
      <c r="AC80" s="45" t="str">
        <f t="shared" si="43"/>
        <v/>
      </c>
      <c r="AD80" s="45" t="str">
        <f t="shared" si="44"/>
        <v/>
      </c>
    </row>
    <row r="81" spans="1:30" s="21" customFormat="1" x14ac:dyDescent="0.25">
      <c r="A81" s="28"/>
      <c r="B81" s="30"/>
      <c r="C81" s="29"/>
      <c r="D81" s="29"/>
      <c r="E81" s="39"/>
      <c r="F81" s="39" t="str">
        <f t="shared" si="35"/>
        <v/>
      </c>
      <c r="G81" s="39" t="str">
        <f t="shared" si="36"/>
        <v/>
      </c>
      <c r="H81" s="29"/>
      <c r="I81" s="39"/>
      <c r="J81" s="39" t="str">
        <f t="shared" si="37"/>
        <v/>
      </c>
      <c r="K81" s="39" t="str">
        <f t="shared" si="38"/>
        <v/>
      </c>
      <c r="L81" s="29"/>
      <c r="M81" s="39"/>
      <c r="N81" s="39" t="str">
        <f t="shared" si="39"/>
        <v/>
      </c>
      <c r="O81" s="39" t="str">
        <f t="shared" si="40"/>
        <v/>
      </c>
      <c r="P81" s="29"/>
      <c r="Q81" s="29"/>
      <c r="R81" s="29"/>
      <c r="S81" s="29"/>
      <c r="T81" s="39"/>
      <c r="U81" s="39" t="str">
        <f t="shared" si="41"/>
        <v/>
      </c>
      <c r="V81" s="39" t="str">
        <f t="shared" si="42"/>
        <v/>
      </c>
      <c r="W81" s="29"/>
      <c r="X81" s="30"/>
      <c r="Y81" s="29"/>
      <c r="Z81" s="29"/>
      <c r="AA81" s="36"/>
      <c r="AB81" s="44"/>
      <c r="AC81" s="44" t="str">
        <f t="shared" si="43"/>
        <v/>
      </c>
      <c r="AD81" s="44" t="str">
        <f t="shared" si="44"/>
        <v/>
      </c>
    </row>
    <row r="82" spans="1:30" s="21" customFormat="1" x14ac:dyDescent="0.25">
      <c r="A82" s="25"/>
      <c r="B82" s="27"/>
      <c r="C82" s="26"/>
      <c r="D82" s="26"/>
      <c r="E82" s="38"/>
      <c r="F82" s="38" t="str">
        <f t="shared" si="35"/>
        <v/>
      </c>
      <c r="G82" s="38" t="str">
        <f t="shared" si="36"/>
        <v/>
      </c>
      <c r="H82" s="26"/>
      <c r="I82" s="38"/>
      <c r="J82" s="38" t="str">
        <f t="shared" si="37"/>
        <v/>
      </c>
      <c r="K82" s="38" t="str">
        <f t="shared" si="38"/>
        <v/>
      </c>
      <c r="L82" s="26"/>
      <c r="M82" s="38"/>
      <c r="N82" s="38" t="str">
        <f t="shared" si="39"/>
        <v/>
      </c>
      <c r="O82" s="38" t="str">
        <f t="shared" si="40"/>
        <v/>
      </c>
      <c r="P82" s="26"/>
      <c r="Q82" s="26"/>
      <c r="R82" s="26"/>
      <c r="S82" s="26"/>
      <c r="T82" s="38"/>
      <c r="U82" s="38" t="str">
        <f t="shared" si="41"/>
        <v/>
      </c>
      <c r="V82" s="38" t="str">
        <f t="shared" si="42"/>
        <v/>
      </c>
      <c r="W82" s="26"/>
      <c r="X82" s="27"/>
      <c r="Y82" s="26"/>
      <c r="Z82" s="26"/>
      <c r="AA82" s="35"/>
      <c r="AB82" s="45"/>
      <c r="AC82" s="45" t="str">
        <f t="shared" si="43"/>
        <v/>
      </c>
      <c r="AD82" s="45" t="str">
        <f t="shared" si="44"/>
        <v/>
      </c>
    </row>
    <row r="83" spans="1:30" s="21" customFormat="1" x14ac:dyDescent="0.25">
      <c r="A83" s="28"/>
      <c r="B83" s="30"/>
      <c r="C83" s="29"/>
      <c r="D83" s="29"/>
      <c r="E83" s="39"/>
      <c r="F83" s="39" t="str">
        <f t="shared" si="35"/>
        <v/>
      </c>
      <c r="G83" s="39" t="str">
        <f t="shared" si="36"/>
        <v/>
      </c>
      <c r="H83" s="29"/>
      <c r="I83" s="39"/>
      <c r="J83" s="39" t="str">
        <f t="shared" si="37"/>
        <v/>
      </c>
      <c r="K83" s="39" t="str">
        <f t="shared" si="38"/>
        <v/>
      </c>
      <c r="L83" s="29"/>
      <c r="M83" s="39"/>
      <c r="N83" s="39" t="str">
        <f t="shared" si="39"/>
        <v/>
      </c>
      <c r="O83" s="39" t="str">
        <f t="shared" si="40"/>
        <v/>
      </c>
      <c r="P83" s="29"/>
      <c r="Q83" s="29"/>
      <c r="R83" s="29"/>
      <c r="S83" s="29"/>
      <c r="T83" s="39"/>
      <c r="U83" s="39" t="str">
        <f t="shared" si="41"/>
        <v/>
      </c>
      <c r="V83" s="39" t="str">
        <f t="shared" si="42"/>
        <v/>
      </c>
      <c r="W83" s="29"/>
      <c r="X83" s="30"/>
      <c r="Y83" s="29"/>
      <c r="Z83" s="29"/>
      <c r="AA83" s="36"/>
      <c r="AB83" s="44"/>
      <c r="AC83" s="44" t="str">
        <f t="shared" si="43"/>
        <v/>
      </c>
      <c r="AD83" s="44" t="str">
        <f t="shared" si="44"/>
        <v/>
      </c>
    </row>
    <row r="84" spans="1:30" s="21" customFormat="1" x14ac:dyDescent="0.25">
      <c r="A84" s="25"/>
      <c r="B84" s="27"/>
      <c r="C84" s="26"/>
      <c r="D84" s="26"/>
      <c r="E84" s="38"/>
      <c r="F84" s="38" t="str">
        <f t="shared" si="35"/>
        <v/>
      </c>
      <c r="G84" s="38" t="str">
        <f t="shared" si="36"/>
        <v/>
      </c>
      <c r="H84" s="26"/>
      <c r="I84" s="38"/>
      <c r="J84" s="38" t="str">
        <f t="shared" si="37"/>
        <v/>
      </c>
      <c r="K84" s="38" t="str">
        <f t="shared" si="38"/>
        <v/>
      </c>
      <c r="L84" s="26"/>
      <c r="M84" s="38"/>
      <c r="N84" s="38" t="str">
        <f t="shared" si="39"/>
        <v/>
      </c>
      <c r="O84" s="38" t="str">
        <f t="shared" si="40"/>
        <v/>
      </c>
      <c r="P84" s="26"/>
      <c r="Q84" s="26"/>
      <c r="R84" s="26"/>
      <c r="S84" s="26"/>
      <c r="T84" s="38"/>
      <c r="U84" s="38" t="str">
        <f t="shared" si="41"/>
        <v/>
      </c>
      <c r="V84" s="38" t="str">
        <f t="shared" si="42"/>
        <v/>
      </c>
      <c r="W84" s="26"/>
      <c r="X84" s="27"/>
      <c r="Y84" s="26"/>
      <c r="Z84" s="26"/>
      <c r="AA84" s="35"/>
      <c r="AB84" s="45"/>
      <c r="AC84" s="45" t="str">
        <f t="shared" si="43"/>
        <v/>
      </c>
      <c r="AD84" s="45" t="str">
        <f t="shared" si="44"/>
        <v/>
      </c>
    </row>
    <row r="85" spans="1:30" s="21" customFormat="1" x14ac:dyDescent="0.25">
      <c r="A85" s="28"/>
      <c r="B85" s="30"/>
      <c r="C85" s="29"/>
      <c r="D85" s="29"/>
      <c r="E85" s="39"/>
      <c r="F85" s="39" t="str">
        <f t="shared" si="35"/>
        <v/>
      </c>
      <c r="G85" s="39" t="str">
        <f t="shared" si="36"/>
        <v/>
      </c>
      <c r="H85" s="29"/>
      <c r="I85" s="39"/>
      <c r="J85" s="39" t="str">
        <f t="shared" si="37"/>
        <v/>
      </c>
      <c r="K85" s="39" t="str">
        <f t="shared" si="38"/>
        <v/>
      </c>
      <c r="L85" s="29"/>
      <c r="M85" s="39"/>
      <c r="N85" s="39" t="str">
        <f t="shared" si="39"/>
        <v/>
      </c>
      <c r="O85" s="39" t="str">
        <f t="shared" si="40"/>
        <v/>
      </c>
      <c r="P85" s="29"/>
      <c r="Q85" s="29"/>
      <c r="R85" s="29"/>
      <c r="S85" s="29"/>
      <c r="T85" s="39"/>
      <c r="U85" s="39" t="str">
        <f t="shared" si="41"/>
        <v/>
      </c>
      <c r="V85" s="39" t="str">
        <f t="shared" si="42"/>
        <v/>
      </c>
      <c r="W85" s="29"/>
      <c r="X85" s="30"/>
      <c r="Y85" s="29"/>
      <c r="Z85" s="29"/>
      <c r="AA85" s="36"/>
      <c r="AB85" s="44"/>
      <c r="AC85" s="44" t="str">
        <f t="shared" si="43"/>
        <v/>
      </c>
      <c r="AD85" s="44" t="str">
        <f t="shared" si="44"/>
        <v/>
      </c>
    </row>
    <row r="86" spans="1:30" s="21" customFormat="1" x14ac:dyDescent="0.25">
      <c r="A86" s="25"/>
      <c r="B86" s="27"/>
      <c r="C86" s="26"/>
      <c r="D86" s="26"/>
      <c r="E86" s="38"/>
      <c r="F86" s="38" t="str">
        <f t="shared" si="35"/>
        <v/>
      </c>
      <c r="G86" s="38" t="str">
        <f t="shared" si="36"/>
        <v/>
      </c>
      <c r="H86" s="26"/>
      <c r="I86" s="38"/>
      <c r="J86" s="38" t="str">
        <f t="shared" si="37"/>
        <v/>
      </c>
      <c r="K86" s="38" t="str">
        <f t="shared" si="38"/>
        <v/>
      </c>
      <c r="L86" s="26"/>
      <c r="M86" s="38"/>
      <c r="N86" s="38" t="str">
        <f t="shared" si="39"/>
        <v/>
      </c>
      <c r="O86" s="38" t="str">
        <f t="shared" si="40"/>
        <v/>
      </c>
      <c r="P86" s="26"/>
      <c r="Q86" s="26"/>
      <c r="R86" s="26"/>
      <c r="S86" s="26"/>
      <c r="T86" s="38"/>
      <c r="U86" s="38" t="str">
        <f t="shared" si="41"/>
        <v/>
      </c>
      <c r="V86" s="38" t="str">
        <f t="shared" si="42"/>
        <v/>
      </c>
      <c r="W86" s="26"/>
      <c r="X86" s="27"/>
      <c r="Y86" s="26"/>
      <c r="Z86" s="26"/>
      <c r="AA86" s="35"/>
      <c r="AB86" s="45"/>
      <c r="AC86" s="45" t="str">
        <f t="shared" si="43"/>
        <v/>
      </c>
      <c r="AD86" s="45" t="str">
        <f t="shared" si="44"/>
        <v/>
      </c>
    </row>
    <row r="87" spans="1:30" s="21" customFormat="1" x14ac:dyDescent="0.25">
      <c r="A87" s="28"/>
      <c r="B87" s="30"/>
      <c r="C87" s="29"/>
      <c r="D87" s="29"/>
      <c r="E87" s="39"/>
      <c r="F87" s="39" t="str">
        <f t="shared" si="35"/>
        <v/>
      </c>
      <c r="G87" s="39" t="str">
        <f t="shared" si="36"/>
        <v/>
      </c>
      <c r="H87" s="29"/>
      <c r="I87" s="39"/>
      <c r="J87" s="39" t="str">
        <f t="shared" si="37"/>
        <v/>
      </c>
      <c r="K87" s="39" t="str">
        <f t="shared" si="38"/>
        <v/>
      </c>
      <c r="L87" s="29"/>
      <c r="M87" s="39"/>
      <c r="N87" s="39" t="str">
        <f t="shared" si="39"/>
        <v/>
      </c>
      <c r="O87" s="39" t="str">
        <f t="shared" si="40"/>
        <v/>
      </c>
      <c r="P87" s="29"/>
      <c r="Q87" s="29"/>
      <c r="R87" s="29"/>
      <c r="S87" s="29"/>
      <c r="T87" s="39"/>
      <c r="U87" s="39" t="str">
        <f t="shared" si="41"/>
        <v/>
      </c>
      <c r="V87" s="39" t="str">
        <f t="shared" si="42"/>
        <v/>
      </c>
      <c r="W87" s="29"/>
      <c r="X87" s="30"/>
      <c r="Y87" s="29"/>
      <c r="Z87" s="29"/>
      <c r="AA87" s="36"/>
      <c r="AB87" s="44"/>
      <c r="AC87" s="44" t="str">
        <f t="shared" si="43"/>
        <v/>
      </c>
      <c r="AD87" s="44" t="str">
        <f t="shared" si="44"/>
        <v/>
      </c>
    </row>
    <row r="88" spans="1:30" s="21" customFormat="1" x14ac:dyDescent="0.25">
      <c r="A88" s="25"/>
      <c r="B88" s="27"/>
      <c r="C88" s="26"/>
      <c r="D88" s="26"/>
      <c r="E88" s="38"/>
      <c r="F88" s="38" t="str">
        <f t="shared" si="35"/>
        <v/>
      </c>
      <c r="G88" s="38" t="str">
        <f t="shared" si="36"/>
        <v/>
      </c>
      <c r="H88" s="26"/>
      <c r="I88" s="38"/>
      <c r="J88" s="38" t="str">
        <f t="shared" si="37"/>
        <v/>
      </c>
      <c r="K88" s="38" t="str">
        <f t="shared" si="38"/>
        <v/>
      </c>
      <c r="L88" s="26"/>
      <c r="M88" s="38"/>
      <c r="N88" s="38" t="str">
        <f t="shared" si="39"/>
        <v/>
      </c>
      <c r="O88" s="38" t="str">
        <f t="shared" si="40"/>
        <v/>
      </c>
      <c r="P88" s="26"/>
      <c r="Q88" s="26"/>
      <c r="R88" s="26"/>
      <c r="S88" s="26"/>
      <c r="T88" s="38"/>
      <c r="U88" s="38" t="str">
        <f t="shared" si="41"/>
        <v/>
      </c>
      <c r="V88" s="38" t="str">
        <f t="shared" si="42"/>
        <v/>
      </c>
      <c r="W88" s="26"/>
      <c r="X88" s="27"/>
      <c r="Y88" s="26"/>
      <c r="Z88" s="26"/>
      <c r="AA88" s="35"/>
      <c r="AB88" s="45"/>
      <c r="AC88" s="45" t="str">
        <f t="shared" si="43"/>
        <v/>
      </c>
      <c r="AD88" s="45" t="str">
        <f t="shared" si="44"/>
        <v/>
      </c>
    </row>
    <row r="89" spans="1:30" s="21" customFormat="1" x14ac:dyDescent="0.25">
      <c r="A89" s="28"/>
      <c r="B89" s="30"/>
      <c r="C89" s="29"/>
      <c r="D89" s="29"/>
      <c r="E89" s="39"/>
      <c r="F89" s="39" t="str">
        <f t="shared" si="35"/>
        <v/>
      </c>
      <c r="G89" s="39" t="str">
        <f t="shared" si="36"/>
        <v/>
      </c>
      <c r="H89" s="29"/>
      <c r="I89" s="39"/>
      <c r="J89" s="39" t="str">
        <f t="shared" si="37"/>
        <v/>
      </c>
      <c r="K89" s="39" t="str">
        <f t="shared" si="38"/>
        <v/>
      </c>
      <c r="L89" s="29"/>
      <c r="M89" s="39"/>
      <c r="N89" s="39" t="str">
        <f t="shared" si="39"/>
        <v/>
      </c>
      <c r="O89" s="39" t="str">
        <f t="shared" si="40"/>
        <v/>
      </c>
      <c r="P89" s="29"/>
      <c r="Q89" s="29"/>
      <c r="R89" s="29"/>
      <c r="S89" s="29"/>
      <c r="T89" s="39"/>
      <c r="U89" s="39" t="str">
        <f t="shared" si="41"/>
        <v/>
      </c>
      <c r="V89" s="39" t="str">
        <f t="shared" si="42"/>
        <v/>
      </c>
      <c r="W89" s="29"/>
      <c r="X89" s="30"/>
      <c r="Y89" s="29"/>
      <c r="Z89" s="29"/>
      <c r="AA89" s="36"/>
      <c r="AB89" s="44"/>
      <c r="AC89" s="44" t="str">
        <f t="shared" si="43"/>
        <v/>
      </c>
      <c r="AD89" s="44" t="str">
        <f t="shared" si="44"/>
        <v/>
      </c>
    </row>
    <row r="90" spans="1:30" s="21" customFormat="1" x14ac:dyDescent="0.25">
      <c r="A90" s="25"/>
      <c r="B90" s="27"/>
      <c r="C90" s="26"/>
      <c r="D90" s="26"/>
      <c r="E90" s="38"/>
      <c r="F90" s="38" t="str">
        <f t="shared" si="35"/>
        <v/>
      </c>
      <c r="G90" s="38" t="str">
        <f t="shared" si="36"/>
        <v/>
      </c>
      <c r="H90" s="26"/>
      <c r="I90" s="38"/>
      <c r="J90" s="38" t="str">
        <f t="shared" si="37"/>
        <v/>
      </c>
      <c r="K90" s="38" t="str">
        <f t="shared" si="38"/>
        <v/>
      </c>
      <c r="L90" s="26"/>
      <c r="M90" s="38"/>
      <c r="N90" s="38" t="str">
        <f t="shared" si="39"/>
        <v/>
      </c>
      <c r="O90" s="38" t="str">
        <f t="shared" si="40"/>
        <v/>
      </c>
      <c r="P90" s="26"/>
      <c r="Q90" s="26"/>
      <c r="R90" s="26"/>
      <c r="S90" s="26"/>
      <c r="T90" s="38"/>
      <c r="U90" s="38" t="str">
        <f t="shared" si="41"/>
        <v/>
      </c>
      <c r="V90" s="38" t="str">
        <f t="shared" si="42"/>
        <v/>
      </c>
      <c r="W90" s="26"/>
      <c r="X90" s="27"/>
      <c r="Y90" s="26"/>
      <c r="Z90" s="26"/>
      <c r="AA90" s="35"/>
      <c r="AB90" s="45"/>
      <c r="AC90" s="45" t="str">
        <f t="shared" si="43"/>
        <v/>
      </c>
      <c r="AD90" s="45" t="str">
        <f t="shared" si="44"/>
        <v/>
      </c>
    </row>
    <row r="91" spans="1:30" s="21" customFormat="1" x14ac:dyDescent="0.25">
      <c r="A91" s="28"/>
      <c r="B91" s="30"/>
      <c r="C91" s="29"/>
      <c r="D91" s="29"/>
      <c r="E91" s="39"/>
      <c r="F91" s="39" t="str">
        <f t="shared" si="35"/>
        <v/>
      </c>
      <c r="G91" s="39" t="str">
        <f t="shared" si="36"/>
        <v/>
      </c>
      <c r="H91" s="29"/>
      <c r="I91" s="39"/>
      <c r="J91" s="39" t="str">
        <f t="shared" si="37"/>
        <v/>
      </c>
      <c r="K91" s="39" t="str">
        <f t="shared" si="38"/>
        <v/>
      </c>
      <c r="L91" s="29"/>
      <c r="M91" s="39"/>
      <c r="N91" s="39" t="str">
        <f t="shared" si="39"/>
        <v/>
      </c>
      <c r="O91" s="39" t="str">
        <f t="shared" si="40"/>
        <v/>
      </c>
      <c r="P91" s="29"/>
      <c r="Q91" s="29"/>
      <c r="R91" s="29"/>
      <c r="S91" s="29"/>
      <c r="T91" s="39"/>
      <c r="U91" s="39" t="str">
        <f t="shared" si="41"/>
        <v/>
      </c>
      <c r="V91" s="39" t="str">
        <f t="shared" si="42"/>
        <v/>
      </c>
      <c r="W91" s="29"/>
      <c r="X91" s="30"/>
      <c r="Y91" s="29"/>
      <c r="Z91" s="29"/>
      <c r="AA91" s="36"/>
      <c r="AB91" s="44"/>
      <c r="AC91" s="44" t="str">
        <f t="shared" si="43"/>
        <v/>
      </c>
      <c r="AD91" s="44" t="str">
        <f t="shared" si="44"/>
        <v/>
      </c>
    </row>
    <row r="92" spans="1:30" s="21" customFormat="1" x14ac:dyDescent="0.25">
      <c r="A92" s="25"/>
      <c r="B92" s="27"/>
      <c r="C92" s="26"/>
      <c r="D92" s="26"/>
      <c r="E92" s="38"/>
      <c r="F92" s="38" t="str">
        <f t="shared" si="35"/>
        <v/>
      </c>
      <c r="G92" s="38" t="str">
        <f t="shared" si="36"/>
        <v/>
      </c>
      <c r="H92" s="26"/>
      <c r="I92" s="38"/>
      <c r="J92" s="38" t="str">
        <f t="shared" si="37"/>
        <v/>
      </c>
      <c r="K92" s="38" t="str">
        <f t="shared" si="38"/>
        <v/>
      </c>
      <c r="L92" s="26"/>
      <c r="M92" s="38"/>
      <c r="N92" s="38" t="str">
        <f t="shared" si="39"/>
        <v/>
      </c>
      <c r="O92" s="38" t="str">
        <f t="shared" si="40"/>
        <v/>
      </c>
      <c r="P92" s="26"/>
      <c r="Q92" s="26"/>
      <c r="R92" s="26"/>
      <c r="S92" s="26"/>
      <c r="T92" s="38"/>
      <c r="U92" s="38" t="str">
        <f t="shared" si="41"/>
        <v/>
      </c>
      <c r="V92" s="38" t="str">
        <f t="shared" si="42"/>
        <v/>
      </c>
      <c r="W92" s="26"/>
      <c r="X92" s="27"/>
      <c r="Y92" s="26"/>
      <c r="Z92" s="26"/>
      <c r="AA92" s="35"/>
      <c r="AB92" s="45"/>
      <c r="AC92" s="45" t="str">
        <f t="shared" si="43"/>
        <v/>
      </c>
      <c r="AD92" s="45" t="str">
        <f t="shared" si="44"/>
        <v/>
      </c>
    </row>
    <row r="93" spans="1:30" s="21" customFormat="1" x14ac:dyDescent="0.25">
      <c r="A93" s="28"/>
      <c r="B93" s="30"/>
      <c r="C93" s="29"/>
      <c r="D93" s="29"/>
      <c r="E93" s="39"/>
      <c r="F93" s="39" t="str">
        <f t="shared" si="35"/>
        <v/>
      </c>
      <c r="G93" s="39" t="str">
        <f t="shared" si="36"/>
        <v/>
      </c>
      <c r="H93" s="29"/>
      <c r="I93" s="39"/>
      <c r="J93" s="39" t="str">
        <f t="shared" si="37"/>
        <v/>
      </c>
      <c r="K93" s="39" t="str">
        <f t="shared" si="38"/>
        <v/>
      </c>
      <c r="L93" s="29"/>
      <c r="M93" s="39"/>
      <c r="N93" s="39" t="str">
        <f t="shared" si="39"/>
        <v/>
      </c>
      <c r="O93" s="39" t="str">
        <f t="shared" si="40"/>
        <v/>
      </c>
      <c r="P93" s="29"/>
      <c r="Q93" s="29"/>
      <c r="R93" s="29"/>
      <c r="S93" s="29"/>
      <c r="T93" s="39"/>
      <c r="U93" s="39" t="str">
        <f t="shared" si="41"/>
        <v/>
      </c>
      <c r="V93" s="39" t="str">
        <f t="shared" si="42"/>
        <v/>
      </c>
      <c r="W93" s="29"/>
      <c r="X93" s="30"/>
      <c r="Y93" s="29"/>
      <c r="Z93" s="29"/>
      <c r="AA93" s="36"/>
      <c r="AB93" s="44"/>
      <c r="AC93" s="44" t="str">
        <f t="shared" si="43"/>
        <v/>
      </c>
      <c r="AD93" s="44" t="str">
        <f t="shared" si="44"/>
        <v/>
      </c>
    </row>
    <row r="94" spans="1:30" s="21" customFormat="1" x14ac:dyDescent="0.25">
      <c r="A94" s="25"/>
      <c r="B94" s="27"/>
      <c r="C94" s="26"/>
      <c r="D94" s="26"/>
      <c r="E94" s="38"/>
      <c r="F94" s="38" t="str">
        <f t="shared" si="35"/>
        <v/>
      </c>
      <c r="G94" s="38" t="str">
        <f t="shared" si="36"/>
        <v/>
      </c>
      <c r="H94" s="26"/>
      <c r="I94" s="38"/>
      <c r="J94" s="38" t="str">
        <f t="shared" si="37"/>
        <v/>
      </c>
      <c r="K94" s="38" t="str">
        <f t="shared" si="38"/>
        <v/>
      </c>
      <c r="L94" s="26"/>
      <c r="M94" s="38"/>
      <c r="N94" s="38" t="str">
        <f t="shared" si="39"/>
        <v/>
      </c>
      <c r="O94" s="38" t="str">
        <f t="shared" si="40"/>
        <v/>
      </c>
      <c r="P94" s="26"/>
      <c r="Q94" s="26"/>
      <c r="R94" s="26"/>
      <c r="S94" s="26"/>
      <c r="T94" s="38"/>
      <c r="U94" s="38" t="str">
        <f t="shared" si="41"/>
        <v/>
      </c>
      <c r="V94" s="38" t="str">
        <f t="shared" si="42"/>
        <v/>
      </c>
      <c r="W94" s="26"/>
      <c r="X94" s="27"/>
      <c r="Y94" s="26"/>
      <c r="Z94" s="26"/>
      <c r="AA94" s="35"/>
      <c r="AB94" s="45"/>
      <c r="AC94" s="45" t="str">
        <f t="shared" si="43"/>
        <v/>
      </c>
      <c r="AD94" s="45" t="str">
        <f t="shared" si="44"/>
        <v/>
      </c>
    </row>
    <row r="95" spans="1:30" s="21" customFormat="1" x14ac:dyDescent="0.25">
      <c r="A95" s="28"/>
      <c r="B95" s="30"/>
      <c r="C95" s="29"/>
      <c r="D95" s="29"/>
      <c r="E95" s="39"/>
      <c r="F95" s="39" t="str">
        <f t="shared" si="35"/>
        <v/>
      </c>
      <c r="G95" s="39" t="str">
        <f t="shared" si="36"/>
        <v/>
      </c>
      <c r="H95" s="29"/>
      <c r="I95" s="39"/>
      <c r="J95" s="39" t="str">
        <f t="shared" si="37"/>
        <v/>
      </c>
      <c r="K95" s="39" t="str">
        <f t="shared" si="38"/>
        <v/>
      </c>
      <c r="L95" s="29"/>
      <c r="M95" s="39"/>
      <c r="N95" s="39" t="str">
        <f t="shared" si="39"/>
        <v/>
      </c>
      <c r="O95" s="39" t="str">
        <f t="shared" si="40"/>
        <v/>
      </c>
      <c r="P95" s="29"/>
      <c r="Q95" s="29"/>
      <c r="R95" s="29"/>
      <c r="S95" s="29"/>
      <c r="T95" s="39"/>
      <c r="U95" s="39" t="str">
        <f t="shared" si="41"/>
        <v/>
      </c>
      <c r="V95" s="39" t="str">
        <f t="shared" si="42"/>
        <v/>
      </c>
      <c r="W95" s="29"/>
      <c r="X95" s="30"/>
      <c r="Y95" s="29"/>
      <c r="Z95" s="29"/>
      <c r="AA95" s="36"/>
      <c r="AB95" s="44"/>
      <c r="AC95" s="44" t="str">
        <f t="shared" si="43"/>
        <v/>
      </c>
      <c r="AD95" s="44" t="str">
        <f t="shared" si="44"/>
        <v/>
      </c>
    </row>
    <row r="96" spans="1:30" s="21" customFormat="1" x14ac:dyDescent="0.25">
      <c r="A96" s="25"/>
      <c r="B96" s="27"/>
      <c r="C96" s="26"/>
      <c r="D96" s="26"/>
      <c r="E96" s="38"/>
      <c r="F96" s="38" t="str">
        <f t="shared" si="35"/>
        <v/>
      </c>
      <c r="G96" s="38" t="str">
        <f t="shared" si="36"/>
        <v/>
      </c>
      <c r="H96" s="26"/>
      <c r="I96" s="38"/>
      <c r="J96" s="38" t="str">
        <f t="shared" si="37"/>
        <v/>
      </c>
      <c r="K96" s="38" t="str">
        <f t="shared" si="38"/>
        <v/>
      </c>
      <c r="L96" s="26"/>
      <c r="M96" s="38"/>
      <c r="N96" s="38" t="str">
        <f t="shared" si="39"/>
        <v/>
      </c>
      <c r="O96" s="38" t="str">
        <f t="shared" si="40"/>
        <v/>
      </c>
      <c r="P96" s="26"/>
      <c r="Q96" s="26"/>
      <c r="R96" s="26"/>
      <c r="S96" s="26"/>
      <c r="T96" s="38"/>
      <c r="U96" s="38" t="str">
        <f t="shared" si="41"/>
        <v/>
      </c>
      <c r="V96" s="38" t="str">
        <f t="shared" si="42"/>
        <v/>
      </c>
      <c r="W96" s="26"/>
      <c r="X96" s="27"/>
      <c r="Y96" s="26"/>
      <c r="Z96" s="26"/>
      <c r="AA96" s="35"/>
      <c r="AB96" s="45"/>
      <c r="AC96" s="45" t="str">
        <f t="shared" si="43"/>
        <v/>
      </c>
      <c r="AD96" s="45" t="str">
        <f t="shared" si="44"/>
        <v/>
      </c>
    </row>
    <row r="97" spans="1:30" s="21" customFormat="1" x14ac:dyDescent="0.25">
      <c r="A97" s="28"/>
      <c r="B97" s="30"/>
      <c r="C97" s="29"/>
      <c r="D97" s="29"/>
      <c r="E97" s="39"/>
      <c r="F97" s="39" t="str">
        <f t="shared" si="35"/>
        <v/>
      </c>
      <c r="G97" s="39" t="str">
        <f t="shared" si="36"/>
        <v/>
      </c>
      <c r="H97" s="29"/>
      <c r="I97" s="39"/>
      <c r="J97" s="39" t="str">
        <f t="shared" si="37"/>
        <v/>
      </c>
      <c r="K97" s="39" t="str">
        <f t="shared" si="38"/>
        <v/>
      </c>
      <c r="L97" s="29"/>
      <c r="M97" s="39"/>
      <c r="N97" s="39" t="str">
        <f t="shared" si="39"/>
        <v/>
      </c>
      <c r="O97" s="39" t="str">
        <f t="shared" si="40"/>
        <v/>
      </c>
      <c r="P97" s="29"/>
      <c r="Q97" s="29"/>
      <c r="R97" s="29"/>
      <c r="S97" s="29"/>
      <c r="T97" s="39"/>
      <c r="U97" s="39" t="str">
        <f t="shared" si="41"/>
        <v/>
      </c>
      <c r="V97" s="39" t="str">
        <f t="shared" si="42"/>
        <v/>
      </c>
      <c r="W97" s="29"/>
      <c r="X97" s="30"/>
      <c r="Y97" s="29"/>
      <c r="Z97" s="29"/>
      <c r="AA97" s="36"/>
      <c r="AB97" s="44"/>
      <c r="AC97" s="44" t="str">
        <f t="shared" si="43"/>
        <v/>
      </c>
      <c r="AD97" s="44" t="str">
        <f t="shared" si="44"/>
        <v/>
      </c>
    </row>
    <row r="98" spans="1:30" s="21" customFormat="1" x14ac:dyDescent="0.25">
      <c r="A98" s="25"/>
      <c r="B98" s="27"/>
      <c r="C98" s="26"/>
      <c r="D98" s="26"/>
      <c r="E98" s="38"/>
      <c r="F98" s="38" t="str">
        <f t="shared" si="35"/>
        <v/>
      </c>
      <c r="G98" s="38" t="str">
        <f t="shared" si="36"/>
        <v/>
      </c>
      <c r="H98" s="26"/>
      <c r="I98" s="38"/>
      <c r="J98" s="38" t="str">
        <f t="shared" si="37"/>
        <v/>
      </c>
      <c r="K98" s="38" t="str">
        <f t="shared" si="38"/>
        <v/>
      </c>
      <c r="L98" s="26"/>
      <c r="M98" s="38"/>
      <c r="N98" s="38" t="str">
        <f t="shared" si="39"/>
        <v/>
      </c>
      <c r="O98" s="38" t="str">
        <f t="shared" si="40"/>
        <v/>
      </c>
      <c r="P98" s="26"/>
      <c r="Q98" s="26"/>
      <c r="R98" s="26"/>
      <c r="S98" s="26"/>
      <c r="T98" s="38"/>
      <c r="U98" s="38" t="str">
        <f t="shared" si="41"/>
        <v/>
      </c>
      <c r="V98" s="38" t="str">
        <f t="shared" si="42"/>
        <v/>
      </c>
      <c r="W98" s="26"/>
      <c r="X98" s="27"/>
      <c r="Y98" s="26"/>
      <c r="Z98" s="26"/>
      <c r="AA98" s="35"/>
      <c r="AB98" s="45"/>
      <c r="AC98" s="45" t="str">
        <f t="shared" si="43"/>
        <v/>
      </c>
      <c r="AD98" s="45" t="str">
        <f t="shared" si="44"/>
        <v/>
      </c>
    </row>
    <row r="99" spans="1:30" s="21" customFormat="1" x14ac:dyDescent="0.25">
      <c r="A99" s="28"/>
      <c r="B99" s="30"/>
      <c r="C99" s="29"/>
      <c r="D99" s="29"/>
      <c r="E99" s="39"/>
      <c r="F99" s="39" t="str">
        <f t="shared" si="35"/>
        <v/>
      </c>
      <c r="G99" s="39" t="str">
        <f t="shared" si="36"/>
        <v/>
      </c>
      <c r="H99" s="29"/>
      <c r="I99" s="39"/>
      <c r="J99" s="39" t="str">
        <f t="shared" si="37"/>
        <v/>
      </c>
      <c r="K99" s="39" t="str">
        <f t="shared" si="38"/>
        <v/>
      </c>
      <c r="L99" s="29"/>
      <c r="M99" s="39"/>
      <c r="N99" s="39" t="str">
        <f t="shared" si="39"/>
        <v/>
      </c>
      <c r="O99" s="39" t="str">
        <f t="shared" si="40"/>
        <v/>
      </c>
      <c r="P99" s="29"/>
      <c r="Q99" s="29"/>
      <c r="R99" s="29"/>
      <c r="S99" s="29"/>
      <c r="T99" s="39"/>
      <c r="U99" s="39" t="str">
        <f t="shared" si="41"/>
        <v/>
      </c>
      <c r="V99" s="39" t="str">
        <f t="shared" si="42"/>
        <v/>
      </c>
      <c r="W99" s="29"/>
      <c r="X99" s="30"/>
      <c r="Y99" s="29"/>
      <c r="Z99" s="29"/>
      <c r="AA99" s="36"/>
      <c r="AB99" s="44"/>
      <c r="AC99" s="44" t="str">
        <f t="shared" si="43"/>
        <v/>
      </c>
      <c r="AD99" s="44" t="str">
        <f t="shared" si="44"/>
        <v/>
      </c>
    </row>
    <row r="100" spans="1:30" s="21" customFormat="1" x14ac:dyDescent="0.25">
      <c r="A100" s="25"/>
      <c r="B100" s="27"/>
      <c r="C100" s="26"/>
      <c r="D100" s="26"/>
      <c r="E100" s="38"/>
      <c r="F100" s="38" t="str">
        <f t="shared" si="35"/>
        <v/>
      </c>
      <c r="G100" s="38" t="str">
        <f t="shared" si="36"/>
        <v/>
      </c>
      <c r="H100" s="26"/>
      <c r="I100" s="38"/>
      <c r="J100" s="38" t="str">
        <f t="shared" si="37"/>
        <v/>
      </c>
      <c r="K100" s="38" t="str">
        <f t="shared" si="38"/>
        <v/>
      </c>
      <c r="L100" s="26"/>
      <c r="M100" s="38"/>
      <c r="N100" s="38" t="str">
        <f t="shared" si="39"/>
        <v/>
      </c>
      <c r="O100" s="38" t="str">
        <f t="shared" si="40"/>
        <v/>
      </c>
      <c r="P100" s="26"/>
      <c r="Q100" s="26"/>
      <c r="R100" s="26"/>
      <c r="S100" s="26"/>
      <c r="T100" s="38"/>
      <c r="U100" s="38" t="str">
        <f t="shared" si="41"/>
        <v/>
      </c>
      <c r="V100" s="38" t="str">
        <f t="shared" si="42"/>
        <v/>
      </c>
      <c r="W100" s="26"/>
      <c r="X100" s="27"/>
      <c r="Y100" s="26"/>
      <c r="Z100" s="26"/>
      <c r="AA100" s="35"/>
      <c r="AB100" s="45"/>
      <c r="AC100" s="45" t="str">
        <f t="shared" si="43"/>
        <v/>
      </c>
      <c r="AD100" s="45" t="str">
        <f t="shared" si="44"/>
        <v/>
      </c>
    </row>
    <row r="101" spans="1:30" s="21" customFormat="1" x14ac:dyDescent="0.25">
      <c r="A101" s="28"/>
      <c r="B101" s="30"/>
      <c r="C101" s="29"/>
      <c r="D101" s="29"/>
      <c r="E101" s="29"/>
      <c r="F101" s="39" t="str">
        <f t="shared" si="35"/>
        <v/>
      </c>
      <c r="G101" s="39" t="str">
        <f t="shared" si="36"/>
        <v/>
      </c>
      <c r="H101" s="29"/>
      <c r="I101" s="29"/>
      <c r="J101" s="39" t="str">
        <f t="shared" si="37"/>
        <v/>
      </c>
      <c r="K101" s="39" t="str">
        <f t="shared" si="38"/>
        <v/>
      </c>
      <c r="L101" s="29"/>
      <c r="M101" s="29"/>
      <c r="N101" s="39" t="str">
        <f t="shared" si="39"/>
        <v/>
      </c>
      <c r="O101" s="39" t="str">
        <f t="shared" si="40"/>
        <v/>
      </c>
      <c r="P101" s="29"/>
      <c r="Q101" s="29"/>
      <c r="R101" s="29"/>
      <c r="S101" s="29"/>
      <c r="T101" s="29"/>
      <c r="U101" s="39" t="str">
        <f t="shared" si="41"/>
        <v/>
      </c>
      <c r="V101" s="39" t="str">
        <f t="shared" si="42"/>
        <v/>
      </c>
      <c r="W101" s="29"/>
      <c r="X101" s="30"/>
      <c r="Y101" s="29"/>
      <c r="Z101" s="29"/>
      <c r="AA101" s="36"/>
      <c r="AB101" s="46"/>
      <c r="AC101" s="44" t="str">
        <f t="shared" si="43"/>
        <v/>
      </c>
      <c r="AD101" s="44" t="str">
        <f t="shared" si="44"/>
        <v/>
      </c>
    </row>
    <row r="102" spans="1:30" s="21" customFormat="1" x14ac:dyDescent="0.25">
      <c r="A102" s="25"/>
      <c r="B102" s="27"/>
      <c r="C102" s="26"/>
      <c r="D102" s="26"/>
      <c r="E102" s="26"/>
      <c r="F102" s="38" t="str">
        <f t="shared" ref="F102:F133" si="45">IF(D102="","",_xlfn.TRANSLATE(D102,"vi","ja"))</f>
        <v/>
      </c>
      <c r="G102" s="38" t="str">
        <f t="shared" ref="G102:G133" si="46">IF(D102="","",_xlfn.TRANSLATE(D102,"vi","zh-Hans"))</f>
        <v/>
      </c>
      <c r="H102" s="26"/>
      <c r="I102" s="26"/>
      <c r="J102" s="38" t="str">
        <f t="shared" ref="J102:J133" si="47">IF(H102="","",_xlfn.TRANSLATE(H102,"vi","ja"))</f>
        <v/>
      </c>
      <c r="K102" s="38" t="str">
        <f t="shared" ref="K102:K133" si="48">IF(H102="","",_xlfn.TRANSLATE(H102,"vi","zh-Hans"))</f>
        <v/>
      </c>
      <c r="L102" s="26"/>
      <c r="M102" s="26"/>
      <c r="N102" s="38" t="str">
        <f t="shared" ref="N102:N133" si="49">IF(L102="","",_xlfn.TRANSLATE(L102,"vi","ja"))</f>
        <v/>
      </c>
      <c r="O102" s="38" t="str">
        <f t="shared" ref="O102:O133" si="50">IF(L102="","",_xlfn.TRANSLATE(L102,"vi","zh-Hans"))</f>
        <v/>
      </c>
      <c r="P102" s="26"/>
      <c r="Q102" s="26"/>
      <c r="R102" s="26"/>
      <c r="S102" s="26"/>
      <c r="T102" s="26"/>
      <c r="U102" s="38" t="str">
        <f t="shared" ref="U102:U133" si="51">IF(S102="","",_xlfn.TRANSLATE(S102,"vi","ja"))</f>
        <v/>
      </c>
      <c r="V102" s="38" t="str">
        <f t="shared" ref="V102:V133" si="52">IF(S102="","",_xlfn.TRANSLATE(S102,"vi","zh-Hans"))</f>
        <v/>
      </c>
      <c r="W102" s="26"/>
      <c r="X102" s="27"/>
      <c r="Y102" s="26"/>
      <c r="Z102" s="26"/>
      <c r="AA102" s="35"/>
      <c r="AB102" s="47"/>
      <c r="AC102" s="45" t="str">
        <f t="shared" ref="AC102:AC133" si="53">IF(AA102="","",_xlfn.TRANSLATE(AA102,"vi","ja"))</f>
        <v/>
      </c>
      <c r="AD102" s="45" t="str">
        <f t="shared" ref="AD102:AD133" si="54">IF(AA102="","",_xlfn.TRANSLATE(AA102,"vi","zh-Hans"))</f>
        <v/>
      </c>
    </row>
    <row r="103" spans="1:30" s="21" customFormat="1" x14ac:dyDescent="0.25">
      <c r="A103" s="28"/>
      <c r="B103" s="30"/>
      <c r="C103" s="29"/>
      <c r="D103" s="29"/>
      <c r="E103" s="29"/>
      <c r="F103" s="39" t="str">
        <f t="shared" si="45"/>
        <v/>
      </c>
      <c r="G103" s="39" t="str">
        <f t="shared" si="46"/>
        <v/>
      </c>
      <c r="H103" s="29"/>
      <c r="I103" s="29"/>
      <c r="J103" s="39" t="str">
        <f t="shared" si="47"/>
        <v/>
      </c>
      <c r="K103" s="39" t="str">
        <f t="shared" si="48"/>
        <v/>
      </c>
      <c r="L103" s="29"/>
      <c r="M103" s="29"/>
      <c r="N103" s="39" t="str">
        <f t="shared" si="49"/>
        <v/>
      </c>
      <c r="O103" s="39" t="str">
        <f t="shared" si="50"/>
        <v/>
      </c>
      <c r="P103" s="29"/>
      <c r="Q103" s="29"/>
      <c r="R103" s="29"/>
      <c r="S103" s="29"/>
      <c r="T103" s="29"/>
      <c r="U103" s="39" t="str">
        <f t="shared" si="51"/>
        <v/>
      </c>
      <c r="V103" s="39" t="str">
        <f t="shared" si="52"/>
        <v/>
      </c>
      <c r="W103" s="29"/>
      <c r="X103" s="30"/>
      <c r="Y103" s="29"/>
      <c r="Z103" s="29"/>
      <c r="AA103" s="36"/>
      <c r="AB103" s="46"/>
      <c r="AC103" s="44" t="str">
        <f t="shared" si="53"/>
        <v/>
      </c>
      <c r="AD103" s="44" t="str">
        <f t="shared" si="54"/>
        <v/>
      </c>
    </row>
    <row r="104" spans="1:30" s="21" customFormat="1" x14ac:dyDescent="0.25">
      <c r="A104" s="25"/>
      <c r="B104" s="27"/>
      <c r="C104" s="26"/>
      <c r="D104" s="26"/>
      <c r="E104" s="26"/>
      <c r="F104" s="38" t="str">
        <f t="shared" si="45"/>
        <v/>
      </c>
      <c r="G104" s="38" t="str">
        <f t="shared" si="46"/>
        <v/>
      </c>
      <c r="H104" s="26"/>
      <c r="I104" s="26"/>
      <c r="J104" s="38" t="str">
        <f t="shared" si="47"/>
        <v/>
      </c>
      <c r="K104" s="38" t="str">
        <f t="shared" si="48"/>
        <v/>
      </c>
      <c r="L104" s="26"/>
      <c r="M104" s="26"/>
      <c r="N104" s="38" t="str">
        <f t="shared" si="49"/>
        <v/>
      </c>
      <c r="O104" s="38" t="str">
        <f t="shared" si="50"/>
        <v/>
      </c>
      <c r="P104" s="26"/>
      <c r="Q104" s="26"/>
      <c r="R104" s="26"/>
      <c r="S104" s="26"/>
      <c r="T104" s="26"/>
      <c r="U104" s="38" t="str">
        <f t="shared" si="51"/>
        <v/>
      </c>
      <c r="V104" s="38" t="str">
        <f t="shared" si="52"/>
        <v/>
      </c>
      <c r="W104" s="26"/>
      <c r="X104" s="27"/>
      <c r="Y104" s="26"/>
      <c r="Z104" s="26"/>
      <c r="AA104" s="35"/>
      <c r="AB104" s="47"/>
      <c r="AC104" s="45" t="str">
        <f t="shared" si="53"/>
        <v/>
      </c>
      <c r="AD104" s="45" t="str">
        <f t="shared" si="54"/>
        <v/>
      </c>
    </row>
    <row r="105" spans="1:30" s="21" customFormat="1" x14ac:dyDescent="0.25">
      <c r="A105" s="28"/>
      <c r="B105" s="30"/>
      <c r="C105" s="29"/>
      <c r="D105" s="29"/>
      <c r="E105" s="29"/>
      <c r="F105" s="39" t="str">
        <f t="shared" si="45"/>
        <v/>
      </c>
      <c r="G105" s="39" t="str">
        <f t="shared" si="46"/>
        <v/>
      </c>
      <c r="H105" s="29"/>
      <c r="I105" s="29"/>
      <c r="J105" s="39" t="str">
        <f t="shared" si="47"/>
        <v/>
      </c>
      <c r="K105" s="39" t="str">
        <f t="shared" si="48"/>
        <v/>
      </c>
      <c r="L105" s="29"/>
      <c r="M105" s="29"/>
      <c r="N105" s="39" t="str">
        <f t="shared" si="49"/>
        <v/>
      </c>
      <c r="O105" s="39" t="str">
        <f t="shared" si="50"/>
        <v/>
      </c>
      <c r="P105" s="29"/>
      <c r="Q105" s="29"/>
      <c r="R105" s="29"/>
      <c r="S105" s="29"/>
      <c r="T105" s="29"/>
      <c r="U105" s="39" t="str">
        <f t="shared" si="51"/>
        <v/>
      </c>
      <c r="V105" s="39" t="str">
        <f t="shared" si="52"/>
        <v/>
      </c>
      <c r="W105" s="29"/>
      <c r="X105" s="30"/>
      <c r="Y105" s="29"/>
      <c r="Z105" s="29"/>
      <c r="AA105" s="36"/>
      <c r="AB105" s="46"/>
      <c r="AC105" s="44" t="str">
        <f t="shared" si="53"/>
        <v/>
      </c>
      <c r="AD105" s="44" t="str">
        <f t="shared" si="54"/>
        <v/>
      </c>
    </row>
    <row r="106" spans="1:30" s="21" customFormat="1" x14ac:dyDescent="0.25">
      <c r="A106" s="25"/>
      <c r="B106" s="27"/>
      <c r="C106" s="26"/>
      <c r="D106" s="26"/>
      <c r="E106" s="26"/>
      <c r="F106" s="38" t="str">
        <f t="shared" si="45"/>
        <v/>
      </c>
      <c r="G106" s="38" t="str">
        <f t="shared" si="46"/>
        <v/>
      </c>
      <c r="H106" s="26"/>
      <c r="I106" s="26"/>
      <c r="J106" s="38" t="str">
        <f t="shared" si="47"/>
        <v/>
      </c>
      <c r="K106" s="38" t="str">
        <f t="shared" si="48"/>
        <v/>
      </c>
      <c r="L106" s="26"/>
      <c r="M106" s="26"/>
      <c r="N106" s="38" t="str">
        <f t="shared" si="49"/>
        <v/>
      </c>
      <c r="O106" s="38" t="str">
        <f t="shared" si="50"/>
        <v/>
      </c>
      <c r="P106" s="26"/>
      <c r="Q106" s="26"/>
      <c r="R106" s="26"/>
      <c r="S106" s="26"/>
      <c r="T106" s="26"/>
      <c r="U106" s="38" t="str">
        <f t="shared" si="51"/>
        <v/>
      </c>
      <c r="V106" s="38" t="str">
        <f t="shared" si="52"/>
        <v/>
      </c>
      <c r="W106" s="26"/>
      <c r="X106" s="27"/>
      <c r="Y106" s="26"/>
      <c r="Z106" s="26"/>
      <c r="AA106" s="35"/>
      <c r="AB106" s="47"/>
      <c r="AC106" s="45" t="str">
        <f t="shared" si="53"/>
        <v/>
      </c>
      <c r="AD106" s="45" t="str">
        <f t="shared" si="54"/>
        <v/>
      </c>
    </row>
    <row r="107" spans="1:30" s="21" customFormat="1" x14ac:dyDescent="0.25">
      <c r="A107" s="28"/>
      <c r="B107" s="30"/>
      <c r="C107" s="29"/>
      <c r="D107" s="29"/>
      <c r="E107" s="29"/>
      <c r="F107" s="39" t="str">
        <f t="shared" si="45"/>
        <v/>
      </c>
      <c r="G107" s="39" t="str">
        <f t="shared" si="46"/>
        <v/>
      </c>
      <c r="H107" s="29"/>
      <c r="I107" s="29"/>
      <c r="J107" s="39" t="str">
        <f t="shared" si="47"/>
        <v/>
      </c>
      <c r="K107" s="39" t="str">
        <f t="shared" si="48"/>
        <v/>
      </c>
      <c r="L107" s="29"/>
      <c r="M107" s="29"/>
      <c r="N107" s="39" t="str">
        <f t="shared" si="49"/>
        <v/>
      </c>
      <c r="O107" s="39" t="str">
        <f t="shared" si="50"/>
        <v/>
      </c>
      <c r="P107" s="29"/>
      <c r="Q107" s="29"/>
      <c r="R107" s="29"/>
      <c r="S107" s="29"/>
      <c r="T107" s="29"/>
      <c r="U107" s="39" t="str">
        <f t="shared" si="51"/>
        <v/>
      </c>
      <c r="V107" s="39" t="str">
        <f t="shared" si="52"/>
        <v/>
      </c>
      <c r="W107" s="29"/>
      <c r="X107" s="30"/>
      <c r="Y107" s="29"/>
      <c r="Z107" s="29"/>
      <c r="AA107" s="36"/>
      <c r="AB107" s="46"/>
      <c r="AC107" s="44" t="str">
        <f t="shared" si="53"/>
        <v/>
      </c>
      <c r="AD107" s="44" t="str">
        <f t="shared" si="54"/>
        <v/>
      </c>
    </row>
    <row r="108" spans="1:30" s="21" customFormat="1" x14ac:dyDescent="0.25">
      <c r="A108" s="25"/>
      <c r="B108" s="27"/>
      <c r="C108" s="26"/>
      <c r="D108" s="26"/>
      <c r="E108" s="26"/>
      <c r="F108" s="38" t="str">
        <f t="shared" si="45"/>
        <v/>
      </c>
      <c r="G108" s="38" t="str">
        <f t="shared" si="46"/>
        <v/>
      </c>
      <c r="H108" s="26"/>
      <c r="I108" s="26"/>
      <c r="J108" s="38" t="str">
        <f t="shared" si="47"/>
        <v/>
      </c>
      <c r="K108" s="38" t="str">
        <f t="shared" si="48"/>
        <v/>
      </c>
      <c r="L108" s="26"/>
      <c r="M108" s="26"/>
      <c r="N108" s="38" t="str">
        <f t="shared" si="49"/>
        <v/>
      </c>
      <c r="O108" s="38" t="str">
        <f t="shared" si="50"/>
        <v/>
      </c>
      <c r="P108" s="26"/>
      <c r="Q108" s="26"/>
      <c r="R108" s="26"/>
      <c r="S108" s="26"/>
      <c r="T108" s="26"/>
      <c r="U108" s="38" t="str">
        <f t="shared" si="51"/>
        <v/>
      </c>
      <c r="V108" s="38" t="str">
        <f t="shared" si="52"/>
        <v/>
      </c>
      <c r="W108" s="26"/>
      <c r="X108" s="27"/>
      <c r="Y108" s="26"/>
      <c r="Z108" s="26"/>
      <c r="AA108" s="35"/>
      <c r="AB108" s="47"/>
      <c r="AC108" s="45" t="str">
        <f t="shared" si="53"/>
        <v/>
      </c>
      <c r="AD108" s="45" t="str">
        <f t="shared" si="54"/>
        <v/>
      </c>
    </row>
    <row r="109" spans="1:30" s="21" customFormat="1" x14ac:dyDescent="0.25">
      <c r="A109" s="28"/>
      <c r="B109" s="30"/>
      <c r="C109" s="29"/>
      <c r="D109" s="29"/>
      <c r="E109" s="29"/>
      <c r="F109" s="39" t="str">
        <f t="shared" si="45"/>
        <v/>
      </c>
      <c r="G109" s="39" t="str">
        <f t="shared" si="46"/>
        <v/>
      </c>
      <c r="H109" s="29"/>
      <c r="I109" s="29"/>
      <c r="J109" s="39" t="str">
        <f t="shared" si="47"/>
        <v/>
      </c>
      <c r="K109" s="39" t="str">
        <f t="shared" si="48"/>
        <v/>
      </c>
      <c r="L109" s="29"/>
      <c r="M109" s="29"/>
      <c r="N109" s="39" t="str">
        <f t="shared" si="49"/>
        <v/>
      </c>
      <c r="O109" s="39" t="str">
        <f t="shared" si="50"/>
        <v/>
      </c>
      <c r="P109" s="29"/>
      <c r="Q109" s="29"/>
      <c r="R109" s="29"/>
      <c r="S109" s="29"/>
      <c r="T109" s="29"/>
      <c r="U109" s="39" t="str">
        <f t="shared" si="51"/>
        <v/>
      </c>
      <c r="V109" s="39" t="str">
        <f t="shared" si="52"/>
        <v/>
      </c>
      <c r="W109" s="29"/>
      <c r="X109" s="30"/>
      <c r="Y109" s="29"/>
      <c r="Z109" s="29"/>
      <c r="AA109" s="36"/>
      <c r="AB109" s="46"/>
      <c r="AC109" s="44" t="str">
        <f t="shared" si="53"/>
        <v/>
      </c>
      <c r="AD109" s="44" t="str">
        <f t="shared" si="54"/>
        <v/>
      </c>
    </row>
    <row r="110" spans="1:30" s="21" customFormat="1" x14ac:dyDescent="0.25">
      <c r="A110" s="25"/>
      <c r="B110" s="27"/>
      <c r="C110" s="26"/>
      <c r="D110" s="26"/>
      <c r="E110" s="26"/>
      <c r="F110" s="38" t="str">
        <f t="shared" si="45"/>
        <v/>
      </c>
      <c r="G110" s="38" t="str">
        <f t="shared" si="46"/>
        <v/>
      </c>
      <c r="H110" s="26"/>
      <c r="I110" s="26"/>
      <c r="J110" s="38" t="str">
        <f t="shared" si="47"/>
        <v/>
      </c>
      <c r="K110" s="38" t="str">
        <f t="shared" si="48"/>
        <v/>
      </c>
      <c r="L110" s="26"/>
      <c r="M110" s="26"/>
      <c r="N110" s="38" t="str">
        <f t="shared" si="49"/>
        <v/>
      </c>
      <c r="O110" s="38" t="str">
        <f t="shared" si="50"/>
        <v/>
      </c>
      <c r="P110" s="26"/>
      <c r="Q110" s="26"/>
      <c r="R110" s="26"/>
      <c r="S110" s="26"/>
      <c r="T110" s="26"/>
      <c r="U110" s="38" t="str">
        <f t="shared" si="51"/>
        <v/>
      </c>
      <c r="V110" s="38" t="str">
        <f t="shared" si="52"/>
        <v/>
      </c>
      <c r="W110" s="26"/>
      <c r="X110" s="27"/>
      <c r="Y110" s="26"/>
      <c r="Z110" s="26"/>
      <c r="AA110" s="35"/>
      <c r="AB110" s="47"/>
      <c r="AC110" s="45" t="str">
        <f t="shared" si="53"/>
        <v/>
      </c>
      <c r="AD110" s="45" t="str">
        <f t="shared" si="54"/>
        <v/>
      </c>
    </row>
    <row r="111" spans="1:30" s="21" customFormat="1" x14ac:dyDescent="0.25">
      <c r="A111" s="28"/>
      <c r="B111" s="30"/>
      <c r="C111" s="29"/>
      <c r="D111" s="29"/>
      <c r="E111" s="29"/>
      <c r="F111" s="39" t="str">
        <f t="shared" si="45"/>
        <v/>
      </c>
      <c r="G111" s="39" t="str">
        <f t="shared" si="46"/>
        <v/>
      </c>
      <c r="H111" s="29"/>
      <c r="I111" s="29"/>
      <c r="J111" s="39" t="str">
        <f t="shared" si="47"/>
        <v/>
      </c>
      <c r="K111" s="39" t="str">
        <f t="shared" si="48"/>
        <v/>
      </c>
      <c r="L111" s="29"/>
      <c r="M111" s="29"/>
      <c r="N111" s="39" t="str">
        <f t="shared" si="49"/>
        <v/>
      </c>
      <c r="O111" s="39" t="str">
        <f t="shared" si="50"/>
        <v/>
      </c>
      <c r="P111" s="29"/>
      <c r="Q111" s="29"/>
      <c r="R111" s="29"/>
      <c r="S111" s="29"/>
      <c r="T111" s="29"/>
      <c r="U111" s="39" t="str">
        <f t="shared" si="51"/>
        <v/>
      </c>
      <c r="V111" s="39" t="str">
        <f t="shared" si="52"/>
        <v/>
      </c>
      <c r="W111" s="29"/>
      <c r="X111" s="30"/>
      <c r="Y111" s="29"/>
      <c r="Z111" s="29"/>
      <c r="AA111" s="36"/>
      <c r="AB111" s="46"/>
      <c r="AC111" s="44" t="str">
        <f t="shared" si="53"/>
        <v/>
      </c>
      <c r="AD111" s="44" t="str">
        <f t="shared" si="54"/>
        <v/>
      </c>
    </row>
    <row r="112" spans="1:30" s="21" customFormat="1" x14ac:dyDescent="0.25">
      <c r="A112" s="25"/>
      <c r="B112" s="27"/>
      <c r="C112" s="26"/>
      <c r="D112" s="26"/>
      <c r="E112" s="26"/>
      <c r="F112" s="38" t="str">
        <f t="shared" si="45"/>
        <v/>
      </c>
      <c r="G112" s="38" t="str">
        <f t="shared" si="46"/>
        <v/>
      </c>
      <c r="H112" s="26"/>
      <c r="I112" s="26"/>
      <c r="J112" s="38" t="str">
        <f t="shared" si="47"/>
        <v/>
      </c>
      <c r="K112" s="38" t="str">
        <f t="shared" si="48"/>
        <v/>
      </c>
      <c r="L112" s="26"/>
      <c r="M112" s="26"/>
      <c r="N112" s="38" t="str">
        <f t="shared" si="49"/>
        <v/>
      </c>
      <c r="O112" s="38" t="str">
        <f t="shared" si="50"/>
        <v/>
      </c>
      <c r="P112" s="26"/>
      <c r="Q112" s="26"/>
      <c r="R112" s="26"/>
      <c r="S112" s="26"/>
      <c r="T112" s="26"/>
      <c r="U112" s="38" t="str">
        <f t="shared" si="51"/>
        <v/>
      </c>
      <c r="V112" s="38" t="str">
        <f t="shared" si="52"/>
        <v/>
      </c>
      <c r="W112" s="26"/>
      <c r="X112" s="27"/>
      <c r="Y112" s="26"/>
      <c r="Z112" s="26"/>
      <c r="AA112" s="35"/>
      <c r="AB112" s="47"/>
      <c r="AC112" s="45" t="str">
        <f t="shared" si="53"/>
        <v/>
      </c>
      <c r="AD112" s="45" t="str">
        <f t="shared" si="54"/>
        <v/>
      </c>
    </row>
    <row r="113" spans="1:30" s="21" customFormat="1" x14ac:dyDescent="0.25">
      <c r="A113" s="28"/>
      <c r="B113" s="30"/>
      <c r="C113" s="29"/>
      <c r="D113" s="29"/>
      <c r="E113" s="29"/>
      <c r="F113" s="39" t="str">
        <f t="shared" si="45"/>
        <v/>
      </c>
      <c r="G113" s="39" t="str">
        <f t="shared" si="46"/>
        <v/>
      </c>
      <c r="H113" s="29"/>
      <c r="I113" s="29"/>
      <c r="J113" s="39" t="str">
        <f t="shared" si="47"/>
        <v/>
      </c>
      <c r="K113" s="39" t="str">
        <f t="shared" si="48"/>
        <v/>
      </c>
      <c r="L113" s="29"/>
      <c r="M113" s="29"/>
      <c r="N113" s="39" t="str">
        <f t="shared" si="49"/>
        <v/>
      </c>
      <c r="O113" s="39" t="str">
        <f t="shared" si="50"/>
        <v/>
      </c>
      <c r="P113" s="29"/>
      <c r="Q113" s="29"/>
      <c r="R113" s="29"/>
      <c r="S113" s="29"/>
      <c r="T113" s="29"/>
      <c r="U113" s="39" t="str">
        <f t="shared" si="51"/>
        <v/>
      </c>
      <c r="V113" s="39" t="str">
        <f t="shared" si="52"/>
        <v/>
      </c>
      <c r="W113" s="29"/>
      <c r="X113" s="30"/>
      <c r="Y113" s="29"/>
      <c r="Z113" s="29"/>
      <c r="AA113" s="36"/>
      <c r="AB113" s="46"/>
      <c r="AC113" s="44" t="str">
        <f t="shared" si="53"/>
        <v/>
      </c>
      <c r="AD113" s="44" t="str">
        <f t="shared" si="54"/>
        <v/>
      </c>
    </row>
    <row r="114" spans="1:30" s="21" customFormat="1" x14ac:dyDescent="0.25">
      <c r="A114" s="25"/>
      <c r="B114" s="27"/>
      <c r="C114" s="26"/>
      <c r="D114" s="26"/>
      <c r="E114" s="26"/>
      <c r="F114" s="38" t="str">
        <f t="shared" si="45"/>
        <v/>
      </c>
      <c r="G114" s="38" t="str">
        <f t="shared" si="46"/>
        <v/>
      </c>
      <c r="H114" s="26"/>
      <c r="I114" s="26"/>
      <c r="J114" s="38" t="str">
        <f t="shared" si="47"/>
        <v/>
      </c>
      <c r="K114" s="38" t="str">
        <f t="shared" si="48"/>
        <v/>
      </c>
      <c r="L114" s="26"/>
      <c r="M114" s="26"/>
      <c r="N114" s="38" t="str">
        <f t="shared" si="49"/>
        <v/>
      </c>
      <c r="O114" s="38" t="str">
        <f t="shared" si="50"/>
        <v/>
      </c>
      <c r="P114" s="26"/>
      <c r="Q114" s="26"/>
      <c r="R114" s="26"/>
      <c r="S114" s="26"/>
      <c r="T114" s="26"/>
      <c r="U114" s="38" t="str">
        <f t="shared" si="51"/>
        <v/>
      </c>
      <c r="V114" s="38" t="str">
        <f t="shared" si="52"/>
        <v/>
      </c>
      <c r="W114" s="26"/>
      <c r="X114" s="27"/>
      <c r="Y114" s="26"/>
      <c r="Z114" s="26"/>
      <c r="AA114" s="35"/>
      <c r="AB114" s="47"/>
      <c r="AC114" s="45" t="str">
        <f t="shared" si="53"/>
        <v/>
      </c>
      <c r="AD114" s="45" t="str">
        <f t="shared" si="54"/>
        <v/>
      </c>
    </row>
    <row r="115" spans="1:30" s="21" customFormat="1" x14ac:dyDescent="0.25">
      <c r="A115" s="28"/>
      <c r="B115" s="30"/>
      <c r="C115" s="29"/>
      <c r="D115" s="29"/>
      <c r="E115" s="29"/>
      <c r="F115" s="39" t="str">
        <f t="shared" si="45"/>
        <v/>
      </c>
      <c r="G115" s="39" t="str">
        <f t="shared" si="46"/>
        <v/>
      </c>
      <c r="H115" s="29"/>
      <c r="I115" s="29"/>
      <c r="J115" s="39" t="str">
        <f t="shared" si="47"/>
        <v/>
      </c>
      <c r="K115" s="39" t="str">
        <f t="shared" si="48"/>
        <v/>
      </c>
      <c r="L115" s="29"/>
      <c r="M115" s="29"/>
      <c r="N115" s="39" t="str">
        <f t="shared" si="49"/>
        <v/>
      </c>
      <c r="O115" s="39" t="str">
        <f t="shared" si="50"/>
        <v/>
      </c>
      <c r="P115" s="29"/>
      <c r="Q115" s="29"/>
      <c r="R115" s="29"/>
      <c r="S115" s="29"/>
      <c r="T115" s="29"/>
      <c r="U115" s="39" t="str">
        <f t="shared" si="51"/>
        <v/>
      </c>
      <c r="V115" s="39" t="str">
        <f t="shared" si="52"/>
        <v/>
      </c>
      <c r="W115" s="29"/>
      <c r="X115" s="30"/>
      <c r="Y115" s="29"/>
      <c r="Z115" s="29"/>
      <c r="AA115" s="36"/>
      <c r="AB115" s="46"/>
      <c r="AC115" s="44" t="str">
        <f t="shared" si="53"/>
        <v/>
      </c>
      <c r="AD115" s="44" t="str">
        <f t="shared" si="54"/>
        <v/>
      </c>
    </row>
    <row r="116" spans="1:30" s="21" customFormat="1" x14ac:dyDescent="0.25">
      <c r="A116" s="25"/>
      <c r="B116" s="27"/>
      <c r="C116" s="26"/>
      <c r="D116" s="26"/>
      <c r="E116" s="26"/>
      <c r="F116" s="38" t="str">
        <f t="shared" si="45"/>
        <v/>
      </c>
      <c r="G116" s="38" t="str">
        <f t="shared" si="46"/>
        <v/>
      </c>
      <c r="H116" s="26"/>
      <c r="I116" s="26"/>
      <c r="J116" s="38" t="str">
        <f t="shared" si="47"/>
        <v/>
      </c>
      <c r="K116" s="38" t="str">
        <f t="shared" si="48"/>
        <v/>
      </c>
      <c r="L116" s="26"/>
      <c r="M116" s="26"/>
      <c r="N116" s="38" t="str">
        <f t="shared" si="49"/>
        <v/>
      </c>
      <c r="O116" s="38" t="str">
        <f t="shared" si="50"/>
        <v/>
      </c>
      <c r="P116" s="26"/>
      <c r="Q116" s="26"/>
      <c r="R116" s="26"/>
      <c r="S116" s="26"/>
      <c r="T116" s="26"/>
      <c r="U116" s="38" t="str">
        <f t="shared" si="51"/>
        <v/>
      </c>
      <c r="V116" s="38" t="str">
        <f t="shared" si="52"/>
        <v/>
      </c>
      <c r="W116" s="26"/>
      <c r="X116" s="27"/>
      <c r="Y116" s="26"/>
      <c r="Z116" s="26"/>
      <c r="AA116" s="35"/>
      <c r="AB116" s="47"/>
      <c r="AC116" s="45" t="str">
        <f t="shared" si="53"/>
        <v/>
      </c>
      <c r="AD116" s="45" t="str">
        <f t="shared" si="54"/>
        <v/>
      </c>
    </row>
    <row r="117" spans="1:30" s="21" customFormat="1" x14ac:dyDescent="0.25">
      <c r="A117" s="28"/>
      <c r="B117" s="30"/>
      <c r="C117" s="29"/>
      <c r="D117" s="29"/>
      <c r="E117" s="29"/>
      <c r="F117" s="39" t="str">
        <f t="shared" si="45"/>
        <v/>
      </c>
      <c r="G117" s="39" t="str">
        <f t="shared" si="46"/>
        <v/>
      </c>
      <c r="H117" s="29"/>
      <c r="I117" s="29"/>
      <c r="J117" s="39" t="str">
        <f t="shared" si="47"/>
        <v/>
      </c>
      <c r="K117" s="39" t="str">
        <f t="shared" si="48"/>
        <v/>
      </c>
      <c r="L117" s="29"/>
      <c r="M117" s="29"/>
      <c r="N117" s="39" t="str">
        <f t="shared" si="49"/>
        <v/>
      </c>
      <c r="O117" s="39" t="str">
        <f t="shared" si="50"/>
        <v/>
      </c>
      <c r="P117" s="29"/>
      <c r="Q117" s="29"/>
      <c r="R117" s="29"/>
      <c r="S117" s="29"/>
      <c r="T117" s="29"/>
      <c r="U117" s="39" t="str">
        <f t="shared" si="51"/>
        <v/>
      </c>
      <c r="V117" s="39" t="str">
        <f t="shared" si="52"/>
        <v/>
      </c>
      <c r="W117" s="29"/>
      <c r="X117" s="30"/>
      <c r="Y117" s="29"/>
      <c r="Z117" s="29"/>
      <c r="AA117" s="36"/>
      <c r="AB117" s="46"/>
      <c r="AC117" s="44" t="str">
        <f t="shared" si="53"/>
        <v/>
      </c>
      <c r="AD117" s="44" t="str">
        <f t="shared" si="54"/>
        <v/>
      </c>
    </row>
    <row r="118" spans="1:30" s="21" customFormat="1" x14ac:dyDescent="0.25">
      <c r="A118" s="25"/>
      <c r="B118" s="27"/>
      <c r="C118" s="26"/>
      <c r="D118" s="26"/>
      <c r="E118" s="26"/>
      <c r="F118" s="38" t="str">
        <f t="shared" si="45"/>
        <v/>
      </c>
      <c r="G118" s="38" t="str">
        <f t="shared" si="46"/>
        <v/>
      </c>
      <c r="H118" s="26"/>
      <c r="I118" s="26"/>
      <c r="J118" s="38" t="str">
        <f t="shared" si="47"/>
        <v/>
      </c>
      <c r="K118" s="38" t="str">
        <f t="shared" si="48"/>
        <v/>
      </c>
      <c r="L118" s="26"/>
      <c r="M118" s="26"/>
      <c r="N118" s="38" t="str">
        <f t="shared" si="49"/>
        <v/>
      </c>
      <c r="O118" s="38" t="str">
        <f t="shared" si="50"/>
        <v/>
      </c>
      <c r="P118" s="26"/>
      <c r="Q118" s="26"/>
      <c r="R118" s="26"/>
      <c r="S118" s="26"/>
      <c r="T118" s="26"/>
      <c r="U118" s="38" t="str">
        <f t="shared" si="51"/>
        <v/>
      </c>
      <c r="V118" s="38" t="str">
        <f t="shared" si="52"/>
        <v/>
      </c>
      <c r="W118" s="26"/>
      <c r="X118" s="27"/>
      <c r="Y118" s="26"/>
      <c r="Z118" s="26"/>
      <c r="AA118" s="35"/>
      <c r="AB118" s="47"/>
      <c r="AC118" s="45" t="str">
        <f t="shared" si="53"/>
        <v/>
      </c>
      <c r="AD118" s="45" t="str">
        <f t="shared" si="54"/>
        <v/>
      </c>
    </row>
    <row r="119" spans="1:30" s="21" customFormat="1" x14ac:dyDescent="0.25">
      <c r="A119" s="28"/>
      <c r="B119" s="30"/>
      <c r="C119" s="29"/>
      <c r="D119" s="29"/>
      <c r="E119" s="29"/>
      <c r="F119" s="39" t="str">
        <f t="shared" si="45"/>
        <v/>
      </c>
      <c r="G119" s="39" t="str">
        <f t="shared" si="46"/>
        <v/>
      </c>
      <c r="H119" s="29"/>
      <c r="I119" s="29"/>
      <c r="J119" s="39" t="str">
        <f t="shared" si="47"/>
        <v/>
      </c>
      <c r="K119" s="39" t="str">
        <f t="shared" si="48"/>
        <v/>
      </c>
      <c r="L119" s="29"/>
      <c r="M119" s="29"/>
      <c r="N119" s="39" t="str">
        <f t="shared" si="49"/>
        <v/>
      </c>
      <c r="O119" s="39" t="str">
        <f t="shared" si="50"/>
        <v/>
      </c>
      <c r="P119" s="29"/>
      <c r="Q119" s="29"/>
      <c r="R119" s="29"/>
      <c r="S119" s="29"/>
      <c r="T119" s="29"/>
      <c r="U119" s="39" t="str">
        <f t="shared" si="51"/>
        <v/>
      </c>
      <c r="V119" s="39" t="str">
        <f t="shared" si="52"/>
        <v/>
      </c>
      <c r="W119" s="29"/>
      <c r="X119" s="30"/>
      <c r="Y119" s="29"/>
      <c r="Z119" s="29"/>
      <c r="AA119" s="36"/>
      <c r="AB119" s="46"/>
      <c r="AC119" s="44" t="str">
        <f t="shared" si="53"/>
        <v/>
      </c>
      <c r="AD119" s="44" t="str">
        <f t="shared" si="54"/>
        <v/>
      </c>
    </row>
    <row r="120" spans="1:30" s="21" customFormat="1" x14ac:dyDescent="0.25">
      <c r="A120" s="25"/>
      <c r="B120" s="27"/>
      <c r="C120" s="26"/>
      <c r="D120" s="26"/>
      <c r="E120" s="26"/>
      <c r="F120" s="38" t="str">
        <f t="shared" si="45"/>
        <v/>
      </c>
      <c r="G120" s="38" t="str">
        <f t="shared" si="46"/>
        <v/>
      </c>
      <c r="H120" s="26"/>
      <c r="I120" s="26"/>
      <c r="J120" s="38" t="str">
        <f t="shared" si="47"/>
        <v/>
      </c>
      <c r="K120" s="38" t="str">
        <f t="shared" si="48"/>
        <v/>
      </c>
      <c r="L120" s="26"/>
      <c r="M120" s="26"/>
      <c r="N120" s="38" t="str">
        <f t="shared" si="49"/>
        <v/>
      </c>
      <c r="O120" s="38" t="str">
        <f t="shared" si="50"/>
        <v/>
      </c>
      <c r="P120" s="26"/>
      <c r="Q120" s="26"/>
      <c r="R120" s="26"/>
      <c r="S120" s="26"/>
      <c r="T120" s="26"/>
      <c r="U120" s="38" t="str">
        <f t="shared" si="51"/>
        <v/>
      </c>
      <c r="V120" s="38" t="str">
        <f t="shared" si="52"/>
        <v/>
      </c>
      <c r="W120" s="26"/>
      <c r="X120" s="27"/>
      <c r="Y120" s="26"/>
      <c r="Z120" s="26"/>
      <c r="AA120" s="35"/>
      <c r="AB120" s="47"/>
      <c r="AC120" s="45" t="str">
        <f t="shared" si="53"/>
        <v/>
      </c>
      <c r="AD120" s="45" t="str">
        <f t="shared" si="54"/>
        <v/>
      </c>
    </row>
    <row r="121" spans="1:30" s="21" customFormat="1" x14ac:dyDescent="0.25">
      <c r="A121" s="28"/>
      <c r="B121" s="30"/>
      <c r="C121" s="29"/>
      <c r="D121" s="29"/>
      <c r="E121" s="29"/>
      <c r="F121" s="39" t="str">
        <f t="shared" si="45"/>
        <v/>
      </c>
      <c r="G121" s="39" t="str">
        <f t="shared" si="46"/>
        <v/>
      </c>
      <c r="H121" s="29"/>
      <c r="I121" s="29"/>
      <c r="J121" s="39" t="str">
        <f t="shared" si="47"/>
        <v/>
      </c>
      <c r="K121" s="39" t="str">
        <f t="shared" si="48"/>
        <v/>
      </c>
      <c r="L121" s="29"/>
      <c r="M121" s="29"/>
      <c r="N121" s="39" t="str">
        <f t="shared" si="49"/>
        <v/>
      </c>
      <c r="O121" s="39" t="str">
        <f t="shared" si="50"/>
        <v/>
      </c>
      <c r="P121" s="29"/>
      <c r="Q121" s="29"/>
      <c r="R121" s="29"/>
      <c r="S121" s="29"/>
      <c r="T121" s="29"/>
      <c r="U121" s="39" t="str">
        <f t="shared" si="51"/>
        <v/>
      </c>
      <c r="V121" s="39" t="str">
        <f t="shared" si="52"/>
        <v/>
      </c>
      <c r="W121" s="29"/>
      <c r="X121" s="30"/>
      <c r="Y121" s="29"/>
      <c r="Z121" s="29"/>
      <c r="AA121" s="36"/>
      <c r="AB121" s="46"/>
      <c r="AC121" s="44" t="str">
        <f t="shared" si="53"/>
        <v/>
      </c>
      <c r="AD121" s="44" t="str">
        <f t="shared" si="54"/>
        <v/>
      </c>
    </row>
    <row r="122" spans="1:30" s="21" customFormat="1" x14ac:dyDescent="0.25">
      <c r="A122" s="25"/>
      <c r="B122" s="27"/>
      <c r="C122" s="26"/>
      <c r="D122" s="26"/>
      <c r="E122" s="26"/>
      <c r="F122" s="38" t="str">
        <f t="shared" si="45"/>
        <v/>
      </c>
      <c r="G122" s="38" t="str">
        <f t="shared" si="46"/>
        <v/>
      </c>
      <c r="H122" s="26"/>
      <c r="I122" s="26"/>
      <c r="J122" s="38" t="str">
        <f t="shared" si="47"/>
        <v/>
      </c>
      <c r="K122" s="38" t="str">
        <f t="shared" si="48"/>
        <v/>
      </c>
      <c r="L122" s="26"/>
      <c r="M122" s="26"/>
      <c r="N122" s="38" t="str">
        <f t="shared" si="49"/>
        <v/>
      </c>
      <c r="O122" s="38" t="str">
        <f t="shared" si="50"/>
        <v/>
      </c>
      <c r="P122" s="26"/>
      <c r="Q122" s="26"/>
      <c r="R122" s="26"/>
      <c r="S122" s="26"/>
      <c r="T122" s="26"/>
      <c r="U122" s="38" t="str">
        <f t="shared" si="51"/>
        <v/>
      </c>
      <c r="V122" s="38" t="str">
        <f t="shared" si="52"/>
        <v/>
      </c>
      <c r="W122" s="26"/>
      <c r="X122" s="27"/>
      <c r="Y122" s="26"/>
      <c r="Z122" s="26"/>
      <c r="AA122" s="35"/>
      <c r="AB122" s="47"/>
      <c r="AC122" s="45" t="str">
        <f t="shared" si="53"/>
        <v/>
      </c>
      <c r="AD122" s="45" t="str">
        <f t="shared" si="54"/>
        <v/>
      </c>
    </row>
    <row r="123" spans="1:30" s="21" customFormat="1" x14ac:dyDescent="0.25">
      <c r="A123" s="28"/>
      <c r="B123" s="30"/>
      <c r="C123" s="29"/>
      <c r="D123" s="29"/>
      <c r="E123" s="29"/>
      <c r="F123" s="39" t="str">
        <f t="shared" si="45"/>
        <v/>
      </c>
      <c r="G123" s="39" t="str">
        <f t="shared" si="46"/>
        <v/>
      </c>
      <c r="H123" s="29"/>
      <c r="I123" s="29"/>
      <c r="J123" s="39" t="str">
        <f t="shared" si="47"/>
        <v/>
      </c>
      <c r="K123" s="39" t="str">
        <f t="shared" si="48"/>
        <v/>
      </c>
      <c r="L123" s="29"/>
      <c r="M123" s="29"/>
      <c r="N123" s="39" t="str">
        <f t="shared" si="49"/>
        <v/>
      </c>
      <c r="O123" s="39" t="str">
        <f t="shared" si="50"/>
        <v/>
      </c>
      <c r="P123" s="29"/>
      <c r="Q123" s="29"/>
      <c r="R123" s="29"/>
      <c r="S123" s="29"/>
      <c r="T123" s="29"/>
      <c r="U123" s="39" t="str">
        <f t="shared" si="51"/>
        <v/>
      </c>
      <c r="V123" s="39" t="str">
        <f t="shared" si="52"/>
        <v/>
      </c>
      <c r="W123" s="29"/>
      <c r="X123" s="30"/>
      <c r="Y123" s="29"/>
      <c r="Z123" s="29"/>
      <c r="AA123" s="36"/>
      <c r="AB123" s="46"/>
      <c r="AC123" s="44" t="str">
        <f t="shared" si="53"/>
        <v/>
      </c>
      <c r="AD123" s="44" t="str">
        <f t="shared" si="54"/>
        <v/>
      </c>
    </row>
    <row r="124" spans="1:30" s="21" customFormat="1" x14ac:dyDescent="0.25">
      <c r="A124" s="25"/>
      <c r="B124" s="27"/>
      <c r="C124" s="26"/>
      <c r="D124" s="26"/>
      <c r="E124" s="26"/>
      <c r="F124" s="38" t="str">
        <f t="shared" si="45"/>
        <v/>
      </c>
      <c r="G124" s="38" t="str">
        <f t="shared" si="46"/>
        <v/>
      </c>
      <c r="H124" s="26"/>
      <c r="I124" s="26"/>
      <c r="J124" s="38" t="str">
        <f t="shared" si="47"/>
        <v/>
      </c>
      <c r="K124" s="38" t="str">
        <f t="shared" si="48"/>
        <v/>
      </c>
      <c r="L124" s="26"/>
      <c r="M124" s="26"/>
      <c r="N124" s="38" t="str">
        <f t="shared" si="49"/>
        <v/>
      </c>
      <c r="O124" s="38" t="str">
        <f t="shared" si="50"/>
        <v/>
      </c>
      <c r="P124" s="26"/>
      <c r="Q124" s="26"/>
      <c r="R124" s="26"/>
      <c r="S124" s="26"/>
      <c r="T124" s="26"/>
      <c r="U124" s="38" t="str">
        <f t="shared" si="51"/>
        <v/>
      </c>
      <c r="V124" s="38" t="str">
        <f t="shared" si="52"/>
        <v/>
      </c>
      <c r="W124" s="26"/>
      <c r="X124" s="27"/>
      <c r="Y124" s="26"/>
      <c r="Z124" s="26"/>
      <c r="AA124" s="35"/>
      <c r="AB124" s="47"/>
      <c r="AC124" s="45" t="str">
        <f t="shared" si="53"/>
        <v/>
      </c>
      <c r="AD124" s="45" t="str">
        <f t="shared" si="54"/>
        <v/>
      </c>
    </row>
    <row r="125" spans="1:30" s="21" customFormat="1" x14ac:dyDescent="0.25">
      <c r="A125" s="28"/>
      <c r="B125" s="30"/>
      <c r="C125" s="29"/>
      <c r="D125" s="29"/>
      <c r="E125" s="29"/>
      <c r="F125" s="39" t="str">
        <f t="shared" si="45"/>
        <v/>
      </c>
      <c r="G125" s="39" t="str">
        <f t="shared" si="46"/>
        <v/>
      </c>
      <c r="H125" s="29"/>
      <c r="I125" s="29"/>
      <c r="J125" s="39" t="str">
        <f t="shared" si="47"/>
        <v/>
      </c>
      <c r="K125" s="39" t="str">
        <f t="shared" si="48"/>
        <v/>
      </c>
      <c r="L125" s="29"/>
      <c r="M125" s="29"/>
      <c r="N125" s="39" t="str">
        <f t="shared" si="49"/>
        <v/>
      </c>
      <c r="O125" s="39" t="str">
        <f t="shared" si="50"/>
        <v/>
      </c>
      <c r="P125" s="29"/>
      <c r="Q125" s="29"/>
      <c r="R125" s="29"/>
      <c r="S125" s="29"/>
      <c r="T125" s="29"/>
      <c r="U125" s="39" t="str">
        <f t="shared" si="51"/>
        <v/>
      </c>
      <c r="V125" s="39" t="str">
        <f t="shared" si="52"/>
        <v/>
      </c>
      <c r="W125" s="29"/>
      <c r="X125" s="30"/>
      <c r="Y125" s="29"/>
      <c r="Z125" s="29"/>
      <c r="AA125" s="36"/>
      <c r="AB125" s="46"/>
      <c r="AC125" s="44" t="str">
        <f t="shared" si="53"/>
        <v/>
      </c>
      <c r="AD125" s="44" t="str">
        <f t="shared" si="54"/>
        <v/>
      </c>
    </row>
    <row r="126" spans="1:30" s="21" customFormat="1" x14ac:dyDescent="0.25">
      <c r="A126" s="25"/>
      <c r="B126" s="27"/>
      <c r="C126" s="26"/>
      <c r="D126" s="26"/>
      <c r="E126" s="26"/>
      <c r="F126" s="38" t="str">
        <f t="shared" si="45"/>
        <v/>
      </c>
      <c r="G126" s="38" t="str">
        <f t="shared" si="46"/>
        <v/>
      </c>
      <c r="H126" s="26"/>
      <c r="I126" s="26"/>
      <c r="J126" s="38" t="str">
        <f t="shared" si="47"/>
        <v/>
      </c>
      <c r="K126" s="38" t="str">
        <f t="shared" si="48"/>
        <v/>
      </c>
      <c r="L126" s="26"/>
      <c r="M126" s="26"/>
      <c r="N126" s="38" t="str">
        <f t="shared" si="49"/>
        <v/>
      </c>
      <c r="O126" s="38" t="str">
        <f t="shared" si="50"/>
        <v/>
      </c>
      <c r="P126" s="26"/>
      <c r="Q126" s="26"/>
      <c r="R126" s="26"/>
      <c r="S126" s="26"/>
      <c r="T126" s="26"/>
      <c r="U126" s="38" t="str">
        <f t="shared" si="51"/>
        <v/>
      </c>
      <c r="V126" s="38" t="str">
        <f t="shared" si="52"/>
        <v/>
      </c>
      <c r="W126" s="26"/>
      <c r="X126" s="27"/>
      <c r="Y126" s="26"/>
      <c r="Z126" s="26"/>
      <c r="AA126" s="35"/>
      <c r="AB126" s="47"/>
      <c r="AC126" s="45" t="str">
        <f t="shared" si="53"/>
        <v/>
      </c>
      <c r="AD126" s="45" t="str">
        <f t="shared" si="54"/>
        <v/>
      </c>
    </row>
    <row r="127" spans="1:30" s="21" customFormat="1" x14ac:dyDescent="0.25">
      <c r="A127" s="28"/>
      <c r="B127" s="30"/>
      <c r="C127" s="29"/>
      <c r="D127" s="29"/>
      <c r="E127" s="29"/>
      <c r="F127" s="39" t="str">
        <f t="shared" si="45"/>
        <v/>
      </c>
      <c r="G127" s="39" t="str">
        <f t="shared" si="46"/>
        <v/>
      </c>
      <c r="H127" s="29"/>
      <c r="I127" s="29"/>
      <c r="J127" s="39" t="str">
        <f t="shared" si="47"/>
        <v/>
      </c>
      <c r="K127" s="39" t="str">
        <f t="shared" si="48"/>
        <v/>
      </c>
      <c r="L127" s="29"/>
      <c r="M127" s="29"/>
      <c r="N127" s="39" t="str">
        <f t="shared" si="49"/>
        <v/>
      </c>
      <c r="O127" s="39" t="str">
        <f t="shared" si="50"/>
        <v/>
      </c>
      <c r="P127" s="29"/>
      <c r="Q127" s="29"/>
      <c r="R127" s="29"/>
      <c r="S127" s="29"/>
      <c r="T127" s="29"/>
      <c r="U127" s="39" t="str">
        <f t="shared" si="51"/>
        <v/>
      </c>
      <c r="V127" s="39" t="str">
        <f t="shared" si="52"/>
        <v/>
      </c>
      <c r="W127" s="29"/>
      <c r="X127" s="30"/>
      <c r="Y127" s="29"/>
      <c r="Z127" s="29"/>
      <c r="AA127" s="36"/>
      <c r="AB127" s="46"/>
      <c r="AC127" s="44" t="str">
        <f t="shared" si="53"/>
        <v/>
      </c>
      <c r="AD127" s="44" t="str">
        <f t="shared" si="54"/>
        <v/>
      </c>
    </row>
    <row r="128" spans="1:30" s="21" customFormat="1" x14ac:dyDescent="0.25">
      <c r="A128" s="25"/>
      <c r="B128" s="27"/>
      <c r="C128" s="26"/>
      <c r="D128" s="26"/>
      <c r="E128" s="26"/>
      <c r="F128" s="38" t="str">
        <f t="shared" si="45"/>
        <v/>
      </c>
      <c r="G128" s="38" t="str">
        <f t="shared" si="46"/>
        <v/>
      </c>
      <c r="H128" s="26"/>
      <c r="I128" s="26"/>
      <c r="J128" s="38" t="str">
        <f t="shared" si="47"/>
        <v/>
      </c>
      <c r="K128" s="38" t="str">
        <f t="shared" si="48"/>
        <v/>
      </c>
      <c r="L128" s="26"/>
      <c r="M128" s="26"/>
      <c r="N128" s="38" t="str">
        <f t="shared" si="49"/>
        <v/>
      </c>
      <c r="O128" s="38" t="str">
        <f t="shared" si="50"/>
        <v/>
      </c>
      <c r="P128" s="26"/>
      <c r="Q128" s="26"/>
      <c r="R128" s="26"/>
      <c r="S128" s="26"/>
      <c r="T128" s="26"/>
      <c r="U128" s="38" t="str">
        <f t="shared" si="51"/>
        <v/>
      </c>
      <c r="V128" s="38" t="str">
        <f t="shared" si="52"/>
        <v/>
      </c>
      <c r="W128" s="26"/>
      <c r="X128" s="27"/>
      <c r="Y128" s="26"/>
      <c r="Z128" s="26"/>
      <c r="AA128" s="35"/>
      <c r="AB128" s="47"/>
      <c r="AC128" s="45" t="str">
        <f t="shared" si="53"/>
        <v/>
      </c>
      <c r="AD128" s="45" t="str">
        <f t="shared" si="54"/>
        <v/>
      </c>
    </row>
    <row r="129" spans="1:30" s="21" customFormat="1" x14ac:dyDescent="0.25">
      <c r="A129" s="28"/>
      <c r="B129" s="30"/>
      <c r="C129" s="29"/>
      <c r="D129" s="29"/>
      <c r="E129" s="29"/>
      <c r="F129" s="39" t="str">
        <f t="shared" si="45"/>
        <v/>
      </c>
      <c r="G129" s="39" t="str">
        <f t="shared" si="46"/>
        <v/>
      </c>
      <c r="H129" s="29"/>
      <c r="I129" s="29"/>
      <c r="J129" s="39" t="str">
        <f t="shared" si="47"/>
        <v/>
      </c>
      <c r="K129" s="39" t="str">
        <f t="shared" si="48"/>
        <v/>
      </c>
      <c r="L129" s="29"/>
      <c r="M129" s="29"/>
      <c r="N129" s="39" t="str">
        <f t="shared" si="49"/>
        <v/>
      </c>
      <c r="O129" s="39" t="str">
        <f t="shared" si="50"/>
        <v/>
      </c>
      <c r="P129" s="29"/>
      <c r="Q129" s="29"/>
      <c r="R129" s="29"/>
      <c r="S129" s="29"/>
      <c r="T129" s="29"/>
      <c r="U129" s="39" t="str">
        <f t="shared" si="51"/>
        <v/>
      </c>
      <c r="V129" s="39" t="str">
        <f t="shared" si="52"/>
        <v/>
      </c>
      <c r="W129" s="29"/>
      <c r="X129" s="30"/>
      <c r="Y129" s="29"/>
      <c r="Z129" s="29"/>
      <c r="AA129" s="36"/>
      <c r="AB129" s="46"/>
      <c r="AC129" s="44" t="str">
        <f t="shared" si="53"/>
        <v/>
      </c>
      <c r="AD129" s="44" t="str">
        <f t="shared" si="54"/>
        <v/>
      </c>
    </row>
    <row r="130" spans="1:30" s="21" customFormat="1" x14ac:dyDescent="0.25">
      <c r="A130" s="25"/>
      <c r="B130" s="27"/>
      <c r="C130" s="26"/>
      <c r="D130" s="26"/>
      <c r="E130" s="26"/>
      <c r="F130" s="38" t="str">
        <f t="shared" si="45"/>
        <v/>
      </c>
      <c r="G130" s="38" t="str">
        <f t="shared" si="46"/>
        <v/>
      </c>
      <c r="H130" s="26"/>
      <c r="I130" s="26"/>
      <c r="J130" s="38" t="str">
        <f t="shared" si="47"/>
        <v/>
      </c>
      <c r="K130" s="38" t="str">
        <f t="shared" si="48"/>
        <v/>
      </c>
      <c r="L130" s="26"/>
      <c r="M130" s="26"/>
      <c r="N130" s="38" t="str">
        <f t="shared" si="49"/>
        <v/>
      </c>
      <c r="O130" s="38" t="str">
        <f t="shared" si="50"/>
        <v/>
      </c>
      <c r="P130" s="26"/>
      <c r="Q130" s="26"/>
      <c r="R130" s="26"/>
      <c r="S130" s="26"/>
      <c r="T130" s="26"/>
      <c r="U130" s="38" t="str">
        <f t="shared" si="51"/>
        <v/>
      </c>
      <c r="V130" s="38" t="str">
        <f t="shared" si="52"/>
        <v/>
      </c>
      <c r="W130" s="26"/>
      <c r="X130" s="27"/>
      <c r="Y130" s="26"/>
      <c r="Z130" s="26"/>
      <c r="AA130" s="35"/>
      <c r="AB130" s="47"/>
      <c r="AC130" s="45" t="str">
        <f t="shared" si="53"/>
        <v/>
      </c>
      <c r="AD130" s="45" t="str">
        <f t="shared" si="54"/>
        <v/>
      </c>
    </row>
    <row r="131" spans="1:30" s="21" customFormat="1" x14ac:dyDescent="0.25">
      <c r="A131" s="28"/>
      <c r="B131" s="30"/>
      <c r="C131" s="29"/>
      <c r="D131" s="29"/>
      <c r="E131" s="29"/>
      <c r="F131" s="39" t="str">
        <f t="shared" si="45"/>
        <v/>
      </c>
      <c r="G131" s="39" t="str">
        <f t="shared" si="46"/>
        <v/>
      </c>
      <c r="H131" s="29"/>
      <c r="I131" s="29"/>
      <c r="J131" s="39" t="str">
        <f t="shared" si="47"/>
        <v/>
      </c>
      <c r="K131" s="39" t="str">
        <f t="shared" si="48"/>
        <v/>
      </c>
      <c r="L131" s="29"/>
      <c r="M131" s="29"/>
      <c r="N131" s="39" t="str">
        <f t="shared" si="49"/>
        <v/>
      </c>
      <c r="O131" s="39" t="str">
        <f t="shared" si="50"/>
        <v/>
      </c>
      <c r="P131" s="29"/>
      <c r="Q131" s="29"/>
      <c r="R131" s="29"/>
      <c r="S131" s="29"/>
      <c r="T131" s="29"/>
      <c r="U131" s="39" t="str">
        <f t="shared" si="51"/>
        <v/>
      </c>
      <c r="V131" s="39" t="str">
        <f t="shared" si="52"/>
        <v/>
      </c>
      <c r="W131" s="29"/>
      <c r="X131" s="30"/>
      <c r="Y131" s="29"/>
      <c r="Z131" s="29"/>
      <c r="AA131" s="36"/>
      <c r="AB131" s="46"/>
      <c r="AC131" s="44" t="str">
        <f t="shared" si="53"/>
        <v/>
      </c>
      <c r="AD131" s="44" t="str">
        <f t="shared" si="54"/>
        <v/>
      </c>
    </row>
    <row r="132" spans="1:30" s="21" customFormat="1" x14ac:dyDescent="0.25">
      <c r="A132" s="25"/>
      <c r="B132" s="27"/>
      <c r="C132" s="26"/>
      <c r="D132" s="26"/>
      <c r="E132" s="26"/>
      <c r="F132" s="38" t="str">
        <f t="shared" si="45"/>
        <v/>
      </c>
      <c r="G132" s="38" t="str">
        <f t="shared" si="46"/>
        <v/>
      </c>
      <c r="H132" s="26"/>
      <c r="I132" s="26"/>
      <c r="J132" s="38" t="str">
        <f t="shared" si="47"/>
        <v/>
      </c>
      <c r="K132" s="38" t="str">
        <f t="shared" si="48"/>
        <v/>
      </c>
      <c r="L132" s="26"/>
      <c r="M132" s="26"/>
      <c r="N132" s="38" t="str">
        <f t="shared" si="49"/>
        <v/>
      </c>
      <c r="O132" s="38" t="str">
        <f t="shared" si="50"/>
        <v/>
      </c>
      <c r="P132" s="26"/>
      <c r="Q132" s="26"/>
      <c r="R132" s="26"/>
      <c r="S132" s="26"/>
      <c r="T132" s="26"/>
      <c r="U132" s="38" t="str">
        <f t="shared" si="51"/>
        <v/>
      </c>
      <c r="V132" s="38" t="str">
        <f t="shared" si="52"/>
        <v/>
      </c>
      <c r="W132" s="26"/>
      <c r="X132" s="27"/>
      <c r="Y132" s="26"/>
      <c r="Z132" s="26"/>
      <c r="AA132" s="35"/>
      <c r="AB132" s="47"/>
      <c r="AC132" s="45" t="str">
        <f t="shared" si="53"/>
        <v/>
      </c>
      <c r="AD132" s="45" t="str">
        <f t="shared" si="54"/>
        <v/>
      </c>
    </row>
    <row r="133" spans="1:30" s="21" customFormat="1" x14ac:dyDescent="0.25">
      <c r="A133" s="28"/>
      <c r="B133" s="30"/>
      <c r="C133" s="29"/>
      <c r="D133" s="29"/>
      <c r="E133" s="29"/>
      <c r="F133" s="39" t="str">
        <f t="shared" si="45"/>
        <v/>
      </c>
      <c r="G133" s="39" t="str">
        <f t="shared" si="46"/>
        <v/>
      </c>
      <c r="H133" s="29"/>
      <c r="I133" s="29"/>
      <c r="J133" s="39" t="str">
        <f t="shared" si="47"/>
        <v/>
      </c>
      <c r="K133" s="39" t="str">
        <f t="shared" si="48"/>
        <v/>
      </c>
      <c r="L133" s="29"/>
      <c r="M133" s="29"/>
      <c r="N133" s="39" t="str">
        <f t="shared" si="49"/>
        <v/>
      </c>
      <c r="O133" s="39" t="str">
        <f t="shared" si="50"/>
        <v/>
      </c>
      <c r="P133" s="29"/>
      <c r="Q133" s="29"/>
      <c r="R133" s="29"/>
      <c r="S133" s="29"/>
      <c r="T133" s="29"/>
      <c r="U133" s="39" t="str">
        <f t="shared" si="51"/>
        <v/>
      </c>
      <c r="V133" s="39" t="str">
        <f t="shared" si="52"/>
        <v/>
      </c>
      <c r="W133" s="29"/>
      <c r="X133" s="30"/>
      <c r="Y133" s="29"/>
      <c r="Z133" s="29"/>
      <c r="AA133" s="36"/>
      <c r="AB133" s="46"/>
      <c r="AC133" s="44" t="str">
        <f t="shared" si="53"/>
        <v/>
      </c>
      <c r="AD133" s="44" t="str">
        <f t="shared" si="54"/>
        <v/>
      </c>
    </row>
    <row r="134" spans="1:30" s="21" customFormat="1" x14ac:dyDescent="0.25">
      <c r="A134" s="25"/>
      <c r="B134" s="27"/>
      <c r="C134" s="26"/>
      <c r="D134" s="26"/>
      <c r="E134" s="26"/>
      <c r="F134" s="38" t="str">
        <f t="shared" ref="F134:F165" si="55">IF(D134="","",_xlfn.TRANSLATE(D134,"vi","ja"))</f>
        <v/>
      </c>
      <c r="G134" s="38" t="str">
        <f t="shared" ref="G134:G165" si="56">IF(D134="","",_xlfn.TRANSLATE(D134,"vi","zh-Hans"))</f>
        <v/>
      </c>
      <c r="H134" s="26"/>
      <c r="I134" s="26"/>
      <c r="J134" s="38" t="str">
        <f t="shared" ref="J134:J165" si="57">IF(H134="","",_xlfn.TRANSLATE(H134,"vi","ja"))</f>
        <v/>
      </c>
      <c r="K134" s="38" t="str">
        <f t="shared" ref="K134:K165" si="58">IF(H134="","",_xlfn.TRANSLATE(H134,"vi","zh-Hans"))</f>
        <v/>
      </c>
      <c r="L134" s="26"/>
      <c r="M134" s="26"/>
      <c r="N134" s="38" t="str">
        <f t="shared" ref="N134:N165" si="59">IF(L134="","",_xlfn.TRANSLATE(L134,"vi","ja"))</f>
        <v/>
      </c>
      <c r="O134" s="38" t="str">
        <f t="shared" ref="O134:O165" si="60">IF(L134="","",_xlfn.TRANSLATE(L134,"vi","zh-Hans"))</f>
        <v/>
      </c>
      <c r="P134" s="26"/>
      <c r="Q134" s="26"/>
      <c r="R134" s="26"/>
      <c r="S134" s="26"/>
      <c r="T134" s="26"/>
      <c r="U134" s="38" t="str">
        <f t="shared" ref="U134:U165" si="61">IF(S134="","",_xlfn.TRANSLATE(S134,"vi","ja"))</f>
        <v/>
      </c>
      <c r="V134" s="38" t="str">
        <f t="shared" ref="V134:V165" si="62">IF(S134="","",_xlfn.TRANSLATE(S134,"vi","zh-Hans"))</f>
        <v/>
      </c>
      <c r="W134" s="26"/>
      <c r="X134" s="27"/>
      <c r="Y134" s="26"/>
      <c r="Z134" s="26"/>
      <c r="AA134" s="35"/>
      <c r="AB134" s="47"/>
      <c r="AC134" s="45" t="str">
        <f t="shared" ref="AC134:AC165" si="63">IF(AA134="","",_xlfn.TRANSLATE(AA134,"vi","ja"))</f>
        <v/>
      </c>
      <c r="AD134" s="45" t="str">
        <f t="shared" ref="AD134:AD165" si="64">IF(AA134="","",_xlfn.TRANSLATE(AA134,"vi","zh-Hans"))</f>
        <v/>
      </c>
    </row>
    <row r="135" spans="1:30" s="21" customFormat="1" x14ac:dyDescent="0.25">
      <c r="A135" s="28"/>
      <c r="B135" s="30"/>
      <c r="C135" s="29"/>
      <c r="D135" s="29"/>
      <c r="E135" s="29"/>
      <c r="F135" s="39" t="str">
        <f t="shared" si="55"/>
        <v/>
      </c>
      <c r="G135" s="39" t="str">
        <f t="shared" si="56"/>
        <v/>
      </c>
      <c r="H135" s="29"/>
      <c r="I135" s="29"/>
      <c r="J135" s="39" t="str">
        <f t="shared" si="57"/>
        <v/>
      </c>
      <c r="K135" s="39" t="str">
        <f t="shared" si="58"/>
        <v/>
      </c>
      <c r="L135" s="29"/>
      <c r="M135" s="29"/>
      <c r="N135" s="39" t="str">
        <f t="shared" si="59"/>
        <v/>
      </c>
      <c r="O135" s="39" t="str">
        <f t="shared" si="60"/>
        <v/>
      </c>
      <c r="P135" s="29"/>
      <c r="Q135" s="29"/>
      <c r="R135" s="29"/>
      <c r="S135" s="29"/>
      <c r="T135" s="29"/>
      <c r="U135" s="39" t="str">
        <f t="shared" si="61"/>
        <v/>
      </c>
      <c r="V135" s="39" t="str">
        <f t="shared" si="62"/>
        <v/>
      </c>
      <c r="W135" s="29"/>
      <c r="X135" s="30"/>
      <c r="Y135" s="29"/>
      <c r="Z135" s="29"/>
      <c r="AA135" s="36"/>
      <c r="AB135" s="46"/>
      <c r="AC135" s="44" t="str">
        <f t="shared" si="63"/>
        <v/>
      </c>
      <c r="AD135" s="44" t="str">
        <f t="shared" si="64"/>
        <v/>
      </c>
    </row>
    <row r="136" spans="1:30" s="21" customFormat="1" x14ac:dyDescent="0.25">
      <c r="A136" s="25"/>
      <c r="B136" s="27"/>
      <c r="C136" s="26"/>
      <c r="D136" s="26"/>
      <c r="E136" s="26"/>
      <c r="F136" s="38" t="str">
        <f t="shared" si="55"/>
        <v/>
      </c>
      <c r="G136" s="38" t="str">
        <f t="shared" si="56"/>
        <v/>
      </c>
      <c r="H136" s="26"/>
      <c r="I136" s="26"/>
      <c r="J136" s="38" t="str">
        <f t="shared" si="57"/>
        <v/>
      </c>
      <c r="K136" s="38" t="str">
        <f t="shared" si="58"/>
        <v/>
      </c>
      <c r="L136" s="26"/>
      <c r="M136" s="26"/>
      <c r="N136" s="38" t="str">
        <f t="shared" si="59"/>
        <v/>
      </c>
      <c r="O136" s="38" t="str">
        <f t="shared" si="60"/>
        <v/>
      </c>
      <c r="P136" s="26"/>
      <c r="Q136" s="26"/>
      <c r="R136" s="26"/>
      <c r="S136" s="26"/>
      <c r="T136" s="26"/>
      <c r="U136" s="38" t="str">
        <f t="shared" si="61"/>
        <v/>
      </c>
      <c r="V136" s="38" t="str">
        <f t="shared" si="62"/>
        <v/>
      </c>
      <c r="W136" s="26"/>
      <c r="X136" s="27"/>
      <c r="Y136" s="26"/>
      <c r="Z136" s="26"/>
      <c r="AA136" s="35"/>
      <c r="AB136" s="47"/>
      <c r="AC136" s="45" t="str">
        <f t="shared" si="63"/>
        <v/>
      </c>
      <c r="AD136" s="45" t="str">
        <f t="shared" si="64"/>
        <v/>
      </c>
    </row>
    <row r="137" spans="1:30" s="21" customFormat="1" x14ac:dyDescent="0.25">
      <c r="A137" s="28"/>
      <c r="B137" s="30"/>
      <c r="C137" s="29"/>
      <c r="D137" s="29"/>
      <c r="E137" s="29"/>
      <c r="F137" s="39" t="str">
        <f t="shared" si="55"/>
        <v/>
      </c>
      <c r="G137" s="39" t="str">
        <f t="shared" si="56"/>
        <v/>
      </c>
      <c r="H137" s="29"/>
      <c r="I137" s="29"/>
      <c r="J137" s="39" t="str">
        <f t="shared" si="57"/>
        <v/>
      </c>
      <c r="K137" s="39" t="str">
        <f t="shared" si="58"/>
        <v/>
      </c>
      <c r="L137" s="29"/>
      <c r="M137" s="29"/>
      <c r="N137" s="39" t="str">
        <f t="shared" si="59"/>
        <v/>
      </c>
      <c r="O137" s="39" t="str">
        <f t="shared" si="60"/>
        <v/>
      </c>
      <c r="P137" s="29"/>
      <c r="Q137" s="29"/>
      <c r="R137" s="29"/>
      <c r="S137" s="29"/>
      <c r="T137" s="29"/>
      <c r="U137" s="39" t="str">
        <f t="shared" si="61"/>
        <v/>
      </c>
      <c r="V137" s="39" t="str">
        <f t="shared" si="62"/>
        <v/>
      </c>
      <c r="W137" s="29"/>
      <c r="X137" s="30"/>
      <c r="Y137" s="29"/>
      <c r="Z137" s="29"/>
      <c r="AA137" s="36"/>
      <c r="AB137" s="46"/>
      <c r="AC137" s="44" t="str">
        <f t="shared" si="63"/>
        <v/>
      </c>
      <c r="AD137" s="44" t="str">
        <f t="shared" si="64"/>
        <v/>
      </c>
    </row>
    <row r="138" spans="1:30" s="21" customFormat="1" x14ac:dyDescent="0.25">
      <c r="A138" s="25"/>
      <c r="B138" s="27"/>
      <c r="C138" s="26"/>
      <c r="D138" s="26"/>
      <c r="E138" s="26"/>
      <c r="F138" s="38" t="str">
        <f t="shared" si="55"/>
        <v/>
      </c>
      <c r="G138" s="38" t="str">
        <f t="shared" si="56"/>
        <v/>
      </c>
      <c r="H138" s="26"/>
      <c r="I138" s="26"/>
      <c r="J138" s="38" t="str">
        <f t="shared" si="57"/>
        <v/>
      </c>
      <c r="K138" s="38" t="str">
        <f t="shared" si="58"/>
        <v/>
      </c>
      <c r="L138" s="26"/>
      <c r="M138" s="26"/>
      <c r="N138" s="38" t="str">
        <f t="shared" si="59"/>
        <v/>
      </c>
      <c r="O138" s="38" t="str">
        <f t="shared" si="60"/>
        <v/>
      </c>
      <c r="P138" s="26"/>
      <c r="Q138" s="26"/>
      <c r="R138" s="26"/>
      <c r="S138" s="26"/>
      <c r="T138" s="26"/>
      <c r="U138" s="38" t="str">
        <f t="shared" si="61"/>
        <v/>
      </c>
      <c r="V138" s="38" t="str">
        <f t="shared" si="62"/>
        <v/>
      </c>
      <c r="W138" s="26"/>
      <c r="X138" s="27"/>
      <c r="Y138" s="26"/>
      <c r="Z138" s="26"/>
      <c r="AA138" s="35"/>
      <c r="AB138" s="47"/>
      <c r="AC138" s="45" t="str">
        <f t="shared" si="63"/>
        <v/>
      </c>
      <c r="AD138" s="45" t="str">
        <f t="shared" si="64"/>
        <v/>
      </c>
    </row>
    <row r="139" spans="1:30" s="21" customFormat="1" x14ac:dyDescent="0.25">
      <c r="A139" s="28"/>
      <c r="B139" s="30"/>
      <c r="C139" s="29"/>
      <c r="D139" s="29"/>
      <c r="E139" s="29"/>
      <c r="F139" s="39" t="str">
        <f t="shared" si="55"/>
        <v/>
      </c>
      <c r="G139" s="39" t="str">
        <f t="shared" si="56"/>
        <v/>
      </c>
      <c r="H139" s="29"/>
      <c r="I139" s="29"/>
      <c r="J139" s="39" t="str">
        <f t="shared" si="57"/>
        <v/>
      </c>
      <c r="K139" s="39" t="str">
        <f t="shared" si="58"/>
        <v/>
      </c>
      <c r="L139" s="29"/>
      <c r="M139" s="29"/>
      <c r="N139" s="39" t="str">
        <f t="shared" si="59"/>
        <v/>
      </c>
      <c r="O139" s="39" t="str">
        <f t="shared" si="60"/>
        <v/>
      </c>
      <c r="P139" s="29"/>
      <c r="Q139" s="29"/>
      <c r="R139" s="29"/>
      <c r="S139" s="29"/>
      <c r="T139" s="29"/>
      <c r="U139" s="39" t="str">
        <f t="shared" si="61"/>
        <v/>
      </c>
      <c r="V139" s="39" t="str">
        <f t="shared" si="62"/>
        <v/>
      </c>
      <c r="W139" s="29"/>
      <c r="X139" s="30"/>
      <c r="Y139" s="29"/>
      <c r="Z139" s="29"/>
      <c r="AA139" s="36"/>
      <c r="AB139" s="46"/>
      <c r="AC139" s="44" t="str">
        <f t="shared" si="63"/>
        <v/>
      </c>
      <c r="AD139" s="44" t="str">
        <f t="shared" si="64"/>
        <v/>
      </c>
    </row>
    <row r="140" spans="1:30" s="21" customFormat="1" x14ac:dyDescent="0.25">
      <c r="A140" s="25"/>
      <c r="B140" s="27"/>
      <c r="C140" s="26"/>
      <c r="D140" s="26"/>
      <c r="E140" s="26"/>
      <c r="F140" s="38" t="str">
        <f t="shared" si="55"/>
        <v/>
      </c>
      <c r="G140" s="38" t="str">
        <f t="shared" si="56"/>
        <v/>
      </c>
      <c r="H140" s="26"/>
      <c r="I140" s="26"/>
      <c r="J140" s="38" t="str">
        <f t="shared" si="57"/>
        <v/>
      </c>
      <c r="K140" s="38" t="str">
        <f t="shared" si="58"/>
        <v/>
      </c>
      <c r="L140" s="26"/>
      <c r="M140" s="26"/>
      <c r="N140" s="38" t="str">
        <f t="shared" si="59"/>
        <v/>
      </c>
      <c r="O140" s="38" t="str">
        <f t="shared" si="60"/>
        <v/>
      </c>
      <c r="P140" s="26"/>
      <c r="Q140" s="26"/>
      <c r="R140" s="26"/>
      <c r="S140" s="26"/>
      <c r="T140" s="26"/>
      <c r="U140" s="38" t="str">
        <f t="shared" si="61"/>
        <v/>
      </c>
      <c r="V140" s="38" t="str">
        <f t="shared" si="62"/>
        <v/>
      </c>
      <c r="W140" s="26"/>
      <c r="X140" s="27"/>
      <c r="Y140" s="26"/>
      <c r="Z140" s="26"/>
      <c r="AA140" s="35"/>
      <c r="AB140" s="47"/>
      <c r="AC140" s="45" t="str">
        <f t="shared" si="63"/>
        <v/>
      </c>
      <c r="AD140" s="45" t="str">
        <f t="shared" si="64"/>
        <v/>
      </c>
    </row>
    <row r="141" spans="1:30" s="21" customFormat="1" x14ac:dyDescent="0.25">
      <c r="A141" s="28"/>
      <c r="B141" s="30"/>
      <c r="C141" s="29"/>
      <c r="D141" s="29"/>
      <c r="E141" s="29"/>
      <c r="F141" s="39" t="str">
        <f t="shared" si="55"/>
        <v/>
      </c>
      <c r="G141" s="39" t="str">
        <f t="shared" si="56"/>
        <v/>
      </c>
      <c r="H141" s="29"/>
      <c r="I141" s="29"/>
      <c r="J141" s="39" t="str">
        <f t="shared" si="57"/>
        <v/>
      </c>
      <c r="K141" s="39" t="str">
        <f t="shared" si="58"/>
        <v/>
      </c>
      <c r="L141" s="29"/>
      <c r="M141" s="29"/>
      <c r="N141" s="39" t="str">
        <f t="shared" si="59"/>
        <v/>
      </c>
      <c r="O141" s="39" t="str">
        <f t="shared" si="60"/>
        <v/>
      </c>
      <c r="P141" s="29"/>
      <c r="Q141" s="29"/>
      <c r="R141" s="29"/>
      <c r="S141" s="29"/>
      <c r="T141" s="29"/>
      <c r="U141" s="39" t="str">
        <f t="shared" si="61"/>
        <v/>
      </c>
      <c r="V141" s="39" t="str">
        <f t="shared" si="62"/>
        <v/>
      </c>
      <c r="W141" s="29"/>
      <c r="X141" s="30"/>
      <c r="Y141" s="29"/>
      <c r="Z141" s="29"/>
      <c r="AA141" s="36"/>
      <c r="AB141" s="46"/>
      <c r="AC141" s="44" t="str">
        <f t="shared" si="63"/>
        <v/>
      </c>
      <c r="AD141" s="44" t="str">
        <f t="shared" si="64"/>
        <v/>
      </c>
    </row>
    <row r="142" spans="1:30" s="21" customFormat="1" x14ac:dyDescent="0.25">
      <c r="A142" s="25"/>
      <c r="B142" s="27"/>
      <c r="C142" s="26"/>
      <c r="D142" s="26"/>
      <c r="E142" s="26"/>
      <c r="F142" s="38" t="str">
        <f t="shared" si="55"/>
        <v/>
      </c>
      <c r="G142" s="38" t="str">
        <f t="shared" si="56"/>
        <v/>
      </c>
      <c r="H142" s="26"/>
      <c r="I142" s="26"/>
      <c r="J142" s="38" t="str">
        <f t="shared" si="57"/>
        <v/>
      </c>
      <c r="K142" s="38" t="str">
        <f t="shared" si="58"/>
        <v/>
      </c>
      <c r="L142" s="26"/>
      <c r="M142" s="26"/>
      <c r="N142" s="38" t="str">
        <f t="shared" si="59"/>
        <v/>
      </c>
      <c r="O142" s="38" t="str">
        <f t="shared" si="60"/>
        <v/>
      </c>
      <c r="P142" s="26"/>
      <c r="Q142" s="26"/>
      <c r="R142" s="26"/>
      <c r="S142" s="26"/>
      <c r="T142" s="26"/>
      <c r="U142" s="38" t="str">
        <f t="shared" si="61"/>
        <v/>
      </c>
      <c r="V142" s="38" t="str">
        <f t="shared" si="62"/>
        <v/>
      </c>
      <c r="W142" s="26"/>
      <c r="X142" s="27"/>
      <c r="Y142" s="26"/>
      <c r="Z142" s="26"/>
      <c r="AA142" s="35"/>
      <c r="AB142" s="47"/>
      <c r="AC142" s="45" t="str">
        <f t="shared" si="63"/>
        <v/>
      </c>
      <c r="AD142" s="45" t="str">
        <f t="shared" si="64"/>
        <v/>
      </c>
    </row>
    <row r="143" spans="1:30" s="21" customFormat="1" x14ac:dyDescent="0.25">
      <c r="A143" s="28"/>
      <c r="B143" s="30"/>
      <c r="C143" s="29"/>
      <c r="D143" s="29"/>
      <c r="E143" s="29"/>
      <c r="F143" s="39" t="str">
        <f t="shared" si="55"/>
        <v/>
      </c>
      <c r="G143" s="39" t="str">
        <f t="shared" si="56"/>
        <v/>
      </c>
      <c r="H143" s="29"/>
      <c r="I143" s="29"/>
      <c r="J143" s="39" t="str">
        <f t="shared" si="57"/>
        <v/>
      </c>
      <c r="K143" s="39" t="str">
        <f t="shared" si="58"/>
        <v/>
      </c>
      <c r="L143" s="29"/>
      <c r="M143" s="29"/>
      <c r="N143" s="39" t="str">
        <f t="shared" si="59"/>
        <v/>
      </c>
      <c r="O143" s="39" t="str">
        <f t="shared" si="60"/>
        <v/>
      </c>
      <c r="P143" s="29"/>
      <c r="Q143" s="29"/>
      <c r="R143" s="29"/>
      <c r="S143" s="29"/>
      <c r="T143" s="29"/>
      <c r="U143" s="39" t="str">
        <f t="shared" si="61"/>
        <v/>
      </c>
      <c r="V143" s="39" t="str">
        <f t="shared" si="62"/>
        <v/>
      </c>
      <c r="W143" s="29"/>
      <c r="X143" s="30"/>
      <c r="Y143" s="29"/>
      <c r="Z143" s="29"/>
      <c r="AA143" s="36"/>
      <c r="AB143" s="46"/>
      <c r="AC143" s="44" t="str">
        <f t="shared" si="63"/>
        <v/>
      </c>
      <c r="AD143" s="44" t="str">
        <f t="shared" si="64"/>
        <v/>
      </c>
    </row>
    <row r="144" spans="1:30" s="21" customFormat="1" x14ac:dyDescent="0.25">
      <c r="A144" s="25"/>
      <c r="B144" s="27"/>
      <c r="C144" s="26"/>
      <c r="D144" s="26"/>
      <c r="E144" s="26"/>
      <c r="F144" s="38" t="str">
        <f t="shared" si="55"/>
        <v/>
      </c>
      <c r="G144" s="38" t="str">
        <f t="shared" si="56"/>
        <v/>
      </c>
      <c r="H144" s="26"/>
      <c r="I144" s="26"/>
      <c r="J144" s="38" t="str">
        <f t="shared" si="57"/>
        <v/>
      </c>
      <c r="K144" s="38" t="str">
        <f t="shared" si="58"/>
        <v/>
      </c>
      <c r="L144" s="26"/>
      <c r="M144" s="26"/>
      <c r="N144" s="38" t="str">
        <f t="shared" si="59"/>
        <v/>
      </c>
      <c r="O144" s="38" t="str">
        <f t="shared" si="60"/>
        <v/>
      </c>
      <c r="P144" s="26"/>
      <c r="Q144" s="26"/>
      <c r="R144" s="26"/>
      <c r="S144" s="26"/>
      <c r="T144" s="26"/>
      <c r="U144" s="38" t="str">
        <f t="shared" si="61"/>
        <v/>
      </c>
      <c r="V144" s="38" t="str">
        <f t="shared" si="62"/>
        <v/>
      </c>
      <c r="W144" s="26"/>
      <c r="X144" s="27"/>
      <c r="Y144" s="26"/>
      <c r="Z144" s="26"/>
      <c r="AA144" s="35"/>
      <c r="AB144" s="47"/>
      <c r="AC144" s="45" t="str">
        <f t="shared" si="63"/>
        <v/>
      </c>
      <c r="AD144" s="45" t="str">
        <f t="shared" si="64"/>
        <v/>
      </c>
    </row>
    <row r="145" spans="1:30" s="21" customFormat="1" x14ac:dyDescent="0.25">
      <c r="A145" s="28"/>
      <c r="B145" s="30"/>
      <c r="C145" s="29"/>
      <c r="D145" s="29"/>
      <c r="E145" s="29"/>
      <c r="F145" s="39" t="str">
        <f t="shared" si="55"/>
        <v/>
      </c>
      <c r="G145" s="39" t="str">
        <f t="shared" si="56"/>
        <v/>
      </c>
      <c r="H145" s="29"/>
      <c r="I145" s="29"/>
      <c r="J145" s="39" t="str">
        <f t="shared" si="57"/>
        <v/>
      </c>
      <c r="K145" s="39" t="str">
        <f t="shared" si="58"/>
        <v/>
      </c>
      <c r="L145" s="29"/>
      <c r="M145" s="29"/>
      <c r="N145" s="39" t="str">
        <f t="shared" si="59"/>
        <v/>
      </c>
      <c r="O145" s="39" t="str">
        <f t="shared" si="60"/>
        <v/>
      </c>
      <c r="P145" s="29"/>
      <c r="Q145" s="29"/>
      <c r="R145" s="29"/>
      <c r="S145" s="29"/>
      <c r="T145" s="29"/>
      <c r="U145" s="39" t="str">
        <f t="shared" si="61"/>
        <v/>
      </c>
      <c r="V145" s="39" t="str">
        <f t="shared" si="62"/>
        <v/>
      </c>
      <c r="W145" s="29"/>
      <c r="X145" s="30"/>
      <c r="Y145" s="29"/>
      <c r="Z145" s="29"/>
      <c r="AA145" s="36"/>
      <c r="AB145" s="46"/>
      <c r="AC145" s="44" t="str">
        <f t="shared" si="63"/>
        <v/>
      </c>
      <c r="AD145" s="44" t="str">
        <f t="shared" si="64"/>
        <v/>
      </c>
    </row>
    <row r="146" spans="1:30" s="21" customFormat="1" x14ac:dyDescent="0.25">
      <c r="A146" s="25"/>
      <c r="B146" s="27"/>
      <c r="C146" s="26"/>
      <c r="D146" s="26"/>
      <c r="E146" s="26"/>
      <c r="F146" s="38" t="str">
        <f t="shared" si="55"/>
        <v/>
      </c>
      <c r="G146" s="38" t="str">
        <f t="shared" si="56"/>
        <v/>
      </c>
      <c r="H146" s="26"/>
      <c r="I146" s="26"/>
      <c r="J146" s="38" t="str">
        <f t="shared" si="57"/>
        <v/>
      </c>
      <c r="K146" s="38" t="str">
        <f t="shared" si="58"/>
        <v/>
      </c>
      <c r="L146" s="26"/>
      <c r="M146" s="26"/>
      <c r="N146" s="38" t="str">
        <f t="shared" si="59"/>
        <v/>
      </c>
      <c r="O146" s="38" t="str">
        <f t="shared" si="60"/>
        <v/>
      </c>
      <c r="P146" s="26"/>
      <c r="Q146" s="26"/>
      <c r="R146" s="26"/>
      <c r="S146" s="26"/>
      <c r="T146" s="26"/>
      <c r="U146" s="38" t="str">
        <f t="shared" si="61"/>
        <v/>
      </c>
      <c r="V146" s="38" t="str">
        <f t="shared" si="62"/>
        <v/>
      </c>
      <c r="W146" s="26"/>
      <c r="X146" s="27"/>
      <c r="Y146" s="26"/>
      <c r="Z146" s="26"/>
      <c r="AA146" s="35"/>
      <c r="AB146" s="47"/>
      <c r="AC146" s="45" t="str">
        <f t="shared" si="63"/>
        <v/>
      </c>
      <c r="AD146" s="45" t="str">
        <f t="shared" si="64"/>
        <v/>
      </c>
    </row>
    <row r="147" spans="1:30" s="21" customFormat="1" x14ac:dyDescent="0.25">
      <c r="A147" s="28"/>
      <c r="B147" s="30"/>
      <c r="C147" s="29"/>
      <c r="D147" s="29"/>
      <c r="E147" s="29"/>
      <c r="F147" s="39" t="str">
        <f t="shared" si="55"/>
        <v/>
      </c>
      <c r="G147" s="39" t="str">
        <f t="shared" si="56"/>
        <v/>
      </c>
      <c r="H147" s="29"/>
      <c r="I147" s="29"/>
      <c r="J147" s="39" t="str">
        <f t="shared" si="57"/>
        <v/>
      </c>
      <c r="K147" s="39" t="str">
        <f t="shared" si="58"/>
        <v/>
      </c>
      <c r="L147" s="29"/>
      <c r="M147" s="29"/>
      <c r="N147" s="39" t="str">
        <f t="shared" si="59"/>
        <v/>
      </c>
      <c r="O147" s="39" t="str">
        <f t="shared" si="60"/>
        <v/>
      </c>
      <c r="P147" s="29"/>
      <c r="Q147" s="29"/>
      <c r="R147" s="29"/>
      <c r="S147" s="29"/>
      <c r="T147" s="29"/>
      <c r="U147" s="39" t="str">
        <f t="shared" si="61"/>
        <v/>
      </c>
      <c r="V147" s="39" t="str">
        <f t="shared" si="62"/>
        <v/>
      </c>
      <c r="W147" s="29"/>
      <c r="X147" s="30"/>
      <c r="Y147" s="29"/>
      <c r="Z147" s="29"/>
      <c r="AA147" s="36"/>
      <c r="AB147" s="46"/>
      <c r="AC147" s="44" t="str">
        <f t="shared" si="63"/>
        <v/>
      </c>
      <c r="AD147" s="44" t="str">
        <f t="shared" si="64"/>
        <v/>
      </c>
    </row>
    <row r="148" spans="1:30" s="21" customFormat="1" x14ac:dyDescent="0.25">
      <c r="A148" s="25"/>
      <c r="B148" s="27"/>
      <c r="C148" s="26"/>
      <c r="D148" s="26"/>
      <c r="E148" s="26"/>
      <c r="F148" s="38" t="str">
        <f t="shared" si="55"/>
        <v/>
      </c>
      <c r="G148" s="38" t="str">
        <f t="shared" si="56"/>
        <v/>
      </c>
      <c r="H148" s="26"/>
      <c r="I148" s="26"/>
      <c r="J148" s="38" t="str">
        <f t="shared" si="57"/>
        <v/>
      </c>
      <c r="K148" s="38" t="str">
        <f t="shared" si="58"/>
        <v/>
      </c>
      <c r="L148" s="26"/>
      <c r="M148" s="26"/>
      <c r="N148" s="38" t="str">
        <f t="shared" si="59"/>
        <v/>
      </c>
      <c r="O148" s="38" t="str">
        <f t="shared" si="60"/>
        <v/>
      </c>
      <c r="P148" s="26"/>
      <c r="Q148" s="26"/>
      <c r="R148" s="26"/>
      <c r="S148" s="26"/>
      <c r="T148" s="26"/>
      <c r="U148" s="38" t="str">
        <f t="shared" si="61"/>
        <v/>
      </c>
      <c r="V148" s="38" t="str">
        <f t="shared" si="62"/>
        <v/>
      </c>
      <c r="W148" s="26"/>
      <c r="X148" s="27"/>
      <c r="Y148" s="26"/>
      <c r="Z148" s="26"/>
      <c r="AA148" s="35"/>
      <c r="AB148" s="47"/>
      <c r="AC148" s="45" t="str">
        <f t="shared" si="63"/>
        <v/>
      </c>
      <c r="AD148" s="45" t="str">
        <f t="shared" si="64"/>
        <v/>
      </c>
    </row>
    <row r="149" spans="1:30" s="21" customFormat="1" x14ac:dyDescent="0.25">
      <c r="A149" s="28"/>
      <c r="B149" s="30"/>
      <c r="C149" s="29"/>
      <c r="D149" s="29"/>
      <c r="E149" s="29"/>
      <c r="F149" s="39" t="str">
        <f t="shared" si="55"/>
        <v/>
      </c>
      <c r="G149" s="39" t="str">
        <f t="shared" si="56"/>
        <v/>
      </c>
      <c r="H149" s="29"/>
      <c r="I149" s="29"/>
      <c r="J149" s="39" t="str">
        <f t="shared" si="57"/>
        <v/>
      </c>
      <c r="K149" s="39" t="str">
        <f t="shared" si="58"/>
        <v/>
      </c>
      <c r="L149" s="29"/>
      <c r="M149" s="29"/>
      <c r="N149" s="39" t="str">
        <f t="shared" si="59"/>
        <v/>
      </c>
      <c r="O149" s="39" t="str">
        <f t="shared" si="60"/>
        <v/>
      </c>
      <c r="P149" s="29"/>
      <c r="Q149" s="29"/>
      <c r="R149" s="29"/>
      <c r="S149" s="29"/>
      <c r="T149" s="29"/>
      <c r="U149" s="39" t="str">
        <f t="shared" si="61"/>
        <v/>
      </c>
      <c r="V149" s="39" t="str">
        <f t="shared" si="62"/>
        <v/>
      </c>
      <c r="W149" s="29"/>
      <c r="X149" s="30"/>
      <c r="Y149" s="29"/>
      <c r="Z149" s="29"/>
      <c r="AA149" s="36"/>
      <c r="AB149" s="46"/>
      <c r="AC149" s="44" t="str">
        <f t="shared" si="63"/>
        <v/>
      </c>
      <c r="AD149" s="44" t="str">
        <f t="shared" si="64"/>
        <v/>
      </c>
    </row>
    <row r="150" spans="1:30" s="21" customFormat="1" x14ac:dyDescent="0.25">
      <c r="A150" s="25"/>
      <c r="B150" s="27"/>
      <c r="C150" s="26"/>
      <c r="D150" s="26"/>
      <c r="E150" s="26"/>
      <c r="F150" s="38" t="str">
        <f t="shared" si="55"/>
        <v/>
      </c>
      <c r="G150" s="38" t="str">
        <f t="shared" si="56"/>
        <v/>
      </c>
      <c r="H150" s="26"/>
      <c r="I150" s="26"/>
      <c r="J150" s="38" t="str">
        <f t="shared" si="57"/>
        <v/>
      </c>
      <c r="K150" s="38" t="str">
        <f t="shared" si="58"/>
        <v/>
      </c>
      <c r="L150" s="26"/>
      <c r="M150" s="26"/>
      <c r="N150" s="38" t="str">
        <f t="shared" si="59"/>
        <v/>
      </c>
      <c r="O150" s="38" t="str">
        <f t="shared" si="60"/>
        <v/>
      </c>
      <c r="P150" s="26"/>
      <c r="Q150" s="26"/>
      <c r="R150" s="26"/>
      <c r="S150" s="26"/>
      <c r="T150" s="26"/>
      <c r="U150" s="38" t="str">
        <f t="shared" si="61"/>
        <v/>
      </c>
      <c r="V150" s="38" t="str">
        <f t="shared" si="62"/>
        <v/>
      </c>
      <c r="W150" s="26"/>
      <c r="X150" s="27"/>
      <c r="Y150" s="26"/>
      <c r="Z150" s="26"/>
      <c r="AA150" s="35"/>
      <c r="AB150" s="47"/>
      <c r="AC150" s="45" t="str">
        <f t="shared" si="63"/>
        <v/>
      </c>
      <c r="AD150" s="45" t="str">
        <f t="shared" si="64"/>
        <v/>
      </c>
    </row>
    <row r="151" spans="1:30" s="21" customFormat="1" x14ac:dyDescent="0.25">
      <c r="A151" s="28"/>
      <c r="B151" s="30"/>
      <c r="C151" s="29"/>
      <c r="D151" s="29"/>
      <c r="E151" s="29"/>
      <c r="F151" s="39" t="str">
        <f t="shared" si="55"/>
        <v/>
      </c>
      <c r="G151" s="39" t="str">
        <f t="shared" si="56"/>
        <v/>
      </c>
      <c r="H151" s="29"/>
      <c r="I151" s="29"/>
      <c r="J151" s="39" t="str">
        <f t="shared" si="57"/>
        <v/>
      </c>
      <c r="K151" s="39" t="str">
        <f t="shared" si="58"/>
        <v/>
      </c>
      <c r="L151" s="29"/>
      <c r="M151" s="29"/>
      <c r="N151" s="39" t="str">
        <f t="shared" si="59"/>
        <v/>
      </c>
      <c r="O151" s="39" t="str">
        <f t="shared" si="60"/>
        <v/>
      </c>
      <c r="P151" s="29"/>
      <c r="Q151" s="29"/>
      <c r="R151" s="29"/>
      <c r="S151" s="29"/>
      <c r="T151" s="29"/>
      <c r="U151" s="39" t="str">
        <f t="shared" si="61"/>
        <v/>
      </c>
      <c r="V151" s="39" t="str">
        <f t="shared" si="62"/>
        <v/>
      </c>
      <c r="W151" s="29"/>
      <c r="X151" s="30"/>
      <c r="Y151" s="29"/>
      <c r="Z151" s="29"/>
      <c r="AA151" s="36"/>
      <c r="AB151" s="46"/>
      <c r="AC151" s="44" t="str">
        <f t="shared" si="63"/>
        <v/>
      </c>
      <c r="AD151" s="44" t="str">
        <f t="shared" si="64"/>
        <v/>
      </c>
    </row>
    <row r="152" spans="1:30" s="21" customFormat="1" x14ac:dyDescent="0.25">
      <c r="A152" s="25"/>
      <c r="B152" s="27"/>
      <c r="C152" s="26"/>
      <c r="D152" s="26"/>
      <c r="E152" s="26"/>
      <c r="F152" s="38" t="str">
        <f t="shared" si="55"/>
        <v/>
      </c>
      <c r="G152" s="38" t="str">
        <f t="shared" si="56"/>
        <v/>
      </c>
      <c r="H152" s="26"/>
      <c r="I152" s="26"/>
      <c r="J152" s="38" t="str">
        <f t="shared" si="57"/>
        <v/>
      </c>
      <c r="K152" s="38" t="str">
        <f t="shared" si="58"/>
        <v/>
      </c>
      <c r="L152" s="26"/>
      <c r="M152" s="26"/>
      <c r="N152" s="38" t="str">
        <f t="shared" si="59"/>
        <v/>
      </c>
      <c r="O152" s="38" t="str">
        <f t="shared" si="60"/>
        <v/>
      </c>
      <c r="P152" s="26"/>
      <c r="Q152" s="26"/>
      <c r="R152" s="26"/>
      <c r="S152" s="26"/>
      <c r="T152" s="26"/>
      <c r="U152" s="38" t="str">
        <f t="shared" si="61"/>
        <v/>
      </c>
      <c r="V152" s="38" t="str">
        <f t="shared" si="62"/>
        <v/>
      </c>
      <c r="W152" s="26"/>
      <c r="X152" s="27"/>
      <c r="Y152" s="26"/>
      <c r="Z152" s="26"/>
      <c r="AA152" s="35"/>
      <c r="AB152" s="47"/>
      <c r="AC152" s="45" t="str">
        <f t="shared" si="63"/>
        <v/>
      </c>
      <c r="AD152" s="45" t="str">
        <f t="shared" si="64"/>
        <v/>
      </c>
    </row>
    <row r="153" spans="1:30" s="21" customFormat="1" x14ac:dyDescent="0.25">
      <c r="A153" s="28"/>
      <c r="B153" s="30"/>
      <c r="C153" s="29"/>
      <c r="D153" s="29"/>
      <c r="E153" s="29"/>
      <c r="F153" s="39" t="str">
        <f t="shared" si="55"/>
        <v/>
      </c>
      <c r="G153" s="39" t="str">
        <f t="shared" si="56"/>
        <v/>
      </c>
      <c r="H153" s="29"/>
      <c r="I153" s="29"/>
      <c r="J153" s="39" t="str">
        <f t="shared" si="57"/>
        <v/>
      </c>
      <c r="K153" s="39" t="str">
        <f t="shared" si="58"/>
        <v/>
      </c>
      <c r="L153" s="29"/>
      <c r="M153" s="29"/>
      <c r="N153" s="39" t="str">
        <f t="shared" si="59"/>
        <v/>
      </c>
      <c r="O153" s="39" t="str">
        <f t="shared" si="60"/>
        <v/>
      </c>
      <c r="P153" s="29"/>
      <c r="Q153" s="29"/>
      <c r="R153" s="29"/>
      <c r="S153" s="29"/>
      <c r="T153" s="29"/>
      <c r="U153" s="39" t="str">
        <f t="shared" si="61"/>
        <v/>
      </c>
      <c r="V153" s="39" t="str">
        <f t="shared" si="62"/>
        <v/>
      </c>
      <c r="W153" s="29"/>
      <c r="X153" s="30"/>
      <c r="Y153" s="29"/>
      <c r="Z153" s="29"/>
      <c r="AA153" s="36"/>
      <c r="AB153" s="46"/>
      <c r="AC153" s="44" t="str">
        <f t="shared" si="63"/>
        <v/>
      </c>
      <c r="AD153" s="44" t="str">
        <f t="shared" si="64"/>
        <v/>
      </c>
    </row>
    <row r="154" spans="1:30" s="21" customFormat="1" x14ac:dyDescent="0.25">
      <c r="A154" s="25"/>
      <c r="B154" s="27"/>
      <c r="C154" s="26"/>
      <c r="D154" s="26"/>
      <c r="E154" s="26"/>
      <c r="F154" s="38" t="str">
        <f t="shared" si="55"/>
        <v/>
      </c>
      <c r="G154" s="38" t="str">
        <f t="shared" si="56"/>
        <v/>
      </c>
      <c r="H154" s="26"/>
      <c r="I154" s="26"/>
      <c r="J154" s="38" t="str">
        <f t="shared" si="57"/>
        <v/>
      </c>
      <c r="K154" s="38" t="str">
        <f t="shared" si="58"/>
        <v/>
      </c>
      <c r="L154" s="26"/>
      <c r="M154" s="26"/>
      <c r="N154" s="38" t="str">
        <f t="shared" si="59"/>
        <v/>
      </c>
      <c r="O154" s="38" t="str">
        <f t="shared" si="60"/>
        <v/>
      </c>
      <c r="P154" s="26"/>
      <c r="Q154" s="26"/>
      <c r="R154" s="26"/>
      <c r="S154" s="26"/>
      <c r="T154" s="26"/>
      <c r="U154" s="38" t="str">
        <f t="shared" si="61"/>
        <v/>
      </c>
      <c r="V154" s="38" t="str">
        <f t="shared" si="62"/>
        <v/>
      </c>
      <c r="W154" s="26"/>
      <c r="X154" s="27"/>
      <c r="Y154" s="26"/>
      <c r="Z154" s="26"/>
      <c r="AA154" s="35"/>
      <c r="AB154" s="47"/>
      <c r="AC154" s="45" t="str">
        <f t="shared" si="63"/>
        <v/>
      </c>
      <c r="AD154" s="45" t="str">
        <f t="shared" si="64"/>
        <v/>
      </c>
    </row>
    <row r="155" spans="1:30" s="21" customFormat="1" x14ac:dyDescent="0.25">
      <c r="A155" s="28"/>
      <c r="B155" s="30"/>
      <c r="C155" s="29"/>
      <c r="D155" s="29"/>
      <c r="E155" s="29"/>
      <c r="F155" s="39" t="str">
        <f t="shared" si="55"/>
        <v/>
      </c>
      <c r="G155" s="39" t="str">
        <f t="shared" si="56"/>
        <v/>
      </c>
      <c r="H155" s="29"/>
      <c r="I155" s="29"/>
      <c r="J155" s="39" t="str">
        <f t="shared" si="57"/>
        <v/>
      </c>
      <c r="K155" s="39" t="str">
        <f t="shared" si="58"/>
        <v/>
      </c>
      <c r="L155" s="29"/>
      <c r="M155" s="29"/>
      <c r="N155" s="39" t="str">
        <f t="shared" si="59"/>
        <v/>
      </c>
      <c r="O155" s="39" t="str">
        <f t="shared" si="60"/>
        <v/>
      </c>
      <c r="P155" s="29"/>
      <c r="Q155" s="29"/>
      <c r="R155" s="29"/>
      <c r="S155" s="29"/>
      <c r="T155" s="29"/>
      <c r="U155" s="39" t="str">
        <f t="shared" si="61"/>
        <v/>
      </c>
      <c r="V155" s="39" t="str">
        <f t="shared" si="62"/>
        <v/>
      </c>
      <c r="W155" s="29"/>
      <c r="X155" s="30"/>
      <c r="Y155" s="29"/>
      <c r="Z155" s="29"/>
      <c r="AA155" s="36"/>
      <c r="AB155" s="46"/>
      <c r="AC155" s="44" t="str">
        <f t="shared" si="63"/>
        <v/>
      </c>
      <c r="AD155" s="44" t="str">
        <f t="shared" si="64"/>
        <v/>
      </c>
    </row>
    <row r="156" spans="1:30" s="21" customFormat="1" x14ac:dyDescent="0.25">
      <c r="A156" s="25"/>
      <c r="B156" s="27"/>
      <c r="C156" s="26"/>
      <c r="D156" s="26"/>
      <c r="E156" s="26"/>
      <c r="F156" s="38" t="str">
        <f t="shared" si="55"/>
        <v/>
      </c>
      <c r="G156" s="38" t="str">
        <f t="shared" si="56"/>
        <v/>
      </c>
      <c r="H156" s="26"/>
      <c r="I156" s="26"/>
      <c r="J156" s="38" t="str">
        <f t="shared" si="57"/>
        <v/>
      </c>
      <c r="K156" s="38" t="str">
        <f t="shared" si="58"/>
        <v/>
      </c>
      <c r="L156" s="26"/>
      <c r="M156" s="26"/>
      <c r="N156" s="38" t="str">
        <f t="shared" si="59"/>
        <v/>
      </c>
      <c r="O156" s="38" t="str">
        <f t="shared" si="60"/>
        <v/>
      </c>
      <c r="P156" s="26"/>
      <c r="Q156" s="26"/>
      <c r="R156" s="26"/>
      <c r="S156" s="26"/>
      <c r="T156" s="26"/>
      <c r="U156" s="38" t="str">
        <f t="shared" si="61"/>
        <v/>
      </c>
      <c r="V156" s="38" t="str">
        <f t="shared" si="62"/>
        <v/>
      </c>
      <c r="W156" s="26"/>
      <c r="X156" s="27"/>
      <c r="Y156" s="26"/>
      <c r="Z156" s="26"/>
      <c r="AA156" s="35"/>
      <c r="AB156" s="47"/>
      <c r="AC156" s="45" t="str">
        <f t="shared" si="63"/>
        <v/>
      </c>
      <c r="AD156" s="45" t="str">
        <f t="shared" si="64"/>
        <v/>
      </c>
    </row>
    <row r="157" spans="1:30" s="21" customFormat="1" x14ac:dyDescent="0.25">
      <c r="A157" s="28"/>
      <c r="B157" s="30"/>
      <c r="C157" s="29"/>
      <c r="D157" s="29"/>
      <c r="E157" s="29"/>
      <c r="F157" s="39" t="str">
        <f t="shared" si="55"/>
        <v/>
      </c>
      <c r="G157" s="39" t="str">
        <f t="shared" si="56"/>
        <v/>
      </c>
      <c r="H157" s="29"/>
      <c r="I157" s="29"/>
      <c r="J157" s="39" t="str">
        <f t="shared" si="57"/>
        <v/>
      </c>
      <c r="K157" s="39" t="str">
        <f t="shared" si="58"/>
        <v/>
      </c>
      <c r="L157" s="29"/>
      <c r="M157" s="29"/>
      <c r="N157" s="39" t="str">
        <f t="shared" si="59"/>
        <v/>
      </c>
      <c r="O157" s="39" t="str">
        <f t="shared" si="60"/>
        <v/>
      </c>
      <c r="P157" s="29"/>
      <c r="Q157" s="29"/>
      <c r="R157" s="29"/>
      <c r="S157" s="29"/>
      <c r="T157" s="29"/>
      <c r="U157" s="39" t="str">
        <f t="shared" si="61"/>
        <v/>
      </c>
      <c r="V157" s="39" t="str">
        <f t="shared" si="62"/>
        <v/>
      </c>
      <c r="W157" s="29"/>
      <c r="X157" s="30"/>
      <c r="Y157" s="29"/>
      <c r="Z157" s="29"/>
      <c r="AA157" s="36"/>
      <c r="AB157" s="46"/>
      <c r="AC157" s="44" t="str">
        <f t="shared" si="63"/>
        <v/>
      </c>
      <c r="AD157" s="44" t="str">
        <f t="shared" si="64"/>
        <v/>
      </c>
    </row>
    <row r="158" spans="1:30" s="21" customFormat="1" x14ac:dyDescent="0.25">
      <c r="A158" s="25"/>
      <c r="B158" s="27"/>
      <c r="C158" s="26"/>
      <c r="D158" s="26"/>
      <c r="E158" s="26"/>
      <c r="F158" s="38" t="str">
        <f t="shared" si="55"/>
        <v/>
      </c>
      <c r="G158" s="38" t="str">
        <f t="shared" si="56"/>
        <v/>
      </c>
      <c r="H158" s="26"/>
      <c r="I158" s="26"/>
      <c r="J158" s="38" t="str">
        <f t="shared" si="57"/>
        <v/>
      </c>
      <c r="K158" s="38" t="str">
        <f t="shared" si="58"/>
        <v/>
      </c>
      <c r="L158" s="26"/>
      <c r="M158" s="26"/>
      <c r="N158" s="38" t="str">
        <f t="shared" si="59"/>
        <v/>
      </c>
      <c r="O158" s="38" t="str">
        <f t="shared" si="60"/>
        <v/>
      </c>
      <c r="P158" s="26"/>
      <c r="Q158" s="26"/>
      <c r="R158" s="26"/>
      <c r="S158" s="26"/>
      <c r="T158" s="26"/>
      <c r="U158" s="38" t="str">
        <f t="shared" si="61"/>
        <v/>
      </c>
      <c r="V158" s="38" t="str">
        <f t="shared" si="62"/>
        <v/>
      </c>
      <c r="W158" s="26"/>
      <c r="X158" s="27"/>
      <c r="Y158" s="26"/>
      <c r="Z158" s="26"/>
      <c r="AA158" s="35"/>
      <c r="AB158" s="47"/>
      <c r="AC158" s="45" t="str">
        <f t="shared" si="63"/>
        <v/>
      </c>
      <c r="AD158" s="45" t="str">
        <f t="shared" si="64"/>
        <v/>
      </c>
    </row>
    <row r="159" spans="1:30" s="21" customFormat="1" x14ac:dyDescent="0.25">
      <c r="A159" s="28"/>
      <c r="B159" s="30"/>
      <c r="C159" s="29"/>
      <c r="D159" s="29"/>
      <c r="E159" s="29"/>
      <c r="F159" s="39" t="str">
        <f t="shared" si="55"/>
        <v/>
      </c>
      <c r="G159" s="39" t="str">
        <f t="shared" si="56"/>
        <v/>
      </c>
      <c r="H159" s="29"/>
      <c r="I159" s="29"/>
      <c r="J159" s="39" t="str">
        <f t="shared" si="57"/>
        <v/>
      </c>
      <c r="K159" s="39" t="str">
        <f t="shared" si="58"/>
        <v/>
      </c>
      <c r="L159" s="29"/>
      <c r="M159" s="29"/>
      <c r="N159" s="39" t="str">
        <f t="shared" si="59"/>
        <v/>
      </c>
      <c r="O159" s="39" t="str">
        <f t="shared" si="60"/>
        <v/>
      </c>
      <c r="P159" s="29"/>
      <c r="Q159" s="29"/>
      <c r="R159" s="29"/>
      <c r="S159" s="29"/>
      <c r="T159" s="29"/>
      <c r="U159" s="39" t="str">
        <f t="shared" si="61"/>
        <v/>
      </c>
      <c r="V159" s="39" t="str">
        <f t="shared" si="62"/>
        <v/>
      </c>
      <c r="W159" s="29"/>
      <c r="X159" s="30"/>
      <c r="Y159" s="29"/>
      <c r="Z159" s="29"/>
      <c r="AA159" s="36"/>
      <c r="AB159" s="46"/>
      <c r="AC159" s="44" t="str">
        <f t="shared" si="63"/>
        <v/>
      </c>
      <c r="AD159" s="44" t="str">
        <f t="shared" si="64"/>
        <v/>
      </c>
    </row>
    <row r="160" spans="1:30" s="21" customFormat="1" x14ac:dyDescent="0.25">
      <c r="A160" s="25"/>
      <c r="B160" s="27"/>
      <c r="C160" s="26"/>
      <c r="D160" s="26"/>
      <c r="E160" s="26"/>
      <c r="F160" s="38" t="str">
        <f t="shared" si="55"/>
        <v/>
      </c>
      <c r="G160" s="38" t="str">
        <f t="shared" si="56"/>
        <v/>
      </c>
      <c r="H160" s="26"/>
      <c r="I160" s="26"/>
      <c r="J160" s="38" t="str">
        <f t="shared" si="57"/>
        <v/>
      </c>
      <c r="K160" s="38" t="str">
        <f t="shared" si="58"/>
        <v/>
      </c>
      <c r="L160" s="26"/>
      <c r="M160" s="26"/>
      <c r="N160" s="38" t="str">
        <f t="shared" si="59"/>
        <v/>
      </c>
      <c r="O160" s="38" t="str">
        <f t="shared" si="60"/>
        <v/>
      </c>
      <c r="P160" s="26"/>
      <c r="Q160" s="26"/>
      <c r="R160" s="26"/>
      <c r="S160" s="26"/>
      <c r="T160" s="26"/>
      <c r="U160" s="38" t="str">
        <f t="shared" si="61"/>
        <v/>
      </c>
      <c r="V160" s="38" t="str">
        <f t="shared" si="62"/>
        <v/>
      </c>
      <c r="W160" s="26"/>
      <c r="X160" s="27"/>
      <c r="Y160" s="26"/>
      <c r="Z160" s="26"/>
      <c r="AA160" s="35"/>
      <c r="AB160" s="47"/>
      <c r="AC160" s="45" t="str">
        <f t="shared" si="63"/>
        <v/>
      </c>
      <c r="AD160" s="45" t="str">
        <f t="shared" si="64"/>
        <v/>
      </c>
    </row>
    <row r="161" spans="1:30" s="21" customFormat="1" x14ac:dyDescent="0.25">
      <c r="A161" s="28"/>
      <c r="B161" s="30"/>
      <c r="C161" s="29"/>
      <c r="D161" s="29"/>
      <c r="E161" s="29"/>
      <c r="F161" s="39" t="str">
        <f t="shared" si="55"/>
        <v/>
      </c>
      <c r="G161" s="39" t="str">
        <f t="shared" si="56"/>
        <v/>
      </c>
      <c r="H161" s="29"/>
      <c r="I161" s="29"/>
      <c r="J161" s="39" t="str">
        <f t="shared" si="57"/>
        <v/>
      </c>
      <c r="K161" s="39" t="str">
        <f t="shared" si="58"/>
        <v/>
      </c>
      <c r="L161" s="29"/>
      <c r="M161" s="29"/>
      <c r="N161" s="39" t="str">
        <f t="shared" si="59"/>
        <v/>
      </c>
      <c r="O161" s="39" t="str">
        <f t="shared" si="60"/>
        <v/>
      </c>
      <c r="P161" s="29"/>
      <c r="Q161" s="29"/>
      <c r="R161" s="29"/>
      <c r="S161" s="29"/>
      <c r="T161" s="29"/>
      <c r="U161" s="39" t="str">
        <f t="shared" si="61"/>
        <v/>
      </c>
      <c r="V161" s="39" t="str">
        <f t="shared" si="62"/>
        <v/>
      </c>
      <c r="W161" s="29"/>
      <c r="X161" s="30"/>
      <c r="Y161" s="29"/>
      <c r="Z161" s="29"/>
      <c r="AA161" s="36"/>
      <c r="AB161" s="46"/>
      <c r="AC161" s="44" t="str">
        <f t="shared" si="63"/>
        <v/>
      </c>
      <c r="AD161" s="44" t="str">
        <f t="shared" si="64"/>
        <v/>
      </c>
    </row>
    <row r="162" spans="1:30" s="21" customFormat="1" x14ac:dyDescent="0.25">
      <c r="A162" s="25"/>
      <c r="B162" s="27"/>
      <c r="C162" s="26"/>
      <c r="D162" s="26"/>
      <c r="E162" s="26"/>
      <c r="F162" s="38" t="str">
        <f t="shared" si="55"/>
        <v/>
      </c>
      <c r="G162" s="38" t="str">
        <f t="shared" si="56"/>
        <v/>
      </c>
      <c r="H162" s="26"/>
      <c r="I162" s="26"/>
      <c r="J162" s="38" t="str">
        <f t="shared" si="57"/>
        <v/>
      </c>
      <c r="K162" s="38" t="str">
        <f t="shared" si="58"/>
        <v/>
      </c>
      <c r="L162" s="26"/>
      <c r="M162" s="26"/>
      <c r="N162" s="38" t="str">
        <f t="shared" si="59"/>
        <v/>
      </c>
      <c r="O162" s="38" t="str">
        <f t="shared" si="60"/>
        <v/>
      </c>
      <c r="P162" s="26"/>
      <c r="Q162" s="26"/>
      <c r="R162" s="26"/>
      <c r="S162" s="26"/>
      <c r="T162" s="26"/>
      <c r="U162" s="38" t="str">
        <f t="shared" si="61"/>
        <v/>
      </c>
      <c r="V162" s="38" t="str">
        <f t="shared" si="62"/>
        <v/>
      </c>
      <c r="W162" s="26"/>
      <c r="X162" s="27"/>
      <c r="Y162" s="26"/>
      <c r="Z162" s="26"/>
      <c r="AA162" s="35"/>
      <c r="AB162" s="47"/>
      <c r="AC162" s="45" t="str">
        <f t="shared" si="63"/>
        <v/>
      </c>
      <c r="AD162" s="45" t="str">
        <f t="shared" si="64"/>
        <v/>
      </c>
    </row>
    <row r="163" spans="1:30" s="21" customFormat="1" x14ac:dyDescent="0.25">
      <c r="A163" s="28"/>
      <c r="B163" s="30"/>
      <c r="C163" s="29"/>
      <c r="D163" s="29"/>
      <c r="E163" s="29"/>
      <c r="F163" s="39" t="str">
        <f t="shared" si="55"/>
        <v/>
      </c>
      <c r="G163" s="39" t="str">
        <f t="shared" si="56"/>
        <v/>
      </c>
      <c r="H163" s="29"/>
      <c r="I163" s="29"/>
      <c r="J163" s="39" t="str">
        <f t="shared" si="57"/>
        <v/>
      </c>
      <c r="K163" s="39" t="str">
        <f t="shared" si="58"/>
        <v/>
      </c>
      <c r="L163" s="29"/>
      <c r="M163" s="29"/>
      <c r="N163" s="39" t="str">
        <f t="shared" si="59"/>
        <v/>
      </c>
      <c r="O163" s="39" t="str">
        <f t="shared" si="60"/>
        <v/>
      </c>
      <c r="P163" s="29"/>
      <c r="Q163" s="29"/>
      <c r="R163" s="29"/>
      <c r="S163" s="29"/>
      <c r="T163" s="29"/>
      <c r="U163" s="39" t="str">
        <f t="shared" si="61"/>
        <v/>
      </c>
      <c r="V163" s="39" t="str">
        <f t="shared" si="62"/>
        <v/>
      </c>
      <c r="W163" s="29"/>
      <c r="X163" s="30"/>
      <c r="Y163" s="29"/>
      <c r="Z163" s="29"/>
      <c r="AA163" s="36"/>
      <c r="AB163" s="46"/>
      <c r="AC163" s="44" t="str">
        <f t="shared" si="63"/>
        <v/>
      </c>
      <c r="AD163" s="44" t="str">
        <f t="shared" si="64"/>
        <v/>
      </c>
    </row>
    <row r="164" spans="1:30" s="21" customFormat="1" x14ac:dyDescent="0.25">
      <c r="A164" s="25"/>
      <c r="B164" s="27"/>
      <c r="C164" s="26"/>
      <c r="D164" s="26"/>
      <c r="E164" s="26"/>
      <c r="F164" s="38" t="str">
        <f t="shared" si="55"/>
        <v/>
      </c>
      <c r="G164" s="38" t="str">
        <f t="shared" si="56"/>
        <v/>
      </c>
      <c r="H164" s="26"/>
      <c r="I164" s="26"/>
      <c r="J164" s="38" t="str">
        <f t="shared" si="57"/>
        <v/>
      </c>
      <c r="K164" s="38" t="str">
        <f t="shared" si="58"/>
        <v/>
      </c>
      <c r="L164" s="26"/>
      <c r="M164" s="26"/>
      <c r="N164" s="38" t="str">
        <f t="shared" si="59"/>
        <v/>
      </c>
      <c r="O164" s="38" t="str">
        <f t="shared" si="60"/>
        <v/>
      </c>
      <c r="P164" s="26"/>
      <c r="Q164" s="26"/>
      <c r="R164" s="26"/>
      <c r="S164" s="26"/>
      <c r="T164" s="26"/>
      <c r="U164" s="38" t="str">
        <f t="shared" si="61"/>
        <v/>
      </c>
      <c r="V164" s="38" t="str">
        <f t="shared" si="62"/>
        <v/>
      </c>
      <c r="W164" s="26"/>
      <c r="X164" s="27"/>
      <c r="Y164" s="26"/>
      <c r="Z164" s="26"/>
      <c r="AA164" s="35"/>
      <c r="AB164" s="47"/>
      <c r="AC164" s="45" t="str">
        <f t="shared" si="63"/>
        <v/>
      </c>
      <c r="AD164" s="45" t="str">
        <f t="shared" si="64"/>
        <v/>
      </c>
    </row>
    <row r="165" spans="1:30" s="21" customFormat="1" x14ac:dyDescent="0.25">
      <c r="A165" s="28"/>
      <c r="B165" s="30"/>
      <c r="C165" s="29"/>
      <c r="D165" s="29"/>
      <c r="E165" s="29"/>
      <c r="F165" s="39" t="str">
        <f t="shared" si="55"/>
        <v/>
      </c>
      <c r="G165" s="39" t="str">
        <f t="shared" si="56"/>
        <v/>
      </c>
      <c r="H165" s="29"/>
      <c r="I165" s="29"/>
      <c r="J165" s="39" t="str">
        <f t="shared" si="57"/>
        <v/>
      </c>
      <c r="K165" s="39" t="str">
        <f t="shared" si="58"/>
        <v/>
      </c>
      <c r="L165" s="29"/>
      <c r="M165" s="29"/>
      <c r="N165" s="39" t="str">
        <f t="shared" si="59"/>
        <v/>
      </c>
      <c r="O165" s="39" t="str">
        <f t="shared" si="60"/>
        <v/>
      </c>
      <c r="P165" s="29"/>
      <c r="Q165" s="29"/>
      <c r="R165" s="29"/>
      <c r="S165" s="29"/>
      <c r="T165" s="29"/>
      <c r="U165" s="39" t="str">
        <f t="shared" si="61"/>
        <v/>
      </c>
      <c r="V165" s="39" t="str">
        <f t="shared" si="62"/>
        <v/>
      </c>
      <c r="W165" s="29"/>
      <c r="X165" s="30"/>
      <c r="Y165" s="29"/>
      <c r="Z165" s="29"/>
      <c r="AA165" s="36"/>
      <c r="AB165" s="46"/>
      <c r="AC165" s="44" t="str">
        <f t="shared" si="63"/>
        <v/>
      </c>
      <c r="AD165" s="44" t="str">
        <f t="shared" si="64"/>
        <v/>
      </c>
    </row>
    <row r="166" spans="1:30" s="21" customFormat="1" x14ac:dyDescent="0.25">
      <c r="A166" s="25"/>
      <c r="B166" s="27"/>
      <c r="C166" s="26"/>
      <c r="D166" s="26"/>
      <c r="E166" s="26"/>
      <c r="F166" s="38" t="str">
        <f t="shared" ref="F166:F197" si="65">IF(D166="","",_xlfn.TRANSLATE(D166,"vi","ja"))</f>
        <v/>
      </c>
      <c r="G166" s="38" t="str">
        <f t="shared" ref="G166:G197" si="66">IF(D166="","",_xlfn.TRANSLATE(D166,"vi","zh-Hans"))</f>
        <v/>
      </c>
      <c r="H166" s="26"/>
      <c r="I166" s="26"/>
      <c r="J166" s="38" t="str">
        <f t="shared" ref="J166:J197" si="67">IF(H166="","",_xlfn.TRANSLATE(H166,"vi","ja"))</f>
        <v/>
      </c>
      <c r="K166" s="38" t="str">
        <f t="shared" ref="K166:K197" si="68">IF(H166="","",_xlfn.TRANSLATE(H166,"vi","zh-Hans"))</f>
        <v/>
      </c>
      <c r="L166" s="26"/>
      <c r="M166" s="26"/>
      <c r="N166" s="38" t="str">
        <f t="shared" ref="N166:N197" si="69">IF(L166="","",_xlfn.TRANSLATE(L166,"vi","ja"))</f>
        <v/>
      </c>
      <c r="O166" s="38" t="str">
        <f t="shared" ref="O166:O197" si="70">IF(L166="","",_xlfn.TRANSLATE(L166,"vi","zh-Hans"))</f>
        <v/>
      </c>
      <c r="P166" s="26"/>
      <c r="Q166" s="26"/>
      <c r="R166" s="26"/>
      <c r="S166" s="26"/>
      <c r="T166" s="26"/>
      <c r="U166" s="38" t="str">
        <f t="shared" ref="U166:U197" si="71">IF(S166="","",_xlfn.TRANSLATE(S166,"vi","ja"))</f>
        <v/>
      </c>
      <c r="V166" s="38" t="str">
        <f t="shared" ref="V166:V197" si="72">IF(S166="","",_xlfn.TRANSLATE(S166,"vi","zh-Hans"))</f>
        <v/>
      </c>
      <c r="W166" s="26"/>
      <c r="X166" s="27"/>
      <c r="Y166" s="26"/>
      <c r="Z166" s="26"/>
      <c r="AA166" s="35"/>
      <c r="AB166" s="47"/>
      <c r="AC166" s="45" t="str">
        <f t="shared" ref="AC166:AC197" si="73">IF(AA166="","",_xlfn.TRANSLATE(AA166,"vi","ja"))</f>
        <v/>
      </c>
      <c r="AD166" s="45" t="str">
        <f t="shared" ref="AD166:AD197" si="74">IF(AA166="","",_xlfn.TRANSLATE(AA166,"vi","zh-Hans"))</f>
        <v/>
      </c>
    </row>
    <row r="167" spans="1:30" s="21" customFormat="1" x14ac:dyDescent="0.25">
      <c r="A167" s="28"/>
      <c r="B167" s="30"/>
      <c r="C167" s="29"/>
      <c r="D167" s="29"/>
      <c r="E167" s="29"/>
      <c r="F167" s="39" t="str">
        <f t="shared" si="65"/>
        <v/>
      </c>
      <c r="G167" s="39" t="str">
        <f t="shared" si="66"/>
        <v/>
      </c>
      <c r="H167" s="29"/>
      <c r="I167" s="29"/>
      <c r="J167" s="39" t="str">
        <f t="shared" si="67"/>
        <v/>
      </c>
      <c r="K167" s="39" t="str">
        <f t="shared" si="68"/>
        <v/>
      </c>
      <c r="L167" s="29"/>
      <c r="M167" s="29"/>
      <c r="N167" s="39" t="str">
        <f t="shared" si="69"/>
        <v/>
      </c>
      <c r="O167" s="39" t="str">
        <f t="shared" si="70"/>
        <v/>
      </c>
      <c r="P167" s="29"/>
      <c r="Q167" s="29"/>
      <c r="R167" s="29"/>
      <c r="S167" s="29"/>
      <c r="T167" s="29"/>
      <c r="U167" s="39" t="str">
        <f t="shared" si="71"/>
        <v/>
      </c>
      <c r="V167" s="39" t="str">
        <f t="shared" si="72"/>
        <v/>
      </c>
      <c r="W167" s="29"/>
      <c r="X167" s="30"/>
      <c r="Y167" s="29"/>
      <c r="Z167" s="29"/>
      <c r="AA167" s="36"/>
      <c r="AB167" s="46"/>
      <c r="AC167" s="44" t="str">
        <f t="shared" si="73"/>
        <v/>
      </c>
      <c r="AD167" s="44" t="str">
        <f t="shared" si="74"/>
        <v/>
      </c>
    </row>
    <row r="168" spans="1:30" s="21" customFormat="1" x14ac:dyDescent="0.25">
      <c r="A168" s="25"/>
      <c r="B168" s="27"/>
      <c r="C168" s="26"/>
      <c r="D168" s="26"/>
      <c r="E168" s="26"/>
      <c r="F168" s="38" t="str">
        <f t="shared" si="65"/>
        <v/>
      </c>
      <c r="G168" s="38" t="str">
        <f t="shared" si="66"/>
        <v/>
      </c>
      <c r="H168" s="26"/>
      <c r="I168" s="26"/>
      <c r="J168" s="38" t="str">
        <f t="shared" si="67"/>
        <v/>
      </c>
      <c r="K168" s="38" t="str">
        <f t="shared" si="68"/>
        <v/>
      </c>
      <c r="L168" s="26"/>
      <c r="M168" s="26"/>
      <c r="N168" s="38" t="str">
        <f t="shared" si="69"/>
        <v/>
      </c>
      <c r="O168" s="38" t="str">
        <f t="shared" si="70"/>
        <v/>
      </c>
      <c r="P168" s="26"/>
      <c r="Q168" s="26"/>
      <c r="R168" s="26"/>
      <c r="S168" s="26"/>
      <c r="T168" s="26"/>
      <c r="U168" s="38" t="str">
        <f t="shared" si="71"/>
        <v/>
      </c>
      <c r="V168" s="38" t="str">
        <f t="shared" si="72"/>
        <v/>
      </c>
      <c r="W168" s="26"/>
      <c r="X168" s="27"/>
      <c r="Y168" s="26"/>
      <c r="Z168" s="26"/>
      <c r="AA168" s="35"/>
      <c r="AB168" s="47"/>
      <c r="AC168" s="45" t="str">
        <f t="shared" si="73"/>
        <v/>
      </c>
      <c r="AD168" s="45" t="str">
        <f t="shared" si="74"/>
        <v/>
      </c>
    </row>
    <row r="169" spans="1:30" s="21" customFormat="1" x14ac:dyDescent="0.25">
      <c r="A169" s="28"/>
      <c r="B169" s="30"/>
      <c r="C169" s="29"/>
      <c r="D169" s="29"/>
      <c r="E169" s="29"/>
      <c r="F169" s="39" t="str">
        <f t="shared" si="65"/>
        <v/>
      </c>
      <c r="G169" s="39" t="str">
        <f t="shared" si="66"/>
        <v/>
      </c>
      <c r="H169" s="29"/>
      <c r="I169" s="29"/>
      <c r="J169" s="39" t="str">
        <f t="shared" si="67"/>
        <v/>
      </c>
      <c r="K169" s="39" t="str">
        <f t="shared" si="68"/>
        <v/>
      </c>
      <c r="L169" s="29"/>
      <c r="M169" s="29"/>
      <c r="N169" s="39" t="str">
        <f t="shared" si="69"/>
        <v/>
      </c>
      <c r="O169" s="39" t="str">
        <f t="shared" si="70"/>
        <v/>
      </c>
      <c r="P169" s="29"/>
      <c r="Q169" s="29"/>
      <c r="R169" s="29"/>
      <c r="S169" s="29"/>
      <c r="T169" s="29"/>
      <c r="U169" s="39" t="str">
        <f t="shared" si="71"/>
        <v/>
      </c>
      <c r="V169" s="39" t="str">
        <f t="shared" si="72"/>
        <v/>
      </c>
      <c r="W169" s="29"/>
      <c r="X169" s="30"/>
      <c r="Y169" s="29"/>
      <c r="Z169" s="29"/>
      <c r="AA169" s="36"/>
      <c r="AB169" s="46"/>
      <c r="AC169" s="44" t="str">
        <f t="shared" si="73"/>
        <v/>
      </c>
      <c r="AD169" s="44" t="str">
        <f t="shared" si="74"/>
        <v/>
      </c>
    </row>
    <row r="170" spans="1:30" s="21" customFormat="1" x14ac:dyDescent="0.25">
      <c r="A170" s="25"/>
      <c r="B170" s="27"/>
      <c r="C170" s="26"/>
      <c r="D170" s="26"/>
      <c r="E170" s="26"/>
      <c r="F170" s="38" t="str">
        <f t="shared" si="65"/>
        <v/>
      </c>
      <c r="G170" s="38" t="str">
        <f t="shared" si="66"/>
        <v/>
      </c>
      <c r="H170" s="26"/>
      <c r="I170" s="26"/>
      <c r="J170" s="38" t="str">
        <f t="shared" si="67"/>
        <v/>
      </c>
      <c r="K170" s="38" t="str">
        <f t="shared" si="68"/>
        <v/>
      </c>
      <c r="L170" s="26"/>
      <c r="M170" s="26"/>
      <c r="N170" s="38" t="str">
        <f t="shared" si="69"/>
        <v/>
      </c>
      <c r="O170" s="38" t="str">
        <f t="shared" si="70"/>
        <v/>
      </c>
      <c r="P170" s="26"/>
      <c r="Q170" s="26"/>
      <c r="R170" s="26"/>
      <c r="S170" s="26"/>
      <c r="T170" s="26"/>
      <c r="U170" s="38" t="str">
        <f t="shared" si="71"/>
        <v/>
      </c>
      <c r="V170" s="38" t="str">
        <f t="shared" si="72"/>
        <v/>
      </c>
      <c r="W170" s="26"/>
      <c r="X170" s="27"/>
      <c r="Y170" s="26"/>
      <c r="Z170" s="26"/>
      <c r="AA170" s="35"/>
      <c r="AB170" s="47"/>
      <c r="AC170" s="45" t="str">
        <f t="shared" si="73"/>
        <v/>
      </c>
      <c r="AD170" s="45" t="str">
        <f t="shared" si="74"/>
        <v/>
      </c>
    </row>
    <row r="171" spans="1:30" s="21" customFormat="1" x14ac:dyDescent="0.25">
      <c r="A171" s="28"/>
      <c r="B171" s="30"/>
      <c r="C171" s="29"/>
      <c r="D171" s="29"/>
      <c r="E171" s="29"/>
      <c r="F171" s="39" t="str">
        <f t="shared" si="65"/>
        <v/>
      </c>
      <c r="G171" s="39" t="str">
        <f t="shared" si="66"/>
        <v/>
      </c>
      <c r="H171" s="29"/>
      <c r="I171" s="29"/>
      <c r="J171" s="39" t="str">
        <f t="shared" si="67"/>
        <v/>
      </c>
      <c r="K171" s="39" t="str">
        <f t="shared" si="68"/>
        <v/>
      </c>
      <c r="L171" s="29"/>
      <c r="M171" s="29"/>
      <c r="N171" s="39" t="str">
        <f t="shared" si="69"/>
        <v/>
      </c>
      <c r="O171" s="39" t="str">
        <f t="shared" si="70"/>
        <v/>
      </c>
      <c r="P171" s="29"/>
      <c r="Q171" s="29"/>
      <c r="R171" s="29"/>
      <c r="S171" s="29"/>
      <c r="T171" s="29"/>
      <c r="U171" s="39" t="str">
        <f t="shared" si="71"/>
        <v/>
      </c>
      <c r="V171" s="39" t="str">
        <f t="shared" si="72"/>
        <v/>
      </c>
      <c r="W171" s="29"/>
      <c r="X171" s="30"/>
      <c r="Y171" s="29"/>
      <c r="Z171" s="29"/>
      <c r="AA171" s="36"/>
      <c r="AB171" s="46"/>
      <c r="AC171" s="44" t="str">
        <f t="shared" si="73"/>
        <v/>
      </c>
      <c r="AD171" s="44" t="str">
        <f t="shared" si="74"/>
        <v/>
      </c>
    </row>
    <row r="172" spans="1:30" s="21" customFormat="1" x14ac:dyDescent="0.25">
      <c r="A172" s="25"/>
      <c r="B172" s="27"/>
      <c r="C172" s="26"/>
      <c r="D172" s="26"/>
      <c r="E172" s="26"/>
      <c r="F172" s="38" t="str">
        <f t="shared" si="65"/>
        <v/>
      </c>
      <c r="G172" s="38" t="str">
        <f t="shared" si="66"/>
        <v/>
      </c>
      <c r="H172" s="26"/>
      <c r="I172" s="26"/>
      <c r="J172" s="38" t="str">
        <f t="shared" si="67"/>
        <v/>
      </c>
      <c r="K172" s="38" t="str">
        <f t="shared" si="68"/>
        <v/>
      </c>
      <c r="L172" s="26"/>
      <c r="M172" s="26"/>
      <c r="N172" s="38" t="str">
        <f t="shared" si="69"/>
        <v/>
      </c>
      <c r="O172" s="38" t="str">
        <f t="shared" si="70"/>
        <v/>
      </c>
      <c r="P172" s="26"/>
      <c r="Q172" s="26"/>
      <c r="R172" s="26"/>
      <c r="S172" s="26"/>
      <c r="T172" s="26"/>
      <c r="U172" s="38" t="str">
        <f t="shared" si="71"/>
        <v/>
      </c>
      <c r="V172" s="38" t="str">
        <f t="shared" si="72"/>
        <v/>
      </c>
      <c r="W172" s="26"/>
      <c r="X172" s="27"/>
      <c r="Y172" s="26"/>
      <c r="Z172" s="26"/>
      <c r="AA172" s="35"/>
      <c r="AB172" s="47"/>
      <c r="AC172" s="45" t="str">
        <f t="shared" si="73"/>
        <v/>
      </c>
      <c r="AD172" s="45" t="str">
        <f t="shared" si="74"/>
        <v/>
      </c>
    </row>
    <row r="173" spans="1:30" s="21" customFormat="1" x14ac:dyDescent="0.25">
      <c r="A173" s="28"/>
      <c r="B173" s="30"/>
      <c r="C173" s="29"/>
      <c r="D173" s="29"/>
      <c r="E173" s="29"/>
      <c r="F173" s="39" t="str">
        <f t="shared" si="65"/>
        <v/>
      </c>
      <c r="G173" s="39" t="str">
        <f t="shared" si="66"/>
        <v/>
      </c>
      <c r="H173" s="29"/>
      <c r="I173" s="29"/>
      <c r="J173" s="39" t="str">
        <f t="shared" si="67"/>
        <v/>
      </c>
      <c r="K173" s="39" t="str">
        <f t="shared" si="68"/>
        <v/>
      </c>
      <c r="L173" s="29"/>
      <c r="M173" s="29"/>
      <c r="N173" s="39" t="str">
        <f t="shared" si="69"/>
        <v/>
      </c>
      <c r="O173" s="39" t="str">
        <f t="shared" si="70"/>
        <v/>
      </c>
      <c r="P173" s="29"/>
      <c r="Q173" s="29"/>
      <c r="R173" s="29"/>
      <c r="S173" s="29"/>
      <c r="T173" s="29"/>
      <c r="U173" s="39" t="str">
        <f t="shared" si="71"/>
        <v/>
      </c>
      <c r="V173" s="39" t="str">
        <f t="shared" si="72"/>
        <v/>
      </c>
      <c r="W173" s="29"/>
      <c r="X173" s="30"/>
      <c r="Y173" s="29"/>
      <c r="Z173" s="29"/>
      <c r="AA173" s="36"/>
      <c r="AB173" s="46"/>
      <c r="AC173" s="44" t="str">
        <f t="shared" si="73"/>
        <v/>
      </c>
      <c r="AD173" s="44" t="str">
        <f t="shared" si="74"/>
        <v/>
      </c>
    </row>
    <row r="174" spans="1:30" s="21" customFormat="1" x14ac:dyDescent="0.25">
      <c r="A174" s="25"/>
      <c r="B174" s="27"/>
      <c r="C174" s="26"/>
      <c r="D174" s="26"/>
      <c r="E174" s="26"/>
      <c r="F174" s="38" t="str">
        <f t="shared" si="65"/>
        <v/>
      </c>
      <c r="G174" s="38" t="str">
        <f t="shared" si="66"/>
        <v/>
      </c>
      <c r="H174" s="26"/>
      <c r="I174" s="26"/>
      <c r="J174" s="38" t="str">
        <f t="shared" si="67"/>
        <v/>
      </c>
      <c r="K174" s="38" t="str">
        <f t="shared" si="68"/>
        <v/>
      </c>
      <c r="L174" s="26"/>
      <c r="M174" s="26"/>
      <c r="N174" s="38" t="str">
        <f t="shared" si="69"/>
        <v/>
      </c>
      <c r="O174" s="38" t="str">
        <f t="shared" si="70"/>
        <v/>
      </c>
      <c r="P174" s="26"/>
      <c r="Q174" s="26"/>
      <c r="R174" s="26"/>
      <c r="S174" s="26"/>
      <c r="T174" s="26"/>
      <c r="U174" s="38" t="str">
        <f t="shared" si="71"/>
        <v/>
      </c>
      <c r="V174" s="38" t="str">
        <f t="shared" si="72"/>
        <v/>
      </c>
      <c r="W174" s="26"/>
      <c r="X174" s="27"/>
      <c r="Y174" s="26"/>
      <c r="Z174" s="26"/>
      <c r="AA174" s="35"/>
      <c r="AB174" s="47"/>
      <c r="AC174" s="45" t="str">
        <f t="shared" si="73"/>
        <v/>
      </c>
      <c r="AD174" s="45" t="str">
        <f t="shared" si="74"/>
        <v/>
      </c>
    </row>
    <row r="175" spans="1:30" s="21" customFormat="1" x14ac:dyDescent="0.25">
      <c r="A175" s="28"/>
      <c r="B175" s="30"/>
      <c r="C175" s="29"/>
      <c r="D175" s="29"/>
      <c r="E175" s="29"/>
      <c r="F175" s="39" t="str">
        <f t="shared" si="65"/>
        <v/>
      </c>
      <c r="G175" s="39" t="str">
        <f t="shared" si="66"/>
        <v/>
      </c>
      <c r="H175" s="29"/>
      <c r="I175" s="29"/>
      <c r="J175" s="39" t="str">
        <f t="shared" si="67"/>
        <v/>
      </c>
      <c r="K175" s="39" t="str">
        <f t="shared" si="68"/>
        <v/>
      </c>
      <c r="L175" s="29"/>
      <c r="M175" s="29"/>
      <c r="N175" s="39" t="str">
        <f t="shared" si="69"/>
        <v/>
      </c>
      <c r="O175" s="39" t="str">
        <f t="shared" si="70"/>
        <v/>
      </c>
      <c r="P175" s="29"/>
      <c r="Q175" s="29"/>
      <c r="R175" s="29"/>
      <c r="S175" s="29"/>
      <c r="T175" s="29"/>
      <c r="U175" s="39" t="str">
        <f t="shared" si="71"/>
        <v/>
      </c>
      <c r="V175" s="39" t="str">
        <f t="shared" si="72"/>
        <v/>
      </c>
      <c r="W175" s="29"/>
      <c r="X175" s="30"/>
      <c r="Y175" s="29"/>
      <c r="Z175" s="29"/>
      <c r="AA175" s="36"/>
      <c r="AB175" s="46"/>
      <c r="AC175" s="44" t="str">
        <f t="shared" si="73"/>
        <v/>
      </c>
      <c r="AD175" s="44" t="str">
        <f t="shared" si="74"/>
        <v/>
      </c>
    </row>
    <row r="176" spans="1:30" s="21" customFormat="1" x14ac:dyDescent="0.25">
      <c r="A176" s="25"/>
      <c r="B176" s="27"/>
      <c r="C176" s="26"/>
      <c r="D176" s="26"/>
      <c r="E176" s="26"/>
      <c r="F176" s="38" t="str">
        <f t="shared" si="65"/>
        <v/>
      </c>
      <c r="G176" s="38" t="str">
        <f t="shared" si="66"/>
        <v/>
      </c>
      <c r="H176" s="26"/>
      <c r="I176" s="26"/>
      <c r="J176" s="38" t="str">
        <f t="shared" si="67"/>
        <v/>
      </c>
      <c r="K176" s="38" t="str">
        <f t="shared" si="68"/>
        <v/>
      </c>
      <c r="L176" s="26"/>
      <c r="M176" s="26"/>
      <c r="N176" s="38" t="str">
        <f t="shared" si="69"/>
        <v/>
      </c>
      <c r="O176" s="38" t="str">
        <f t="shared" si="70"/>
        <v/>
      </c>
      <c r="P176" s="26"/>
      <c r="Q176" s="26"/>
      <c r="R176" s="26"/>
      <c r="S176" s="26"/>
      <c r="T176" s="26"/>
      <c r="U176" s="38" t="str">
        <f t="shared" si="71"/>
        <v/>
      </c>
      <c r="V176" s="38" t="str">
        <f t="shared" si="72"/>
        <v/>
      </c>
      <c r="W176" s="26"/>
      <c r="X176" s="27"/>
      <c r="Y176" s="26"/>
      <c r="Z176" s="26"/>
      <c r="AA176" s="35"/>
      <c r="AB176" s="47"/>
      <c r="AC176" s="45" t="str">
        <f t="shared" si="73"/>
        <v/>
      </c>
      <c r="AD176" s="45" t="str">
        <f t="shared" si="74"/>
        <v/>
      </c>
    </row>
    <row r="177" spans="1:30" s="21" customFormat="1" x14ac:dyDescent="0.25">
      <c r="A177" s="28"/>
      <c r="B177" s="30"/>
      <c r="C177" s="29"/>
      <c r="D177" s="29"/>
      <c r="E177" s="29"/>
      <c r="F177" s="39" t="str">
        <f t="shared" si="65"/>
        <v/>
      </c>
      <c r="G177" s="39" t="str">
        <f t="shared" si="66"/>
        <v/>
      </c>
      <c r="H177" s="29"/>
      <c r="I177" s="29"/>
      <c r="J177" s="39" t="str">
        <f t="shared" si="67"/>
        <v/>
      </c>
      <c r="K177" s="39" t="str">
        <f t="shared" si="68"/>
        <v/>
      </c>
      <c r="L177" s="29"/>
      <c r="M177" s="29"/>
      <c r="N177" s="39" t="str">
        <f t="shared" si="69"/>
        <v/>
      </c>
      <c r="O177" s="39" t="str">
        <f t="shared" si="70"/>
        <v/>
      </c>
      <c r="P177" s="29"/>
      <c r="Q177" s="29"/>
      <c r="R177" s="29"/>
      <c r="S177" s="29"/>
      <c r="T177" s="29"/>
      <c r="U177" s="39" t="str">
        <f t="shared" si="71"/>
        <v/>
      </c>
      <c r="V177" s="39" t="str">
        <f t="shared" si="72"/>
        <v/>
      </c>
      <c r="W177" s="29"/>
      <c r="X177" s="30"/>
      <c r="Y177" s="29"/>
      <c r="Z177" s="29"/>
      <c r="AA177" s="36"/>
      <c r="AB177" s="46"/>
      <c r="AC177" s="44" t="str">
        <f t="shared" si="73"/>
        <v/>
      </c>
      <c r="AD177" s="44" t="str">
        <f t="shared" si="74"/>
        <v/>
      </c>
    </row>
    <row r="178" spans="1:30" s="21" customFormat="1" x14ac:dyDescent="0.25">
      <c r="A178" s="25"/>
      <c r="B178" s="27"/>
      <c r="C178" s="26"/>
      <c r="D178" s="26"/>
      <c r="E178" s="26"/>
      <c r="F178" s="38" t="str">
        <f t="shared" si="65"/>
        <v/>
      </c>
      <c r="G178" s="38" t="str">
        <f t="shared" si="66"/>
        <v/>
      </c>
      <c r="H178" s="26"/>
      <c r="I178" s="26"/>
      <c r="J178" s="38" t="str">
        <f t="shared" si="67"/>
        <v/>
      </c>
      <c r="K178" s="38" t="str">
        <f t="shared" si="68"/>
        <v/>
      </c>
      <c r="L178" s="26"/>
      <c r="M178" s="26"/>
      <c r="N178" s="38" t="str">
        <f t="shared" si="69"/>
        <v/>
      </c>
      <c r="O178" s="38" t="str">
        <f t="shared" si="70"/>
        <v/>
      </c>
      <c r="P178" s="26"/>
      <c r="Q178" s="26"/>
      <c r="R178" s="26"/>
      <c r="S178" s="26"/>
      <c r="T178" s="26"/>
      <c r="U178" s="38" t="str">
        <f t="shared" si="71"/>
        <v/>
      </c>
      <c r="V178" s="38" t="str">
        <f t="shared" si="72"/>
        <v/>
      </c>
      <c r="W178" s="26"/>
      <c r="X178" s="27"/>
      <c r="Y178" s="26"/>
      <c r="Z178" s="26"/>
      <c r="AA178" s="35"/>
      <c r="AB178" s="47"/>
      <c r="AC178" s="45" t="str">
        <f t="shared" si="73"/>
        <v/>
      </c>
      <c r="AD178" s="45" t="str">
        <f t="shared" si="74"/>
        <v/>
      </c>
    </row>
    <row r="179" spans="1:30" s="21" customFormat="1" x14ac:dyDescent="0.25">
      <c r="A179" s="28"/>
      <c r="B179" s="30"/>
      <c r="C179" s="29"/>
      <c r="D179" s="29"/>
      <c r="E179" s="29"/>
      <c r="F179" s="39" t="str">
        <f t="shared" si="65"/>
        <v/>
      </c>
      <c r="G179" s="39" t="str">
        <f t="shared" si="66"/>
        <v/>
      </c>
      <c r="H179" s="29"/>
      <c r="I179" s="29"/>
      <c r="J179" s="39" t="str">
        <f t="shared" si="67"/>
        <v/>
      </c>
      <c r="K179" s="39" t="str">
        <f t="shared" si="68"/>
        <v/>
      </c>
      <c r="L179" s="29"/>
      <c r="M179" s="29"/>
      <c r="N179" s="39" t="str">
        <f t="shared" si="69"/>
        <v/>
      </c>
      <c r="O179" s="39" t="str">
        <f t="shared" si="70"/>
        <v/>
      </c>
      <c r="P179" s="29"/>
      <c r="Q179" s="29"/>
      <c r="R179" s="29"/>
      <c r="S179" s="29"/>
      <c r="T179" s="29"/>
      <c r="U179" s="39" t="str">
        <f t="shared" si="71"/>
        <v/>
      </c>
      <c r="V179" s="39" t="str">
        <f t="shared" si="72"/>
        <v/>
      </c>
      <c r="W179" s="29"/>
      <c r="X179" s="30"/>
      <c r="Y179" s="29"/>
      <c r="Z179" s="29"/>
      <c r="AA179" s="36"/>
      <c r="AB179" s="46"/>
      <c r="AC179" s="44" t="str">
        <f t="shared" si="73"/>
        <v/>
      </c>
      <c r="AD179" s="44" t="str">
        <f t="shared" si="74"/>
        <v/>
      </c>
    </row>
    <row r="180" spans="1:30" s="21" customFormat="1" x14ac:dyDescent="0.25">
      <c r="A180" s="25"/>
      <c r="B180" s="27"/>
      <c r="C180" s="26"/>
      <c r="D180" s="26"/>
      <c r="E180" s="26"/>
      <c r="F180" s="38" t="str">
        <f t="shared" si="65"/>
        <v/>
      </c>
      <c r="G180" s="38" t="str">
        <f t="shared" si="66"/>
        <v/>
      </c>
      <c r="H180" s="26"/>
      <c r="I180" s="26"/>
      <c r="J180" s="38" t="str">
        <f t="shared" si="67"/>
        <v/>
      </c>
      <c r="K180" s="38" t="str">
        <f t="shared" si="68"/>
        <v/>
      </c>
      <c r="L180" s="26"/>
      <c r="M180" s="26"/>
      <c r="N180" s="38" t="str">
        <f t="shared" si="69"/>
        <v/>
      </c>
      <c r="O180" s="38" t="str">
        <f t="shared" si="70"/>
        <v/>
      </c>
      <c r="P180" s="26"/>
      <c r="Q180" s="26"/>
      <c r="R180" s="26"/>
      <c r="S180" s="26"/>
      <c r="T180" s="26"/>
      <c r="U180" s="38" t="str">
        <f t="shared" si="71"/>
        <v/>
      </c>
      <c r="V180" s="38" t="str">
        <f t="shared" si="72"/>
        <v/>
      </c>
      <c r="W180" s="26"/>
      <c r="X180" s="27"/>
      <c r="Y180" s="26"/>
      <c r="Z180" s="26"/>
      <c r="AA180" s="35"/>
      <c r="AB180" s="47"/>
      <c r="AC180" s="45" t="str">
        <f t="shared" si="73"/>
        <v/>
      </c>
      <c r="AD180" s="45" t="str">
        <f t="shared" si="74"/>
        <v/>
      </c>
    </row>
    <row r="181" spans="1:30" s="21" customFormat="1" x14ac:dyDescent="0.25">
      <c r="A181" s="28"/>
      <c r="B181" s="30"/>
      <c r="C181" s="29"/>
      <c r="D181" s="29"/>
      <c r="E181" s="29"/>
      <c r="F181" s="39" t="str">
        <f t="shared" si="65"/>
        <v/>
      </c>
      <c r="G181" s="39" t="str">
        <f t="shared" si="66"/>
        <v/>
      </c>
      <c r="H181" s="29"/>
      <c r="I181" s="29"/>
      <c r="J181" s="39" t="str">
        <f t="shared" si="67"/>
        <v/>
      </c>
      <c r="K181" s="39" t="str">
        <f t="shared" si="68"/>
        <v/>
      </c>
      <c r="L181" s="29"/>
      <c r="M181" s="29"/>
      <c r="N181" s="39" t="str">
        <f t="shared" si="69"/>
        <v/>
      </c>
      <c r="O181" s="39" t="str">
        <f t="shared" si="70"/>
        <v/>
      </c>
      <c r="P181" s="29"/>
      <c r="Q181" s="29"/>
      <c r="R181" s="29"/>
      <c r="S181" s="29"/>
      <c r="T181" s="29"/>
      <c r="U181" s="39" t="str">
        <f t="shared" si="71"/>
        <v/>
      </c>
      <c r="V181" s="39" t="str">
        <f t="shared" si="72"/>
        <v/>
      </c>
      <c r="W181" s="29"/>
      <c r="X181" s="30"/>
      <c r="Y181" s="29"/>
      <c r="Z181" s="29"/>
      <c r="AA181" s="36"/>
      <c r="AB181" s="46"/>
      <c r="AC181" s="44" t="str">
        <f t="shared" si="73"/>
        <v/>
      </c>
      <c r="AD181" s="44" t="str">
        <f t="shared" si="74"/>
        <v/>
      </c>
    </row>
    <row r="182" spans="1:30" s="21" customFormat="1" x14ac:dyDescent="0.25">
      <c r="A182" s="25"/>
      <c r="B182" s="27"/>
      <c r="C182" s="26"/>
      <c r="D182" s="26"/>
      <c r="E182" s="26"/>
      <c r="F182" s="38" t="str">
        <f t="shared" si="65"/>
        <v/>
      </c>
      <c r="G182" s="38" t="str">
        <f t="shared" si="66"/>
        <v/>
      </c>
      <c r="H182" s="26"/>
      <c r="I182" s="26"/>
      <c r="J182" s="38" t="str">
        <f t="shared" si="67"/>
        <v/>
      </c>
      <c r="K182" s="38" t="str">
        <f t="shared" si="68"/>
        <v/>
      </c>
      <c r="L182" s="26"/>
      <c r="M182" s="26"/>
      <c r="N182" s="38" t="str">
        <f t="shared" si="69"/>
        <v/>
      </c>
      <c r="O182" s="38" t="str">
        <f t="shared" si="70"/>
        <v/>
      </c>
      <c r="P182" s="26"/>
      <c r="Q182" s="26"/>
      <c r="R182" s="26"/>
      <c r="S182" s="26"/>
      <c r="T182" s="26"/>
      <c r="U182" s="38" t="str">
        <f t="shared" si="71"/>
        <v/>
      </c>
      <c r="V182" s="38" t="str">
        <f t="shared" si="72"/>
        <v/>
      </c>
      <c r="W182" s="26"/>
      <c r="X182" s="27"/>
      <c r="Y182" s="26"/>
      <c r="Z182" s="26"/>
      <c r="AA182" s="35"/>
      <c r="AB182" s="47"/>
      <c r="AC182" s="45" t="str">
        <f t="shared" si="73"/>
        <v/>
      </c>
      <c r="AD182" s="45" t="str">
        <f t="shared" si="74"/>
        <v/>
      </c>
    </row>
    <row r="183" spans="1:30" s="21" customFormat="1" x14ac:dyDescent="0.25">
      <c r="A183" s="28"/>
      <c r="B183" s="30"/>
      <c r="C183" s="29"/>
      <c r="D183" s="29"/>
      <c r="E183" s="29"/>
      <c r="F183" s="39" t="str">
        <f t="shared" si="65"/>
        <v/>
      </c>
      <c r="G183" s="39" t="str">
        <f t="shared" si="66"/>
        <v/>
      </c>
      <c r="H183" s="29"/>
      <c r="I183" s="29"/>
      <c r="J183" s="39" t="str">
        <f t="shared" si="67"/>
        <v/>
      </c>
      <c r="K183" s="39" t="str">
        <f t="shared" si="68"/>
        <v/>
      </c>
      <c r="L183" s="29"/>
      <c r="M183" s="29"/>
      <c r="N183" s="39" t="str">
        <f t="shared" si="69"/>
        <v/>
      </c>
      <c r="O183" s="39" t="str">
        <f t="shared" si="70"/>
        <v/>
      </c>
      <c r="P183" s="29"/>
      <c r="Q183" s="29"/>
      <c r="R183" s="29"/>
      <c r="S183" s="29"/>
      <c r="T183" s="29"/>
      <c r="U183" s="39" t="str">
        <f t="shared" si="71"/>
        <v/>
      </c>
      <c r="V183" s="39" t="str">
        <f t="shared" si="72"/>
        <v/>
      </c>
      <c r="W183" s="29"/>
      <c r="X183" s="30"/>
      <c r="Y183" s="29"/>
      <c r="Z183" s="29"/>
      <c r="AA183" s="36"/>
      <c r="AB183" s="46"/>
      <c r="AC183" s="44" t="str">
        <f t="shared" si="73"/>
        <v/>
      </c>
      <c r="AD183" s="44" t="str">
        <f t="shared" si="74"/>
        <v/>
      </c>
    </row>
    <row r="184" spans="1:30" s="21" customFormat="1" x14ac:dyDescent="0.25">
      <c r="A184" s="25"/>
      <c r="B184" s="27"/>
      <c r="C184" s="26"/>
      <c r="D184" s="26"/>
      <c r="E184" s="26"/>
      <c r="F184" s="38" t="str">
        <f t="shared" si="65"/>
        <v/>
      </c>
      <c r="G184" s="38" t="str">
        <f t="shared" si="66"/>
        <v/>
      </c>
      <c r="H184" s="26"/>
      <c r="I184" s="26"/>
      <c r="J184" s="38" t="str">
        <f t="shared" si="67"/>
        <v/>
      </c>
      <c r="K184" s="38" t="str">
        <f t="shared" si="68"/>
        <v/>
      </c>
      <c r="L184" s="26"/>
      <c r="M184" s="26"/>
      <c r="N184" s="38" t="str">
        <f t="shared" si="69"/>
        <v/>
      </c>
      <c r="O184" s="38" t="str">
        <f t="shared" si="70"/>
        <v/>
      </c>
      <c r="P184" s="26"/>
      <c r="Q184" s="26"/>
      <c r="R184" s="26"/>
      <c r="S184" s="26"/>
      <c r="T184" s="26"/>
      <c r="U184" s="38" t="str">
        <f t="shared" si="71"/>
        <v/>
      </c>
      <c r="V184" s="38" t="str">
        <f t="shared" si="72"/>
        <v/>
      </c>
      <c r="W184" s="26"/>
      <c r="X184" s="27"/>
      <c r="Y184" s="26"/>
      <c r="Z184" s="26"/>
      <c r="AA184" s="35"/>
      <c r="AB184" s="47"/>
      <c r="AC184" s="45" t="str">
        <f t="shared" si="73"/>
        <v/>
      </c>
      <c r="AD184" s="45" t="str">
        <f t="shared" si="74"/>
        <v/>
      </c>
    </row>
    <row r="185" spans="1:30" s="21" customFormat="1" x14ac:dyDescent="0.25">
      <c r="A185" s="28"/>
      <c r="B185" s="30"/>
      <c r="C185" s="29"/>
      <c r="D185" s="29"/>
      <c r="E185" s="29"/>
      <c r="F185" s="39" t="str">
        <f t="shared" si="65"/>
        <v/>
      </c>
      <c r="G185" s="39" t="str">
        <f t="shared" si="66"/>
        <v/>
      </c>
      <c r="H185" s="29"/>
      <c r="I185" s="29"/>
      <c r="J185" s="39" t="str">
        <f t="shared" si="67"/>
        <v/>
      </c>
      <c r="K185" s="39" t="str">
        <f t="shared" si="68"/>
        <v/>
      </c>
      <c r="L185" s="29"/>
      <c r="M185" s="29"/>
      <c r="N185" s="39" t="str">
        <f t="shared" si="69"/>
        <v/>
      </c>
      <c r="O185" s="39" t="str">
        <f t="shared" si="70"/>
        <v/>
      </c>
      <c r="P185" s="29"/>
      <c r="Q185" s="29"/>
      <c r="R185" s="29"/>
      <c r="S185" s="29"/>
      <c r="T185" s="29"/>
      <c r="U185" s="39" t="str">
        <f t="shared" si="71"/>
        <v/>
      </c>
      <c r="V185" s="39" t="str">
        <f t="shared" si="72"/>
        <v/>
      </c>
      <c r="W185" s="29"/>
      <c r="X185" s="30"/>
      <c r="Y185" s="29"/>
      <c r="Z185" s="29"/>
      <c r="AA185" s="36"/>
      <c r="AB185" s="46"/>
      <c r="AC185" s="44" t="str">
        <f t="shared" si="73"/>
        <v/>
      </c>
      <c r="AD185" s="44" t="str">
        <f t="shared" si="74"/>
        <v/>
      </c>
    </row>
    <row r="186" spans="1:30" s="21" customFormat="1" x14ac:dyDescent="0.25">
      <c r="A186" s="25"/>
      <c r="B186" s="27"/>
      <c r="C186" s="26"/>
      <c r="D186" s="26"/>
      <c r="E186" s="26"/>
      <c r="F186" s="38" t="str">
        <f t="shared" si="65"/>
        <v/>
      </c>
      <c r="G186" s="38" t="str">
        <f t="shared" si="66"/>
        <v/>
      </c>
      <c r="H186" s="26"/>
      <c r="I186" s="26"/>
      <c r="J186" s="38" t="str">
        <f t="shared" si="67"/>
        <v/>
      </c>
      <c r="K186" s="38" t="str">
        <f t="shared" si="68"/>
        <v/>
      </c>
      <c r="L186" s="26"/>
      <c r="M186" s="26"/>
      <c r="N186" s="38" t="str">
        <f t="shared" si="69"/>
        <v/>
      </c>
      <c r="O186" s="38" t="str">
        <f t="shared" si="70"/>
        <v/>
      </c>
      <c r="P186" s="26"/>
      <c r="Q186" s="26"/>
      <c r="R186" s="26"/>
      <c r="S186" s="26"/>
      <c r="T186" s="26"/>
      <c r="U186" s="38" t="str">
        <f t="shared" si="71"/>
        <v/>
      </c>
      <c r="V186" s="38" t="str">
        <f t="shared" si="72"/>
        <v/>
      </c>
      <c r="W186" s="26"/>
      <c r="X186" s="27"/>
      <c r="Y186" s="26"/>
      <c r="Z186" s="26"/>
      <c r="AA186" s="35"/>
      <c r="AB186" s="47"/>
      <c r="AC186" s="45" t="str">
        <f t="shared" si="73"/>
        <v/>
      </c>
      <c r="AD186" s="45" t="str">
        <f t="shared" si="74"/>
        <v/>
      </c>
    </row>
    <row r="187" spans="1:30" s="21" customFormat="1" x14ac:dyDescent="0.25">
      <c r="A187" s="28"/>
      <c r="B187" s="30"/>
      <c r="C187" s="29"/>
      <c r="D187" s="29"/>
      <c r="E187" s="29"/>
      <c r="F187" s="39" t="str">
        <f t="shared" si="65"/>
        <v/>
      </c>
      <c r="G187" s="39" t="str">
        <f t="shared" si="66"/>
        <v/>
      </c>
      <c r="H187" s="29"/>
      <c r="I187" s="29"/>
      <c r="J187" s="39" t="str">
        <f t="shared" si="67"/>
        <v/>
      </c>
      <c r="K187" s="39" t="str">
        <f t="shared" si="68"/>
        <v/>
      </c>
      <c r="L187" s="29"/>
      <c r="M187" s="29"/>
      <c r="N187" s="39" t="str">
        <f t="shared" si="69"/>
        <v/>
      </c>
      <c r="O187" s="39" t="str">
        <f t="shared" si="70"/>
        <v/>
      </c>
      <c r="P187" s="29"/>
      <c r="Q187" s="29"/>
      <c r="R187" s="29"/>
      <c r="S187" s="29"/>
      <c r="T187" s="29"/>
      <c r="U187" s="39" t="str">
        <f t="shared" si="71"/>
        <v/>
      </c>
      <c r="V187" s="39" t="str">
        <f t="shared" si="72"/>
        <v/>
      </c>
      <c r="W187" s="29"/>
      <c r="X187" s="30"/>
      <c r="Y187" s="29"/>
      <c r="Z187" s="29"/>
      <c r="AA187" s="36"/>
      <c r="AB187" s="46"/>
      <c r="AC187" s="44" t="str">
        <f t="shared" si="73"/>
        <v/>
      </c>
      <c r="AD187" s="44" t="str">
        <f t="shared" si="74"/>
        <v/>
      </c>
    </row>
    <row r="188" spans="1:30" s="21" customFormat="1" x14ac:dyDescent="0.25">
      <c r="A188" s="25"/>
      <c r="B188" s="27"/>
      <c r="C188" s="26"/>
      <c r="D188" s="26"/>
      <c r="E188" s="26"/>
      <c r="F188" s="38" t="str">
        <f t="shared" si="65"/>
        <v/>
      </c>
      <c r="G188" s="38" t="str">
        <f t="shared" si="66"/>
        <v/>
      </c>
      <c r="H188" s="26"/>
      <c r="I188" s="26"/>
      <c r="J188" s="38" t="str">
        <f t="shared" si="67"/>
        <v/>
      </c>
      <c r="K188" s="38" t="str">
        <f t="shared" si="68"/>
        <v/>
      </c>
      <c r="L188" s="26"/>
      <c r="M188" s="26"/>
      <c r="N188" s="38" t="str">
        <f t="shared" si="69"/>
        <v/>
      </c>
      <c r="O188" s="38" t="str">
        <f t="shared" si="70"/>
        <v/>
      </c>
      <c r="P188" s="26"/>
      <c r="Q188" s="26"/>
      <c r="R188" s="26"/>
      <c r="S188" s="26"/>
      <c r="T188" s="26"/>
      <c r="U188" s="38" t="str">
        <f t="shared" si="71"/>
        <v/>
      </c>
      <c r="V188" s="38" t="str">
        <f t="shared" si="72"/>
        <v/>
      </c>
      <c r="W188" s="26"/>
      <c r="X188" s="27"/>
      <c r="Y188" s="26"/>
      <c r="Z188" s="26"/>
      <c r="AA188" s="35"/>
      <c r="AB188" s="47"/>
      <c r="AC188" s="45" t="str">
        <f t="shared" si="73"/>
        <v/>
      </c>
      <c r="AD188" s="45" t="str">
        <f t="shared" si="74"/>
        <v/>
      </c>
    </row>
    <row r="189" spans="1:30" s="21" customFormat="1" x14ac:dyDescent="0.25">
      <c r="A189" s="28"/>
      <c r="B189" s="30"/>
      <c r="C189" s="29"/>
      <c r="D189" s="29"/>
      <c r="E189" s="29"/>
      <c r="F189" s="39" t="str">
        <f t="shared" si="65"/>
        <v/>
      </c>
      <c r="G189" s="39" t="str">
        <f t="shared" si="66"/>
        <v/>
      </c>
      <c r="H189" s="29"/>
      <c r="I189" s="29"/>
      <c r="J189" s="39" t="str">
        <f t="shared" si="67"/>
        <v/>
      </c>
      <c r="K189" s="39" t="str">
        <f t="shared" si="68"/>
        <v/>
      </c>
      <c r="L189" s="29"/>
      <c r="M189" s="29"/>
      <c r="N189" s="39" t="str">
        <f t="shared" si="69"/>
        <v/>
      </c>
      <c r="O189" s="39" t="str">
        <f t="shared" si="70"/>
        <v/>
      </c>
      <c r="P189" s="29"/>
      <c r="Q189" s="29"/>
      <c r="R189" s="29"/>
      <c r="S189" s="29"/>
      <c r="T189" s="29"/>
      <c r="U189" s="39" t="str">
        <f t="shared" si="71"/>
        <v/>
      </c>
      <c r="V189" s="39" t="str">
        <f t="shared" si="72"/>
        <v/>
      </c>
      <c r="W189" s="29"/>
      <c r="X189" s="30"/>
      <c r="Y189" s="29"/>
      <c r="Z189" s="29"/>
      <c r="AA189" s="36"/>
      <c r="AB189" s="46"/>
      <c r="AC189" s="44" t="str">
        <f t="shared" si="73"/>
        <v/>
      </c>
      <c r="AD189" s="44" t="str">
        <f t="shared" si="74"/>
        <v/>
      </c>
    </row>
    <row r="190" spans="1:30" s="21" customFormat="1" x14ac:dyDescent="0.25">
      <c r="A190" s="25"/>
      <c r="B190" s="27"/>
      <c r="C190" s="26"/>
      <c r="D190" s="26"/>
      <c r="E190" s="26"/>
      <c r="F190" s="38" t="str">
        <f t="shared" si="65"/>
        <v/>
      </c>
      <c r="G190" s="38" t="str">
        <f t="shared" si="66"/>
        <v/>
      </c>
      <c r="H190" s="26"/>
      <c r="I190" s="26"/>
      <c r="J190" s="38" t="str">
        <f t="shared" si="67"/>
        <v/>
      </c>
      <c r="K190" s="38" t="str">
        <f t="shared" si="68"/>
        <v/>
      </c>
      <c r="L190" s="26"/>
      <c r="M190" s="26"/>
      <c r="N190" s="38" t="str">
        <f t="shared" si="69"/>
        <v/>
      </c>
      <c r="O190" s="38" t="str">
        <f t="shared" si="70"/>
        <v/>
      </c>
      <c r="P190" s="26"/>
      <c r="Q190" s="26"/>
      <c r="R190" s="26"/>
      <c r="S190" s="26"/>
      <c r="T190" s="26"/>
      <c r="U190" s="38" t="str">
        <f t="shared" si="71"/>
        <v/>
      </c>
      <c r="V190" s="38" t="str">
        <f t="shared" si="72"/>
        <v/>
      </c>
      <c r="W190" s="26"/>
      <c r="X190" s="27"/>
      <c r="Y190" s="26"/>
      <c r="Z190" s="26"/>
      <c r="AA190" s="35"/>
      <c r="AB190" s="47"/>
      <c r="AC190" s="45" t="str">
        <f t="shared" si="73"/>
        <v/>
      </c>
      <c r="AD190" s="45" t="str">
        <f t="shared" si="74"/>
        <v/>
      </c>
    </row>
    <row r="191" spans="1:30" s="21" customFormat="1" x14ac:dyDescent="0.25">
      <c r="A191" s="28"/>
      <c r="B191" s="30"/>
      <c r="C191" s="29"/>
      <c r="D191" s="29"/>
      <c r="E191" s="29"/>
      <c r="F191" s="39" t="str">
        <f t="shared" si="65"/>
        <v/>
      </c>
      <c r="G191" s="39" t="str">
        <f t="shared" si="66"/>
        <v/>
      </c>
      <c r="H191" s="29"/>
      <c r="I191" s="29"/>
      <c r="J191" s="39" t="str">
        <f t="shared" si="67"/>
        <v/>
      </c>
      <c r="K191" s="39" t="str">
        <f t="shared" si="68"/>
        <v/>
      </c>
      <c r="L191" s="29"/>
      <c r="M191" s="29"/>
      <c r="N191" s="39" t="str">
        <f t="shared" si="69"/>
        <v/>
      </c>
      <c r="O191" s="39" t="str">
        <f t="shared" si="70"/>
        <v/>
      </c>
      <c r="P191" s="29"/>
      <c r="Q191" s="29"/>
      <c r="R191" s="29"/>
      <c r="S191" s="29"/>
      <c r="T191" s="29"/>
      <c r="U191" s="39" t="str">
        <f t="shared" si="71"/>
        <v/>
      </c>
      <c r="V191" s="39" t="str">
        <f t="shared" si="72"/>
        <v/>
      </c>
      <c r="W191" s="29"/>
      <c r="X191" s="30"/>
      <c r="Y191" s="29"/>
      <c r="Z191" s="29"/>
      <c r="AA191" s="36"/>
      <c r="AB191" s="46"/>
      <c r="AC191" s="44" t="str">
        <f t="shared" si="73"/>
        <v/>
      </c>
      <c r="AD191" s="44" t="str">
        <f t="shared" si="74"/>
        <v/>
      </c>
    </row>
    <row r="192" spans="1:30" s="21" customFormat="1" x14ac:dyDescent="0.25">
      <c r="A192" s="25"/>
      <c r="B192" s="27"/>
      <c r="C192" s="26"/>
      <c r="D192" s="26"/>
      <c r="E192" s="26"/>
      <c r="F192" s="38" t="str">
        <f t="shared" si="65"/>
        <v/>
      </c>
      <c r="G192" s="38" t="str">
        <f t="shared" si="66"/>
        <v/>
      </c>
      <c r="H192" s="26"/>
      <c r="I192" s="26"/>
      <c r="J192" s="38" t="str">
        <f t="shared" si="67"/>
        <v/>
      </c>
      <c r="K192" s="38" t="str">
        <f t="shared" si="68"/>
        <v/>
      </c>
      <c r="L192" s="26"/>
      <c r="M192" s="26"/>
      <c r="N192" s="38" t="str">
        <f t="shared" si="69"/>
        <v/>
      </c>
      <c r="O192" s="38" t="str">
        <f t="shared" si="70"/>
        <v/>
      </c>
      <c r="P192" s="26"/>
      <c r="Q192" s="26"/>
      <c r="R192" s="26"/>
      <c r="S192" s="26"/>
      <c r="T192" s="26"/>
      <c r="U192" s="38" t="str">
        <f t="shared" si="71"/>
        <v/>
      </c>
      <c r="V192" s="38" t="str">
        <f t="shared" si="72"/>
        <v/>
      </c>
      <c r="W192" s="26"/>
      <c r="X192" s="27"/>
      <c r="Y192" s="26"/>
      <c r="Z192" s="26"/>
      <c r="AA192" s="35"/>
      <c r="AB192" s="47"/>
      <c r="AC192" s="45" t="str">
        <f t="shared" si="73"/>
        <v/>
      </c>
      <c r="AD192" s="45" t="str">
        <f t="shared" si="74"/>
        <v/>
      </c>
    </row>
    <row r="193" spans="1:30" s="21" customFormat="1" x14ac:dyDescent="0.25">
      <c r="A193" s="28"/>
      <c r="B193" s="30"/>
      <c r="C193" s="29"/>
      <c r="D193" s="29"/>
      <c r="E193" s="29"/>
      <c r="F193" s="39" t="str">
        <f t="shared" si="65"/>
        <v/>
      </c>
      <c r="G193" s="39" t="str">
        <f t="shared" si="66"/>
        <v/>
      </c>
      <c r="H193" s="29"/>
      <c r="I193" s="29"/>
      <c r="J193" s="39" t="str">
        <f t="shared" si="67"/>
        <v/>
      </c>
      <c r="K193" s="39" t="str">
        <f t="shared" si="68"/>
        <v/>
      </c>
      <c r="L193" s="29"/>
      <c r="M193" s="29"/>
      <c r="N193" s="39" t="str">
        <f t="shared" si="69"/>
        <v/>
      </c>
      <c r="O193" s="39" t="str">
        <f t="shared" si="70"/>
        <v/>
      </c>
      <c r="P193" s="29"/>
      <c r="Q193" s="29"/>
      <c r="R193" s="29"/>
      <c r="S193" s="29"/>
      <c r="T193" s="29"/>
      <c r="U193" s="39" t="str">
        <f t="shared" si="71"/>
        <v/>
      </c>
      <c r="V193" s="39" t="str">
        <f t="shared" si="72"/>
        <v/>
      </c>
      <c r="W193" s="29"/>
      <c r="X193" s="30"/>
      <c r="Y193" s="29"/>
      <c r="Z193" s="29"/>
      <c r="AA193" s="36"/>
      <c r="AB193" s="46"/>
      <c r="AC193" s="44" t="str">
        <f t="shared" si="73"/>
        <v/>
      </c>
      <c r="AD193" s="44" t="str">
        <f t="shared" si="74"/>
        <v/>
      </c>
    </row>
    <row r="194" spans="1:30" s="21" customFormat="1" x14ac:dyDescent="0.25">
      <c r="A194" s="25"/>
      <c r="B194" s="27"/>
      <c r="C194" s="26"/>
      <c r="D194" s="26"/>
      <c r="E194" s="26"/>
      <c r="F194" s="38" t="str">
        <f t="shared" si="65"/>
        <v/>
      </c>
      <c r="G194" s="38" t="str">
        <f t="shared" si="66"/>
        <v/>
      </c>
      <c r="H194" s="26"/>
      <c r="I194" s="26"/>
      <c r="J194" s="38" t="str">
        <f t="shared" si="67"/>
        <v/>
      </c>
      <c r="K194" s="38" t="str">
        <f t="shared" si="68"/>
        <v/>
      </c>
      <c r="L194" s="26"/>
      <c r="M194" s="26"/>
      <c r="N194" s="38" t="str">
        <f t="shared" si="69"/>
        <v/>
      </c>
      <c r="O194" s="38" t="str">
        <f t="shared" si="70"/>
        <v/>
      </c>
      <c r="P194" s="26"/>
      <c r="Q194" s="26"/>
      <c r="R194" s="26"/>
      <c r="S194" s="26"/>
      <c r="T194" s="26"/>
      <c r="U194" s="38" t="str">
        <f t="shared" si="71"/>
        <v/>
      </c>
      <c r="V194" s="38" t="str">
        <f t="shared" si="72"/>
        <v/>
      </c>
      <c r="W194" s="26"/>
      <c r="X194" s="27"/>
      <c r="Y194" s="26"/>
      <c r="Z194" s="26"/>
      <c r="AA194" s="35"/>
      <c r="AB194" s="47"/>
      <c r="AC194" s="45" t="str">
        <f t="shared" si="73"/>
        <v/>
      </c>
      <c r="AD194" s="45" t="str">
        <f t="shared" si="74"/>
        <v/>
      </c>
    </row>
    <row r="195" spans="1:30" s="21" customFormat="1" x14ac:dyDescent="0.25">
      <c r="A195" s="28"/>
      <c r="B195" s="30"/>
      <c r="C195" s="29"/>
      <c r="D195" s="29"/>
      <c r="E195" s="29"/>
      <c r="F195" s="39" t="str">
        <f t="shared" si="65"/>
        <v/>
      </c>
      <c r="G195" s="39" t="str">
        <f t="shared" si="66"/>
        <v/>
      </c>
      <c r="H195" s="29"/>
      <c r="I195" s="29"/>
      <c r="J195" s="39" t="str">
        <f t="shared" si="67"/>
        <v/>
      </c>
      <c r="K195" s="39" t="str">
        <f t="shared" si="68"/>
        <v/>
      </c>
      <c r="L195" s="29"/>
      <c r="M195" s="29"/>
      <c r="N195" s="39" t="str">
        <f t="shared" si="69"/>
        <v/>
      </c>
      <c r="O195" s="39" t="str">
        <f t="shared" si="70"/>
        <v/>
      </c>
      <c r="P195" s="29"/>
      <c r="Q195" s="29"/>
      <c r="R195" s="29"/>
      <c r="S195" s="29"/>
      <c r="T195" s="29"/>
      <c r="U195" s="39" t="str">
        <f t="shared" si="71"/>
        <v/>
      </c>
      <c r="V195" s="39" t="str">
        <f t="shared" si="72"/>
        <v/>
      </c>
      <c r="W195" s="29"/>
      <c r="X195" s="30"/>
      <c r="Y195" s="29"/>
      <c r="Z195" s="29"/>
      <c r="AA195" s="36"/>
      <c r="AB195" s="46"/>
      <c r="AC195" s="44" t="str">
        <f t="shared" si="73"/>
        <v/>
      </c>
      <c r="AD195" s="44" t="str">
        <f t="shared" si="74"/>
        <v/>
      </c>
    </row>
    <row r="196" spans="1:30" s="21" customFormat="1" x14ac:dyDescent="0.25">
      <c r="A196" s="25"/>
      <c r="B196" s="27"/>
      <c r="C196" s="26"/>
      <c r="D196" s="26"/>
      <c r="E196" s="26"/>
      <c r="F196" s="38" t="str">
        <f t="shared" si="65"/>
        <v/>
      </c>
      <c r="G196" s="38" t="str">
        <f t="shared" si="66"/>
        <v/>
      </c>
      <c r="H196" s="26"/>
      <c r="I196" s="26"/>
      <c r="J196" s="38" t="str">
        <f t="shared" si="67"/>
        <v/>
      </c>
      <c r="K196" s="38" t="str">
        <f t="shared" si="68"/>
        <v/>
      </c>
      <c r="L196" s="26"/>
      <c r="M196" s="26"/>
      <c r="N196" s="38" t="str">
        <f t="shared" si="69"/>
        <v/>
      </c>
      <c r="O196" s="38" t="str">
        <f t="shared" si="70"/>
        <v/>
      </c>
      <c r="P196" s="26"/>
      <c r="Q196" s="26"/>
      <c r="R196" s="26"/>
      <c r="S196" s="26"/>
      <c r="T196" s="26"/>
      <c r="U196" s="38" t="str">
        <f t="shared" si="71"/>
        <v/>
      </c>
      <c r="V196" s="38" t="str">
        <f t="shared" si="72"/>
        <v/>
      </c>
      <c r="W196" s="26"/>
      <c r="X196" s="27"/>
      <c r="Y196" s="26"/>
      <c r="Z196" s="26"/>
      <c r="AA196" s="35"/>
      <c r="AB196" s="47"/>
      <c r="AC196" s="45" t="str">
        <f t="shared" si="73"/>
        <v/>
      </c>
      <c r="AD196" s="45" t="str">
        <f t="shared" si="74"/>
        <v/>
      </c>
    </row>
    <row r="197" spans="1:30" s="21" customFormat="1" x14ac:dyDescent="0.25">
      <c r="A197" s="28"/>
      <c r="B197" s="30"/>
      <c r="C197" s="29"/>
      <c r="D197" s="29"/>
      <c r="E197" s="29"/>
      <c r="F197" s="39" t="str">
        <f t="shared" si="65"/>
        <v/>
      </c>
      <c r="G197" s="39" t="str">
        <f t="shared" si="66"/>
        <v/>
      </c>
      <c r="H197" s="29"/>
      <c r="I197" s="29"/>
      <c r="J197" s="39" t="str">
        <f t="shared" si="67"/>
        <v/>
      </c>
      <c r="K197" s="39" t="str">
        <f t="shared" si="68"/>
        <v/>
      </c>
      <c r="L197" s="29"/>
      <c r="M197" s="29"/>
      <c r="N197" s="39" t="str">
        <f t="shared" si="69"/>
        <v/>
      </c>
      <c r="O197" s="39" t="str">
        <f t="shared" si="70"/>
        <v/>
      </c>
      <c r="P197" s="29"/>
      <c r="Q197" s="29"/>
      <c r="R197" s="29"/>
      <c r="S197" s="29"/>
      <c r="T197" s="29"/>
      <c r="U197" s="39" t="str">
        <f t="shared" si="71"/>
        <v/>
      </c>
      <c r="V197" s="39" t="str">
        <f t="shared" si="72"/>
        <v/>
      </c>
      <c r="W197" s="29"/>
      <c r="X197" s="30"/>
      <c r="Y197" s="29"/>
      <c r="Z197" s="29"/>
      <c r="AA197" s="36"/>
      <c r="AB197" s="46"/>
      <c r="AC197" s="44" t="str">
        <f t="shared" si="73"/>
        <v/>
      </c>
      <c r="AD197" s="44" t="str">
        <f t="shared" si="74"/>
        <v/>
      </c>
    </row>
    <row r="198" spans="1:30" s="21" customFormat="1" x14ac:dyDescent="0.25">
      <c r="A198" s="25"/>
      <c r="B198" s="27"/>
      <c r="C198" s="26"/>
      <c r="D198" s="26"/>
      <c r="E198" s="26"/>
      <c r="F198" s="38" t="str">
        <f t="shared" ref="F198:F204" si="75">IF(D198="","",_xlfn.TRANSLATE(D198,"vi","ja"))</f>
        <v/>
      </c>
      <c r="G198" s="38" t="str">
        <f t="shared" ref="G198:G204" si="76">IF(D198="","",_xlfn.TRANSLATE(D198,"vi","zh-Hans"))</f>
        <v/>
      </c>
      <c r="H198" s="26"/>
      <c r="I198" s="26"/>
      <c r="J198" s="38" t="str">
        <f t="shared" ref="J198:J204" si="77">IF(H198="","",_xlfn.TRANSLATE(H198,"vi","ja"))</f>
        <v/>
      </c>
      <c r="K198" s="38" t="str">
        <f t="shared" ref="K198:K204" si="78">IF(H198="","",_xlfn.TRANSLATE(H198,"vi","zh-Hans"))</f>
        <v/>
      </c>
      <c r="L198" s="26"/>
      <c r="M198" s="26"/>
      <c r="N198" s="38" t="str">
        <f t="shared" ref="N198:N204" si="79">IF(L198="","",_xlfn.TRANSLATE(L198,"vi","ja"))</f>
        <v/>
      </c>
      <c r="O198" s="38" t="str">
        <f t="shared" ref="O198:O204" si="80">IF(L198="","",_xlfn.TRANSLATE(L198,"vi","zh-Hans"))</f>
        <v/>
      </c>
      <c r="P198" s="26"/>
      <c r="Q198" s="26"/>
      <c r="R198" s="26"/>
      <c r="S198" s="26"/>
      <c r="T198" s="26"/>
      <c r="U198" s="38" t="str">
        <f t="shared" ref="U198:U204" si="81">IF(S198="","",_xlfn.TRANSLATE(S198,"vi","ja"))</f>
        <v/>
      </c>
      <c r="V198" s="38" t="str">
        <f t="shared" ref="V198:V204" si="82">IF(S198="","",_xlfn.TRANSLATE(S198,"vi","zh-Hans"))</f>
        <v/>
      </c>
      <c r="W198" s="26"/>
      <c r="X198" s="27"/>
      <c r="Y198" s="26"/>
      <c r="Z198" s="26"/>
      <c r="AA198" s="35"/>
      <c r="AB198" s="47"/>
      <c r="AC198" s="45" t="str">
        <f t="shared" ref="AC198:AC204" si="83">IF(AA198="","",_xlfn.TRANSLATE(AA198,"vi","ja"))</f>
        <v/>
      </c>
      <c r="AD198" s="45" t="str">
        <f t="shared" ref="AD198:AD204" si="84">IF(AA198="","",_xlfn.TRANSLATE(AA198,"vi","zh-Hans"))</f>
        <v/>
      </c>
    </row>
    <row r="199" spans="1:30" s="21" customFormat="1" x14ac:dyDescent="0.25">
      <c r="A199" s="28"/>
      <c r="B199" s="30"/>
      <c r="C199" s="29"/>
      <c r="D199" s="29"/>
      <c r="E199" s="29"/>
      <c r="F199" s="39" t="str">
        <f t="shared" si="75"/>
        <v/>
      </c>
      <c r="G199" s="39" t="str">
        <f t="shared" si="76"/>
        <v/>
      </c>
      <c r="H199" s="29"/>
      <c r="I199" s="29"/>
      <c r="J199" s="39" t="str">
        <f t="shared" si="77"/>
        <v/>
      </c>
      <c r="K199" s="39" t="str">
        <f t="shared" si="78"/>
        <v/>
      </c>
      <c r="L199" s="29"/>
      <c r="M199" s="29"/>
      <c r="N199" s="39" t="str">
        <f t="shared" si="79"/>
        <v/>
      </c>
      <c r="O199" s="39" t="str">
        <f t="shared" si="80"/>
        <v/>
      </c>
      <c r="P199" s="29"/>
      <c r="Q199" s="29"/>
      <c r="R199" s="29"/>
      <c r="S199" s="29"/>
      <c r="T199" s="29"/>
      <c r="U199" s="39" t="str">
        <f t="shared" si="81"/>
        <v/>
      </c>
      <c r="V199" s="39" t="str">
        <f t="shared" si="82"/>
        <v/>
      </c>
      <c r="W199" s="29"/>
      <c r="X199" s="30"/>
      <c r="Y199" s="29"/>
      <c r="Z199" s="29"/>
      <c r="AA199" s="36"/>
      <c r="AB199" s="46"/>
      <c r="AC199" s="44" t="str">
        <f t="shared" si="83"/>
        <v/>
      </c>
      <c r="AD199" s="44" t="str">
        <f t="shared" si="84"/>
        <v/>
      </c>
    </row>
    <row r="200" spans="1:30" s="21" customFormat="1" x14ac:dyDescent="0.25">
      <c r="A200" s="25"/>
      <c r="B200" s="27"/>
      <c r="C200" s="26"/>
      <c r="D200" s="26"/>
      <c r="E200" s="26"/>
      <c r="F200" s="38" t="str">
        <f t="shared" si="75"/>
        <v/>
      </c>
      <c r="G200" s="38" t="str">
        <f t="shared" si="76"/>
        <v/>
      </c>
      <c r="H200" s="26"/>
      <c r="I200" s="26"/>
      <c r="J200" s="38" t="str">
        <f t="shared" si="77"/>
        <v/>
      </c>
      <c r="K200" s="38" t="str">
        <f t="shared" si="78"/>
        <v/>
      </c>
      <c r="L200" s="26"/>
      <c r="M200" s="26"/>
      <c r="N200" s="38" t="str">
        <f t="shared" si="79"/>
        <v/>
      </c>
      <c r="O200" s="38" t="str">
        <f t="shared" si="80"/>
        <v/>
      </c>
      <c r="P200" s="26"/>
      <c r="Q200" s="26"/>
      <c r="R200" s="26"/>
      <c r="S200" s="26"/>
      <c r="T200" s="26"/>
      <c r="U200" s="38" t="str">
        <f t="shared" si="81"/>
        <v/>
      </c>
      <c r="V200" s="38" t="str">
        <f t="shared" si="82"/>
        <v/>
      </c>
      <c r="W200" s="26"/>
      <c r="X200" s="27"/>
      <c r="Y200" s="26"/>
      <c r="Z200" s="26"/>
      <c r="AA200" s="35"/>
      <c r="AB200" s="47"/>
      <c r="AC200" s="45" t="str">
        <f t="shared" si="83"/>
        <v/>
      </c>
      <c r="AD200" s="45" t="str">
        <f t="shared" si="84"/>
        <v/>
      </c>
    </row>
    <row r="201" spans="1:30" s="21" customFormat="1" x14ac:dyDescent="0.25">
      <c r="A201" s="28"/>
      <c r="B201" s="30"/>
      <c r="C201" s="29"/>
      <c r="D201" s="29"/>
      <c r="E201" s="29"/>
      <c r="F201" s="39" t="str">
        <f t="shared" si="75"/>
        <v/>
      </c>
      <c r="G201" s="39" t="str">
        <f t="shared" si="76"/>
        <v/>
      </c>
      <c r="H201" s="29"/>
      <c r="I201" s="29"/>
      <c r="J201" s="39" t="str">
        <f t="shared" si="77"/>
        <v/>
      </c>
      <c r="K201" s="39" t="str">
        <f t="shared" si="78"/>
        <v/>
      </c>
      <c r="L201" s="29"/>
      <c r="M201" s="29"/>
      <c r="N201" s="39" t="str">
        <f t="shared" si="79"/>
        <v/>
      </c>
      <c r="O201" s="39" t="str">
        <f t="shared" si="80"/>
        <v/>
      </c>
      <c r="P201" s="29"/>
      <c r="Q201" s="29"/>
      <c r="R201" s="29"/>
      <c r="S201" s="29"/>
      <c r="T201" s="29"/>
      <c r="U201" s="39" t="str">
        <f t="shared" si="81"/>
        <v/>
      </c>
      <c r="V201" s="39" t="str">
        <f t="shared" si="82"/>
        <v/>
      </c>
      <c r="W201" s="29"/>
      <c r="X201" s="30"/>
      <c r="Y201" s="29"/>
      <c r="Z201" s="29"/>
      <c r="AA201" s="36"/>
      <c r="AB201" s="46"/>
      <c r="AC201" s="44" t="str">
        <f t="shared" si="83"/>
        <v/>
      </c>
      <c r="AD201" s="44" t="str">
        <f t="shared" si="84"/>
        <v/>
      </c>
    </row>
    <row r="202" spans="1:30" s="21" customFormat="1" x14ac:dyDescent="0.25">
      <c r="A202" s="25"/>
      <c r="B202" s="27"/>
      <c r="C202" s="26"/>
      <c r="D202" s="26"/>
      <c r="E202" s="26"/>
      <c r="F202" s="38" t="str">
        <f t="shared" si="75"/>
        <v/>
      </c>
      <c r="G202" s="38" t="str">
        <f t="shared" si="76"/>
        <v/>
      </c>
      <c r="H202" s="26"/>
      <c r="I202" s="26"/>
      <c r="J202" s="38" t="str">
        <f t="shared" si="77"/>
        <v/>
      </c>
      <c r="K202" s="38" t="str">
        <f t="shared" si="78"/>
        <v/>
      </c>
      <c r="L202" s="26"/>
      <c r="M202" s="26"/>
      <c r="N202" s="38" t="str">
        <f t="shared" si="79"/>
        <v/>
      </c>
      <c r="O202" s="38" t="str">
        <f t="shared" si="80"/>
        <v/>
      </c>
      <c r="P202" s="26"/>
      <c r="Q202" s="26"/>
      <c r="R202" s="26"/>
      <c r="S202" s="26"/>
      <c r="T202" s="26"/>
      <c r="U202" s="38" t="str">
        <f t="shared" si="81"/>
        <v/>
      </c>
      <c r="V202" s="38" t="str">
        <f t="shared" si="82"/>
        <v/>
      </c>
      <c r="W202" s="26"/>
      <c r="X202" s="27"/>
      <c r="Y202" s="26"/>
      <c r="Z202" s="26"/>
      <c r="AA202" s="35"/>
      <c r="AB202" s="47"/>
      <c r="AC202" s="45" t="str">
        <f t="shared" si="83"/>
        <v/>
      </c>
      <c r="AD202" s="45" t="str">
        <f t="shared" si="84"/>
        <v/>
      </c>
    </row>
    <row r="203" spans="1:30" s="21" customFormat="1" x14ac:dyDescent="0.25">
      <c r="A203" s="28"/>
      <c r="B203" s="30"/>
      <c r="C203" s="29"/>
      <c r="D203" s="29"/>
      <c r="E203" s="29"/>
      <c r="F203" s="39" t="str">
        <f t="shared" si="75"/>
        <v/>
      </c>
      <c r="G203" s="39" t="str">
        <f t="shared" si="76"/>
        <v/>
      </c>
      <c r="H203" s="29"/>
      <c r="I203" s="29"/>
      <c r="J203" s="39" t="str">
        <f t="shared" si="77"/>
        <v/>
      </c>
      <c r="K203" s="39" t="str">
        <f t="shared" si="78"/>
        <v/>
      </c>
      <c r="L203" s="29"/>
      <c r="M203" s="29"/>
      <c r="N203" s="39" t="str">
        <f t="shared" si="79"/>
        <v/>
      </c>
      <c r="O203" s="39" t="str">
        <f t="shared" si="80"/>
        <v/>
      </c>
      <c r="P203" s="29"/>
      <c r="Q203" s="29"/>
      <c r="R203" s="29"/>
      <c r="S203" s="29"/>
      <c r="T203" s="29"/>
      <c r="U203" s="39" t="str">
        <f t="shared" si="81"/>
        <v/>
      </c>
      <c r="V203" s="39" t="str">
        <f t="shared" si="82"/>
        <v/>
      </c>
      <c r="W203" s="29"/>
      <c r="X203" s="30"/>
      <c r="Y203" s="29"/>
      <c r="Z203" s="29"/>
      <c r="AA203" s="36"/>
      <c r="AB203" s="46"/>
      <c r="AC203" s="44" t="str">
        <f t="shared" si="83"/>
        <v/>
      </c>
      <c r="AD203" s="44" t="str">
        <f t="shared" si="84"/>
        <v/>
      </c>
    </row>
    <row r="204" spans="1:30" s="21" customFormat="1" x14ac:dyDescent="0.25">
      <c r="A204" s="31"/>
      <c r="B204" s="33"/>
      <c r="C204" s="32"/>
      <c r="D204" s="32"/>
      <c r="E204" s="32"/>
      <c r="F204" s="40" t="str">
        <f t="shared" si="75"/>
        <v/>
      </c>
      <c r="G204" s="40" t="str">
        <f t="shared" si="76"/>
        <v/>
      </c>
      <c r="H204" s="32"/>
      <c r="I204" s="32"/>
      <c r="J204" s="40" t="str">
        <f t="shared" si="77"/>
        <v/>
      </c>
      <c r="K204" s="40" t="str">
        <f t="shared" si="78"/>
        <v/>
      </c>
      <c r="L204" s="32"/>
      <c r="M204" s="32"/>
      <c r="N204" s="40" t="str">
        <f t="shared" si="79"/>
        <v/>
      </c>
      <c r="O204" s="40" t="str">
        <f t="shared" si="80"/>
        <v/>
      </c>
      <c r="P204" s="32"/>
      <c r="Q204" s="32"/>
      <c r="R204" s="32"/>
      <c r="S204" s="32"/>
      <c r="T204" s="32"/>
      <c r="U204" s="40" t="str">
        <f t="shared" si="81"/>
        <v/>
      </c>
      <c r="V204" s="40" t="str">
        <f t="shared" si="82"/>
        <v/>
      </c>
      <c r="W204" s="32"/>
      <c r="X204" s="33"/>
      <c r="Y204" s="32"/>
      <c r="Z204" s="32"/>
      <c r="AA204" s="37"/>
      <c r="AB204" s="47"/>
      <c r="AC204" s="45" t="str">
        <f t="shared" si="83"/>
        <v/>
      </c>
      <c r="AD204" s="45" t="str">
        <f t="shared" si="84"/>
        <v/>
      </c>
    </row>
  </sheetData>
  <sheetProtection formatCells="0" formatColumns="0" formatRows="0" deleteRows="0" sort="0" autoFilter="0"/>
  <autoFilter ref="A4:AA204" xr:uid="{00000000-0001-0000-0500-000000000000}"/>
  <mergeCells count="3">
    <mergeCell ref="A2:Z2"/>
    <mergeCell ref="A1:Z1"/>
    <mergeCell ref="A3:Z3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'02_マスタ'!$A$5:$A$14</xm:f>
          </x14:formula1>
          <xm:sqref>Q5:Q204</xm:sqref>
        </x14:dataValidation>
        <x14:dataValidation type="list" allowBlank="1" xr:uid="{00000000-0002-0000-0500-000001000000}">
          <x14:formula1>
            <xm:f>'02_マスタ'!$C$5:$C$8</xm:f>
          </x14:formula1>
          <xm:sqref>R5:R204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G204"/>
  <sheetViews>
    <sheetView showGridLines="0"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9" sqref="D9"/>
    </sheetView>
  </sheetViews>
  <sheetFormatPr defaultColWidth="8.75" defaultRowHeight="15.75" x14ac:dyDescent="0.25"/>
  <cols>
    <col min="1" max="1" width="12" style="1" customWidth="1"/>
    <col min="2" max="2" width="20" style="1" customWidth="1"/>
    <col min="3" max="3" width="14" style="1" customWidth="1"/>
    <col min="4" max="7" width="22" style="1" customWidth="1"/>
    <col min="8" max="11" width="30" style="1" customWidth="1"/>
    <col min="12" max="15" width="40" style="1" customWidth="1"/>
    <col min="16" max="16" width="10" style="1" customWidth="1"/>
    <col min="17" max="17" width="12" style="1" customWidth="1"/>
    <col min="18" max="18" width="20" style="1" customWidth="1"/>
    <col min="19" max="19" width="18" style="1" customWidth="1"/>
    <col min="20" max="22" width="12" style="1" customWidth="1"/>
    <col min="23" max="24" width="11" style="1" customWidth="1"/>
    <col min="25" max="25" width="12" style="1" customWidth="1"/>
    <col min="26" max="29" width="30" style="1" customWidth="1"/>
    <col min="30" max="33" width="20" style="1" customWidth="1"/>
    <col min="34" max="16384" width="8.75" style="1"/>
  </cols>
  <sheetData>
    <row r="1" spans="1:33" ht="27.95" customHeight="1" x14ac:dyDescent="0.25">
      <c r="A1" s="95" t="str">
        <f>INDEX(_翻訳マスタ!$B$117:$D$247,MATCH("KPI_TITLE",_翻訳マスタ!$A$117:$A$247,0),MATCH(言語切替!$B$3,_翻訳マスタ!$B$1:$D$1,0))</f>
        <v>Quản lý KPI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</row>
    <row r="2" spans="1:33" ht="27.95" customHeight="1" x14ac:dyDescent="0.25">
      <c r="A2" s="93" t="str">
        <f>INDEX(_翻訳マスタ!$B$117:$D$247,MATCH("KPI_DESC",_翻訳マスタ!$A$117:$A$247,0),MATCH(言語切替!$B$3,_翻訳マスタ!$B$1:$D$1,0))</f>
        <v>KPI được quản lý theo thứ tự: 'Thiết lập nền tảng → Vận hành ổn định → Kết quả nghiệp vụ → Kết quả đầu tư'. Cập nhật giá trị cơ sở và mục tiêu theo kết quả kiểm chứng.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</row>
    <row r="3" spans="1:33" s="3" customFormat="1" ht="38.1" customHeight="1" x14ac:dyDescent="0.15">
      <c r="A3" s="96" t="str">
        <f>INDEX(_翻訳マスタ!$B$2:$D$300,MATCH("PARA_HOWTO",_翻訳マスタ!$A$2:$A$300,0),MATCH(言語切替!$B$3,_翻訳マスタ!$B$1:$D$1,0))</f>
        <v>Quy tắc nhập: 【Tiêu đề VÀNG】= Được phép nhập / chọn dữ liệu (Gõ bất kỳ tiếng Việt/Nhật/Trung vào ô [Nhập])
【Tiêu đề XANH DƯƠNG】= Cấm nhập (Tự động tính toán &amp; dịch tự động 3 thứ tiếng).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</row>
    <row r="4" spans="1:33" ht="27.95" customHeight="1" x14ac:dyDescent="0.25">
      <c r="A4" s="48" t="str">
        <f>INDEX(_翻訳マスタ!$B$117:$D$247,MATCH("KPI_COL_ID",_翻訳マスタ!$A$117:$A$247,0),MATCH(言語切替!$B$3,_翻訳マスタ!$B$1:$D$1,0))</f>
        <v>Mã KPI</v>
      </c>
      <c r="B4" s="49" t="str">
        <f>INDEX(_翻訳マスタ!$B$117:$D$247,MATCH("KPI_COL_WG",_翻訳マスタ!$A$117:$A$247,0),MATCH(言語切替!$B$3,_翻訳マスタ!$B$1:$D$1,0))</f>
        <v>WG</v>
      </c>
      <c r="C4" s="49" t="str">
        <f>INDEX(_翻訳マスタ!$B$117:$D$247,MATCH("KPI_COL_LEVEL",_翻訳マスタ!$A$117:$A$247,0),MATCH(言語切替!$B$3,_翻訳マスタ!$B$1:$D$1,0))</f>
        <v>Cấp độ</v>
      </c>
      <c r="D4" s="49" t="str">
        <f>INDEX(_翻訳マスタ!$B$2:$D$300,MATCH("KPI_COL_NAME",_翻訳マスタ!$A$2:$A$300,0),MATCH(言語切替!$B$3,_翻訳マスタ!$B$1:$D$1,0))&amp;INDEX(_翻訳マスタ!$B$2:$D$300,MATCH("NEW_INPUT_SUFFIX",_翻訳マスタ!$A$2:$A$300,0),MATCH(言語切替!$B$3,_翻訳マスタ!$B$1:$D$1,0))</f>
        <v>Tên KPI [Nhập: VI/JP/CN]</v>
      </c>
      <c r="E4" s="51" t="str">
        <f>INDEX(_翻訳マスタ!$B$2:$D$300,MATCH("KPI_COL_NAME",_翻訳マスタ!$A$2:$A$300,0),MATCH(言語切替!$B$3,_翻訳マスタ!$B$1:$D$1,0))&amp;INDEX(_翻訳マスタ!$B$2:$D$300,MATCH("NEW_VI_SUFFIX",_翻訳マスタ!$A$2:$A$300,0),MATCH(言語切替!$B$3,_翻訳マスタ!$B$1:$D$1,0))</f>
        <v>Tên KPI (VI)</v>
      </c>
      <c r="F4" s="51" t="str">
        <f>INDEX(_翻訳マスタ!$B$2:$D$300,MATCH("KPI_COL_NAME",_翻訳マスタ!$A$2:$A$300,0),MATCH(言語切替!$B$3,_翻訳マスタ!$B$1:$D$1,0))&amp;INDEX(_翻訳マスタ!$B$2:$D$300,MATCH("NEW_JP_SUFFIX",_翻訳マスタ!$A$2:$A$300,0),MATCH(言語切替!$B$3,_翻訳マスタ!$B$1:$D$1,0))</f>
        <v>Tên KPI (JP)</v>
      </c>
      <c r="G4" s="51" t="str">
        <f>INDEX(_翻訳マスタ!$B$2:$D$300,MATCH("KPI_COL_NAME",_翻訳マスタ!$A$2:$A$300,0),MATCH(言語切替!$B$3,_翻訳マスタ!$B$1:$D$1,0))&amp;INDEX(_翻訳マスタ!$B$2:$D$300,MATCH("NEW_CN_SUFFIX",_翻訳マスタ!$A$2:$A$300,0),MATCH(言語切替!$B$3,_翻訳マスタ!$B$1:$D$1,0))</f>
        <v>Tên KPI (CN)</v>
      </c>
      <c r="H4" s="49" t="str">
        <f>INDEX(_翻訳マスタ!$B$2:$D$300,MATCH("KPI_COL_PURPOSE",_翻訳マスタ!$A$2:$A$300,0),MATCH(言語切替!$B$3,_翻訳マスタ!$B$1:$D$1,0))&amp;INDEX(_翻訳マスタ!$B$2:$D$300,MATCH("NEW_INPUT_SUFFIX",_翻訳マスタ!$A$2:$A$300,0),MATCH(言語切替!$B$3,_翻訳マスタ!$B$1:$D$1,0))</f>
        <v>Mục đích [Nhập: VI/JP/CN]</v>
      </c>
      <c r="I4" s="51" t="str">
        <f>INDEX(_翻訳マスタ!$B$2:$D$300,MATCH("KPI_COL_PURPOSE",_翻訳マスタ!$A$2:$A$300,0),MATCH(言語切替!$B$3,_翻訳マスタ!$B$1:$D$1,0))&amp;INDEX(_翻訳マスタ!$B$2:$D$300,MATCH("NEW_VI_SUFFIX",_翻訳マスタ!$A$2:$A$300,0),MATCH(言語切替!$B$3,_翻訳マスタ!$B$1:$D$1,0))</f>
        <v>Mục đích (VI)</v>
      </c>
      <c r="J4" s="51" t="str">
        <f>INDEX(_翻訳マスタ!$B$2:$D$300,MATCH("KPI_COL_PURPOSE",_翻訳マスタ!$A$2:$A$300,0),MATCH(言語切替!$B$3,_翻訳マスタ!$B$1:$D$1,0))&amp;INDEX(_翻訳マスタ!$B$2:$D$300,MATCH("NEW_JP_SUFFIX",_翻訳マスタ!$A$2:$A$300,0),MATCH(言語切替!$B$3,_翻訳マスタ!$B$1:$D$1,0))</f>
        <v>Mục đích (JP)</v>
      </c>
      <c r="K4" s="51" t="str">
        <f>INDEX(_翻訳マスタ!$B$2:$D$300,MATCH("KPI_COL_PURPOSE",_翻訳マスタ!$A$2:$A$300,0),MATCH(言語切替!$B$3,_翻訳マスタ!$B$1:$D$1,0))&amp;INDEX(_翻訳マスタ!$B$2:$D$300,MATCH("NEW_CN_SUFFIX",_翻訳マスタ!$A$2:$A$300,0),MATCH(言語切替!$B$3,_翻訳マスタ!$B$1:$D$1,0))</f>
        <v>Mục đích (CN)</v>
      </c>
      <c r="L4" s="49" t="str">
        <f>INDEX(_翻訳マスタ!$B$2:$D$300,MATCH("KPI_COL_FORMULA",_翻訳マスタ!$A$2:$A$300,0),MATCH(言語切替!$B$3,_翻訳マスタ!$B$1:$D$1,0))&amp;INDEX(_翻訳マスタ!$B$2:$D$300,MATCH("NEW_INPUT_SUFFIX",_翻訳マスタ!$A$2:$A$300,0),MATCH(言語切替!$B$3,_翻訳マスタ!$B$1:$D$1,0))</f>
        <v>Định nghĩa / Công thức [Nhập: VI/JP/CN]</v>
      </c>
      <c r="M4" s="51" t="str">
        <f>INDEX(_翻訳マスタ!$B$2:$D$300,MATCH("KPI_COL_FORMULA",_翻訳マスタ!$A$2:$A$300,0),MATCH(言語切替!$B$3,_翻訳マスタ!$B$1:$D$1,0))&amp;INDEX(_翻訳マスタ!$B$2:$D$300,MATCH("NEW_VI_SUFFIX",_翻訳マスタ!$A$2:$A$300,0),MATCH(言語切替!$B$3,_翻訳マスタ!$B$1:$D$1,0))</f>
        <v>Định nghĩa / Công thức (VI)</v>
      </c>
      <c r="N4" s="51" t="str">
        <f>INDEX(_翻訳マスタ!$B$2:$D$300,MATCH("KPI_COL_FORMULA",_翻訳マスタ!$A$2:$A$300,0),MATCH(言語切替!$B$3,_翻訳マスタ!$B$1:$D$1,0))&amp;INDEX(_翻訳マスタ!$B$2:$D$300,MATCH("NEW_JP_SUFFIX",_翻訳マスタ!$A$2:$A$300,0),MATCH(言語切替!$B$3,_翻訳マスタ!$B$1:$D$1,0))</f>
        <v>Định nghĩa / Công thức (JP)</v>
      </c>
      <c r="O4" s="51" t="str">
        <f>INDEX(_翻訳マスタ!$B$2:$D$300,MATCH("KPI_COL_FORMULA",_翻訳マスタ!$A$2:$A$300,0),MATCH(言語切替!$B$3,_翻訳マスタ!$B$1:$D$1,0))&amp;INDEX(_翻訳マスタ!$B$2:$D$300,MATCH("NEW_CN_SUFFIX",_翻訳マスタ!$A$2:$A$300,0),MATCH(言語切替!$B$3,_翻訳マスタ!$B$1:$D$1,0))</f>
        <v>Định nghĩa / Công thức (CN)</v>
      </c>
      <c r="P4" s="49" t="str">
        <f>INDEX(_翻訳マスタ!$B$117:$D$247,MATCH("KPI_COL_UNIT",_翻訳マスタ!$A$117:$A$247,0),MATCH(言語切替!$B$3,_翻訳マスタ!$B$1:$D$1,0))</f>
        <v>Đơn vị tính</v>
      </c>
      <c r="Q4" s="49" t="str">
        <f>INDEX(_翻訳マスタ!$B$117:$D$247,MATCH("KPI_COL_FREQ",_翻訳マスタ!$A$117:$A$247,0),MATCH(言語切替!$B$3,_翻訳マスタ!$B$1:$D$1,0))</f>
        <v>Tần suất đo lường</v>
      </c>
      <c r="R4" s="49" t="str">
        <f>INDEX(_翻訳マスタ!$B$117:$D$247,MATCH("KPI_COL_SOURCE",_翻訳マスタ!$A$117:$A$247,0),MATCH(言語切替!$B$3,_翻訳マスタ!$B$1:$D$1,0))</f>
        <v>Nguồn dữ liệu</v>
      </c>
      <c r="S4" s="49" t="str">
        <f>INDEX(_翻訳マスタ!$B$117:$D$247,MATCH("KPI_COL_OWNER",_翻訳マスタ!$A$117:$A$247,0),MATCH(言語切替!$B$3,_翻訳マスタ!$B$1:$D$1,0))</f>
        <v>Người phụ trách</v>
      </c>
      <c r="T4" s="49" t="str">
        <f>INDEX(_翻訳マスタ!$B$117:$D$247,MATCH("KPI_COL_BASE",_翻訳マスタ!$A$117:$A$247,0),MATCH(言語切替!$B$3,_翻訳マスタ!$B$1:$D$1,0))</f>
        <v>Giá trị cơ sở</v>
      </c>
      <c r="U4" s="49" t="str">
        <f>INDEX(_翻訳マスタ!$B$117:$D$247,MATCH("KPI_COL_TARGET",_翻訳マスタ!$A$117:$A$247,0),MATCH(言語切替!$B$3,_翻訳マスタ!$B$1:$D$1,0))</f>
        <v>Giá trị mục tiêu</v>
      </c>
      <c r="V4" s="49" t="str">
        <f>INDEX(_翻訳マスタ!$B$117:$D$247,MATCH("KPI_COL_ACTUAL",_翻訳マスタ!$A$117:$A$247,0),MATCH(言語切替!$B$3,_翻訳マスタ!$B$1:$D$1,0))</f>
        <v>Giá trị thực tế</v>
      </c>
      <c r="W4" s="51" t="str">
        <f>INDEX(_翻訳マスタ!$B$117:$D$247,MATCH("KPI_COL_RATE",_翻訳マスタ!$A$117:$A$247,0),MATCH(言語切替!$B$3,_翻訳マスタ!$B$1:$D$1,0))</f>
        <v>Tỷ lệ đạt</v>
      </c>
      <c r="X4" s="51" t="str">
        <f>INDEX(_翻訳マスタ!$B$117:$D$247,MATCH("KPI_COL_JUDGE",_翻訳マスタ!$A$117:$A$247,0),MATCH(言語切替!$B$3,_翻訳マスタ!$B$1:$D$1,0))</f>
        <v>Đánh giá</v>
      </c>
      <c r="Y4" s="49" t="str">
        <f>INDEX(_翻訳マスタ!$B$117:$D$247,MATCH("KPI_COL_DATE",_翻訳マスタ!$A$117:$A$247,0),MATCH(言語切替!$B$3,_翻訳マスタ!$B$1:$D$1,0))</f>
        <v>Ngày đo</v>
      </c>
      <c r="Z4" s="49" t="str">
        <f>INDEX(_翻訳マスタ!$B$2:$D$300,MATCH("KPI_COL_ACTION",_翻訳マスタ!$A$2:$A$300,0),MATCH(言語切替!$B$3,_翻訳マスタ!$B$1:$D$1,0))&amp;INDEX(_翻訳マスタ!$B$2:$D$300,MATCH("NEW_INPUT_SUFFIX",_翻訳マスタ!$A$2:$A$300,0),MATCH(言語切替!$B$3,_翻訳マスタ!$B$1:$D$1,0))</f>
        <v>Hành động tiếp theo [Nhập: VI/JP/CN]</v>
      </c>
      <c r="AA4" s="51" t="str">
        <f>INDEX(_翻訳マスタ!$B$2:$D$300,MATCH("KPI_COL_ACTION",_翻訳マスタ!$A$2:$A$300,0),MATCH(言語切替!$B$3,_翻訳マスタ!$B$1:$D$1,0))&amp;INDEX(_翻訳マスタ!$B$2:$D$300,MATCH("NEW_VI_SUFFIX",_翻訳マスタ!$A$2:$A$300,0),MATCH(言語切替!$B$3,_翻訳マスタ!$B$1:$D$1,0))</f>
        <v>Hành động tiếp theo (VI)</v>
      </c>
      <c r="AB4" s="51" t="str">
        <f>INDEX(_翻訳マスタ!$B$2:$D$300,MATCH("KPI_COL_ACTION",_翻訳マスタ!$A$2:$A$300,0),MATCH(言語切替!$B$3,_翻訳マスタ!$B$1:$D$1,0))&amp;INDEX(_翻訳マスタ!$B$2:$D$300,MATCH("NEW_JP_SUFFIX",_翻訳マスタ!$A$2:$A$300,0),MATCH(言語切替!$B$3,_翻訳マスタ!$B$1:$D$1,0))</f>
        <v>Hành động tiếp theo (JP)</v>
      </c>
      <c r="AC4" s="51" t="str">
        <f>INDEX(_翻訳マスタ!$B$2:$D$300,MATCH("KPI_COL_ACTION",_翻訳マスタ!$A$2:$A$300,0),MATCH(言語切替!$B$3,_翻訳マスタ!$B$1:$D$1,0))&amp;INDEX(_翻訳マスタ!$B$2:$D$300,MATCH("NEW_CN_SUFFIX",_翻訳マスタ!$A$2:$A$300,0),MATCH(言語切替!$B$3,_翻訳マスタ!$B$1:$D$1,0))</f>
        <v>Hành động tiếp theo (CN)</v>
      </c>
      <c r="AD4" s="50" t="str">
        <f>INDEX(_翻訳マスタ!$B$2:$D$300,MATCH("KPI_COL_NOTE",_翻訳マスタ!$A$2:$A$300,0),MATCH(言語切替!$B$3,_翻訳マスタ!$B$1:$D$1,0))&amp;INDEX(_翻訳マスタ!$B$2:$D$300,MATCH("NEW_INPUT_SUFFIX",_翻訳マスタ!$A$2:$A$300,0),MATCH(言語切替!$B$3,_翻訳マスタ!$B$1:$D$1,0))</f>
        <v>Ghi chú [Nhập: VI/JP/CN]</v>
      </c>
      <c r="AE4" s="53" t="str">
        <f>INDEX(_翻訳マスタ!$B$2:$D$300,MATCH("KPI_COL_NOTE",_翻訳マスタ!$A$2:$A$300,0),MATCH(言語切替!$B$3,_翻訳マスタ!$B$1:$D$1,0))&amp;INDEX(_翻訳マスタ!$B$2:$D$300,MATCH("NEW_VI_SUFFIX",_翻訳マスタ!$A$2:$A$300,0),MATCH(言語切替!$B$3,_翻訳マスタ!$B$1:$D$1,0))</f>
        <v>Ghi chú (VI)</v>
      </c>
      <c r="AF4" s="53" t="str">
        <f>INDEX(_翻訳マスタ!$B$2:$D$300,MATCH("KPI_COL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AG4" s="53" t="str">
        <f>INDEX(_翻訳マスタ!$B$2:$D$300,MATCH("KPI_COL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</row>
    <row r="5" spans="1:33" s="21" customFormat="1" ht="31.5" customHeight="1" x14ac:dyDescent="0.25">
      <c r="A5" s="22" t="s">
        <v>184</v>
      </c>
      <c r="B5" s="23" t="str">
        <f>'02_マスタ'!$A$9</f>
        <v>WG-4</v>
      </c>
      <c r="C5" s="23" t="str">
        <f>'02_マスタ'!$K$5</f>
        <v>Thiết lập nền tảng</v>
      </c>
      <c r="D5" s="23" t="str">
        <f>INDEX(_翻訳マスタ!$D$2:$D$300,MATCH("KPI_EX1_NAME",_翻訳マスタ!$A$2:$A$300,0))</f>
        <v>Tỷ lệ hoàn thiện BOP</v>
      </c>
      <c r="E5" s="52" t="str">
        <f t="shared" ref="E5:E30" si="0">IF(D5="","",_xlfn.TRANSLATE(D5,"","vi"))</f>
        <v>Tỷ lệ hoàn thiện BOP</v>
      </c>
      <c r="F5" s="52" t="str">
        <f t="shared" ref="F5:F30" si="1">IF(D5="","",_xlfn.TRANSLATE(D5,"","ja"))</f>
        <v>BOP完了率</v>
      </c>
      <c r="G5" s="52" t="str">
        <f t="shared" ref="G5:G30" si="2">IF(D5="","",_xlfn.TRANSLATE(D5,"","zh-Hans"))</f>
        <v>防弹执行完成率</v>
      </c>
      <c r="H5" s="23" t="str">
        <f>INDEX(_翻訳マスタ!$D$2:$D$300,MATCH("KPI_EX1_PURPOSE",_翻訳マスタ!$A$2:$A$300,0))</f>
        <v>Thiết lập nền tảng chỉ dẫn công việc</v>
      </c>
      <c r="I5" s="52" t="str">
        <f t="shared" ref="I5:I30" si="3">IF(H5="","",_xlfn.TRANSLATE(H5,"","vi"))</f>
        <v>Thiết lập nền tảng chỉ dẫn công việc</v>
      </c>
      <c r="J5" s="52" t="str">
        <f t="shared" ref="J5:J30" si="4">IF(H5="","",_xlfn.TRANSLATE(H5,"","ja"))</f>
        <v>ジョブガイダンスプラットフォームの立ち上げ</v>
      </c>
      <c r="K5" s="52" t="str">
        <f t="shared" ref="K5:K30" si="5">IF(H5="","",_xlfn.TRANSLATE(H5,"","zh-Hans"))</f>
        <v>建立职业指导平台</v>
      </c>
      <c r="L5" s="23" t="str">
        <f>INDEX(_翻訳マスタ!$D$2:$D$300,MATCH("KPI_EX1_FORMULA",_翻訳マスタ!$A$2:$A$300,0))</f>
        <v>Số BOP hợp lệ ÷ Số linh kiện mục tiêu</v>
      </c>
      <c r="M5" s="52" t="str">
        <f t="shared" ref="M5:M30" si="6">IF(L5="","",_xlfn.TRANSLATE(L5,"","vi"))</f>
        <v>Số BOP hợp lệ ÷ Số linh kiện mục tiêu</v>
      </c>
      <c r="N5" s="52" t="str">
        <f t="shared" ref="N5:N30" si="7">IF(L5="","",_xlfn.TRANSLATE(L5,"","ja"))</f>
        <v>有効なBOP番号÷ターゲットコンポーネント番号</v>
      </c>
      <c r="O5" s="52" t="str">
        <f t="shared" ref="O5:O30" si="8">IF(L5="","",_xlfn.TRANSLATE(L5,"","zh-Hans"))</f>
        <v>有效的BOP编号÷目标组件编号</v>
      </c>
      <c r="P5" s="23" t="s">
        <v>188</v>
      </c>
      <c r="Q5" s="23" t="str">
        <f>INDEX(_翻訳マスタ!$B$117:$D$247,MATCH("KPI_FREQ_MONTH",_翻訳マスタ!$A$117:$A$247,0),MATCH(言語切替!$B$3,_翻訳マスタ!$B$1:$D$1,0))</f>
        <v>Hàng tháng</v>
      </c>
      <c r="R5" s="23" t="s">
        <v>190</v>
      </c>
      <c r="S5" s="23" t="s">
        <v>109</v>
      </c>
      <c r="T5" s="23"/>
      <c r="U5" s="23"/>
      <c r="V5" s="23"/>
      <c r="W5" s="54" t="str">
        <f t="shared" ref="W5:W36" si="9">IF(OR(U5="",V5=""),"",IF(U5=0,"",V5/U5))</f>
        <v/>
      </c>
      <c r="X5" s="9" t="str">
        <f>IF(A5="","",IF(W5="",INDEX(_翻訳マスタ!$B$89:$D$89,1,MATCH(言語切替!$B$3,_翻訳マスタ!$B$1:$D$1,0)),IF(W5&gt;=1,INDEX(_翻訳マスタ!$B$93:$D$93,1,MATCH(言語切替!$B$3,_翻訳マスタ!$B$1:$D$1,0)),IF(W5&gt;=0.8,INDEX(_翻訳マスタ!$B$91:$D$91,1,MATCH(言語切替!$B$3,_翻訳マスタ!$B$1:$D$1,0)),INDEX(_翻訳マスタ!$B$94:$D$94,1,MATCH(言語切替!$B$3,_翻訳マスタ!$B$1:$D$1,0))))))</f>
        <v>Chưa thiết lập</v>
      </c>
      <c r="Y5" s="24"/>
      <c r="Z5" s="23" t="str">
        <f>INDEX(_翻訳マスタ!$D$2:$D$300,MATCH("KPI_EX1_ACTION",_翻訳マスタ!$A$2:$A$300,0))</f>
        <v>Xác định định nghĩa và phạm vi mục tiêu</v>
      </c>
      <c r="AA5" s="52" t="str">
        <f t="shared" ref="AA5:AA30" si="10">IF(Z5="","",_xlfn.TRANSLATE(Z5,"","vi"))</f>
        <v>Xác định định nghĩa và phạm vi mục tiêu</v>
      </c>
      <c r="AB5" s="52" t="str">
        <f t="shared" ref="AB5:AB30" si="11">IF(Z5="","",_xlfn.TRANSLATE(Z5,"","ja"))</f>
        <v>対象の定義と範囲を定義してください</v>
      </c>
      <c r="AC5" s="52" t="str">
        <f t="shared" ref="AC5:AC30" si="12">IF(Z5="","",_xlfn.TRANSLATE(Z5,"","zh-Hans"))</f>
        <v>定义目标的定义和范围</v>
      </c>
      <c r="AD5" s="34" t="str">
        <f>INDEX(_翻訳マスタ!$D$2:$D$300,MATCH("COMMON_EXAMPLE",_翻訳マスタ!$A$2:$A$300,0))</f>
        <v>Ví dụ nhập liệu</v>
      </c>
      <c r="AE5" s="44" t="str">
        <f t="shared" ref="AE5:AE30" si="13">IF(AD5="","",_xlfn.TRANSLATE(AD5,"","vi"))</f>
        <v>Ví dụ nhập liệu</v>
      </c>
      <c r="AF5" s="44" t="str">
        <f t="shared" ref="AF5:AF30" si="14">IF(AD5="","",_xlfn.TRANSLATE(AD5,"","ja"))</f>
        <v>データ入力の例</v>
      </c>
      <c r="AG5" s="44" t="str">
        <f t="shared" ref="AG5:AG30" si="15">IF(AD5="","",_xlfn.TRANSLATE(AD5,"","zh-Hans"))</f>
        <v>数据录入示例</v>
      </c>
    </row>
    <row r="6" spans="1:33" s="21" customFormat="1" ht="31.5" customHeight="1" x14ac:dyDescent="0.25">
      <c r="A6" s="25" t="s">
        <v>192</v>
      </c>
      <c r="B6" s="26" t="str">
        <f>'02_マスタ'!$A$10</f>
        <v>WG-5</v>
      </c>
      <c r="C6" s="26" t="str">
        <f>'02_マスタ'!$K$6</f>
        <v>Vận hành ổn định</v>
      </c>
      <c r="D6" s="26" t="str">
        <f>INDEX(_翻訳マスタ!$D$2:$D$300,MATCH("KPI_EX2_NAME",_翻訳マスタ!$A$2:$A$300,0))</f>
        <v>Tỷ lệ chỉnh sửa thủ công</v>
      </c>
      <c r="E6" s="38" t="str">
        <f t="shared" si="0"/>
        <v>Tỷ lệ chỉnh sửa thủ công</v>
      </c>
      <c r="F6" s="38" t="str">
        <f t="shared" si="1"/>
        <v>手動編集速度</v>
      </c>
      <c r="G6" s="38" t="str">
        <f t="shared" si="2"/>
        <v>手动编辑速率</v>
      </c>
      <c r="H6" s="26" t="str">
        <f>INDEX(_翻訳マスタ!$D$2:$D$300,MATCH("KPI_EX2_PURPOSE",_翻訳マスタ!$A$2:$A$300,0))</f>
        <v>Xác nhận độ ổn định vận hành</v>
      </c>
      <c r="I6" s="38" t="str">
        <f t="shared" si="3"/>
        <v>Xác nhận độ ổn định vận hành</v>
      </c>
      <c r="J6" s="38" t="str">
        <f t="shared" si="4"/>
        <v>運用安定性を確認</v>
      </c>
      <c r="K6" s="38" t="str">
        <f t="shared" si="5"/>
        <v>确认作战稳定性</v>
      </c>
      <c r="L6" s="26" t="str">
        <f>INDEX(_翻訳マスタ!$D$2:$D$300,MATCH("KPI_EX2_FORMULA",_翻訳マスタ!$A$2:$A$300,0))</f>
        <v>Số lượt chỉnh sửa thủ công ÷ Tổng số lượt thực hiện</v>
      </c>
      <c r="M6" s="38" t="str">
        <f t="shared" si="6"/>
        <v>Số lượt chỉnh sửa thủ công ÷ Tổng số lượt thực hiện</v>
      </c>
      <c r="N6" s="38" t="str">
        <f t="shared" si="7"/>
        <v>手動編集÷トータルアクション</v>
      </c>
      <c r="O6" s="38" t="str">
        <f t="shared" si="8"/>
        <v>手动编辑÷全行动</v>
      </c>
      <c r="P6" s="26" t="s">
        <v>188</v>
      </c>
      <c r="Q6" s="26" t="str">
        <f>INDEX(_翻訳マスタ!$B$117:$D$247,MATCH("KPI_FREQ_MONTH",_翻訳マスタ!$A$117:$A$247,0),MATCH(言語切替!$B$3,_翻訳マスタ!$B$1:$D$1,0))</f>
        <v>Hàng tháng</v>
      </c>
      <c r="R6" s="26" t="s">
        <v>196</v>
      </c>
      <c r="S6" s="26" t="s">
        <v>109</v>
      </c>
      <c r="T6" s="26"/>
      <c r="U6" s="26"/>
      <c r="V6" s="26"/>
      <c r="W6" s="41" t="str">
        <f t="shared" si="9"/>
        <v/>
      </c>
      <c r="X6" s="12" t="str">
        <f>IF(A6="","",IF(W6="",INDEX(_翻訳マスタ!$B$89:$D$89,1,MATCH(言語切替!$B$3,_翻訳マスタ!$B$1:$D$1,0)),IF(W6&gt;=1,INDEX(_翻訳マスタ!$B$93:$D$93,1,MATCH(言語切替!$B$3,_翻訳マスタ!$B$1:$D$1,0)),IF(W6&gt;=0.8,INDEX(_翻訳マスタ!$B$91:$D$91,1,MATCH(言語切替!$B$3,_翻訳マスタ!$B$1:$D$1,0)),INDEX(_翻訳マスタ!$B$94:$D$94,1,MATCH(言語切替!$B$3,_翻訳マスタ!$B$1:$D$1,0))))))</f>
        <v>Chưa thiết lập</v>
      </c>
      <c r="Y6" s="27"/>
      <c r="Z6" s="26" t="str">
        <f>INDEX(_翻訳マスタ!$D$2:$D$300,MATCH("KPI_EX2_ACTION",_翻訳マスタ!$A$2:$A$300,0))</f>
        <v>Xác định phương pháp đo lường</v>
      </c>
      <c r="AA6" s="38" t="str">
        <f t="shared" si="10"/>
        <v>Xác định phương pháp đo lường</v>
      </c>
      <c r="AB6" s="38" t="str">
        <f t="shared" si="11"/>
        <v>測定方法の決定</v>
      </c>
      <c r="AC6" s="38" t="str">
        <f t="shared" si="12"/>
        <v>测量方法的确定</v>
      </c>
      <c r="AD6" s="35" t="str">
        <f>INDEX(_翻訳マスタ!$D$2:$D$300,MATCH("COMMON_EXAMPLE",_翻訳マスタ!$A$2:$A$300,0))</f>
        <v>Ví dụ nhập liệu</v>
      </c>
      <c r="AE6" s="45" t="str">
        <f t="shared" si="13"/>
        <v>Ví dụ nhập liệu</v>
      </c>
      <c r="AF6" s="45" t="str">
        <f t="shared" si="14"/>
        <v>データ入力の例</v>
      </c>
      <c r="AG6" s="45" t="str">
        <f t="shared" si="15"/>
        <v>数据录入示例</v>
      </c>
    </row>
    <row r="7" spans="1:33" s="21" customFormat="1" ht="31.5" customHeight="1" x14ac:dyDescent="0.25">
      <c r="A7" s="28" t="s">
        <v>198</v>
      </c>
      <c r="B7" s="29" t="str">
        <f>'02_マスタ'!$A$12</f>
        <v>WG-7</v>
      </c>
      <c r="C7" s="29" t="str">
        <f>'02_マスタ'!$K$7</f>
        <v>Kết quả nghiệp vụ</v>
      </c>
      <c r="D7" s="29" t="str">
        <f>INDEX(_翻訳マスタ!$D$2:$D$300,MATCH("KPI_EX3_NAME",_翻訳マスタ!$A$2:$A$300,0))</f>
        <v>Thời gian chuẩn bị giao hàng (LT)</v>
      </c>
      <c r="E7" s="39" t="str">
        <f t="shared" si="0"/>
        <v>Thời gian chuẩn bị giao hàng (LT)</v>
      </c>
      <c r="F7" s="39" t="str">
        <f t="shared" si="1"/>
        <v>出産準備の時間(LT)</v>
      </c>
      <c r="G7" s="39" t="str">
        <f t="shared" si="2"/>
        <v>准备分娩（LT）</v>
      </c>
      <c r="H7" s="29" t="str">
        <f>INDEX(_翻訳マスタ!$D$2:$D$300,MATCH("KPI_EX3_PURPOSE",_翻訳マスタ!$A$2:$A$300,0))</f>
        <v>Cải thiện hiệu quả nghiệp vụ giao hàng</v>
      </c>
      <c r="I7" s="39" t="str">
        <f t="shared" si="3"/>
        <v>Cải thiện hiệu quả nghiệp vụ giao hàng</v>
      </c>
      <c r="J7" s="39" t="str">
        <f t="shared" si="4"/>
        <v>配送効率の向上</v>
      </c>
      <c r="K7" s="39" t="str">
        <f t="shared" si="5"/>
        <v>提高配送效率</v>
      </c>
      <c r="L7" s="29" t="str">
        <f>INDEX(_翻訳マスタ!$D$2:$D$300,MATCH("KPI_EX3_FORMULA",_翻訳マスタ!$A$2:$A$300,0))</f>
        <v>Trung vị thời gian từ khi hoàn thành đến khi xuất hàng</v>
      </c>
      <c r="M7" s="39" t="str">
        <f t="shared" si="6"/>
        <v>Trung vị thời gian từ khi hoàn thành đến khi xuất hàng</v>
      </c>
      <c r="N7" s="39" t="str">
        <f t="shared" si="7"/>
        <v>完成から出荷までの中央値時間</v>
      </c>
      <c r="O7" s="39" t="str">
        <f t="shared" si="8"/>
        <v>从完成到发货的中位时间</v>
      </c>
      <c r="P7" s="29" t="str">
        <f>INDEX(_翻訳マスタ!$B$117:$D$247,MATCH("KPI_UNIT_TIME",_翻訳マスタ!$A$117:$A$247,0),MATCH(言語切替!$B$3,_翻訳マスタ!$B$1:$D$1,0))</f>
        <v>Giờ</v>
      </c>
      <c r="Q7" s="29" t="str">
        <f>INDEX(_翻訳マスタ!$B$117:$D$247,MATCH("KPI_FREQ_MONTH",_翻訳マスタ!$A$117:$A$247,0),MATCH(言語切替!$B$3,_翻訳マスタ!$B$1:$D$1,0))</f>
        <v>Hàng tháng</v>
      </c>
      <c r="R7" s="29" t="str">
        <f>INDEX(_翻訳マスタ!$B$117:$D$247,MATCH("KPI_SRC_ACTUAL",_翻訳マスタ!$A$117:$A$247,0),MATCH(言語切替!$B$3,_翻訳マスタ!$B$1:$D$1,0))</f>
        <v>Thực tế hiện trường</v>
      </c>
      <c r="S7" s="29" t="s">
        <v>109</v>
      </c>
      <c r="T7" s="29"/>
      <c r="U7" s="29"/>
      <c r="V7" s="29"/>
      <c r="W7" s="42" t="str">
        <f t="shared" si="9"/>
        <v/>
      </c>
      <c r="X7" s="15" t="str">
        <f>IF(A7="","",IF(W7="",INDEX(_翻訳マスタ!$B$89:$D$89,1,MATCH(言語切替!$B$3,_翻訳マスタ!$B$1:$D$1,0)),IF(W7&gt;=1,INDEX(_翻訳マスタ!$B$93:$D$93,1,MATCH(言語切替!$B$3,_翻訳マスタ!$B$1:$D$1,0)),IF(W7&gt;=0.8,INDEX(_翻訳マスタ!$B$91:$D$91,1,MATCH(言語切替!$B$3,_翻訳マスタ!$B$1:$D$1,0)),INDEX(_翻訳マスタ!$B$94:$D$94,1,MATCH(言語切替!$B$3,_翻訳マスタ!$B$1:$D$1,0))))))</f>
        <v>Chưa thiết lập</v>
      </c>
      <c r="Y7" s="30"/>
      <c r="Z7" s="29" t="str">
        <f>INDEX(_翻訳マスタ!$D$2:$D$300,MATCH("KPI_EX3_ACTION",_翻訳マスタ!$A$2:$A$300,0))</f>
        <v>Thu thập giá trị hiện tại</v>
      </c>
      <c r="AA7" s="39" t="str">
        <f t="shared" si="10"/>
        <v>Thu thập giá trị hiện tại</v>
      </c>
      <c r="AB7" s="39" t="str">
        <f t="shared" si="11"/>
        <v>現在の価値を回収する</v>
      </c>
      <c r="AC7" s="39" t="str">
        <f t="shared" si="12"/>
        <v>收集当前价值</v>
      </c>
      <c r="AD7" s="36" t="str">
        <f>INDEX(_翻訳マスタ!$D$2:$D$300,MATCH("COMMON_EXAMPLE",_翻訳マスタ!$A$2:$A$300,0))</f>
        <v>Ví dụ nhập liệu</v>
      </c>
      <c r="AE7" s="44" t="str">
        <f t="shared" si="13"/>
        <v>Ví dụ nhập liệu</v>
      </c>
      <c r="AF7" s="44" t="str">
        <f t="shared" si="14"/>
        <v>データ入力の例</v>
      </c>
      <c r="AG7" s="44" t="str">
        <f t="shared" si="15"/>
        <v>数据录入示例</v>
      </c>
    </row>
    <row r="8" spans="1:33" s="21" customFormat="1" ht="31.5" customHeight="1" x14ac:dyDescent="0.25">
      <c r="A8" s="25" t="s">
        <v>205</v>
      </c>
      <c r="B8" s="26" t="str">
        <f>'02_マスタ'!$A$5</f>
        <v>Toàn bộ</v>
      </c>
      <c r="C8" s="26" t="str">
        <f>'02_マスタ'!$K$8</f>
        <v>Kết quả đầu tư</v>
      </c>
      <c r="D8" s="26" t="str">
        <f>INDEX(_翻訳マスタ!$D$2:$D$300,MATCH("KPI_EX4_NAME",_翻訳マスタ!$A$2:$A$300,0))</f>
        <v>Giá trị hiệu quả ròng hàng năm</v>
      </c>
      <c r="E8" s="38" t="str">
        <f t="shared" si="0"/>
        <v>Giá trị hiệu quả ròng hàng năm</v>
      </c>
      <c r="F8" s="38" t="str">
        <f t="shared" si="1"/>
        <v>年間純実効価値</v>
      </c>
      <c r="G8" s="38" t="str">
        <f t="shared" si="2"/>
        <v>年度净有效价值</v>
      </c>
      <c r="H8" s="26" t="str">
        <f>INDEX(_翻訳マスタ!$D$2:$D$300,MATCH("KPI_EX4_PURPOSE",_翻訳マスタ!$A$2:$A$300,0))</f>
        <v>Đánh giá quyết định đầu tư</v>
      </c>
      <c r="I8" s="38" t="str">
        <f t="shared" si="3"/>
        <v>Đánh giá quyết định đầu tư</v>
      </c>
      <c r="J8" s="38" t="str">
        <f t="shared" si="4"/>
        <v>投資判断の評価</v>
      </c>
      <c r="K8" s="38" t="str">
        <f t="shared" si="5"/>
        <v>投资决策评估</v>
      </c>
      <c r="L8" s="26" t="str">
        <f>INDEX(_翻訳マスタ!$D$2:$D$300,MATCH("KPI_EX4_FORMULA",_翻訳マスタ!$A$2:$A$300,0))</f>
        <v>Hiệu quả nhân công + chất lượng + tồn kho + tránh dừng máy - chi phí duy trì hàng năm</v>
      </c>
      <c r="M8" s="38" t="str">
        <f t="shared" si="6"/>
        <v>Hiệu quả nhân công + chất lượng + tồn kho + tránh dừng máy - chi phí duy trì hàng năm</v>
      </c>
      <c r="N8" s="38" t="str">
        <f t="shared" si="7"/>
        <v>労働効率+品質+在庫+ダウンタイム回避-年間メンテナンスコスト</v>
      </c>
      <c r="O8" s="38" t="str">
        <f t="shared" si="8"/>
        <v>劳动效率 + 质量 + 库存 + 避免停机 - 年度维护成本</v>
      </c>
      <c r="P8" s="26" t="str">
        <f>INDEX(_翻訳マスタ!$B$117:$D$247,MATCH("KPI_UNIT_MONEY",_翻訳マスタ!$A$117:$A$247,0),MATCH(言語切替!$B$3,_翻訳マスタ!$B$1:$D$1,0))</f>
        <v>Số tiền</v>
      </c>
      <c r="Q8" s="26" t="str">
        <f>INDEX(_翻訳マスタ!$B$117:$D$247,MATCH("KPI_FREQ_QUARTER",_翻訳マスタ!$A$117:$A$247,0),MATCH(言語切替!$B$3,_翻訳マスタ!$B$1:$D$1,0))</f>
        <v>Hàng quý</v>
      </c>
      <c r="R8" s="26" t="str">
        <f>INDEX(_翻訳マスタ!$B$117:$D$247,MATCH("KPI_SRC_WG_SUM",_翻訳マスタ!$A$117:$A$247,0),MATCH(言語切替!$B$3,_翻訳マスタ!$B$1:$D$1,0))</f>
        <v>Tổng hợp từ các WG</v>
      </c>
      <c r="S8" s="26" t="str">
        <f>INDEX(_翻訳マスタ!$B$117:$D$247,MATCH("ROLE_PMO",_翻訳マスタ!$A$117:$A$247,0),MATCH(言語切替!$B$3,_翻訳マスタ!$B$1:$D$1,0))</f>
        <v>Ban điều hành</v>
      </c>
      <c r="T8" s="26"/>
      <c r="U8" s="26"/>
      <c r="V8" s="26"/>
      <c r="W8" s="41" t="str">
        <f t="shared" si="9"/>
        <v/>
      </c>
      <c r="X8" s="12" t="str">
        <f>IF(A8="","",IF(W8="",INDEX(_翻訳マスタ!$B$89:$D$89,1,MATCH(言語切替!$B$3,_翻訳マスタ!$B$1:$D$1,0)),IF(W8&gt;=1,INDEX(_翻訳マスタ!$B$93:$D$93,1,MATCH(言語切替!$B$3,_翻訳マスタ!$B$1:$D$1,0)),IF(W8&gt;=0.8,INDEX(_翻訳マスタ!$B$91:$D$91,1,MATCH(言語切替!$B$3,_翻訳マスタ!$B$1:$D$1,0)),INDEX(_翻訳マスタ!$B$94:$D$94,1,MATCH(言語切替!$B$3,_翻訳マスタ!$B$1:$D$1,0))))))</f>
        <v>Chưa thiết lập</v>
      </c>
      <c r="Y8" s="27"/>
      <c r="Z8" s="26" t="str">
        <f>INDEX(_翻訳マスタ!$D$2:$D$300,MATCH("KPI_EX4_ACTION",_翻訳マスタ!$A$2:$A$300,0))</f>
        <v>Xác định quy tắc tính toán</v>
      </c>
      <c r="AA8" s="38" t="str">
        <f t="shared" si="10"/>
        <v>Xác định quy tắc tính toán</v>
      </c>
      <c r="AB8" s="38" t="str">
        <f t="shared" si="11"/>
        <v>計算ルールを定義する</v>
      </c>
      <c r="AC8" s="38" t="str">
        <f t="shared" si="12"/>
        <v>定义计算规则</v>
      </c>
      <c r="AD8" s="35" t="str">
        <f>INDEX(_翻訳マスタ!$D$2:$D$300,MATCH("COMMON_EXAMPLE",_翻訳マスタ!$A$2:$A$300,0))</f>
        <v>Ví dụ nhập liệu</v>
      </c>
      <c r="AE8" s="45" t="str">
        <f t="shared" si="13"/>
        <v>Ví dụ nhập liệu</v>
      </c>
      <c r="AF8" s="45" t="str">
        <f t="shared" si="14"/>
        <v>データ入力の例</v>
      </c>
      <c r="AG8" s="45" t="str">
        <f t="shared" si="15"/>
        <v>数据录入示例</v>
      </c>
    </row>
    <row r="9" spans="1:33" s="21" customFormat="1" ht="15" customHeight="1" x14ac:dyDescent="0.25">
      <c r="A9" s="28"/>
      <c r="B9" s="29"/>
      <c r="C9" s="29"/>
      <c r="D9" s="29"/>
      <c r="E9" s="39" t="str">
        <f t="shared" si="0"/>
        <v/>
      </c>
      <c r="F9" s="39" t="str">
        <f t="shared" si="1"/>
        <v/>
      </c>
      <c r="G9" s="39" t="str">
        <f t="shared" si="2"/>
        <v/>
      </c>
      <c r="H9" s="29" t="s">
        <v>957</v>
      </c>
      <c r="I9" s="39" t="str">
        <f t="shared" si="3"/>
        <v>tôi tên là</v>
      </c>
      <c r="J9" s="39" t="str">
        <f t="shared" si="4"/>
        <v>私の名前は</v>
      </c>
      <c r="K9" s="39" t="str">
        <f t="shared" si="5"/>
        <v>我的名字是</v>
      </c>
      <c r="L9" s="29"/>
      <c r="M9" s="39" t="str">
        <f t="shared" si="6"/>
        <v/>
      </c>
      <c r="N9" s="39" t="str">
        <f t="shared" si="7"/>
        <v/>
      </c>
      <c r="O9" s="39" t="str">
        <f t="shared" si="8"/>
        <v/>
      </c>
      <c r="P9" s="29"/>
      <c r="Q9" s="29"/>
      <c r="R9" s="29"/>
      <c r="S9" s="29"/>
      <c r="T9" s="29"/>
      <c r="U9" s="29"/>
      <c r="V9" s="29"/>
      <c r="W9" s="42" t="str">
        <f t="shared" si="9"/>
        <v/>
      </c>
      <c r="X9" s="15" t="str">
        <f>IF(A9="","",IF(W9="",INDEX(_翻訳マスタ!$B$89:$D$89,1,MATCH(言語切替!$B$3,_翻訳マスタ!$B$1:$D$1,0)),IF(W9&gt;=1,INDEX(_翻訳マスタ!$B$93:$D$93,1,MATCH(言語切替!$B$3,_翻訳マスタ!$B$1:$D$1,0)),IF(W9&gt;=0.8,INDEX(_翻訳マスタ!$B$91:$D$91,1,MATCH(言語切替!$B$3,_翻訳マスタ!$B$1:$D$1,0)),INDEX(_翻訳マスタ!$B$94:$D$94,1,MATCH(言語切替!$B$3,_翻訳マスタ!$B$1:$D$1,0))))))</f>
        <v/>
      </c>
      <c r="Y9" s="30"/>
      <c r="Z9" s="29"/>
      <c r="AA9" s="39" t="str">
        <f t="shared" si="10"/>
        <v/>
      </c>
      <c r="AB9" s="39" t="str">
        <f t="shared" si="11"/>
        <v/>
      </c>
      <c r="AC9" s="39" t="str">
        <f t="shared" si="12"/>
        <v/>
      </c>
      <c r="AD9" s="36"/>
      <c r="AE9" s="44" t="str">
        <f t="shared" si="13"/>
        <v/>
      </c>
      <c r="AF9" s="44" t="str">
        <f t="shared" si="14"/>
        <v/>
      </c>
      <c r="AG9" s="44" t="str">
        <f t="shared" si="15"/>
        <v/>
      </c>
    </row>
    <row r="10" spans="1:33" s="21" customFormat="1" ht="15" customHeight="1" x14ac:dyDescent="0.25">
      <c r="A10" s="25"/>
      <c r="B10" s="26"/>
      <c r="C10" s="26"/>
      <c r="D10" s="26"/>
      <c r="E10" s="38" t="str">
        <f t="shared" si="0"/>
        <v/>
      </c>
      <c r="F10" s="38" t="str">
        <f t="shared" si="1"/>
        <v/>
      </c>
      <c r="G10" s="38" t="str">
        <f t="shared" si="2"/>
        <v/>
      </c>
      <c r="H10" s="26"/>
      <c r="I10" s="38" t="str">
        <f t="shared" si="3"/>
        <v/>
      </c>
      <c r="J10" s="38" t="str">
        <f t="shared" si="4"/>
        <v/>
      </c>
      <c r="K10" s="38" t="str">
        <f t="shared" si="5"/>
        <v/>
      </c>
      <c r="L10" s="26"/>
      <c r="M10" s="38" t="str">
        <f t="shared" si="6"/>
        <v/>
      </c>
      <c r="N10" s="38" t="str">
        <f t="shared" si="7"/>
        <v/>
      </c>
      <c r="O10" s="38" t="str">
        <f t="shared" si="8"/>
        <v/>
      </c>
      <c r="P10" s="26"/>
      <c r="Q10" s="26"/>
      <c r="R10" s="26"/>
      <c r="S10" s="26"/>
      <c r="T10" s="26"/>
      <c r="U10" s="26"/>
      <c r="V10" s="26"/>
      <c r="W10" s="41" t="str">
        <f t="shared" si="9"/>
        <v/>
      </c>
      <c r="X10" s="12" t="str">
        <f>IF(A10="","",IF(W10="",INDEX(_翻訳マスタ!$B$89:$D$89,1,MATCH(言語切替!$B$3,_翻訳マスタ!$B$1:$D$1,0)),IF(W10&gt;=1,INDEX(_翻訳マスタ!$B$93:$D$93,1,MATCH(言語切替!$B$3,_翻訳マスタ!$B$1:$D$1,0)),IF(W10&gt;=0.8,INDEX(_翻訳マスタ!$B$91:$D$91,1,MATCH(言語切替!$B$3,_翻訳マスタ!$B$1:$D$1,0)),INDEX(_翻訳マスタ!$B$94:$D$94,1,MATCH(言語切替!$B$3,_翻訳マスタ!$B$1:$D$1,0))))))</f>
        <v/>
      </c>
      <c r="Y10" s="27"/>
      <c r="Z10" s="26"/>
      <c r="AA10" s="38" t="str">
        <f t="shared" si="10"/>
        <v/>
      </c>
      <c r="AB10" s="38" t="str">
        <f t="shared" si="11"/>
        <v/>
      </c>
      <c r="AC10" s="38" t="str">
        <f t="shared" si="12"/>
        <v/>
      </c>
      <c r="AD10" s="35"/>
      <c r="AE10" s="45" t="str">
        <f t="shared" si="13"/>
        <v/>
      </c>
      <c r="AF10" s="45" t="str">
        <f t="shared" si="14"/>
        <v/>
      </c>
      <c r="AG10" s="45" t="str">
        <f t="shared" si="15"/>
        <v/>
      </c>
    </row>
    <row r="11" spans="1:33" s="21" customFormat="1" ht="15" customHeight="1" x14ac:dyDescent="0.25">
      <c r="A11" s="28"/>
      <c r="B11" s="29"/>
      <c r="C11" s="29"/>
      <c r="D11" s="29"/>
      <c r="E11" s="39" t="str">
        <f t="shared" si="0"/>
        <v/>
      </c>
      <c r="F11" s="39" t="str">
        <f t="shared" si="1"/>
        <v/>
      </c>
      <c r="G11" s="39" t="str">
        <f t="shared" si="2"/>
        <v/>
      </c>
      <c r="H11" s="29"/>
      <c r="I11" s="39" t="str">
        <f t="shared" si="3"/>
        <v/>
      </c>
      <c r="J11" s="39" t="str">
        <f t="shared" si="4"/>
        <v/>
      </c>
      <c r="K11" s="39" t="str">
        <f t="shared" si="5"/>
        <v/>
      </c>
      <c r="L11" s="29"/>
      <c r="M11" s="39" t="str">
        <f t="shared" si="6"/>
        <v/>
      </c>
      <c r="N11" s="39" t="str">
        <f t="shared" si="7"/>
        <v/>
      </c>
      <c r="O11" s="39" t="str">
        <f t="shared" si="8"/>
        <v/>
      </c>
      <c r="P11" s="29"/>
      <c r="Q11" s="29"/>
      <c r="R11" s="29"/>
      <c r="S11" s="29"/>
      <c r="T11" s="29"/>
      <c r="U11" s="29"/>
      <c r="V11" s="29"/>
      <c r="W11" s="42" t="str">
        <f t="shared" si="9"/>
        <v/>
      </c>
      <c r="X11" s="15" t="str">
        <f>IF(A11="","",IF(W11="",INDEX(_翻訳マスタ!$B$89:$D$89,1,MATCH(言語切替!$B$3,_翻訳マスタ!$B$1:$D$1,0)),IF(W11&gt;=1,INDEX(_翻訳マスタ!$B$93:$D$93,1,MATCH(言語切替!$B$3,_翻訳マスタ!$B$1:$D$1,0)),IF(W11&gt;=0.8,INDEX(_翻訳マスタ!$B$91:$D$91,1,MATCH(言語切替!$B$3,_翻訳マスタ!$B$1:$D$1,0)),INDEX(_翻訳マスタ!$B$94:$D$94,1,MATCH(言語切替!$B$3,_翻訳マスタ!$B$1:$D$1,0))))))</f>
        <v/>
      </c>
      <c r="Y11" s="30"/>
      <c r="Z11" s="29"/>
      <c r="AA11" s="39" t="str">
        <f t="shared" si="10"/>
        <v/>
      </c>
      <c r="AB11" s="39" t="str">
        <f t="shared" si="11"/>
        <v/>
      </c>
      <c r="AC11" s="39" t="str">
        <f t="shared" si="12"/>
        <v/>
      </c>
      <c r="AD11" s="36"/>
      <c r="AE11" s="44" t="str">
        <f t="shared" si="13"/>
        <v/>
      </c>
      <c r="AF11" s="44" t="str">
        <f t="shared" si="14"/>
        <v/>
      </c>
      <c r="AG11" s="44" t="str">
        <f t="shared" si="15"/>
        <v/>
      </c>
    </row>
    <row r="12" spans="1:33" s="21" customFormat="1" ht="15" customHeight="1" x14ac:dyDescent="0.25">
      <c r="A12" s="25"/>
      <c r="B12" s="26"/>
      <c r="C12" s="26"/>
      <c r="D12" s="26"/>
      <c r="E12" s="38" t="str">
        <f t="shared" si="0"/>
        <v/>
      </c>
      <c r="F12" s="38" t="str">
        <f t="shared" si="1"/>
        <v/>
      </c>
      <c r="G12" s="38" t="str">
        <f t="shared" si="2"/>
        <v/>
      </c>
      <c r="H12" s="26"/>
      <c r="I12" s="38" t="str">
        <f t="shared" si="3"/>
        <v/>
      </c>
      <c r="J12" s="38" t="str">
        <f t="shared" si="4"/>
        <v/>
      </c>
      <c r="K12" s="38" t="str">
        <f t="shared" si="5"/>
        <v/>
      </c>
      <c r="L12" s="26"/>
      <c r="M12" s="38" t="str">
        <f t="shared" si="6"/>
        <v/>
      </c>
      <c r="N12" s="38" t="str">
        <f t="shared" si="7"/>
        <v/>
      </c>
      <c r="O12" s="38" t="str">
        <f t="shared" si="8"/>
        <v/>
      </c>
      <c r="P12" s="26"/>
      <c r="Q12" s="26"/>
      <c r="R12" s="26"/>
      <c r="S12" s="26"/>
      <c r="T12" s="26"/>
      <c r="U12" s="26"/>
      <c r="V12" s="26"/>
      <c r="W12" s="41" t="str">
        <f t="shared" si="9"/>
        <v/>
      </c>
      <c r="X12" s="12" t="str">
        <f>IF(A12="","",IF(W12="",INDEX(_翻訳マスタ!$B$89:$D$89,1,MATCH(言語切替!$B$3,_翻訳マスタ!$B$1:$D$1,0)),IF(W12&gt;=1,INDEX(_翻訳マスタ!$B$93:$D$93,1,MATCH(言語切替!$B$3,_翻訳マスタ!$B$1:$D$1,0)),IF(W12&gt;=0.8,INDEX(_翻訳マスタ!$B$91:$D$91,1,MATCH(言語切替!$B$3,_翻訳マスタ!$B$1:$D$1,0)),INDEX(_翻訳マスタ!$B$94:$D$94,1,MATCH(言語切替!$B$3,_翻訳マスタ!$B$1:$D$1,0))))))</f>
        <v/>
      </c>
      <c r="Y12" s="27"/>
      <c r="Z12" s="26"/>
      <c r="AA12" s="38" t="str">
        <f t="shared" si="10"/>
        <v/>
      </c>
      <c r="AB12" s="38" t="str">
        <f t="shared" si="11"/>
        <v/>
      </c>
      <c r="AC12" s="38" t="str">
        <f t="shared" si="12"/>
        <v/>
      </c>
      <c r="AD12" s="35"/>
      <c r="AE12" s="45" t="str">
        <f t="shared" si="13"/>
        <v/>
      </c>
      <c r="AF12" s="45" t="str">
        <f t="shared" si="14"/>
        <v/>
      </c>
      <c r="AG12" s="45" t="str">
        <f t="shared" si="15"/>
        <v/>
      </c>
    </row>
    <row r="13" spans="1:33" s="21" customFormat="1" ht="15" customHeight="1" x14ac:dyDescent="0.25">
      <c r="A13" s="28"/>
      <c r="B13" s="29"/>
      <c r="C13" s="29"/>
      <c r="D13" s="29"/>
      <c r="E13" s="39" t="str">
        <f t="shared" si="0"/>
        <v/>
      </c>
      <c r="F13" s="39" t="str">
        <f t="shared" si="1"/>
        <v/>
      </c>
      <c r="G13" s="39" t="str">
        <f t="shared" si="2"/>
        <v/>
      </c>
      <c r="H13" s="29"/>
      <c r="I13" s="39" t="str">
        <f t="shared" si="3"/>
        <v/>
      </c>
      <c r="J13" s="39" t="str">
        <f t="shared" si="4"/>
        <v/>
      </c>
      <c r="K13" s="39" t="str">
        <f t="shared" si="5"/>
        <v/>
      </c>
      <c r="L13" s="29"/>
      <c r="M13" s="39" t="str">
        <f t="shared" si="6"/>
        <v/>
      </c>
      <c r="N13" s="39" t="str">
        <f t="shared" si="7"/>
        <v/>
      </c>
      <c r="O13" s="39" t="str">
        <f t="shared" si="8"/>
        <v/>
      </c>
      <c r="P13" s="29"/>
      <c r="Q13" s="29"/>
      <c r="R13" s="29"/>
      <c r="S13" s="29"/>
      <c r="T13" s="29"/>
      <c r="U13" s="29"/>
      <c r="V13" s="29"/>
      <c r="W13" s="42" t="str">
        <f t="shared" si="9"/>
        <v/>
      </c>
      <c r="X13" s="15" t="str">
        <f>IF(A13="","",IF(W13="",INDEX(_翻訳マスタ!$B$89:$D$89,1,MATCH(言語切替!$B$3,_翻訳マスタ!$B$1:$D$1,0)),IF(W13&gt;=1,INDEX(_翻訳マスタ!$B$93:$D$93,1,MATCH(言語切替!$B$3,_翻訳マスタ!$B$1:$D$1,0)),IF(W13&gt;=0.8,INDEX(_翻訳マスタ!$B$91:$D$91,1,MATCH(言語切替!$B$3,_翻訳マスタ!$B$1:$D$1,0)),INDEX(_翻訳マスタ!$B$94:$D$94,1,MATCH(言語切替!$B$3,_翻訳マスタ!$B$1:$D$1,0))))))</f>
        <v/>
      </c>
      <c r="Y13" s="30"/>
      <c r="Z13" s="29"/>
      <c r="AA13" s="39" t="str">
        <f t="shared" si="10"/>
        <v/>
      </c>
      <c r="AB13" s="39" t="str">
        <f t="shared" si="11"/>
        <v/>
      </c>
      <c r="AC13" s="39" t="str">
        <f t="shared" si="12"/>
        <v/>
      </c>
      <c r="AD13" s="36"/>
      <c r="AE13" s="44" t="str">
        <f t="shared" si="13"/>
        <v/>
      </c>
      <c r="AF13" s="44" t="str">
        <f t="shared" si="14"/>
        <v/>
      </c>
      <c r="AG13" s="44" t="str">
        <f t="shared" si="15"/>
        <v/>
      </c>
    </row>
    <row r="14" spans="1:33" s="21" customFormat="1" ht="15" customHeight="1" x14ac:dyDescent="0.25">
      <c r="A14" s="25"/>
      <c r="B14" s="26"/>
      <c r="C14" s="26"/>
      <c r="D14" s="26"/>
      <c r="E14" s="38" t="str">
        <f t="shared" si="0"/>
        <v/>
      </c>
      <c r="F14" s="38" t="str">
        <f t="shared" si="1"/>
        <v/>
      </c>
      <c r="G14" s="38" t="str">
        <f t="shared" si="2"/>
        <v/>
      </c>
      <c r="H14" s="26"/>
      <c r="I14" s="38" t="str">
        <f t="shared" si="3"/>
        <v/>
      </c>
      <c r="J14" s="38" t="str">
        <f t="shared" si="4"/>
        <v/>
      </c>
      <c r="K14" s="38" t="str">
        <f t="shared" si="5"/>
        <v/>
      </c>
      <c r="L14" s="26"/>
      <c r="M14" s="38" t="str">
        <f t="shared" si="6"/>
        <v/>
      </c>
      <c r="N14" s="38" t="str">
        <f t="shared" si="7"/>
        <v/>
      </c>
      <c r="O14" s="38" t="str">
        <f t="shared" si="8"/>
        <v/>
      </c>
      <c r="P14" s="26"/>
      <c r="Q14" s="26"/>
      <c r="R14" s="26"/>
      <c r="S14" s="26"/>
      <c r="T14" s="26"/>
      <c r="U14" s="26"/>
      <c r="V14" s="26"/>
      <c r="W14" s="41" t="str">
        <f t="shared" si="9"/>
        <v/>
      </c>
      <c r="X14" s="12" t="str">
        <f>IF(A14="","",IF(W14="",INDEX(_翻訳マスタ!$B$89:$D$89,1,MATCH(言語切替!$B$3,_翻訳マスタ!$B$1:$D$1,0)),IF(W14&gt;=1,INDEX(_翻訳マスタ!$B$93:$D$93,1,MATCH(言語切替!$B$3,_翻訳マスタ!$B$1:$D$1,0)),IF(W14&gt;=0.8,INDEX(_翻訳マスタ!$B$91:$D$91,1,MATCH(言語切替!$B$3,_翻訳マスタ!$B$1:$D$1,0)),INDEX(_翻訳マスタ!$B$94:$D$94,1,MATCH(言語切替!$B$3,_翻訳マスタ!$B$1:$D$1,0))))))</f>
        <v/>
      </c>
      <c r="Y14" s="27"/>
      <c r="Z14" s="26"/>
      <c r="AA14" s="38" t="str">
        <f t="shared" si="10"/>
        <v/>
      </c>
      <c r="AB14" s="38" t="str">
        <f t="shared" si="11"/>
        <v/>
      </c>
      <c r="AC14" s="38" t="str">
        <f t="shared" si="12"/>
        <v/>
      </c>
      <c r="AD14" s="35"/>
      <c r="AE14" s="45" t="str">
        <f t="shared" si="13"/>
        <v/>
      </c>
      <c r="AF14" s="45" t="str">
        <f t="shared" si="14"/>
        <v/>
      </c>
      <c r="AG14" s="45" t="str">
        <f t="shared" si="15"/>
        <v/>
      </c>
    </row>
    <row r="15" spans="1:33" s="21" customFormat="1" ht="15" customHeight="1" x14ac:dyDescent="0.25">
      <c r="A15" s="28"/>
      <c r="B15" s="29"/>
      <c r="C15" s="29"/>
      <c r="D15" s="29"/>
      <c r="E15" s="39" t="str">
        <f t="shared" si="0"/>
        <v/>
      </c>
      <c r="F15" s="39" t="str">
        <f t="shared" si="1"/>
        <v/>
      </c>
      <c r="G15" s="39" t="str">
        <f t="shared" si="2"/>
        <v/>
      </c>
      <c r="H15" s="29"/>
      <c r="I15" s="39" t="str">
        <f t="shared" si="3"/>
        <v/>
      </c>
      <c r="J15" s="39" t="str">
        <f t="shared" si="4"/>
        <v/>
      </c>
      <c r="K15" s="39" t="str">
        <f t="shared" si="5"/>
        <v/>
      </c>
      <c r="L15" s="29"/>
      <c r="M15" s="39" t="str">
        <f t="shared" si="6"/>
        <v/>
      </c>
      <c r="N15" s="39" t="str">
        <f t="shared" si="7"/>
        <v/>
      </c>
      <c r="O15" s="39" t="str">
        <f t="shared" si="8"/>
        <v/>
      </c>
      <c r="P15" s="29"/>
      <c r="Q15" s="29"/>
      <c r="R15" s="29"/>
      <c r="S15" s="29"/>
      <c r="T15" s="29"/>
      <c r="U15" s="29"/>
      <c r="V15" s="29"/>
      <c r="W15" s="42" t="str">
        <f t="shared" si="9"/>
        <v/>
      </c>
      <c r="X15" s="15" t="str">
        <f>IF(A15="","",IF(W15="",INDEX(_翻訳マスタ!$B$89:$D$89,1,MATCH(言語切替!$B$3,_翻訳マスタ!$B$1:$D$1,0)),IF(W15&gt;=1,INDEX(_翻訳マスタ!$B$93:$D$93,1,MATCH(言語切替!$B$3,_翻訳マスタ!$B$1:$D$1,0)),IF(W15&gt;=0.8,INDEX(_翻訳マスタ!$B$91:$D$91,1,MATCH(言語切替!$B$3,_翻訳マスタ!$B$1:$D$1,0)),INDEX(_翻訳マスタ!$B$94:$D$94,1,MATCH(言語切替!$B$3,_翻訳マスタ!$B$1:$D$1,0))))))</f>
        <v/>
      </c>
      <c r="Y15" s="30"/>
      <c r="Z15" s="29"/>
      <c r="AA15" s="39" t="str">
        <f t="shared" si="10"/>
        <v/>
      </c>
      <c r="AB15" s="39" t="str">
        <f t="shared" si="11"/>
        <v/>
      </c>
      <c r="AC15" s="39" t="str">
        <f t="shared" si="12"/>
        <v/>
      </c>
      <c r="AD15" s="36"/>
      <c r="AE15" s="44" t="str">
        <f t="shared" si="13"/>
        <v/>
      </c>
      <c r="AF15" s="44" t="str">
        <f t="shared" si="14"/>
        <v/>
      </c>
      <c r="AG15" s="44" t="str">
        <f t="shared" si="15"/>
        <v/>
      </c>
    </row>
    <row r="16" spans="1:33" s="21" customFormat="1" ht="15" customHeight="1" x14ac:dyDescent="0.25">
      <c r="A16" s="25"/>
      <c r="B16" s="26"/>
      <c r="C16" s="26"/>
      <c r="D16" s="26"/>
      <c r="E16" s="38" t="str">
        <f t="shared" si="0"/>
        <v/>
      </c>
      <c r="F16" s="38" t="str">
        <f t="shared" si="1"/>
        <v/>
      </c>
      <c r="G16" s="38" t="str">
        <f t="shared" si="2"/>
        <v/>
      </c>
      <c r="H16" s="26"/>
      <c r="I16" s="38" t="str">
        <f t="shared" si="3"/>
        <v/>
      </c>
      <c r="J16" s="38" t="str">
        <f t="shared" si="4"/>
        <v/>
      </c>
      <c r="K16" s="38" t="str">
        <f t="shared" si="5"/>
        <v/>
      </c>
      <c r="L16" s="26"/>
      <c r="M16" s="38" t="str">
        <f t="shared" si="6"/>
        <v/>
      </c>
      <c r="N16" s="38" t="str">
        <f t="shared" si="7"/>
        <v/>
      </c>
      <c r="O16" s="38" t="str">
        <f t="shared" si="8"/>
        <v/>
      </c>
      <c r="P16" s="26"/>
      <c r="Q16" s="26"/>
      <c r="R16" s="26"/>
      <c r="S16" s="26"/>
      <c r="T16" s="26"/>
      <c r="U16" s="26"/>
      <c r="V16" s="26"/>
      <c r="W16" s="41" t="str">
        <f t="shared" si="9"/>
        <v/>
      </c>
      <c r="X16" s="12" t="str">
        <f>IF(A16="","",IF(W16="",INDEX(_翻訳マスタ!$B$89:$D$89,1,MATCH(言語切替!$B$3,_翻訳マスタ!$B$1:$D$1,0)),IF(W16&gt;=1,INDEX(_翻訳マスタ!$B$93:$D$93,1,MATCH(言語切替!$B$3,_翻訳マスタ!$B$1:$D$1,0)),IF(W16&gt;=0.8,INDEX(_翻訳マスタ!$B$91:$D$91,1,MATCH(言語切替!$B$3,_翻訳マスタ!$B$1:$D$1,0)),INDEX(_翻訳マスタ!$B$94:$D$94,1,MATCH(言語切替!$B$3,_翻訳マスタ!$B$1:$D$1,0))))))</f>
        <v/>
      </c>
      <c r="Y16" s="27"/>
      <c r="Z16" s="26"/>
      <c r="AA16" s="38" t="str">
        <f t="shared" si="10"/>
        <v/>
      </c>
      <c r="AB16" s="38" t="str">
        <f t="shared" si="11"/>
        <v/>
      </c>
      <c r="AC16" s="38" t="str">
        <f t="shared" si="12"/>
        <v/>
      </c>
      <c r="AD16" s="35"/>
      <c r="AE16" s="45" t="str">
        <f t="shared" si="13"/>
        <v/>
      </c>
      <c r="AF16" s="45" t="str">
        <f t="shared" si="14"/>
        <v/>
      </c>
      <c r="AG16" s="45" t="str">
        <f t="shared" si="15"/>
        <v/>
      </c>
    </row>
    <row r="17" spans="1:33" s="21" customFormat="1" ht="15" customHeight="1" x14ac:dyDescent="0.25">
      <c r="A17" s="28"/>
      <c r="B17" s="29"/>
      <c r="C17" s="29"/>
      <c r="D17" s="29"/>
      <c r="E17" s="39" t="str">
        <f t="shared" si="0"/>
        <v/>
      </c>
      <c r="F17" s="39" t="str">
        <f t="shared" si="1"/>
        <v/>
      </c>
      <c r="G17" s="39" t="str">
        <f t="shared" si="2"/>
        <v/>
      </c>
      <c r="H17" s="29"/>
      <c r="I17" s="39" t="str">
        <f t="shared" si="3"/>
        <v/>
      </c>
      <c r="J17" s="39" t="str">
        <f t="shared" si="4"/>
        <v/>
      </c>
      <c r="K17" s="39" t="str">
        <f t="shared" si="5"/>
        <v/>
      </c>
      <c r="L17" s="29"/>
      <c r="M17" s="39" t="str">
        <f t="shared" si="6"/>
        <v/>
      </c>
      <c r="N17" s="39" t="str">
        <f t="shared" si="7"/>
        <v/>
      </c>
      <c r="O17" s="39" t="str">
        <f t="shared" si="8"/>
        <v/>
      </c>
      <c r="P17" s="29"/>
      <c r="Q17" s="29"/>
      <c r="R17" s="29"/>
      <c r="S17" s="29"/>
      <c r="T17" s="29"/>
      <c r="U17" s="29"/>
      <c r="V17" s="29"/>
      <c r="W17" s="42" t="str">
        <f t="shared" si="9"/>
        <v/>
      </c>
      <c r="X17" s="15" t="str">
        <f>IF(A17="","",IF(W17="",INDEX(_翻訳マスタ!$B$89:$D$89,1,MATCH(言語切替!$B$3,_翻訳マスタ!$B$1:$D$1,0)),IF(W17&gt;=1,INDEX(_翻訳マスタ!$B$93:$D$93,1,MATCH(言語切替!$B$3,_翻訳マスタ!$B$1:$D$1,0)),IF(W17&gt;=0.8,INDEX(_翻訳マスタ!$B$91:$D$91,1,MATCH(言語切替!$B$3,_翻訳マスタ!$B$1:$D$1,0)),INDEX(_翻訳マスタ!$B$94:$D$94,1,MATCH(言語切替!$B$3,_翻訳マスタ!$B$1:$D$1,0))))))</f>
        <v/>
      </c>
      <c r="Y17" s="30"/>
      <c r="Z17" s="29"/>
      <c r="AA17" s="39" t="str">
        <f t="shared" si="10"/>
        <v/>
      </c>
      <c r="AB17" s="39" t="str">
        <f t="shared" si="11"/>
        <v/>
      </c>
      <c r="AC17" s="39" t="str">
        <f t="shared" si="12"/>
        <v/>
      </c>
      <c r="AD17" s="36"/>
      <c r="AE17" s="44" t="str">
        <f t="shared" si="13"/>
        <v/>
      </c>
      <c r="AF17" s="44" t="str">
        <f t="shared" si="14"/>
        <v/>
      </c>
      <c r="AG17" s="44" t="str">
        <f t="shared" si="15"/>
        <v/>
      </c>
    </row>
    <row r="18" spans="1:33" s="21" customFormat="1" ht="15" customHeight="1" x14ac:dyDescent="0.25">
      <c r="A18" s="25"/>
      <c r="B18" s="26"/>
      <c r="C18" s="26"/>
      <c r="D18" s="26"/>
      <c r="E18" s="38" t="str">
        <f t="shared" si="0"/>
        <v/>
      </c>
      <c r="F18" s="38" t="str">
        <f t="shared" si="1"/>
        <v/>
      </c>
      <c r="G18" s="38" t="str">
        <f t="shared" si="2"/>
        <v/>
      </c>
      <c r="H18" s="26"/>
      <c r="I18" s="38" t="str">
        <f t="shared" si="3"/>
        <v/>
      </c>
      <c r="J18" s="38" t="str">
        <f t="shared" si="4"/>
        <v/>
      </c>
      <c r="K18" s="38" t="str">
        <f t="shared" si="5"/>
        <v/>
      </c>
      <c r="L18" s="26"/>
      <c r="M18" s="38" t="str">
        <f t="shared" si="6"/>
        <v/>
      </c>
      <c r="N18" s="38" t="str">
        <f t="shared" si="7"/>
        <v/>
      </c>
      <c r="O18" s="38" t="str">
        <f t="shared" si="8"/>
        <v/>
      </c>
      <c r="P18" s="26"/>
      <c r="Q18" s="26"/>
      <c r="R18" s="26"/>
      <c r="S18" s="26"/>
      <c r="T18" s="26"/>
      <c r="U18" s="26"/>
      <c r="V18" s="26"/>
      <c r="W18" s="41" t="str">
        <f t="shared" si="9"/>
        <v/>
      </c>
      <c r="X18" s="12" t="str">
        <f>IF(A18="","",IF(W18="",INDEX(_翻訳マスタ!$B$89:$D$89,1,MATCH(言語切替!$B$3,_翻訳マスタ!$B$1:$D$1,0)),IF(W18&gt;=1,INDEX(_翻訳マスタ!$B$93:$D$93,1,MATCH(言語切替!$B$3,_翻訳マスタ!$B$1:$D$1,0)),IF(W18&gt;=0.8,INDEX(_翻訳マスタ!$B$91:$D$91,1,MATCH(言語切替!$B$3,_翻訳マスタ!$B$1:$D$1,0)),INDEX(_翻訳マスタ!$B$94:$D$94,1,MATCH(言語切替!$B$3,_翻訳マスタ!$B$1:$D$1,0))))))</f>
        <v/>
      </c>
      <c r="Y18" s="27"/>
      <c r="Z18" s="26"/>
      <c r="AA18" s="38" t="str">
        <f t="shared" si="10"/>
        <v/>
      </c>
      <c r="AB18" s="38" t="str">
        <f t="shared" si="11"/>
        <v/>
      </c>
      <c r="AC18" s="38" t="str">
        <f t="shared" si="12"/>
        <v/>
      </c>
      <c r="AD18" s="35"/>
      <c r="AE18" s="45" t="str">
        <f t="shared" si="13"/>
        <v/>
      </c>
      <c r="AF18" s="45" t="str">
        <f t="shared" si="14"/>
        <v/>
      </c>
      <c r="AG18" s="45" t="str">
        <f t="shared" si="15"/>
        <v/>
      </c>
    </row>
    <row r="19" spans="1:33" s="21" customFormat="1" ht="15" customHeight="1" x14ac:dyDescent="0.25">
      <c r="A19" s="28"/>
      <c r="B19" s="29"/>
      <c r="C19" s="29"/>
      <c r="D19" s="29"/>
      <c r="E19" s="39" t="str">
        <f t="shared" si="0"/>
        <v/>
      </c>
      <c r="F19" s="39" t="str">
        <f t="shared" si="1"/>
        <v/>
      </c>
      <c r="G19" s="39" t="str">
        <f t="shared" si="2"/>
        <v/>
      </c>
      <c r="H19" s="29"/>
      <c r="I19" s="39" t="str">
        <f t="shared" si="3"/>
        <v/>
      </c>
      <c r="J19" s="39" t="str">
        <f t="shared" si="4"/>
        <v/>
      </c>
      <c r="K19" s="39" t="str">
        <f t="shared" si="5"/>
        <v/>
      </c>
      <c r="L19" s="29"/>
      <c r="M19" s="39" t="str">
        <f t="shared" si="6"/>
        <v/>
      </c>
      <c r="N19" s="39" t="str">
        <f t="shared" si="7"/>
        <v/>
      </c>
      <c r="O19" s="39" t="str">
        <f t="shared" si="8"/>
        <v/>
      </c>
      <c r="P19" s="29"/>
      <c r="Q19" s="29"/>
      <c r="R19" s="29"/>
      <c r="S19" s="29"/>
      <c r="T19" s="29"/>
      <c r="U19" s="29"/>
      <c r="V19" s="29"/>
      <c r="W19" s="42" t="str">
        <f t="shared" si="9"/>
        <v/>
      </c>
      <c r="X19" s="15" t="str">
        <f>IF(A19="","",IF(W19="",INDEX(_翻訳マスタ!$B$89:$D$89,1,MATCH(言語切替!$B$3,_翻訳マスタ!$B$1:$D$1,0)),IF(W19&gt;=1,INDEX(_翻訳マスタ!$B$93:$D$93,1,MATCH(言語切替!$B$3,_翻訳マスタ!$B$1:$D$1,0)),IF(W19&gt;=0.8,INDEX(_翻訳マスタ!$B$91:$D$91,1,MATCH(言語切替!$B$3,_翻訳マスタ!$B$1:$D$1,0)),INDEX(_翻訳マスタ!$B$94:$D$94,1,MATCH(言語切替!$B$3,_翻訳マスタ!$B$1:$D$1,0))))))</f>
        <v/>
      </c>
      <c r="Y19" s="30"/>
      <c r="Z19" s="29"/>
      <c r="AA19" s="39" t="str">
        <f t="shared" si="10"/>
        <v/>
      </c>
      <c r="AB19" s="39" t="str">
        <f t="shared" si="11"/>
        <v/>
      </c>
      <c r="AC19" s="39" t="str">
        <f t="shared" si="12"/>
        <v/>
      </c>
      <c r="AD19" s="36"/>
      <c r="AE19" s="44" t="str">
        <f t="shared" si="13"/>
        <v/>
      </c>
      <c r="AF19" s="44" t="str">
        <f t="shared" si="14"/>
        <v/>
      </c>
      <c r="AG19" s="44" t="str">
        <f t="shared" si="15"/>
        <v/>
      </c>
    </row>
    <row r="20" spans="1:33" s="21" customFormat="1" ht="15" customHeight="1" x14ac:dyDescent="0.25">
      <c r="A20" s="25"/>
      <c r="B20" s="26"/>
      <c r="C20" s="26"/>
      <c r="D20" s="26"/>
      <c r="E20" s="38" t="str">
        <f t="shared" si="0"/>
        <v/>
      </c>
      <c r="F20" s="38" t="str">
        <f t="shared" si="1"/>
        <v/>
      </c>
      <c r="G20" s="38" t="str">
        <f t="shared" si="2"/>
        <v/>
      </c>
      <c r="H20" s="26"/>
      <c r="I20" s="38" t="str">
        <f t="shared" si="3"/>
        <v/>
      </c>
      <c r="J20" s="38" t="str">
        <f t="shared" si="4"/>
        <v/>
      </c>
      <c r="K20" s="38" t="str">
        <f t="shared" si="5"/>
        <v/>
      </c>
      <c r="L20" s="26"/>
      <c r="M20" s="38" t="str">
        <f t="shared" si="6"/>
        <v/>
      </c>
      <c r="N20" s="38" t="str">
        <f t="shared" si="7"/>
        <v/>
      </c>
      <c r="O20" s="38" t="str">
        <f t="shared" si="8"/>
        <v/>
      </c>
      <c r="P20" s="26"/>
      <c r="Q20" s="26"/>
      <c r="R20" s="26"/>
      <c r="S20" s="26"/>
      <c r="T20" s="26"/>
      <c r="U20" s="26"/>
      <c r="V20" s="26"/>
      <c r="W20" s="41" t="str">
        <f t="shared" si="9"/>
        <v/>
      </c>
      <c r="X20" s="12" t="str">
        <f>IF(A20="","",IF(W20="",INDEX(_翻訳マスタ!$B$89:$D$89,1,MATCH(言語切替!$B$3,_翻訳マスタ!$B$1:$D$1,0)),IF(W20&gt;=1,INDEX(_翻訳マスタ!$B$93:$D$93,1,MATCH(言語切替!$B$3,_翻訳マスタ!$B$1:$D$1,0)),IF(W20&gt;=0.8,INDEX(_翻訳マスタ!$B$91:$D$91,1,MATCH(言語切替!$B$3,_翻訳マスタ!$B$1:$D$1,0)),INDEX(_翻訳マスタ!$B$94:$D$94,1,MATCH(言語切替!$B$3,_翻訳マスタ!$B$1:$D$1,0))))))</f>
        <v/>
      </c>
      <c r="Y20" s="27"/>
      <c r="Z20" s="26"/>
      <c r="AA20" s="38" t="str">
        <f t="shared" si="10"/>
        <v/>
      </c>
      <c r="AB20" s="38" t="str">
        <f t="shared" si="11"/>
        <v/>
      </c>
      <c r="AC20" s="38" t="str">
        <f t="shared" si="12"/>
        <v/>
      </c>
      <c r="AD20" s="35"/>
      <c r="AE20" s="45" t="str">
        <f t="shared" si="13"/>
        <v/>
      </c>
      <c r="AF20" s="45" t="str">
        <f t="shared" si="14"/>
        <v/>
      </c>
      <c r="AG20" s="45" t="str">
        <f t="shared" si="15"/>
        <v/>
      </c>
    </row>
    <row r="21" spans="1:33" s="21" customFormat="1" ht="15" customHeight="1" x14ac:dyDescent="0.25">
      <c r="A21" s="28"/>
      <c r="B21" s="29"/>
      <c r="C21" s="29"/>
      <c r="D21" s="29"/>
      <c r="E21" s="39" t="str">
        <f t="shared" si="0"/>
        <v/>
      </c>
      <c r="F21" s="39" t="str">
        <f t="shared" si="1"/>
        <v/>
      </c>
      <c r="G21" s="39" t="str">
        <f t="shared" si="2"/>
        <v/>
      </c>
      <c r="H21" s="29"/>
      <c r="I21" s="39" t="str">
        <f t="shared" si="3"/>
        <v/>
      </c>
      <c r="J21" s="39" t="str">
        <f t="shared" si="4"/>
        <v/>
      </c>
      <c r="K21" s="39" t="str">
        <f t="shared" si="5"/>
        <v/>
      </c>
      <c r="L21" s="29"/>
      <c r="M21" s="39" t="str">
        <f t="shared" si="6"/>
        <v/>
      </c>
      <c r="N21" s="39" t="str">
        <f t="shared" si="7"/>
        <v/>
      </c>
      <c r="O21" s="39" t="str">
        <f t="shared" si="8"/>
        <v/>
      </c>
      <c r="P21" s="29"/>
      <c r="Q21" s="29"/>
      <c r="R21" s="29"/>
      <c r="S21" s="29"/>
      <c r="T21" s="29"/>
      <c r="U21" s="29"/>
      <c r="V21" s="29"/>
      <c r="W21" s="42" t="str">
        <f t="shared" si="9"/>
        <v/>
      </c>
      <c r="X21" s="15" t="str">
        <f>IF(A21="","",IF(W21="",INDEX(_翻訳マスタ!$B$89:$D$89,1,MATCH(言語切替!$B$3,_翻訳マスタ!$B$1:$D$1,0)),IF(W21&gt;=1,INDEX(_翻訳マスタ!$B$93:$D$93,1,MATCH(言語切替!$B$3,_翻訳マスタ!$B$1:$D$1,0)),IF(W21&gt;=0.8,INDEX(_翻訳マスタ!$B$91:$D$91,1,MATCH(言語切替!$B$3,_翻訳マスタ!$B$1:$D$1,0)),INDEX(_翻訳マスタ!$B$94:$D$94,1,MATCH(言語切替!$B$3,_翻訳マスタ!$B$1:$D$1,0))))))</f>
        <v/>
      </c>
      <c r="Y21" s="30"/>
      <c r="Z21" s="29"/>
      <c r="AA21" s="39" t="str">
        <f t="shared" si="10"/>
        <v/>
      </c>
      <c r="AB21" s="39" t="str">
        <f t="shared" si="11"/>
        <v/>
      </c>
      <c r="AC21" s="39" t="str">
        <f t="shared" si="12"/>
        <v/>
      </c>
      <c r="AD21" s="36"/>
      <c r="AE21" s="44" t="str">
        <f t="shared" si="13"/>
        <v/>
      </c>
      <c r="AF21" s="44" t="str">
        <f t="shared" si="14"/>
        <v/>
      </c>
      <c r="AG21" s="44" t="str">
        <f t="shared" si="15"/>
        <v/>
      </c>
    </row>
    <row r="22" spans="1:33" s="21" customFormat="1" ht="15" customHeight="1" x14ac:dyDescent="0.25">
      <c r="A22" s="25"/>
      <c r="B22" s="26"/>
      <c r="C22" s="26"/>
      <c r="D22" s="26"/>
      <c r="E22" s="38" t="str">
        <f t="shared" si="0"/>
        <v/>
      </c>
      <c r="F22" s="38" t="str">
        <f t="shared" si="1"/>
        <v/>
      </c>
      <c r="G22" s="38" t="str">
        <f t="shared" si="2"/>
        <v/>
      </c>
      <c r="H22" s="26"/>
      <c r="I22" s="38" t="str">
        <f t="shared" si="3"/>
        <v/>
      </c>
      <c r="J22" s="38" t="str">
        <f t="shared" si="4"/>
        <v/>
      </c>
      <c r="K22" s="38" t="str">
        <f t="shared" si="5"/>
        <v/>
      </c>
      <c r="L22" s="26"/>
      <c r="M22" s="38" t="str">
        <f t="shared" si="6"/>
        <v/>
      </c>
      <c r="N22" s="38" t="str">
        <f t="shared" si="7"/>
        <v/>
      </c>
      <c r="O22" s="38" t="str">
        <f t="shared" si="8"/>
        <v/>
      </c>
      <c r="P22" s="26"/>
      <c r="Q22" s="26"/>
      <c r="R22" s="26"/>
      <c r="S22" s="26"/>
      <c r="T22" s="26"/>
      <c r="U22" s="26"/>
      <c r="V22" s="26"/>
      <c r="W22" s="41" t="str">
        <f t="shared" si="9"/>
        <v/>
      </c>
      <c r="X22" s="12" t="str">
        <f>IF(A22="","",IF(W22="",INDEX(_翻訳マスタ!$B$89:$D$89,1,MATCH(言語切替!$B$3,_翻訳マスタ!$B$1:$D$1,0)),IF(W22&gt;=1,INDEX(_翻訳マスタ!$B$93:$D$93,1,MATCH(言語切替!$B$3,_翻訳マスタ!$B$1:$D$1,0)),IF(W22&gt;=0.8,INDEX(_翻訳マスタ!$B$91:$D$91,1,MATCH(言語切替!$B$3,_翻訳マスタ!$B$1:$D$1,0)),INDEX(_翻訳マスタ!$B$94:$D$94,1,MATCH(言語切替!$B$3,_翻訳マスタ!$B$1:$D$1,0))))))</f>
        <v/>
      </c>
      <c r="Y22" s="27"/>
      <c r="Z22" s="26"/>
      <c r="AA22" s="38" t="str">
        <f t="shared" si="10"/>
        <v/>
      </c>
      <c r="AB22" s="38" t="str">
        <f t="shared" si="11"/>
        <v/>
      </c>
      <c r="AC22" s="38" t="str">
        <f t="shared" si="12"/>
        <v/>
      </c>
      <c r="AD22" s="35"/>
      <c r="AE22" s="45" t="str">
        <f t="shared" si="13"/>
        <v/>
      </c>
      <c r="AF22" s="45" t="str">
        <f t="shared" si="14"/>
        <v/>
      </c>
      <c r="AG22" s="45" t="str">
        <f t="shared" si="15"/>
        <v/>
      </c>
    </row>
    <row r="23" spans="1:33" s="21" customFormat="1" ht="15" customHeight="1" x14ac:dyDescent="0.25">
      <c r="A23" s="28"/>
      <c r="B23" s="29"/>
      <c r="C23" s="29"/>
      <c r="D23" s="29"/>
      <c r="E23" s="39" t="str">
        <f t="shared" si="0"/>
        <v/>
      </c>
      <c r="F23" s="39" t="str">
        <f t="shared" si="1"/>
        <v/>
      </c>
      <c r="G23" s="39" t="str">
        <f t="shared" si="2"/>
        <v/>
      </c>
      <c r="H23" s="29"/>
      <c r="I23" s="39" t="str">
        <f t="shared" si="3"/>
        <v/>
      </c>
      <c r="J23" s="39" t="str">
        <f t="shared" si="4"/>
        <v/>
      </c>
      <c r="K23" s="39" t="str">
        <f t="shared" si="5"/>
        <v/>
      </c>
      <c r="L23" s="29"/>
      <c r="M23" s="39" t="str">
        <f t="shared" si="6"/>
        <v/>
      </c>
      <c r="N23" s="39" t="str">
        <f t="shared" si="7"/>
        <v/>
      </c>
      <c r="O23" s="39" t="str">
        <f t="shared" si="8"/>
        <v/>
      </c>
      <c r="P23" s="29"/>
      <c r="Q23" s="29"/>
      <c r="R23" s="29"/>
      <c r="S23" s="29"/>
      <c r="T23" s="29"/>
      <c r="U23" s="29"/>
      <c r="V23" s="29"/>
      <c r="W23" s="42" t="str">
        <f t="shared" si="9"/>
        <v/>
      </c>
      <c r="X23" s="15" t="str">
        <f>IF(A23="","",IF(W23="",INDEX(_翻訳マスタ!$B$89:$D$89,1,MATCH(言語切替!$B$3,_翻訳マスタ!$B$1:$D$1,0)),IF(W23&gt;=1,INDEX(_翻訳マスタ!$B$93:$D$93,1,MATCH(言語切替!$B$3,_翻訳マスタ!$B$1:$D$1,0)),IF(W23&gt;=0.8,INDEX(_翻訳マスタ!$B$91:$D$91,1,MATCH(言語切替!$B$3,_翻訳マスタ!$B$1:$D$1,0)),INDEX(_翻訳マスタ!$B$94:$D$94,1,MATCH(言語切替!$B$3,_翻訳マスタ!$B$1:$D$1,0))))))</f>
        <v/>
      </c>
      <c r="Y23" s="30"/>
      <c r="Z23" s="29"/>
      <c r="AA23" s="39" t="str">
        <f t="shared" si="10"/>
        <v/>
      </c>
      <c r="AB23" s="39" t="str">
        <f t="shared" si="11"/>
        <v/>
      </c>
      <c r="AC23" s="39" t="str">
        <f t="shared" si="12"/>
        <v/>
      </c>
      <c r="AD23" s="36"/>
      <c r="AE23" s="44" t="str">
        <f t="shared" si="13"/>
        <v/>
      </c>
      <c r="AF23" s="44" t="str">
        <f t="shared" si="14"/>
        <v/>
      </c>
      <c r="AG23" s="44" t="str">
        <f t="shared" si="15"/>
        <v/>
      </c>
    </row>
    <row r="24" spans="1:33" s="21" customFormat="1" ht="15" customHeight="1" x14ac:dyDescent="0.25">
      <c r="A24" s="25"/>
      <c r="B24" s="26"/>
      <c r="C24" s="26"/>
      <c r="D24" s="26"/>
      <c r="E24" s="38" t="str">
        <f t="shared" si="0"/>
        <v/>
      </c>
      <c r="F24" s="38" t="str">
        <f t="shared" si="1"/>
        <v/>
      </c>
      <c r="G24" s="38" t="str">
        <f t="shared" si="2"/>
        <v/>
      </c>
      <c r="H24" s="26"/>
      <c r="I24" s="38" t="str">
        <f t="shared" si="3"/>
        <v/>
      </c>
      <c r="J24" s="38" t="str">
        <f t="shared" si="4"/>
        <v/>
      </c>
      <c r="K24" s="38" t="str">
        <f t="shared" si="5"/>
        <v/>
      </c>
      <c r="L24" s="26"/>
      <c r="M24" s="38" t="str">
        <f t="shared" si="6"/>
        <v/>
      </c>
      <c r="N24" s="38" t="str">
        <f t="shared" si="7"/>
        <v/>
      </c>
      <c r="O24" s="38" t="str">
        <f t="shared" si="8"/>
        <v/>
      </c>
      <c r="P24" s="26"/>
      <c r="Q24" s="26"/>
      <c r="R24" s="26"/>
      <c r="S24" s="26"/>
      <c r="T24" s="26"/>
      <c r="U24" s="26"/>
      <c r="V24" s="26"/>
      <c r="W24" s="41" t="str">
        <f t="shared" si="9"/>
        <v/>
      </c>
      <c r="X24" s="12" t="str">
        <f>IF(A24="","",IF(W24="",INDEX(_翻訳マスタ!$B$89:$D$89,1,MATCH(言語切替!$B$3,_翻訳マスタ!$B$1:$D$1,0)),IF(W24&gt;=1,INDEX(_翻訳マスタ!$B$93:$D$93,1,MATCH(言語切替!$B$3,_翻訳マスタ!$B$1:$D$1,0)),IF(W24&gt;=0.8,INDEX(_翻訳マスタ!$B$91:$D$91,1,MATCH(言語切替!$B$3,_翻訳マスタ!$B$1:$D$1,0)),INDEX(_翻訳マスタ!$B$94:$D$94,1,MATCH(言語切替!$B$3,_翻訳マスタ!$B$1:$D$1,0))))))</f>
        <v/>
      </c>
      <c r="Y24" s="27"/>
      <c r="Z24" s="26"/>
      <c r="AA24" s="38" t="str">
        <f t="shared" si="10"/>
        <v/>
      </c>
      <c r="AB24" s="38" t="str">
        <f t="shared" si="11"/>
        <v/>
      </c>
      <c r="AC24" s="38" t="str">
        <f t="shared" si="12"/>
        <v/>
      </c>
      <c r="AD24" s="35"/>
      <c r="AE24" s="45" t="str">
        <f t="shared" si="13"/>
        <v/>
      </c>
      <c r="AF24" s="45" t="str">
        <f t="shared" si="14"/>
        <v/>
      </c>
      <c r="AG24" s="45" t="str">
        <f t="shared" si="15"/>
        <v/>
      </c>
    </row>
    <row r="25" spans="1:33" s="21" customFormat="1" ht="15" customHeight="1" x14ac:dyDescent="0.25">
      <c r="A25" s="28"/>
      <c r="B25" s="29"/>
      <c r="C25" s="29"/>
      <c r="D25" s="29"/>
      <c r="E25" s="39" t="str">
        <f t="shared" si="0"/>
        <v/>
      </c>
      <c r="F25" s="39" t="str">
        <f t="shared" si="1"/>
        <v/>
      </c>
      <c r="G25" s="39" t="str">
        <f t="shared" si="2"/>
        <v/>
      </c>
      <c r="H25" s="29"/>
      <c r="I25" s="39" t="str">
        <f t="shared" si="3"/>
        <v/>
      </c>
      <c r="J25" s="39" t="str">
        <f t="shared" si="4"/>
        <v/>
      </c>
      <c r="K25" s="39" t="str">
        <f t="shared" si="5"/>
        <v/>
      </c>
      <c r="L25" s="29"/>
      <c r="M25" s="39" t="str">
        <f t="shared" si="6"/>
        <v/>
      </c>
      <c r="N25" s="39" t="str">
        <f t="shared" si="7"/>
        <v/>
      </c>
      <c r="O25" s="39" t="str">
        <f t="shared" si="8"/>
        <v/>
      </c>
      <c r="P25" s="29"/>
      <c r="Q25" s="29"/>
      <c r="R25" s="29"/>
      <c r="S25" s="29"/>
      <c r="T25" s="29"/>
      <c r="U25" s="29"/>
      <c r="V25" s="29"/>
      <c r="W25" s="42" t="str">
        <f t="shared" si="9"/>
        <v/>
      </c>
      <c r="X25" s="15" t="str">
        <f>IF(A25="","",IF(W25="",INDEX(_翻訳マスタ!$B$89:$D$89,1,MATCH(言語切替!$B$3,_翻訳マスタ!$B$1:$D$1,0)),IF(W25&gt;=1,INDEX(_翻訳マスタ!$B$93:$D$93,1,MATCH(言語切替!$B$3,_翻訳マスタ!$B$1:$D$1,0)),IF(W25&gt;=0.8,INDEX(_翻訳マスタ!$B$91:$D$91,1,MATCH(言語切替!$B$3,_翻訳マスタ!$B$1:$D$1,0)),INDEX(_翻訳マスタ!$B$94:$D$94,1,MATCH(言語切替!$B$3,_翻訳マスタ!$B$1:$D$1,0))))))</f>
        <v/>
      </c>
      <c r="Y25" s="30"/>
      <c r="Z25" s="29"/>
      <c r="AA25" s="39" t="str">
        <f t="shared" si="10"/>
        <v/>
      </c>
      <c r="AB25" s="39" t="str">
        <f t="shared" si="11"/>
        <v/>
      </c>
      <c r="AC25" s="39" t="str">
        <f t="shared" si="12"/>
        <v/>
      </c>
      <c r="AD25" s="36"/>
      <c r="AE25" s="44" t="str">
        <f t="shared" si="13"/>
        <v/>
      </c>
      <c r="AF25" s="44" t="str">
        <f t="shared" si="14"/>
        <v/>
      </c>
      <c r="AG25" s="44" t="str">
        <f t="shared" si="15"/>
        <v/>
      </c>
    </row>
    <row r="26" spans="1:33" s="21" customFormat="1" ht="15" customHeight="1" x14ac:dyDescent="0.25">
      <c r="A26" s="25"/>
      <c r="B26" s="26"/>
      <c r="C26" s="26"/>
      <c r="D26" s="26"/>
      <c r="E26" s="38" t="str">
        <f t="shared" si="0"/>
        <v/>
      </c>
      <c r="F26" s="38" t="str">
        <f t="shared" si="1"/>
        <v/>
      </c>
      <c r="G26" s="38" t="str">
        <f t="shared" si="2"/>
        <v/>
      </c>
      <c r="H26" s="26"/>
      <c r="I26" s="38" t="str">
        <f t="shared" si="3"/>
        <v/>
      </c>
      <c r="J26" s="38" t="str">
        <f t="shared" si="4"/>
        <v/>
      </c>
      <c r="K26" s="38" t="str">
        <f t="shared" si="5"/>
        <v/>
      </c>
      <c r="L26" s="26"/>
      <c r="M26" s="38" t="str">
        <f t="shared" si="6"/>
        <v/>
      </c>
      <c r="N26" s="38" t="str">
        <f t="shared" si="7"/>
        <v/>
      </c>
      <c r="O26" s="38" t="str">
        <f t="shared" si="8"/>
        <v/>
      </c>
      <c r="P26" s="26"/>
      <c r="Q26" s="26"/>
      <c r="R26" s="26"/>
      <c r="S26" s="26"/>
      <c r="T26" s="26"/>
      <c r="U26" s="26"/>
      <c r="V26" s="26"/>
      <c r="W26" s="41" t="str">
        <f t="shared" si="9"/>
        <v/>
      </c>
      <c r="X26" s="12" t="str">
        <f>IF(A26="","",IF(W26="",INDEX(_翻訳マスタ!$B$89:$D$89,1,MATCH(言語切替!$B$3,_翻訳マスタ!$B$1:$D$1,0)),IF(W26&gt;=1,INDEX(_翻訳マスタ!$B$93:$D$93,1,MATCH(言語切替!$B$3,_翻訳マスタ!$B$1:$D$1,0)),IF(W26&gt;=0.8,INDEX(_翻訳マスタ!$B$91:$D$91,1,MATCH(言語切替!$B$3,_翻訳マスタ!$B$1:$D$1,0)),INDEX(_翻訳マスタ!$B$94:$D$94,1,MATCH(言語切替!$B$3,_翻訳マスタ!$B$1:$D$1,0))))))</f>
        <v/>
      </c>
      <c r="Y26" s="27"/>
      <c r="Z26" s="26"/>
      <c r="AA26" s="38" t="str">
        <f t="shared" si="10"/>
        <v/>
      </c>
      <c r="AB26" s="38" t="str">
        <f t="shared" si="11"/>
        <v/>
      </c>
      <c r="AC26" s="38" t="str">
        <f t="shared" si="12"/>
        <v/>
      </c>
      <c r="AD26" s="35"/>
      <c r="AE26" s="45" t="str">
        <f t="shared" si="13"/>
        <v/>
      </c>
      <c r="AF26" s="45" t="str">
        <f t="shared" si="14"/>
        <v/>
      </c>
      <c r="AG26" s="45" t="str">
        <f t="shared" si="15"/>
        <v/>
      </c>
    </row>
    <row r="27" spans="1:33" s="21" customFormat="1" ht="15" customHeight="1" x14ac:dyDescent="0.25">
      <c r="A27" s="28"/>
      <c r="B27" s="29"/>
      <c r="C27" s="29"/>
      <c r="D27" s="29"/>
      <c r="E27" s="39" t="str">
        <f t="shared" si="0"/>
        <v/>
      </c>
      <c r="F27" s="39" t="str">
        <f t="shared" si="1"/>
        <v/>
      </c>
      <c r="G27" s="39" t="str">
        <f t="shared" si="2"/>
        <v/>
      </c>
      <c r="H27" s="29"/>
      <c r="I27" s="39" t="str">
        <f t="shared" si="3"/>
        <v/>
      </c>
      <c r="J27" s="39" t="str">
        <f t="shared" si="4"/>
        <v/>
      </c>
      <c r="K27" s="39" t="str">
        <f t="shared" si="5"/>
        <v/>
      </c>
      <c r="L27" s="29"/>
      <c r="M27" s="39" t="str">
        <f t="shared" si="6"/>
        <v/>
      </c>
      <c r="N27" s="39" t="str">
        <f t="shared" si="7"/>
        <v/>
      </c>
      <c r="O27" s="39" t="str">
        <f t="shared" si="8"/>
        <v/>
      </c>
      <c r="P27" s="29"/>
      <c r="Q27" s="29"/>
      <c r="R27" s="29"/>
      <c r="S27" s="29"/>
      <c r="T27" s="29"/>
      <c r="U27" s="29"/>
      <c r="V27" s="29"/>
      <c r="W27" s="42" t="str">
        <f t="shared" si="9"/>
        <v/>
      </c>
      <c r="X27" s="15" t="str">
        <f>IF(A27="","",IF(W27="",INDEX(_翻訳マスタ!$B$89:$D$89,1,MATCH(言語切替!$B$3,_翻訳マスタ!$B$1:$D$1,0)),IF(W27&gt;=1,INDEX(_翻訳マスタ!$B$93:$D$93,1,MATCH(言語切替!$B$3,_翻訳マスタ!$B$1:$D$1,0)),IF(W27&gt;=0.8,INDEX(_翻訳マスタ!$B$91:$D$91,1,MATCH(言語切替!$B$3,_翻訳マスタ!$B$1:$D$1,0)),INDEX(_翻訳マスタ!$B$94:$D$94,1,MATCH(言語切替!$B$3,_翻訳マスタ!$B$1:$D$1,0))))))</f>
        <v/>
      </c>
      <c r="Y27" s="30"/>
      <c r="Z27" s="29"/>
      <c r="AA27" s="39" t="str">
        <f t="shared" si="10"/>
        <v/>
      </c>
      <c r="AB27" s="39" t="str">
        <f t="shared" si="11"/>
        <v/>
      </c>
      <c r="AC27" s="39" t="str">
        <f t="shared" si="12"/>
        <v/>
      </c>
      <c r="AD27" s="36"/>
      <c r="AE27" s="44" t="str">
        <f t="shared" si="13"/>
        <v/>
      </c>
      <c r="AF27" s="44" t="str">
        <f t="shared" si="14"/>
        <v/>
      </c>
      <c r="AG27" s="44" t="str">
        <f t="shared" si="15"/>
        <v/>
      </c>
    </row>
    <row r="28" spans="1:33" s="21" customFormat="1" ht="15" customHeight="1" x14ac:dyDescent="0.25">
      <c r="A28" s="25"/>
      <c r="B28" s="26"/>
      <c r="C28" s="26"/>
      <c r="D28" s="26"/>
      <c r="E28" s="38" t="str">
        <f t="shared" si="0"/>
        <v/>
      </c>
      <c r="F28" s="38" t="str">
        <f t="shared" si="1"/>
        <v/>
      </c>
      <c r="G28" s="38" t="str">
        <f t="shared" si="2"/>
        <v/>
      </c>
      <c r="H28" s="26"/>
      <c r="I28" s="38" t="str">
        <f t="shared" si="3"/>
        <v/>
      </c>
      <c r="J28" s="38" t="str">
        <f t="shared" si="4"/>
        <v/>
      </c>
      <c r="K28" s="38" t="str">
        <f t="shared" si="5"/>
        <v/>
      </c>
      <c r="L28" s="26"/>
      <c r="M28" s="38" t="str">
        <f t="shared" si="6"/>
        <v/>
      </c>
      <c r="N28" s="38" t="str">
        <f t="shared" si="7"/>
        <v/>
      </c>
      <c r="O28" s="38" t="str">
        <f t="shared" si="8"/>
        <v/>
      </c>
      <c r="P28" s="26"/>
      <c r="Q28" s="26"/>
      <c r="R28" s="26"/>
      <c r="S28" s="26"/>
      <c r="T28" s="26"/>
      <c r="U28" s="26"/>
      <c r="V28" s="26"/>
      <c r="W28" s="41" t="str">
        <f t="shared" si="9"/>
        <v/>
      </c>
      <c r="X28" s="12" t="str">
        <f>IF(A28="","",IF(W28="",INDEX(_翻訳マスタ!$B$89:$D$89,1,MATCH(言語切替!$B$3,_翻訳マスタ!$B$1:$D$1,0)),IF(W28&gt;=1,INDEX(_翻訳マスタ!$B$93:$D$93,1,MATCH(言語切替!$B$3,_翻訳マスタ!$B$1:$D$1,0)),IF(W28&gt;=0.8,INDEX(_翻訳マスタ!$B$91:$D$91,1,MATCH(言語切替!$B$3,_翻訳マスタ!$B$1:$D$1,0)),INDEX(_翻訳マスタ!$B$94:$D$94,1,MATCH(言語切替!$B$3,_翻訳マスタ!$B$1:$D$1,0))))))</f>
        <v/>
      </c>
      <c r="Y28" s="27"/>
      <c r="Z28" s="26"/>
      <c r="AA28" s="38" t="str">
        <f t="shared" si="10"/>
        <v/>
      </c>
      <c r="AB28" s="38" t="str">
        <f t="shared" si="11"/>
        <v/>
      </c>
      <c r="AC28" s="38" t="str">
        <f t="shared" si="12"/>
        <v/>
      </c>
      <c r="AD28" s="35"/>
      <c r="AE28" s="45" t="str">
        <f t="shared" si="13"/>
        <v/>
      </c>
      <c r="AF28" s="45" t="str">
        <f t="shared" si="14"/>
        <v/>
      </c>
      <c r="AG28" s="45" t="str">
        <f t="shared" si="15"/>
        <v/>
      </c>
    </row>
    <row r="29" spans="1:33" s="21" customFormat="1" ht="15" customHeight="1" x14ac:dyDescent="0.25">
      <c r="A29" s="28"/>
      <c r="B29" s="29"/>
      <c r="C29" s="29"/>
      <c r="D29" s="29"/>
      <c r="E29" s="39" t="str">
        <f t="shared" si="0"/>
        <v/>
      </c>
      <c r="F29" s="39" t="str">
        <f t="shared" si="1"/>
        <v/>
      </c>
      <c r="G29" s="39" t="str">
        <f t="shared" si="2"/>
        <v/>
      </c>
      <c r="H29" s="29"/>
      <c r="I29" s="39" t="str">
        <f t="shared" si="3"/>
        <v/>
      </c>
      <c r="J29" s="39" t="str">
        <f t="shared" si="4"/>
        <v/>
      </c>
      <c r="K29" s="39" t="str">
        <f t="shared" si="5"/>
        <v/>
      </c>
      <c r="L29" s="29"/>
      <c r="M29" s="39" t="str">
        <f t="shared" si="6"/>
        <v/>
      </c>
      <c r="N29" s="39" t="str">
        <f t="shared" si="7"/>
        <v/>
      </c>
      <c r="O29" s="39" t="str">
        <f t="shared" si="8"/>
        <v/>
      </c>
      <c r="P29" s="29"/>
      <c r="Q29" s="29"/>
      <c r="R29" s="29"/>
      <c r="S29" s="29"/>
      <c r="T29" s="29"/>
      <c r="U29" s="29"/>
      <c r="V29" s="29"/>
      <c r="W29" s="42" t="str">
        <f t="shared" si="9"/>
        <v/>
      </c>
      <c r="X29" s="15" t="str">
        <f>IF(A29="","",IF(W29="",INDEX(_翻訳マスタ!$B$89:$D$89,1,MATCH(言語切替!$B$3,_翻訳マスタ!$B$1:$D$1,0)),IF(W29&gt;=1,INDEX(_翻訳マスタ!$B$93:$D$93,1,MATCH(言語切替!$B$3,_翻訳マスタ!$B$1:$D$1,0)),IF(W29&gt;=0.8,INDEX(_翻訳マスタ!$B$91:$D$91,1,MATCH(言語切替!$B$3,_翻訳マスタ!$B$1:$D$1,0)),INDEX(_翻訳マスタ!$B$94:$D$94,1,MATCH(言語切替!$B$3,_翻訳マスタ!$B$1:$D$1,0))))))</f>
        <v/>
      </c>
      <c r="Y29" s="30"/>
      <c r="Z29" s="29"/>
      <c r="AA29" s="39" t="str">
        <f t="shared" si="10"/>
        <v/>
      </c>
      <c r="AB29" s="39" t="str">
        <f t="shared" si="11"/>
        <v/>
      </c>
      <c r="AC29" s="39" t="str">
        <f t="shared" si="12"/>
        <v/>
      </c>
      <c r="AD29" s="36"/>
      <c r="AE29" s="44" t="str">
        <f t="shared" si="13"/>
        <v/>
      </c>
      <c r="AF29" s="44" t="str">
        <f t="shared" si="14"/>
        <v/>
      </c>
      <c r="AG29" s="44" t="str">
        <f t="shared" si="15"/>
        <v/>
      </c>
    </row>
    <row r="30" spans="1:33" s="21" customFormat="1" x14ac:dyDescent="0.25">
      <c r="A30" s="25"/>
      <c r="B30" s="26"/>
      <c r="C30" s="26"/>
      <c r="D30" s="26"/>
      <c r="E30" s="38" t="str">
        <f t="shared" si="0"/>
        <v/>
      </c>
      <c r="F30" s="38" t="str">
        <f t="shared" si="1"/>
        <v/>
      </c>
      <c r="G30" s="38" t="str">
        <f t="shared" si="2"/>
        <v/>
      </c>
      <c r="H30" s="26"/>
      <c r="I30" s="38" t="str">
        <f t="shared" si="3"/>
        <v/>
      </c>
      <c r="J30" s="38" t="str">
        <f t="shared" si="4"/>
        <v/>
      </c>
      <c r="K30" s="38" t="str">
        <f t="shared" si="5"/>
        <v/>
      </c>
      <c r="L30" s="26"/>
      <c r="M30" s="38" t="str">
        <f t="shared" si="6"/>
        <v/>
      </c>
      <c r="N30" s="38" t="str">
        <f t="shared" si="7"/>
        <v/>
      </c>
      <c r="O30" s="38" t="str">
        <f t="shared" si="8"/>
        <v/>
      </c>
      <c r="P30" s="26"/>
      <c r="Q30" s="26"/>
      <c r="R30" s="26"/>
      <c r="S30" s="26"/>
      <c r="T30" s="26"/>
      <c r="U30" s="26"/>
      <c r="V30" s="26"/>
      <c r="W30" s="41" t="str">
        <f t="shared" si="9"/>
        <v/>
      </c>
      <c r="X30" s="12" t="str">
        <f>IF(A30="","",IF(W30="",INDEX(_翻訳マスタ!$B$89:$D$89,1,MATCH(言語切替!$B$3,_翻訳マスタ!$B$1:$D$1,0)),IF(W30&gt;=1,INDEX(_翻訳マスタ!$B$93:$D$93,1,MATCH(言語切替!$B$3,_翻訳マスタ!$B$1:$D$1,0)),IF(W30&gt;=0.8,INDEX(_翻訳マスタ!$B$91:$D$91,1,MATCH(言語切替!$B$3,_翻訳マスタ!$B$1:$D$1,0)),INDEX(_翻訳マスタ!$B$94:$D$94,1,MATCH(言語切替!$B$3,_翻訳マスタ!$B$1:$D$1,0))))))</f>
        <v/>
      </c>
      <c r="Y30" s="27"/>
      <c r="Z30" s="26"/>
      <c r="AA30" s="38" t="str">
        <f t="shared" si="10"/>
        <v/>
      </c>
      <c r="AB30" s="38" t="str">
        <f t="shared" si="11"/>
        <v/>
      </c>
      <c r="AC30" s="38" t="str">
        <f t="shared" si="12"/>
        <v/>
      </c>
      <c r="AD30" s="35"/>
      <c r="AE30" s="45" t="str">
        <f t="shared" si="13"/>
        <v/>
      </c>
      <c r="AF30" s="45" t="str">
        <f t="shared" si="14"/>
        <v/>
      </c>
      <c r="AG30" s="45" t="str">
        <f t="shared" si="15"/>
        <v/>
      </c>
    </row>
    <row r="31" spans="1:33" s="21" customFormat="1" x14ac:dyDescent="0.25">
      <c r="A31" s="28"/>
      <c r="B31" s="29"/>
      <c r="C31" s="29"/>
      <c r="D31" s="29"/>
      <c r="E31" s="39"/>
      <c r="F31" s="39" t="str">
        <f t="shared" ref="F31:F40" si="16">IF(D31="","",_xlfn.TRANSLATE(D31,"vi","ja"))</f>
        <v/>
      </c>
      <c r="G31" s="39" t="str">
        <f t="shared" ref="G31:G40" si="17">IF(D31="","",_xlfn.TRANSLATE(D31,"vi","zh-Hans"))</f>
        <v/>
      </c>
      <c r="H31" s="29"/>
      <c r="I31" s="39"/>
      <c r="J31" s="39" t="str">
        <f t="shared" ref="J31:J40" si="18">IF(H31="","",_xlfn.TRANSLATE(H31,"vi","ja"))</f>
        <v/>
      </c>
      <c r="K31" s="39" t="str">
        <f t="shared" ref="K31:K40" si="19">IF(H31="","",_xlfn.TRANSLATE(H31,"vi","zh-Hans"))</f>
        <v/>
      </c>
      <c r="L31" s="29"/>
      <c r="M31" s="39"/>
      <c r="N31" s="39" t="str">
        <f t="shared" ref="N31:N40" si="20">IF(L31="","",_xlfn.TRANSLATE(L31,"vi","ja"))</f>
        <v/>
      </c>
      <c r="O31" s="39" t="str">
        <f t="shared" ref="O31:O40" si="21">IF(L31="","",_xlfn.TRANSLATE(L31,"vi","zh-Hans"))</f>
        <v/>
      </c>
      <c r="P31" s="29"/>
      <c r="Q31" s="29"/>
      <c r="R31" s="29"/>
      <c r="S31" s="29"/>
      <c r="T31" s="29"/>
      <c r="U31" s="29"/>
      <c r="V31" s="29"/>
      <c r="W31" s="42" t="str">
        <f t="shared" si="9"/>
        <v/>
      </c>
      <c r="X31" s="15" t="str">
        <f>IF(A31="","",IF(W31="",INDEX(_翻訳マスタ!$B$89:$D$89,1,MATCH(言語切替!$B$3,_翻訳マスタ!$B$1:$D$1,0)),IF(W31&gt;=1,INDEX(_翻訳マスタ!$B$93:$D$93,1,MATCH(言語切替!$B$3,_翻訳マスタ!$B$1:$D$1,0)),IF(W31&gt;=0.8,INDEX(_翻訳マスタ!$B$91:$D$91,1,MATCH(言語切替!$B$3,_翻訳マスタ!$B$1:$D$1,0)),INDEX(_翻訳マスタ!$B$94:$D$94,1,MATCH(言語切替!$B$3,_翻訳マスタ!$B$1:$D$1,0))))))</f>
        <v/>
      </c>
      <c r="Y31" s="30"/>
      <c r="Z31" s="29"/>
      <c r="AA31" s="39"/>
      <c r="AB31" s="39" t="str">
        <f t="shared" ref="AB31:AB40" si="22">IF(Z31="","",_xlfn.TRANSLATE(Z31,"vi","ja"))</f>
        <v/>
      </c>
      <c r="AC31" s="39" t="str">
        <f t="shared" ref="AC31:AC40" si="23">IF(Z31="","",_xlfn.TRANSLATE(Z31,"vi","zh-Hans"))</f>
        <v/>
      </c>
      <c r="AD31" s="36"/>
      <c r="AE31" s="44"/>
      <c r="AF31" s="44" t="str">
        <f t="shared" ref="AF31:AF40" si="24">IF(AD31="","",_xlfn.TRANSLATE(AD31,"vi","ja"))</f>
        <v/>
      </c>
      <c r="AG31" s="44" t="str">
        <f t="shared" ref="AG31:AG40" si="25">IF(AD31="","",_xlfn.TRANSLATE(AD31,"vi","zh-Hans"))</f>
        <v/>
      </c>
    </row>
    <row r="32" spans="1:33" s="21" customFormat="1" x14ac:dyDescent="0.25">
      <c r="A32" s="25"/>
      <c r="B32" s="26"/>
      <c r="C32" s="26"/>
      <c r="D32" s="26"/>
      <c r="E32" s="38"/>
      <c r="F32" s="38" t="str">
        <f t="shared" si="16"/>
        <v/>
      </c>
      <c r="G32" s="38" t="str">
        <f t="shared" si="17"/>
        <v/>
      </c>
      <c r="H32" s="26"/>
      <c r="I32" s="38"/>
      <c r="J32" s="38" t="str">
        <f t="shared" si="18"/>
        <v/>
      </c>
      <c r="K32" s="38" t="str">
        <f t="shared" si="19"/>
        <v/>
      </c>
      <c r="L32" s="26"/>
      <c r="M32" s="38"/>
      <c r="N32" s="38" t="str">
        <f t="shared" si="20"/>
        <v/>
      </c>
      <c r="O32" s="38" t="str">
        <f t="shared" si="21"/>
        <v/>
      </c>
      <c r="P32" s="26"/>
      <c r="Q32" s="26"/>
      <c r="R32" s="26"/>
      <c r="S32" s="26"/>
      <c r="T32" s="26"/>
      <c r="U32" s="26"/>
      <c r="V32" s="26"/>
      <c r="W32" s="41" t="str">
        <f t="shared" si="9"/>
        <v/>
      </c>
      <c r="X32" s="12" t="str">
        <f>IF(A32="","",IF(W32="",INDEX(_翻訳マスタ!$B$89:$D$89,1,MATCH(言語切替!$B$3,_翻訳マスタ!$B$1:$D$1,0)),IF(W32&gt;=1,INDEX(_翻訳マスタ!$B$93:$D$93,1,MATCH(言語切替!$B$3,_翻訳マスタ!$B$1:$D$1,0)),IF(W32&gt;=0.8,INDEX(_翻訳マスタ!$B$91:$D$91,1,MATCH(言語切替!$B$3,_翻訳マスタ!$B$1:$D$1,0)),INDEX(_翻訳マスタ!$B$94:$D$94,1,MATCH(言語切替!$B$3,_翻訳マスタ!$B$1:$D$1,0))))))</f>
        <v/>
      </c>
      <c r="Y32" s="27"/>
      <c r="Z32" s="26"/>
      <c r="AA32" s="38"/>
      <c r="AB32" s="38" t="str">
        <f t="shared" si="22"/>
        <v/>
      </c>
      <c r="AC32" s="38" t="str">
        <f t="shared" si="23"/>
        <v/>
      </c>
      <c r="AD32" s="35"/>
      <c r="AE32" s="45"/>
      <c r="AF32" s="45" t="str">
        <f t="shared" si="24"/>
        <v/>
      </c>
      <c r="AG32" s="45" t="str">
        <f t="shared" si="25"/>
        <v/>
      </c>
    </row>
    <row r="33" spans="1:33" s="21" customFormat="1" x14ac:dyDescent="0.25">
      <c r="A33" s="28"/>
      <c r="B33" s="29"/>
      <c r="C33" s="29"/>
      <c r="D33" s="29"/>
      <c r="E33" s="39"/>
      <c r="F33" s="39" t="str">
        <f t="shared" si="16"/>
        <v/>
      </c>
      <c r="G33" s="39" t="str">
        <f t="shared" si="17"/>
        <v/>
      </c>
      <c r="H33" s="29"/>
      <c r="I33" s="39"/>
      <c r="J33" s="39" t="str">
        <f t="shared" si="18"/>
        <v/>
      </c>
      <c r="K33" s="39" t="str">
        <f t="shared" si="19"/>
        <v/>
      </c>
      <c r="L33" s="29"/>
      <c r="M33" s="39"/>
      <c r="N33" s="39" t="str">
        <f t="shared" si="20"/>
        <v/>
      </c>
      <c r="O33" s="39" t="str">
        <f t="shared" si="21"/>
        <v/>
      </c>
      <c r="P33" s="29"/>
      <c r="Q33" s="29"/>
      <c r="R33" s="29"/>
      <c r="S33" s="29"/>
      <c r="T33" s="29"/>
      <c r="U33" s="29"/>
      <c r="V33" s="29"/>
      <c r="W33" s="42" t="str">
        <f t="shared" si="9"/>
        <v/>
      </c>
      <c r="X33" s="15" t="str">
        <f>IF(A33="","",IF(W33="",INDEX(_翻訳マスタ!$B$89:$D$89,1,MATCH(言語切替!$B$3,_翻訳マスタ!$B$1:$D$1,0)),IF(W33&gt;=1,INDEX(_翻訳マスタ!$B$93:$D$93,1,MATCH(言語切替!$B$3,_翻訳マスタ!$B$1:$D$1,0)),IF(W33&gt;=0.8,INDEX(_翻訳マスタ!$B$91:$D$91,1,MATCH(言語切替!$B$3,_翻訳マスタ!$B$1:$D$1,0)),INDEX(_翻訳マスタ!$B$94:$D$94,1,MATCH(言語切替!$B$3,_翻訳マスタ!$B$1:$D$1,0))))))</f>
        <v/>
      </c>
      <c r="Y33" s="30"/>
      <c r="Z33" s="29"/>
      <c r="AA33" s="39"/>
      <c r="AB33" s="39" t="str">
        <f t="shared" si="22"/>
        <v/>
      </c>
      <c r="AC33" s="39" t="str">
        <f t="shared" si="23"/>
        <v/>
      </c>
      <c r="AD33" s="36"/>
      <c r="AE33" s="44"/>
      <c r="AF33" s="44" t="str">
        <f t="shared" si="24"/>
        <v/>
      </c>
      <c r="AG33" s="44" t="str">
        <f t="shared" si="25"/>
        <v/>
      </c>
    </row>
    <row r="34" spans="1:33" s="21" customFormat="1" x14ac:dyDescent="0.25">
      <c r="A34" s="25"/>
      <c r="B34" s="26"/>
      <c r="C34" s="26"/>
      <c r="D34" s="26"/>
      <c r="E34" s="38"/>
      <c r="F34" s="38" t="str">
        <f t="shared" si="16"/>
        <v/>
      </c>
      <c r="G34" s="38" t="str">
        <f t="shared" si="17"/>
        <v/>
      </c>
      <c r="H34" s="26"/>
      <c r="I34" s="38"/>
      <c r="J34" s="38" t="str">
        <f t="shared" si="18"/>
        <v/>
      </c>
      <c r="K34" s="38" t="str">
        <f t="shared" si="19"/>
        <v/>
      </c>
      <c r="L34" s="26"/>
      <c r="M34" s="38"/>
      <c r="N34" s="38" t="str">
        <f t="shared" si="20"/>
        <v/>
      </c>
      <c r="O34" s="38" t="str">
        <f t="shared" si="21"/>
        <v/>
      </c>
      <c r="P34" s="26"/>
      <c r="Q34" s="26"/>
      <c r="R34" s="26"/>
      <c r="S34" s="26"/>
      <c r="T34" s="26"/>
      <c r="U34" s="26"/>
      <c r="V34" s="26"/>
      <c r="W34" s="41" t="str">
        <f t="shared" si="9"/>
        <v/>
      </c>
      <c r="X34" s="12" t="str">
        <f>IF(A34="","",IF(W34="",INDEX(_翻訳マスタ!$B$89:$D$89,1,MATCH(言語切替!$B$3,_翻訳マスタ!$B$1:$D$1,0)),IF(W34&gt;=1,INDEX(_翻訳マスタ!$B$93:$D$93,1,MATCH(言語切替!$B$3,_翻訳マスタ!$B$1:$D$1,0)),IF(W34&gt;=0.8,INDEX(_翻訳マスタ!$B$91:$D$91,1,MATCH(言語切替!$B$3,_翻訳マスタ!$B$1:$D$1,0)),INDEX(_翻訳マスタ!$B$94:$D$94,1,MATCH(言語切替!$B$3,_翻訳マスタ!$B$1:$D$1,0))))))</f>
        <v/>
      </c>
      <c r="Y34" s="27"/>
      <c r="Z34" s="26"/>
      <c r="AA34" s="38"/>
      <c r="AB34" s="38" t="str">
        <f t="shared" si="22"/>
        <v/>
      </c>
      <c r="AC34" s="38" t="str">
        <f t="shared" si="23"/>
        <v/>
      </c>
      <c r="AD34" s="35"/>
      <c r="AE34" s="45"/>
      <c r="AF34" s="45" t="str">
        <f t="shared" si="24"/>
        <v/>
      </c>
      <c r="AG34" s="45" t="str">
        <f t="shared" si="25"/>
        <v/>
      </c>
    </row>
    <row r="35" spans="1:33" s="21" customFormat="1" x14ac:dyDescent="0.25">
      <c r="A35" s="28"/>
      <c r="B35" s="29"/>
      <c r="C35" s="29"/>
      <c r="D35" s="29"/>
      <c r="E35" s="39"/>
      <c r="F35" s="39" t="str">
        <f t="shared" si="16"/>
        <v/>
      </c>
      <c r="G35" s="39" t="str">
        <f t="shared" si="17"/>
        <v/>
      </c>
      <c r="H35" s="29"/>
      <c r="I35" s="39"/>
      <c r="J35" s="39" t="str">
        <f t="shared" si="18"/>
        <v/>
      </c>
      <c r="K35" s="39" t="str">
        <f t="shared" si="19"/>
        <v/>
      </c>
      <c r="L35" s="29"/>
      <c r="M35" s="39"/>
      <c r="N35" s="39" t="str">
        <f t="shared" si="20"/>
        <v/>
      </c>
      <c r="O35" s="39" t="str">
        <f t="shared" si="21"/>
        <v/>
      </c>
      <c r="P35" s="29"/>
      <c r="Q35" s="29"/>
      <c r="R35" s="29"/>
      <c r="S35" s="29"/>
      <c r="T35" s="29"/>
      <c r="U35" s="29"/>
      <c r="V35" s="29"/>
      <c r="W35" s="42" t="str">
        <f t="shared" si="9"/>
        <v/>
      </c>
      <c r="X35" s="15" t="str">
        <f>IF(A35="","",IF(W35="",INDEX(_翻訳マスタ!$B$89:$D$89,1,MATCH(言語切替!$B$3,_翻訳マスタ!$B$1:$D$1,0)),IF(W35&gt;=1,INDEX(_翻訳マスタ!$B$93:$D$93,1,MATCH(言語切替!$B$3,_翻訳マスタ!$B$1:$D$1,0)),IF(W35&gt;=0.8,INDEX(_翻訳マスタ!$B$91:$D$91,1,MATCH(言語切替!$B$3,_翻訳マスタ!$B$1:$D$1,0)),INDEX(_翻訳マスタ!$B$94:$D$94,1,MATCH(言語切替!$B$3,_翻訳マスタ!$B$1:$D$1,0))))))</f>
        <v/>
      </c>
      <c r="Y35" s="30"/>
      <c r="Z35" s="29"/>
      <c r="AA35" s="39"/>
      <c r="AB35" s="39" t="str">
        <f t="shared" si="22"/>
        <v/>
      </c>
      <c r="AC35" s="39" t="str">
        <f t="shared" si="23"/>
        <v/>
      </c>
      <c r="AD35" s="36"/>
      <c r="AE35" s="44"/>
      <c r="AF35" s="44" t="str">
        <f t="shared" si="24"/>
        <v/>
      </c>
      <c r="AG35" s="44" t="str">
        <f t="shared" si="25"/>
        <v/>
      </c>
    </row>
    <row r="36" spans="1:33" s="21" customFormat="1" x14ac:dyDescent="0.25">
      <c r="A36" s="25"/>
      <c r="B36" s="26"/>
      <c r="C36" s="26"/>
      <c r="D36" s="26"/>
      <c r="E36" s="38"/>
      <c r="F36" s="38" t="str">
        <f t="shared" si="16"/>
        <v/>
      </c>
      <c r="G36" s="38" t="str">
        <f t="shared" si="17"/>
        <v/>
      </c>
      <c r="H36" s="26"/>
      <c r="I36" s="38"/>
      <c r="J36" s="38" t="str">
        <f t="shared" si="18"/>
        <v/>
      </c>
      <c r="K36" s="38" t="str">
        <f t="shared" si="19"/>
        <v/>
      </c>
      <c r="L36" s="26"/>
      <c r="M36" s="38"/>
      <c r="N36" s="38" t="str">
        <f t="shared" si="20"/>
        <v/>
      </c>
      <c r="O36" s="38" t="str">
        <f t="shared" si="21"/>
        <v/>
      </c>
      <c r="P36" s="26"/>
      <c r="Q36" s="26"/>
      <c r="R36" s="26"/>
      <c r="S36" s="26"/>
      <c r="T36" s="26"/>
      <c r="U36" s="26"/>
      <c r="V36" s="26"/>
      <c r="W36" s="41" t="str">
        <f t="shared" si="9"/>
        <v/>
      </c>
      <c r="X36" s="12" t="str">
        <f>IF(A36="","",IF(W36="",INDEX(_翻訳マスタ!$B$89:$D$89,1,MATCH(言語切替!$B$3,_翻訳マスタ!$B$1:$D$1,0)),IF(W36&gt;=1,INDEX(_翻訳マスタ!$B$93:$D$93,1,MATCH(言語切替!$B$3,_翻訳マスタ!$B$1:$D$1,0)),IF(W36&gt;=0.8,INDEX(_翻訳マスタ!$B$91:$D$91,1,MATCH(言語切替!$B$3,_翻訳マスタ!$B$1:$D$1,0)),INDEX(_翻訳マスタ!$B$94:$D$94,1,MATCH(言語切替!$B$3,_翻訳マスタ!$B$1:$D$1,0))))))</f>
        <v/>
      </c>
      <c r="Y36" s="27"/>
      <c r="Z36" s="26"/>
      <c r="AA36" s="38"/>
      <c r="AB36" s="38" t="str">
        <f t="shared" si="22"/>
        <v/>
      </c>
      <c r="AC36" s="38" t="str">
        <f t="shared" si="23"/>
        <v/>
      </c>
      <c r="AD36" s="35"/>
      <c r="AE36" s="45"/>
      <c r="AF36" s="45" t="str">
        <f t="shared" si="24"/>
        <v/>
      </c>
      <c r="AG36" s="45" t="str">
        <f t="shared" si="25"/>
        <v/>
      </c>
    </row>
    <row r="37" spans="1:33" s="21" customFormat="1" x14ac:dyDescent="0.25">
      <c r="A37" s="28"/>
      <c r="B37" s="29"/>
      <c r="C37" s="29"/>
      <c r="D37" s="29"/>
      <c r="E37" s="39"/>
      <c r="F37" s="39" t="str">
        <f t="shared" si="16"/>
        <v/>
      </c>
      <c r="G37" s="39" t="str">
        <f t="shared" si="17"/>
        <v/>
      </c>
      <c r="H37" s="29"/>
      <c r="I37" s="39"/>
      <c r="J37" s="39" t="str">
        <f t="shared" si="18"/>
        <v/>
      </c>
      <c r="K37" s="39" t="str">
        <f t="shared" si="19"/>
        <v/>
      </c>
      <c r="L37" s="29"/>
      <c r="M37" s="39"/>
      <c r="N37" s="39" t="str">
        <f t="shared" si="20"/>
        <v/>
      </c>
      <c r="O37" s="39" t="str">
        <f t="shared" si="21"/>
        <v/>
      </c>
      <c r="P37" s="29"/>
      <c r="Q37" s="29"/>
      <c r="R37" s="29"/>
      <c r="S37" s="29"/>
      <c r="T37" s="29"/>
      <c r="U37" s="29"/>
      <c r="V37" s="29"/>
      <c r="W37" s="42" t="str">
        <f t="shared" ref="W37:W68" si="26">IF(OR(U37="",V37=""),"",IF(U37=0,"",V37/U37))</f>
        <v/>
      </c>
      <c r="X37" s="15" t="str">
        <f>IF(A37="","",IF(W37="",INDEX(_翻訳マスタ!$B$89:$D$89,1,MATCH(言語切替!$B$3,_翻訳マスタ!$B$1:$D$1,0)),IF(W37&gt;=1,INDEX(_翻訳マスタ!$B$93:$D$93,1,MATCH(言語切替!$B$3,_翻訳マスタ!$B$1:$D$1,0)),IF(W37&gt;=0.8,INDEX(_翻訳マスタ!$B$91:$D$91,1,MATCH(言語切替!$B$3,_翻訳マスタ!$B$1:$D$1,0)),INDEX(_翻訳マスタ!$B$94:$D$94,1,MATCH(言語切替!$B$3,_翻訳マスタ!$B$1:$D$1,0))))))</f>
        <v/>
      </c>
      <c r="Y37" s="30"/>
      <c r="Z37" s="29"/>
      <c r="AA37" s="39"/>
      <c r="AB37" s="39" t="str">
        <f t="shared" si="22"/>
        <v/>
      </c>
      <c r="AC37" s="39" t="str">
        <f t="shared" si="23"/>
        <v/>
      </c>
      <c r="AD37" s="36"/>
      <c r="AE37" s="44"/>
      <c r="AF37" s="44" t="str">
        <f t="shared" si="24"/>
        <v/>
      </c>
      <c r="AG37" s="44" t="str">
        <f t="shared" si="25"/>
        <v/>
      </c>
    </row>
    <row r="38" spans="1:33" s="21" customFormat="1" x14ac:dyDescent="0.25">
      <c r="A38" s="25"/>
      <c r="B38" s="26"/>
      <c r="C38" s="26"/>
      <c r="D38" s="26"/>
      <c r="E38" s="38"/>
      <c r="F38" s="38" t="str">
        <f t="shared" si="16"/>
        <v/>
      </c>
      <c r="G38" s="38" t="str">
        <f t="shared" si="17"/>
        <v/>
      </c>
      <c r="H38" s="26"/>
      <c r="I38" s="38"/>
      <c r="J38" s="38" t="str">
        <f t="shared" si="18"/>
        <v/>
      </c>
      <c r="K38" s="38" t="str">
        <f t="shared" si="19"/>
        <v/>
      </c>
      <c r="L38" s="26"/>
      <c r="M38" s="38"/>
      <c r="N38" s="38" t="str">
        <f t="shared" si="20"/>
        <v/>
      </c>
      <c r="O38" s="38" t="str">
        <f t="shared" si="21"/>
        <v/>
      </c>
      <c r="P38" s="26"/>
      <c r="Q38" s="26"/>
      <c r="R38" s="26"/>
      <c r="S38" s="26"/>
      <c r="T38" s="26"/>
      <c r="U38" s="26"/>
      <c r="V38" s="26"/>
      <c r="W38" s="41" t="str">
        <f t="shared" si="26"/>
        <v/>
      </c>
      <c r="X38" s="12" t="str">
        <f>IF(A38="","",IF(W38="",INDEX(_翻訳マスタ!$B$89:$D$89,1,MATCH(言語切替!$B$3,_翻訳マスタ!$B$1:$D$1,0)),IF(W38&gt;=1,INDEX(_翻訳マスタ!$B$93:$D$93,1,MATCH(言語切替!$B$3,_翻訳マスタ!$B$1:$D$1,0)),IF(W38&gt;=0.8,INDEX(_翻訳マスタ!$B$91:$D$91,1,MATCH(言語切替!$B$3,_翻訳マスタ!$B$1:$D$1,0)),INDEX(_翻訳マスタ!$B$94:$D$94,1,MATCH(言語切替!$B$3,_翻訳マスタ!$B$1:$D$1,0))))))</f>
        <v/>
      </c>
      <c r="Y38" s="27"/>
      <c r="Z38" s="26"/>
      <c r="AA38" s="38"/>
      <c r="AB38" s="38" t="str">
        <f t="shared" si="22"/>
        <v/>
      </c>
      <c r="AC38" s="38" t="str">
        <f t="shared" si="23"/>
        <v/>
      </c>
      <c r="AD38" s="35"/>
      <c r="AE38" s="45"/>
      <c r="AF38" s="45" t="str">
        <f t="shared" si="24"/>
        <v/>
      </c>
      <c r="AG38" s="45" t="str">
        <f t="shared" si="25"/>
        <v/>
      </c>
    </row>
    <row r="39" spans="1:33" s="21" customFormat="1" x14ac:dyDescent="0.25">
      <c r="A39" s="28"/>
      <c r="B39" s="29"/>
      <c r="C39" s="29"/>
      <c r="D39" s="29"/>
      <c r="E39" s="39"/>
      <c r="F39" s="39" t="str">
        <f t="shared" si="16"/>
        <v/>
      </c>
      <c r="G39" s="39" t="str">
        <f t="shared" si="17"/>
        <v/>
      </c>
      <c r="H39" s="29"/>
      <c r="I39" s="39"/>
      <c r="J39" s="39" t="str">
        <f t="shared" si="18"/>
        <v/>
      </c>
      <c r="K39" s="39" t="str">
        <f t="shared" si="19"/>
        <v/>
      </c>
      <c r="L39" s="29"/>
      <c r="M39" s="39"/>
      <c r="N39" s="39" t="str">
        <f t="shared" si="20"/>
        <v/>
      </c>
      <c r="O39" s="39" t="str">
        <f t="shared" si="21"/>
        <v/>
      </c>
      <c r="P39" s="29"/>
      <c r="Q39" s="29"/>
      <c r="R39" s="29"/>
      <c r="S39" s="29"/>
      <c r="T39" s="29"/>
      <c r="U39" s="29"/>
      <c r="V39" s="29"/>
      <c r="W39" s="42" t="str">
        <f t="shared" si="26"/>
        <v/>
      </c>
      <c r="X39" s="15" t="str">
        <f>IF(A39="","",IF(W39="",INDEX(_翻訳マスタ!$B$89:$D$89,1,MATCH(言語切替!$B$3,_翻訳マスタ!$B$1:$D$1,0)),IF(W39&gt;=1,INDEX(_翻訳マスタ!$B$93:$D$93,1,MATCH(言語切替!$B$3,_翻訳マスタ!$B$1:$D$1,0)),IF(W39&gt;=0.8,INDEX(_翻訳マスタ!$B$91:$D$91,1,MATCH(言語切替!$B$3,_翻訳マスタ!$B$1:$D$1,0)),INDEX(_翻訳マスタ!$B$94:$D$94,1,MATCH(言語切替!$B$3,_翻訳マスタ!$B$1:$D$1,0))))))</f>
        <v/>
      </c>
      <c r="Y39" s="30"/>
      <c r="Z39" s="29"/>
      <c r="AA39" s="39"/>
      <c r="AB39" s="39" t="str">
        <f t="shared" si="22"/>
        <v/>
      </c>
      <c r="AC39" s="39" t="str">
        <f t="shared" si="23"/>
        <v/>
      </c>
      <c r="AD39" s="36"/>
      <c r="AE39" s="44"/>
      <c r="AF39" s="44" t="str">
        <f t="shared" si="24"/>
        <v/>
      </c>
      <c r="AG39" s="44" t="str">
        <f t="shared" si="25"/>
        <v/>
      </c>
    </row>
    <row r="40" spans="1:33" s="21" customFormat="1" x14ac:dyDescent="0.25">
      <c r="A40" s="25"/>
      <c r="B40" s="26"/>
      <c r="C40" s="26"/>
      <c r="D40" s="26"/>
      <c r="E40" s="38"/>
      <c r="F40" s="38" t="str">
        <f t="shared" si="16"/>
        <v/>
      </c>
      <c r="G40" s="38" t="str">
        <f t="shared" si="17"/>
        <v/>
      </c>
      <c r="H40" s="26"/>
      <c r="I40" s="38"/>
      <c r="J40" s="38" t="str">
        <f t="shared" si="18"/>
        <v/>
      </c>
      <c r="K40" s="38" t="str">
        <f t="shared" si="19"/>
        <v/>
      </c>
      <c r="L40" s="26"/>
      <c r="M40" s="38"/>
      <c r="N40" s="38" t="str">
        <f t="shared" si="20"/>
        <v/>
      </c>
      <c r="O40" s="38" t="str">
        <f t="shared" si="21"/>
        <v/>
      </c>
      <c r="P40" s="26"/>
      <c r="Q40" s="26"/>
      <c r="R40" s="26"/>
      <c r="S40" s="26"/>
      <c r="T40" s="26"/>
      <c r="U40" s="26"/>
      <c r="V40" s="26"/>
      <c r="W40" s="41" t="str">
        <f t="shared" si="26"/>
        <v/>
      </c>
      <c r="X40" s="12" t="str">
        <f>IF(A40="","",IF(W40="",INDEX(_翻訳マスタ!$B$89:$D$89,1,MATCH(言語切替!$B$3,_翻訳マスタ!$B$1:$D$1,0)),IF(W40&gt;=1,INDEX(_翻訳マスタ!$B$93:$D$93,1,MATCH(言語切替!$B$3,_翻訳マスタ!$B$1:$D$1,0)),IF(W40&gt;=0.8,INDEX(_翻訳マスタ!$B$91:$D$91,1,MATCH(言語切替!$B$3,_翻訳マスタ!$B$1:$D$1,0)),INDEX(_翻訳マスタ!$B$94:$D$94,1,MATCH(言語切替!$B$3,_翻訳マスタ!$B$1:$D$1,0))))))</f>
        <v/>
      </c>
      <c r="Y40" s="27"/>
      <c r="Z40" s="26"/>
      <c r="AA40" s="38"/>
      <c r="AB40" s="38" t="str">
        <f t="shared" si="22"/>
        <v/>
      </c>
      <c r="AC40" s="38" t="str">
        <f t="shared" si="23"/>
        <v/>
      </c>
      <c r="AD40" s="35"/>
      <c r="AE40" s="45"/>
      <c r="AF40" s="45" t="str">
        <f t="shared" si="24"/>
        <v/>
      </c>
      <c r="AG40" s="45" t="str">
        <f t="shared" si="25"/>
        <v/>
      </c>
    </row>
    <row r="41" spans="1:33" s="21" customFormat="1" x14ac:dyDescent="0.25">
      <c r="A41" s="28"/>
      <c r="B41" s="29"/>
      <c r="C41" s="29"/>
      <c r="D41" s="29"/>
      <c r="E41" s="39"/>
      <c r="F41" s="39" t="str">
        <f t="shared" ref="F41:F72" si="27">IF(D41="","",_xlfn.TRANSLATE(D41,"vi","ja"))</f>
        <v/>
      </c>
      <c r="G41" s="39" t="str">
        <f t="shared" ref="G41:G72" si="28">IF(D41="","",_xlfn.TRANSLATE(D41,"vi","zh-Hans"))</f>
        <v/>
      </c>
      <c r="H41" s="29"/>
      <c r="I41" s="39"/>
      <c r="J41" s="39" t="str">
        <f t="shared" ref="J41:J72" si="29">IF(H41="","",_xlfn.TRANSLATE(H41,"vi","ja"))</f>
        <v/>
      </c>
      <c r="K41" s="39" t="str">
        <f t="shared" ref="K41:K72" si="30">IF(H41="","",_xlfn.TRANSLATE(H41,"vi","zh-Hans"))</f>
        <v/>
      </c>
      <c r="L41" s="29"/>
      <c r="M41" s="39"/>
      <c r="N41" s="39" t="str">
        <f t="shared" ref="N41:N72" si="31">IF(L41="","",_xlfn.TRANSLATE(L41,"vi","ja"))</f>
        <v/>
      </c>
      <c r="O41" s="39" t="str">
        <f t="shared" ref="O41:O72" si="32">IF(L41="","",_xlfn.TRANSLATE(L41,"vi","zh-Hans"))</f>
        <v/>
      </c>
      <c r="P41" s="29"/>
      <c r="Q41" s="29"/>
      <c r="R41" s="29"/>
      <c r="S41" s="29"/>
      <c r="T41" s="29"/>
      <c r="U41" s="29"/>
      <c r="V41" s="29"/>
      <c r="W41" s="42" t="str">
        <f t="shared" si="26"/>
        <v/>
      </c>
      <c r="X41" s="15" t="str">
        <f>IF(A41="","",IF(W41="",INDEX(_翻訳マスタ!$B$89:$D$89,1,MATCH(言語切替!$B$3,_翻訳マスタ!$B$1:$D$1,0)),IF(W41&gt;=1,INDEX(_翻訳マスタ!$B$93:$D$93,1,MATCH(言語切替!$B$3,_翻訳マスタ!$B$1:$D$1,0)),IF(W41&gt;=0.8,INDEX(_翻訳マスタ!$B$91:$D$91,1,MATCH(言語切替!$B$3,_翻訳マスタ!$B$1:$D$1,0)),INDEX(_翻訳マスタ!$B$94:$D$94,1,MATCH(言語切替!$B$3,_翻訳マスタ!$B$1:$D$1,0))))))</f>
        <v/>
      </c>
      <c r="Y41" s="30"/>
      <c r="Z41" s="29"/>
      <c r="AA41" s="39"/>
      <c r="AB41" s="39" t="str">
        <f t="shared" ref="AB41:AB72" si="33">IF(Z41="","",_xlfn.TRANSLATE(Z41,"vi","ja"))</f>
        <v/>
      </c>
      <c r="AC41" s="39" t="str">
        <f t="shared" ref="AC41:AC72" si="34">IF(Z41="","",_xlfn.TRANSLATE(Z41,"vi","zh-Hans"))</f>
        <v/>
      </c>
      <c r="AD41" s="36"/>
      <c r="AE41" s="44"/>
      <c r="AF41" s="44" t="str">
        <f t="shared" ref="AF41:AF72" si="35">IF(AD41="","",_xlfn.TRANSLATE(AD41,"vi","ja"))</f>
        <v/>
      </c>
      <c r="AG41" s="44" t="str">
        <f t="shared" ref="AG41:AG72" si="36">IF(AD41="","",_xlfn.TRANSLATE(AD41,"vi","zh-Hans"))</f>
        <v/>
      </c>
    </row>
    <row r="42" spans="1:33" s="21" customFormat="1" x14ac:dyDescent="0.25">
      <c r="A42" s="25"/>
      <c r="B42" s="26"/>
      <c r="C42" s="26"/>
      <c r="D42" s="26"/>
      <c r="E42" s="38"/>
      <c r="F42" s="38" t="str">
        <f t="shared" si="27"/>
        <v/>
      </c>
      <c r="G42" s="38" t="str">
        <f t="shared" si="28"/>
        <v/>
      </c>
      <c r="H42" s="26"/>
      <c r="I42" s="38"/>
      <c r="J42" s="38" t="str">
        <f t="shared" si="29"/>
        <v/>
      </c>
      <c r="K42" s="38" t="str">
        <f t="shared" si="30"/>
        <v/>
      </c>
      <c r="L42" s="26"/>
      <c r="M42" s="38"/>
      <c r="N42" s="38" t="str">
        <f t="shared" si="31"/>
        <v/>
      </c>
      <c r="O42" s="38" t="str">
        <f t="shared" si="32"/>
        <v/>
      </c>
      <c r="P42" s="26"/>
      <c r="Q42" s="26"/>
      <c r="R42" s="26"/>
      <c r="S42" s="26"/>
      <c r="T42" s="26"/>
      <c r="U42" s="26"/>
      <c r="V42" s="26"/>
      <c r="W42" s="41" t="str">
        <f t="shared" si="26"/>
        <v/>
      </c>
      <c r="X42" s="12" t="str">
        <f>IF(A42="","",IF(W42="",INDEX(_翻訳マスタ!$B$89:$D$89,1,MATCH(言語切替!$B$3,_翻訳マスタ!$B$1:$D$1,0)),IF(W42&gt;=1,INDEX(_翻訳マスタ!$B$93:$D$93,1,MATCH(言語切替!$B$3,_翻訳マスタ!$B$1:$D$1,0)),IF(W42&gt;=0.8,INDEX(_翻訳マスタ!$B$91:$D$91,1,MATCH(言語切替!$B$3,_翻訳マスタ!$B$1:$D$1,0)),INDEX(_翻訳マスタ!$B$94:$D$94,1,MATCH(言語切替!$B$3,_翻訳マスタ!$B$1:$D$1,0))))))</f>
        <v/>
      </c>
      <c r="Y42" s="27"/>
      <c r="Z42" s="26"/>
      <c r="AA42" s="38"/>
      <c r="AB42" s="38" t="str">
        <f t="shared" si="33"/>
        <v/>
      </c>
      <c r="AC42" s="38" t="str">
        <f t="shared" si="34"/>
        <v/>
      </c>
      <c r="AD42" s="35"/>
      <c r="AE42" s="45"/>
      <c r="AF42" s="45" t="str">
        <f t="shared" si="35"/>
        <v/>
      </c>
      <c r="AG42" s="45" t="str">
        <f t="shared" si="36"/>
        <v/>
      </c>
    </row>
    <row r="43" spans="1:33" s="21" customFormat="1" x14ac:dyDescent="0.25">
      <c r="A43" s="28"/>
      <c r="B43" s="29"/>
      <c r="C43" s="29"/>
      <c r="D43" s="29"/>
      <c r="E43" s="39"/>
      <c r="F43" s="39" t="str">
        <f t="shared" si="27"/>
        <v/>
      </c>
      <c r="G43" s="39" t="str">
        <f t="shared" si="28"/>
        <v/>
      </c>
      <c r="H43" s="29"/>
      <c r="I43" s="39"/>
      <c r="J43" s="39" t="str">
        <f t="shared" si="29"/>
        <v/>
      </c>
      <c r="K43" s="39" t="str">
        <f t="shared" si="30"/>
        <v/>
      </c>
      <c r="L43" s="29"/>
      <c r="M43" s="39"/>
      <c r="N43" s="39" t="str">
        <f t="shared" si="31"/>
        <v/>
      </c>
      <c r="O43" s="39" t="str">
        <f t="shared" si="32"/>
        <v/>
      </c>
      <c r="P43" s="29"/>
      <c r="Q43" s="29"/>
      <c r="R43" s="29"/>
      <c r="S43" s="29"/>
      <c r="T43" s="29"/>
      <c r="U43" s="29"/>
      <c r="V43" s="29"/>
      <c r="W43" s="42" t="str">
        <f t="shared" si="26"/>
        <v/>
      </c>
      <c r="X43" s="15" t="str">
        <f>IF(A43="","",IF(W43="",INDEX(_翻訳マスタ!$B$89:$D$89,1,MATCH(言語切替!$B$3,_翻訳マスタ!$B$1:$D$1,0)),IF(W43&gt;=1,INDEX(_翻訳マスタ!$B$93:$D$93,1,MATCH(言語切替!$B$3,_翻訳マスタ!$B$1:$D$1,0)),IF(W43&gt;=0.8,INDEX(_翻訳マスタ!$B$91:$D$91,1,MATCH(言語切替!$B$3,_翻訳マスタ!$B$1:$D$1,0)),INDEX(_翻訳マスタ!$B$94:$D$94,1,MATCH(言語切替!$B$3,_翻訳マスタ!$B$1:$D$1,0))))))</f>
        <v/>
      </c>
      <c r="Y43" s="30"/>
      <c r="Z43" s="29"/>
      <c r="AA43" s="39"/>
      <c r="AB43" s="39" t="str">
        <f t="shared" si="33"/>
        <v/>
      </c>
      <c r="AC43" s="39" t="str">
        <f t="shared" si="34"/>
        <v/>
      </c>
      <c r="AD43" s="36"/>
      <c r="AE43" s="44"/>
      <c r="AF43" s="44" t="str">
        <f t="shared" si="35"/>
        <v/>
      </c>
      <c r="AG43" s="44" t="str">
        <f t="shared" si="36"/>
        <v/>
      </c>
    </row>
    <row r="44" spans="1:33" s="21" customFormat="1" x14ac:dyDescent="0.25">
      <c r="A44" s="25"/>
      <c r="B44" s="26"/>
      <c r="C44" s="26"/>
      <c r="D44" s="26"/>
      <c r="E44" s="38"/>
      <c r="F44" s="38" t="str">
        <f t="shared" si="27"/>
        <v/>
      </c>
      <c r="G44" s="38" t="str">
        <f t="shared" si="28"/>
        <v/>
      </c>
      <c r="H44" s="26"/>
      <c r="I44" s="38"/>
      <c r="J44" s="38" t="str">
        <f t="shared" si="29"/>
        <v/>
      </c>
      <c r="K44" s="38" t="str">
        <f t="shared" si="30"/>
        <v/>
      </c>
      <c r="L44" s="26"/>
      <c r="M44" s="38"/>
      <c r="N44" s="38" t="str">
        <f t="shared" si="31"/>
        <v/>
      </c>
      <c r="O44" s="38" t="str">
        <f t="shared" si="32"/>
        <v/>
      </c>
      <c r="P44" s="26"/>
      <c r="Q44" s="26"/>
      <c r="R44" s="26"/>
      <c r="S44" s="26"/>
      <c r="T44" s="26"/>
      <c r="U44" s="26"/>
      <c r="V44" s="26"/>
      <c r="W44" s="41" t="str">
        <f t="shared" si="26"/>
        <v/>
      </c>
      <c r="X44" s="12" t="str">
        <f>IF(A44="","",IF(W44="",INDEX(_翻訳マスタ!$B$89:$D$89,1,MATCH(言語切替!$B$3,_翻訳マスタ!$B$1:$D$1,0)),IF(W44&gt;=1,INDEX(_翻訳マスタ!$B$93:$D$93,1,MATCH(言語切替!$B$3,_翻訳マスタ!$B$1:$D$1,0)),IF(W44&gt;=0.8,INDEX(_翻訳マスタ!$B$91:$D$91,1,MATCH(言語切替!$B$3,_翻訳マスタ!$B$1:$D$1,0)),INDEX(_翻訳マスタ!$B$94:$D$94,1,MATCH(言語切替!$B$3,_翻訳マスタ!$B$1:$D$1,0))))))</f>
        <v/>
      </c>
      <c r="Y44" s="27"/>
      <c r="Z44" s="26"/>
      <c r="AA44" s="38"/>
      <c r="AB44" s="38" t="str">
        <f t="shared" si="33"/>
        <v/>
      </c>
      <c r="AC44" s="38" t="str">
        <f t="shared" si="34"/>
        <v/>
      </c>
      <c r="AD44" s="35"/>
      <c r="AE44" s="45"/>
      <c r="AF44" s="45" t="str">
        <f t="shared" si="35"/>
        <v/>
      </c>
      <c r="AG44" s="45" t="str">
        <f t="shared" si="36"/>
        <v/>
      </c>
    </row>
    <row r="45" spans="1:33" s="21" customFormat="1" x14ac:dyDescent="0.25">
      <c r="A45" s="28"/>
      <c r="B45" s="29"/>
      <c r="C45" s="29"/>
      <c r="D45" s="29"/>
      <c r="E45" s="39"/>
      <c r="F45" s="39" t="str">
        <f t="shared" si="27"/>
        <v/>
      </c>
      <c r="G45" s="39" t="str">
        <f t="shared" si="28"/>
        <v/>
      </c>
      <c r="H45" s="29"/>
      <c r="I45" s="39"/>
      <c r="J45" s="39" t="str">
        <f t="shared" si="29"/>
        <v/>
      </c>
      <c r="K45" s="39" t="str">
        <f t="shared" si="30"/>
        <v/>
      </c>
      <c r="L45" s="29"/>
      <c r="M45" s="39"/>
      <c r="N45" s="39" t="str">
        <f t="shared" si="31"/>
        <v/>
      </c>
      <c r="O45" s="39" t="str">
        <f t="shared" si="32"/>
        <v/>
      </c>
      <c r="P45" s="29"/>
      <c r="Q45" s="29"/>
      <c r="R45" s="29"/>
      <c r="S45" s="29"/>
      <c r="T45" s="29"/>
      <c r="U45" s="29"/>
      <c r="V45" s="29"/>
      <c r="W45" s="42" t="str">
        <f t="shared" si="26"/>
        <v/>
      </c>
      <c r="X45" s="15" t="str">
        <f>IF(A45="","",IF(W45="",INDEX(_翻訳マスタ!$B$89:$D$89,1,MATCH(言語切替!$B$3,_翻訳マスタ!$B$1:$D$1,0)),IF(W45&gt;=1,INDEX(_翻訳マスタ!$B$93:$D$93,1,MATCH(言語切替!$B$3,_翻訳マスタ!$B$1:$D$1,0)),IF(W45&gt;=0.8,INDEX(_翻訳マスタ!$B$91:$D$91,1,MATCH(言語切替!$B$3,_翻訳マスタ!$B$1:$D$1,0)),INDEX(_翻訳マスタ!$B$94:$D$94,1,MATCH(言語切替!$B$3,_翻訳マスタ!$B$1:$D$1,0))))))</f>
        <v/>
      </c>
      <c r="Y45" s="30"/>
      <c r="Z45" s="29"/>
      <c r="AA45" s="39"/>
      <c r="AB45" s="39" t="str">
        <f t="shared" si="33"/>
        <v/>
      </c>
      <c r="AC45" s="39" t="str">
        <f t="shared" si="34"/>
        <v/>
      </c>
      <c r="AD45" s="36"/>
      <c r="AE45" s="44"/>
      <c r="AF45" s="44" t="str">
        <f t="shared" si="35"/>
        <v/>
      </c>
      <c r="AG45" s="44" t="str">
        <f t="shared" si="36"/>
        <v/>
      </c>
    </row>
    <row r="46" spans="1:33" s="21" customFormat="1" x14ac:dyDescent="0.25">
      <c r="A46" s="25"/>
      <c r="B46" s="26"/>
      <c r="C46" s="26"/>
      <c r="D46" s="26"/>
      <c r="E46" s="38"/>
      <c r="F46" s="38" t="str">
        <f t="shared" si="27"/>
        <v/>
      </c>
      <c r="G46" s="38" t="str">
        <f t="shared" si="28"/>
        <v/>
      </c>
      <c r="H46" s="26"/>
      <c r="I46" s="38"/>
      <c r="J46" s="38" t="str">
        <f t="shared" si="29"/>
        <v/>
      </c>
      <c r="K46" s="38" t="str">
        <f t="shared" si="30"/>
        <v/>
      </c>
      <c r="L46" s="26"/>
      <c r="M46" s="38"/>
      <c r="N46" s="38" t="str">
        <f t="shared" si="31"/>
        <v/>
      </c>
      <c r="O46" s="38" t="str">
        <f t="shared" si="32"/>
        <v/>
      </c>
      <c r="P46" s="26"/>
      <c r="Q46" s="26"/>
      <c r="R46" s="26"/>
      <c r="S46" s="26"/>
      <c r="T46" s="26"/>
      <c r="U46" s="26"/>
      <c r="V46" s="26"/>
      <c r="W46" s="41" t="str">
        <f t="shared" si="26"/>
        <v/>
      </c>
      <c r="X46" s="12" t="str">
        <f>IF(A46="","",IF(W46="",INDEX(_翻訳マスタ!$B$89:$D$89,1,MATCH(言語切替!$B$3,_翻訳マスタ!$B$1:$D$1,0)),IF(W46&gt;=1,INDEX(_翻訳マスタ!$B$93:$D$93,1,MATCH(言語切替!$B$3,_翻訳マスタ!$B$1:$D$1,0)),IF(W46&gt;=0.8,INDEX(_翻訳マスタ!$B$91:$D$91,1,MATCH(言語切替!$B$3,_翻訳マスタ!$B$1:$D$1,0)),INDEX(_翻訳マスタ!$B$94:$D$94,1,MATCH(言語切替!$B$3,_翻訳マスタ!$B$1:$D$1,0))))))</f>
        <v/>
      </c>
      <c r="Y46" s="27"/>
      <c r="Z46" s="26"/>
      <c r="AA46" s="38"/>
      <c r="AB46" s="38" t="str">
        <f t="shared" si="33"/>
        <v/>
      </c>
      <c r="AC46" s="38" t="str">
        <f t="shared" si="34"/>
        <v/>
      </c>
      <c r="AD46" s="35"/>
      <c r="AE46" s="45"/>
      <c r="AF46" s="45" t="str">
        <f t="shared" si="35"/>
        <v/>
      </c>
      <c r="AG46" s="45" t="str">
        <f t="shared" si="36"/>
        <v/>
      </c>
    </row>
    <row r="47" spans="1:33" s="21" customFormat="1" x14ac:dyDescent="0.25">
      <c r="A47" s="28"/>
      <c r="B47" s="29"/>
      <c r="C47" s="29"/>
      <c r="D47" s="29"/>
      <c r="E47" s="39"/>
      <c r="F47" s="39" t="str">
        <f t="shared" si="27"/>
        <v/>
      </c>
      <c r="G47" s="39" t="str">
        <f t="shared" si="28"/>
        <v/>
      </c>
      <c r="H47" s="29"/>
      <c r="I47" s="39"/>
      <c r="J47" s="39" t="str">
        <f t="shared" si="29"/>
        <v/>
      </c>
      <c r="K47" s="39" t="str">
        <f t="shared" si="30"/>
        <v/>
      </c>
      <c r="L47" s="29"/>
      <c r="M47" s="39"/>
      <c r="N47" s="39" t="str">
        <f t="shared" si="31"/>
        <v/>
      </c>
      <c r="O47" s="39" t="str">
        <f t="shared" si="32"/>
        <v/>
      </c>
      <c r="P47" s="29"/>
      <c r="Q47" s="29"/>
      <c r="R47" s="29"/>
      <c r="S47" s="29"/>
      <c r="T47" s="29"/>
      <c r="U47" s="29"/>
      <c r="V47" s="29"/>
      <c r="W47" s="42" t="str">
        <f t="shared" si="26"/>
        <v/>
      </c>
      <c r="X47" s="15" t="str">
        <f>IF(A47="","",IF(W47="",INDEX(_翻訳マスタ!$B$89:$D$89,1,MATCH(言語切替!$B$3,_翻訳マスタ!$B$1:$D$1,0)),IF(W47&gt;=1,INDEX(_翻訳マスタ!$B$93:$D$93,1,MATCH(言語切替!$B$3,_翻訳マスタ!$B$1:$D$1,0)),IF(W47&gt;=0.8,INDEX(_翻訳マスタ!$B$91:$D$91,1,MATCH(言語切替!$B$3,_翻訳マスタ!$B$1:$D$1,0)),INDEX(_翻訳マスタ!$B$94:$D$94,1,MATCH(言語切替!$B$3,_翻訳マスタ!$B$1:$D$1,0))))))</f>
        <v/>
      </c>
      <c r="Y47" s="30"/>
      <c r="Z47" s="29"/>
      <c r="AA47" s="39"/>
      <c r="AB47" s="39" t="str">
        <f t="shared" si="33"/>
        <v/>
      </c>
      <c r="AC47" s="39" t="str">
        <f t="shared" si="34"/>
        <v/>
      </c>
      <c r="AD47" s="36"/>
      <c r="AE47" s="44"/>
      <c r="AF47" s="44" t="str">
        <f t="shared" si="35"/>
        <v/>
      </c>
      <c r="AG47" s="44" t="str">
        <f t="shared" si="36"/>
        <v/>
      </c>
    </row>
    <row r="48" spans="1:33" s="21" customFormat="1" x14ac:dyDescent="0.25">
      <c r="A48" s="25"/>
      <c r="B48" s="26"/>
      <c r="C48" s="26"/>
      <c r="D48" s="26"/>
      <c r="E48" s="38"/>
      <c r="F48" s="38" t="str">
        <f t="shared" si="27"/>
        <v/>
      </c>
      <c r="G48" s="38" t="str">
        <f t="shared" si="28"/>
        <v/>
      </c>
      <c r="H48" s="26"/>
      <c r="I48" s="38"/>
      <c r="J48" s="38" t="str">
        <f t="shared" si="29"/>
        <v/>
      </c>
      <c r="K48" s="38" t="str">
        <f t="shared" si="30"/>
        <v/>
      </c>
      <c r="L48" s="26"/>
      <c r="M48" s="38"/>
      <c r="N48" s="38" t="str">
        <f t="shared" si="31"/>
        <v/>
      </c>
      <c r="O48" s="38" t="str">
        <f t="shared" si="32"/>
        <v/>
      </c>
      <c r="P48" s="26"/>
      <c r="Q48" s="26"/>
      <c r="R48" s="26"/>
      <c r="S48" s="26"/>
      <c r="T48" s="26"/>
      <c r="U48" s="26"/>
      <c r="V48" s="26"/>
      <c r="W48" s="41" t="str">
        <f t="shared" si="26"/>
        <v/>
      </c>
      <c r="X48" s="12" t="str">
        <f>IF(A48="","",IF(W48="",INDEX(_翻訳マスタ!$B$89:$D$89,1,MATCH(言語切替!$B$3,_翻訳マスタ!$B$1:$D$1,0)),IF(W48&gt;=1,INDEX(_翻訳マスタ!$B$93:$D$93,1,MATCH(言語切替!$B$3,_翻訳マスタ!$B$1:$D$1,0)),IF(W48&gt;=0.8,INDEX(_翻訳マスタ!$B$91:$D$91,1,MATCH(言語切替!$B$3,_翻訳マスタ!$B$1:$D$1,0)),INDEX(_翻訳マスタ!$B$94:$D$94,1,MATCH(言語切替!$B$3,_翻訳マスタ!$B$1:$D$1,0))))))</f>
        <v/>
      </c>
      <c r="Y48" s="27"/>
      <c r="Z48" s="26"/>
      <c r="AA48" s="38"/>
      <c r="AB48" s="38" t="str">
        <f t="shared" si="33"/>
        <v/>
      </c>
      <c r="AC48" s="38" t="str">
        <f t="shared" si="34"/>
        <v/>
      </c>
      <c r="AD48" s="35"/>
      <c r="AE48" s="45"/>
      <c r="AF48" s="45" t="str">
        <f t="shared" si="35"/>
        <v/>
      </c>
      <c r="AG48" s="45" t="str">
        <f t="shared" si="36"/>
        <v/>
      </c>
    </row>
    <row r="49" spans="1:33" s="21" customFormat="1" x14ac:dyDescent="0.25">
      <c r="A49" s="28"/>
      <c r="B49" s="29"/>
      <c r="C49" s="29"/>
      <c r="D49" s="29"/>
      <c r="E49" s="39"/>
      <c r="F49" s="39" t="str">
        <f t="shared" si="27"/>
        <v/>
      </c>
      <c r="G49" s="39" t="str">
        <f t="shared" si="28"/>
        <v/>
      </c>
      <c r="H49" s="29"/>
      <c r="I49" s="39"/>
      <c r="J49" s="39" t="str">
        <f t="shared" si="29"/>
        <v/>
      </c>
      <c r="K49" s="39" t="str">
        <f t="shared" si="30"/>
        <v/>
      </c>
      <c r="L49" s="29"/>
      <c r="M49" s="39"/>
      <c r="N49" s="39" t="str">
        <f t="shared" si="31"/>
        <v/>
      </c>
      <c r="O49" s="39" t="str">
        <f t="shared" si="32"/>
        <v/>
      </c>
      <c r="P49" s="29"/>
      <c r="Q49" s="29"/>
      <c r="R49" s="29"/>
      <c r="S49" s="29"/>
      <c r="T49" s="29"/>
      <c r="U49" s="29"/>
      <c r="V49" s="29"/>
      <c r="W49" s="42" t="str">
        <f t="shared" si="26"/>
        <v/>
      </c>
      <c r="X49" s="15" t="str">
        <f>IF(A49="","",IF(W49="",INDEX(_翻訳マスタ!$B$89:$D$89,1,MATCH(言語切替!$B$3,_翻訳マスタ!$B$1:$D$1,0)),IF(W49&gt;=1,INDEX(_翻訳マスタ!$B$93:$D$93,1,MATCH(言語切替!$B$3,_翻訳マスタ!$B$1:$D$1,0)),IF(W49&gt;=0.8,INDEX(_翻訳マスタ!$B$91:$D$91,1,MATCH(言語切替!$B$3,_翻訳マスタ!$B$1:$D$1,0)),INDEX(_翻訳マスタ!$B$94:$D$94,1,MATCH(言語切替!$B$3,_翻訳マスタ!$B$1:$D$1,0))))))</f>
        <v/>
      </c>
      <c r="Y49" s="30"/>
      <c r="Z49" s="29"/>
      <c r="AA49" s="39"/>
      <c r="AB49" s="39" t="str">
        <f t="shared" si="33"/>
        <v/>
      </c>
      <c r="AC49" s="39" t="str">
        <f t="shared" si="34"/>
        <v/>
      </c>
      <c r="AD49" s="36"/>
      <c r="AE49" s="44"/>
      <c r="AF49" s="44" t="str">
        <f t="shared" si="35"/>
        <v/>
      </c>
      <c r="AG49" s="44" t="str">
        <f t="shared" si="36"/>
        <v/>
      </c>
    </row>
    <row r="50" spans="1:33" s="21" customFormat="1" x14ac:dyDescent="0.25">
      <c r="A50" s="25"/>
      <c r="B50" s="26"/>
      <c r="C50" s="26"/>
      <c r="D50" s="26"/>
      <c r="E50" s="38"/>
      <c r="F50" s="38" t="str">
        <f t="shared" si="27"/>
        <v/>
      </c>
      <c r="G50" s="38" t="str">
        <f t="shared" si="28"/>
        <v/>
      </c>
      <c r="H50" s="26"/>
      <c r="I50" s="38"/>
      <c r="J50" s="38" t="str">
        <f t="shared" si="29"/>
        <v/>
      </c>
      <c r="K50" s="38" t="str">
        <f t="shared" si="30"/>
        <v/>
      </c>
      <c r="L50" s="26"/>
      <c r="M50" s="38"/>
      <c r="N50" s="38" t="str">
        <f t="shared" si="31"/>
        <v/>
      </c>
      <c r="O50" s="38" t="str">
        <f t="shared" si="32"/>
        <v/>
      </c>
      <c r="P50" s="26"/>
      <c r="Q50" s="26"/>
      <c r="R50" s="26"/>
      <c r="S50" s="26"/>
      <c r="T50" s="26"/>
      <c r="U50" s="26"/>
      <c r="V50" s="26"/>
      <c r="W50" s="41" t="str">
        <f t="shared" si="26"/>
        <v/>
      </c>
      <c r="X50" s="12" t="str">
        <f>IF(A50="","",IF(W50="",INDEX(_翻訳マスタ!$B$89:$D$89,1,MATCH(言語切替!$B$3,_翻訳マスタ!$B$1:$D$1,0)),IF(W50&gt;=1,INDEX(_翻訳マスタ!$B$93:$D$93,1,MATCH(言語切替!$B$3,_翻訳マスタ!$B$1:$D$1,0)),IF(W50&gt;=0.8,INDEX(_翻訳マスタ!$B$91:$D$91,1,MATCH(言語切替!$B$3,_翻訳マスタ!$B$1:$D$1,0)),INDEX(_翻訳マスタ!$B$94:$D$94,1,MATCH(言語切替!$B$3,_翻訳マスタ!$B$1:$D$1,0))))))</f>
        <v/>
      </c>
      <c r="Y50" s="27"/>
      <c r="Z50" s="26"/>
      <c r="AA50" s="38"/>
      <c r="AB50" s="38" t="str">
        <f t="shared" si="33"/>
        <v/>
      </c>
      <c r="AC50" s="38" t="str">
        <f t="shared" si="34"/>
        <v/>
      </c>
      <c r="AD50" s="35"/>
      <c r="AE50" s="45"/>
      <c r="AF50" s="45" t="str">
        <f t="shared" si="35"/>
        <v/>
      </c>
      <c r="AG50" s="45" t="str">
        <f t="shared" si="36"/>
        <v/>
      </c>
    </row>
    <row r="51" spans="1:33" s="21" customFormat="1" x14ac:dyDescent="0.25">
      <c r="A51" s="28"/>
      <c r="B51" s="29"/>
      <c r="C51" s="29"/>
      <c r="D51" s="29"/>
      <c r="E51" s="39"/>
      <c r="F51" s="39" t="str">
        <f t="shared" si="27"/>
        <v/>
      </c>
      <c r="G51" s="39" t="str">
        <f t="shared" si="28"/>
        <v/>
      </c>
      <c r="H51" s="29"/>
      <c r="I51" s="39"/>
      <c r="J51" s="39" t="str">
        <f t="shared" si="29"/>
        <v/>
      </c>
      <c r="K51" s="39" t="str">
        <f t="shared" si="30"/>
        <v/>
      </c>
      <c r="L51" s="29"/>
      <c r="M51" s="39"/>
      <c r="N51" s="39" t="str">
        <f t="shared" si="31"/>
        <v/>
      </c>
      <c r="O51" s="39" t="str">
        <f t="shared" si="32"/>
        <v/>
      </c>
      <c r="P51" s="29"/>
      <c r="Q51" s="29"/>
      <c r="R51" s="29"/>
      <c r="S51" s="29"/>
      <c r="T51" s="29"/>
      <c r="U51" s="29"/>
      <c r="V51" s="29"/>
      <c r="W51" s="42" t="str">
        <f t="shared" si="26"/>
        <v/>
      </c>
      <c r="X51" s="15" t="str">
        <f>IF(A51="","",IF(W51="",INDEX(_翻訳マスタ!$B$89:$D$89,1,MATCH(言語切替!$B$3,_翻訳マスタ!$B$1:$D$1,0)),IF(W51&gt;=1,INDEX(_翻訳マスタ!$B$93:$D$93,1,MATCH(言語切替!$B$3,_翻訳マスタ!$B$1:$D$1,0)),IF(W51&gt;=0.8,INDEX(_翻訳マスタ!$B$91:$D$91,1,MATCH(言語切替!$B$3,_翻訳マスタ!$B$1:$D$1,0)),INDEX(_翻訳マスタ!$B$94:$D$94,1,MATCH(言語切替!$B$3,_翻訳マスタ!$B$1:$D$1,0))))))</f>
        <v/>
      </c>
      <c r="Y51" s="30"/>
      <c r="Z51" s="29"/>
      <c r="AA51" s="39"/>
      <c r="AB51" s="39" t="str">
        <f t="shared" si="33"/>
        <v/>
      </c>
      <c r="AC51" s="39" t="str">
        <f t="shared" si="34"/>
        <v/>
      </c>
      <c r="AD51" s="36"/>
      <c r="AE51" s="44"/>
      <c r="AF51" s="44" t="str">
        <f t="shared" si="35"/>
        <v/>
      </c>
      <c r="AG51" s="44" t="str">
        <f t="shared" si="36"/>
        <v/>
      </c>
    </row>
    <row r="52" spans="1:33" s="21" customFormat="1" x14ac:dyDescent="0.25">
      <c r="A52" s="25"/>
      <c r="B52" s="26"/>
      <c r="C52" s="26"/>
      <c r="D52" s="26"/>
      <c r="E52" s="38"/>
      <c r="F52" s="38" t="str">
        <f t="shared" si="27"/>
        <v/>
      </c>
      <c r="G52" s="38" t="str">
        <f t="shared" si="28"/>
        <v/>
      </c>
      <c r="H52" s="26"/>
      <c r="I52" s="38"/>
      <c r="J52" s="38" t="str">
        <f t="shared" si="29"/>
        <v/>
      </c>
      <c r="K52" s="38" t="str">
        <f t="shared" si="30"/>
        <v/>
      </c>
      <c r="L52" s="26"/>
      <c r="M52" s="38"/>
      <c r="N52" s="38" t="str">
        <f t="shared" si="31"/>
        <v/>
      </c>
      <c r="O52" s="38" t="str">
        <f t="shared" si="32"/>
        <v/>
      </c>
      <c r="P52" s="26"/>
      <c r="Q52" s="26"/>
      <c r="R52" s="26"/>
      <c r="S52" s="26"/>
      <c r="T52" s="26"/>
      <c r="U52" s="26"/>
      <c r="V52" s="26"/>
      <c r="W52" s="41" t="str">
        <f t="shared" si="26"/>
        <v/>
      </c>
      <c r="X52" s="12" t="str">
        <f>IF(A52="","",IF(W52="",INDEX(_翻訳マスタ!$B$89:$D$89,1,MATCH(言語切替!$B$3,_翻訳マスタ!$B$1:$D$1,0)),IF(W52&gt;=1,INDEX(_翻訳マスタ!$B$93:$D$93,1,MATCH(言語切替!$B$3,_翻訳マスタ!$B$1:$D$1,0)),IF(W52&gt;=0.8,INDEX(_翻訳マスタ!$B$91:$D$91,1,MATCH(言語切替!$B$3,_翻訳マスタ!$B$1:$D$1,0)),INDEX(_翻訳マスタ!$B$94:$D$94,1,MATCH(言語切替!$B$3,_翻訳マスタ!$B$1:$D$1,0))))))</f>
        <v/>
      </c>
      <c r="Y52" s="27"/>
      <c r="Z52" s="26"/>
      <c r="AA52" s="38"/>
      <c r="AB52" s="38" t="str">
        <f t="shared" si="33"/>
        <v/>
      </c>
      <c r="AC52" s="38" t="str">
        <f t="shared" si="34"/>
        <v/>
      </c>
      <c r="AD52" s="35"/>
      <c r="AE52" s="45"/>
      <c r="AF52" s="45" t="str">
        <f t="shared" si="35"/>
        <v/>
      </c>
      <c r="AG52" s="45" t="str">
        <f t="shared" si="36"/>
        <v/>
      </c>
    </row>
    <row r="53" spans="1:33" s="21" customFormat="1" x14ac:dyDescent="0.25">
      <c r="A53" s="28"/>
      <c r="B53" s="29"/>
      <c r="C53" s="29"/>
      <c r="D53" s="29"/>
      <c r="E53" s="39"/>
      <c r="F53" s="39" t="str">
        <f t="shared" si="27"/>
        <v/>
      </c>
      <c r="G53" s="39" t="str">
        <f t="shared" si="28"/>
        <v/>
      </c>
      <c r="H53" s="29"/>
      <c r="I53" s="39"/>
      <c r="J53" s="39" t="str">
        <f t="shared" si="29"/>
        <v/>
      </c>
      <c r="K53" s="39" t="str">
        <f t="shared" si="30"/>
        <v/>
      </c>
      <c r="L53" s="29"/>
      <c r="M53" s="39"/>
      <c r="N53" s="39" t="str">
        <f t="shared" si="31"/>
        <v/>
      </c>
      <c r="O53" s="39" t="str">
        <f t="shared" si="32"/>
        <v/>
      </c>
      <c r="P53" s="29"/>
      <c r="Q53" s="29"/>
      <c r="R53" s="29"/>
      <c r="S53" s="29"/>
      <c r="T53" s="29"/>
      <c r="U53" s="29"/>
      <c r="V53" s="29"/>
      <c r="W53" s="42" t="str">
        <f t="shared" si="26"/>
        <v/>
      </c>
      <c r="X53" s="15" t="str">
        <f>IF(A53="","",IF(W53="",INDEX(_翻訳マスタ!$B$89:$D$89,1,MATCH(言語切替!$B$3,_翻訳マスタ!$B$1:$D$1,0)),IF(W53&gt;=1,INDEX(_翻訳マスタ!$B$93:$D$93,1,MATCH(言語切替!$B$3,_翻訳マスタ!$B$1:$D$1,0)),IF(W53&gt;=0.8,INDEX(_翻訳マスタ!$B$91:$D$91,1,MATCH(言語切替!$B$3,_翻訳マスタ!$B$1:$D$1,0)),INDEX(_翻訳マスタ!$B$94:$D$94,1,MATCH(言語切替!$B$3,_翻訳マスタ!$B$1:$D$1,0))))))</f>
        <v/>
      </c>
      <c r="Y53" s="30"/>
      <c r="Z53" s="29"/>
      <c r="AA53" s="39"/>
      <c r="AB53" s="39" t="str">
        <f t="shared" si="33"/>
        <v/>
      </c>
      <c r="AC53" s="39" t="str">
        <f t="shared" si="34"/>
        <v/>
      </c>
      <c r="AD53" s="36"/>
      <c r="AE53" s="44"/>
      <c r="AF53" s="44" t="str">
        <f t="shared" si="35"/>
        <v/>
      </c>
      <c r="AG53" s="44" t="str">
        <f t="shared" si="36"/>
        <v/>
      </c>
    </row>
    <row r="54" spans="1:33" s="21" customFormat="1" x14ac:dyDescent="0.25">
      <c r="A54" s="25"/>
      <c r="B54" s="26"/>
      <c r="C54" s="26"/>
      <c r="D54" s="26"/>
      <c r="E54" s="38"/>
      <c r="F54" s="38" t="str">
        <f t="shared" si="27"/>
        <v/>
      </c>
      <c r="G54" s="38" t="str">
        <f t="shared" si="28"/>
        <v/>
      </c>
      <c r="H54" s="26"/>
      <c r="I54" s="38"/>
      <c r="J54" s="38" t="str">
        <f t="shared" si="29"/>
        <v/>
      </c>
      <c r="K54" s="38" t="str">
        <f t="shared" si="30"/>
        <v/>
      </c>
      <c r="L54" s="26"/>
      <c r="M54" s="38"/>
      <c r="N54" s="38" t="str">
        <f t="shared" si="31"/>
        <v/>
      </c>
      <c r="O54" s="38" t="str">
        <f t="shared" si="32"/>
        <v/>
      </c>
      <c r="P54" s="26"/>
      <c r="Q54" s="26"/>
      <c r="R54" s="26"/>
      <c r="S54" s="26"/>
      <c r="T54" s="26"/>
      <c r="U54" s="26"/>
      <c r="V54" s="26"/>
      <c r="W54" s="41" t="str">
        <f t="shared" si="26"/>
        <v/>
      </c>
      <c r="X54" s="12" t="str">
        <f>IF(A54="","",IF(W54="",INDEX(_翻訳マスタ!$B$89:$D$89,1,MATCH(言語切替!$B$3,_翻訳マスタ!$B$1:$D$1,0)),IF(W54&gt;=1,INDEX(_翻訳マスタ!$B$93:$D$93,1,MATCH(言語切替!$B$3,_翻訳マスタ!$B$1:$D$1,0)),IF(W54&gt;=0.8,INDEX(_翻訳マスタ!$B$91:$D$91,1,MATCH(言語切替!$B$3,_翻訳マスタ!$B$1:$D$1,0)),INDEX(_翻訳マスタ!$B$94:$D$94,1,MATCH(言語切替!$B$3,_翻訳マスタ!$B$1:$D$1,0))))))</f>
        <v/>
      </c>
      <c r="Y54" s="27"/>
      <c r="Z54" s="26"/>
      <c r="AA54" s="38"/>
      <c r="AB54" s="38" t="str">
        <f t="shared" si="33"/>
        <v/>
      </c>
      <c r="AC54" s="38" t="str">
        <f t="shared" si="34"/>
        <v/>
      </c>
      <c r="AD54" s="35"/>
      <c r="AE54" s="45"/>
      <c r="AF54" s="45" t="str">
        <f t="shared" si="35"/>
        <v/>
      </c>
      <c r="AG54" s="45" t="str">
        <f t="shared" si="36"/>
        <v/>
      </c>
    </row>
    <row r="55" spans="1:33" s="21" customFormat="1" x14ac:dyDescent="0.25">
      <c r="A55" s="28"/>
      <c r="B55" s="29"/>
      <c r="C55" s="29"/>
      <c r="D55" s="29"/>
      <c r="E55" s="39"/>
      <c r="F55" s="39" t="str">
        <f t="shared" si="27"/>
        <v/>
      </c>
      <c r="G55" s="39" t="str">
        <f t="shared" si="28"/>
        <v/>
      </c>
      <c r="H55" s="29"/>
      <c r="I55" s="39"/>
      <c r="J55" s="39" t="str">
        <f t="shared" si="29"/>
        <v/>
      </c>
      <c r="K55" s="39" t="str">
        <f t="shared" si="30"/>
        <v/>
      </c>
      <c r="L55" s="29"/>
      <c r="M55" s="39"/>
      <c r="N55" s="39" t="str">
        <f t="shared" si="31"/>
        <v/>
      </c>
      <c r="O55" s="39" t="str">
        <f t="shared" si="32"/>
        <v/>
      </c>
      <c r="P55" s="29"/>
      <c r="Q55" s="29"/>
      <c r="R55" s="29"/>
      <c r="S55" s="29"/>
      <c r="T55" s="29"/>
      <c r="U55" s="29"/>
      <c r="V55" s="29"/>
      <c r="W55" s="42" t="str">
        <f t="shared" si="26"/>
        <v/>
      </c>
      <c r="X55" s="15" t="str">
        <f>IF(A55="","",IF(W55="",INDEX(_翻訳マスタ!$B$89:$D$89,1,MATCH(言語切替!$B$3,_翻訳マスタ!$B$1:$D$1,0)),IF(W55&gt;=1,INDEX(_翻訳マスタ!$B$93:$D$93,1,MATCH(言語切替!$B$3,_翻訳マスタ!$B$1:$D$1,0)),IF(W55&gt;=0.8,INDEX(_翻訳マスタ!$B$91:$D$91,1,MATCH(言語切替!$B$3,_翻訳マスタ!$B$1:$D$1,0)),INDEX(_翻訳マスタ!$B$94:$D$94,1,MATCH(言語切替!$B$3,_翻訳マスタ!$B$1:$D$1,0))))))</f>
        <v/>
      </c>
      <c r="Y55" s="30"/>
      <c r="Z55" s="29"/>
      <c r="AA55" s="39"/>
      <c r="AB55" s="39" t="str">
        <f t="shared" si="33"/>
        <v/>
      </c>
      <c r="AC55" s="39" t="str">
        <f t="shared" si="34"/>
        <v/>
      </c>
      <c r="AD55" s="36"/>
      <c r="AE55" s="44"/>
      <c r="AF55" s="44" t="str">
        <f t="shared" si="35"/>
        <v/>
      </c>
      <c r="AG55" s="44" t="str">
        <f t="shared" si="36"/>
        <v/>
      </c>
    </row>
    <row r="56" spans="1:33" s="21" customFormat="1" x14ac:dyDescent="0.25">
      <c r="A56" s="25"/>
      <c r="B56" s="26"/>
      <c r="C56" s="26"/>
      <c r="D56" s="26"/>
      <c r="E56" s="38"/>
      <c r="F56" s="38" t="str">
        <f t="shared" si="27"/>
        <v/>
      </c>
      <c r="G56" s="38" t="str">
        <f t="shared" si="28"/>
        <v/>
      </c>
      <c r="H56" s="26"/>
      <c r="I56" s="38"/>
      <c r="J56" s="38" t="str">
        <f t="shared" si="29"/>
        <v/>
      </c>
      <c r="K56" s="38" t="str">
        <f t="shared" si="30"/>
        <v/>
      </c>
      <c r="L56" s="26"/>
      <c r="M56" s="38"/>
      <c r="N56" s="38" t="str">
        <f t="shared" si="31"/>
        <v/>
      </c>
      <c r="O56" s="38" t="str">
        <f t="shared" si="32"/>
        <v/>
      </c>
      <c r="P56" s="26"/>
      <c r="Q56" s="26"/>
      <c r="R56" s="26"/>
      <c r="S56" s="26"/>
      <c r="T56" s="26"/>
      <c r="U56" s="26"/>
      <c r="V56" s="26"/>
      <c r="W56" s="41" t="str">
        <f t="shared" si="26"/>
        <v/>
      </c>
      <c r="X56" s="12" t="str">
        <f>IF(A56="","",IF(W56="",INDEX(_翻訳マスタ!$B$89:$D$89,1,MATCH(言語切替!$B$3,_翻訳マスタ!$B$1:$D$1,0)),IF(W56&gt;=1,INDEX(_翻訳マスタ!$B$93:$D$93,1,MATCH(言語切替!$B$3,_翻訳マスタ!$B$1:$D$1,0)),IF(W56&gt;=0.8,INDEX(_翻訳マスタ!$B$91:$D$91,1,MATCH(言語切替!$B$3,_翻訳マスタ!$B$1:$D$1,0)),INDEX(_翻訳マスタ!$B$94:$D$94,1,MATCH(言語切替!$B$3,_翻訳マスタ!$B$1:$D$1,0))))))</f>
        <v/>
      </c>
      <c r="Y56" s="27"/>
      <c r="Z56" s="26"/>
      <c r="AA56" s="38"/>
      <c r="AB56" s="38" t="str">
        <f t="shared" si="33"/>
        <v/>
      </c>
      <c r="AC56" s="38" t="str">
        <f t="shared" si="34"/>
        <v/>
      </c>
      <c r="AD56" s="35"/>
      <c r="AE56" s="45"/>
      <c r="AF56" s="45" t="str">
        <f t="shared" si="35"/>
        <v/>
      </c>
      <c r="AG56" s="45" t="str">
        <f t="shared" si="36"/>
        <v/>
      </c>
    </row>
    <row r="57" spans="1:33" s="21" customFormat="1" x14ac:dyDescent="0.25">
      <c r="A57" s="28"/>
      <c r="B57" s="29"/>
      <c r="C57" s="29"/>
      <c r="D57" s="29"/>
      <c r="E57" s="39"/>
      <c r="F57" s="39" t="str">
        <f t="shared" si="27"/>
        <v/>
      </c>
      <c r="G57" s="39" t="str">
        <f t="shared" si="28"/>
        <v/>
      </c>
      <c r="H57" s="29"/>
      <c r="I57" s="39"/>
      <c r="J57" s="39" t="str">
        <f t="shared" si="29"/>
        <v/>
      </c>
      <c r="K57" s="39" t="str">
        <f t="shared" si="30"/>
        <v/>
      </c>
      <c r="L57" s="29"/>
      <c r="M57" s="39"/>
      <c r="N57" s="39" t="str">
        <f t="shared" si="31"/>
        <v/>
      </c>
      <c r="O57" s="39" t="str">
        <f t="shared" si="32"/>
        <v/>
      </c>
      <c r="P57" s="29"/>
      <c r="Q57" s="29"/>
      <c r="R57" s="29"/>
      <c r="S57" s="29"/>
      <c r="T57" s="29"/>
      <c r="U57" s="29"/>
      <c r="V57" s="29"/>
      <c r="W57" s="42" t="str">
        <f t="shared" si="26"/>
        <v/>
      </c>
      <c r="X57" s="15" t="str">
        <f>IF(A57="","",IF(W57="",INDEX(_翻訳マスタ!$B$89:$D$89,1,MATCH(言語切替!$B$3,_翻訳マスタ!$B$1:$D$1,0)),IF(W57&gt;=1,INDEX(_翻訳マスタ!$B$93:$D$93,1,MATCH(言語切替!$B$3,_翻訳マスタ!$B$1:$D$1,0)),IF(W57&gt;=0.8,INDEX(_翻訳マスタ!$B$91:$D$91,1,MATCH(言語切替!$B$3,_翻訳マスタ!$B$1:$D$1,0)),INDEX(_翻訳マスタ!$B$94:$D$94,1,MATCH(言語切替!$B$3,_翻訳マスタ!$B$1:$D$1,0))))))</f>
        <v/>
      </c>
      <c r="Y57" s="30"/>
      <c r="Z57" s="29"/>
      <c r="AA57" s="39"/>
      <c r="AB57" s="39" t="str">
        <f t="shared" si="33"/>
        <v/>
      </c>
      <c r="AC57" s="39" t="str">
        <f t="shared" si="34"/>
        <v/>
      </c>
      <c r="AD57" s="36"/>
      <c r="AE57" s="44"/>
      <c r="AF57" s="44" t="str">
        <f t="shared" si="35"/>
        <v/>
      </c>
      <c r="AG57" s="44" t="str">
        <f t="shared" si="36"/>
        <v/>
      </c>
    </row>
    <row r="58" spans="1:33" s="21" customFormat="1" x14ac:dyDescent="0.25">
      <c r="A58" s="25"/>
      <c r="B58" s="26"/>
      <c r="C58" s="26"/>
      <c r="D58" s="26"/>
      <c r="E58" s="38"/>
      <c r="F58" s="38" t="str">
        <f t="shared" si="27"/>
        <v/>
      </c>
      <c r="G58" s="38" t="str">
        <f t="shared" si="28"/>
        <v/>
      </c>
      <c r="H58" s="26"/>
      <c r="I58" s="38"/>
      <c r="J58" s="38" t="str">
        <f t="shared" si="29"/>
        <v/>
      </c>
      <c r="K58" s="38" t="str">
        <f t="shared" si="30"/>
        <v/>
      </c>
      <c r="L58" s="26"/>
      <c r="M58" s="38"/>
      <c r="N58" s="38" t="str">
        <f t="shared" si="31"/>
        <v/>
      </c>
      <c r="O58" s="38" t="str">
        <f t="shared" si="32"/>
        <v/>
      </c>
      <c r="P58" s="26"/>
      <c r="Q58" s="26"/>
      <c r="R58" s="26"/>
      <c r="S58" s="26"/>
      <c r="T58" s="26"/>
      <c r="U58" s="26"/>
      <c r="V58" s="26"/>
      <c r="W58" s="41" t="str">
        <f t="shared" si="26"/>
        <v/>
      </c>
      <c r="X58" s="12" t="str">
        <f>IF(A58="","",IF(W58="",INDEX(_翻訳マスタ!$B$89:$D$89,1,MATCH(言語切替!$B$3,_翻訳マスタ!$B$1:$D$1,0)),IF(W58&gt;=1,INDEX(_翻訳マスタ!$B$93:$D$93,1,MATCH(言語切替!$B$3,_翻訳マスタ!$B$1:$D$1,0)),IF(W58&gt;=0.8,INDEX(_翻訳マスタ!$B$91:$D$91,1,MATCH(言語切替!$B$3,_翻訳マスタ!$B$1:$D$1,0)),INDEX(_翻訳マスタ!$B$94:$D$94,1,MATCH(言語切替!$B$3,_翻訳マスタ!$B$1:$D$1,0))))))</f>
        <v/>
      </c>
      <c r="Y58" s="27"/>
      <c r="Z58" s="26"/>
      <c r="AA58" s="38"/>
      <c r="AB58" s="38" t="str">
        <f t="shared" si="33"/>
        <v/>
      </c>
      <c r="AC58" s="38" t="str">
        <f t="shared" si="34"/>
        <v/>
      </c>
      <c r="AD58" s="35"/>
      <c r="AE58" s="45"/>
      <c r="AF58" s="45" t="str">
        <f t="shared" si="35"/>
        <v/>
      </c>
      <c r="AG58" s="45" t="str">
        <f t="shared" si="36"/>
        <v/>
      </c>
    </row>
    <row r="59" spans="1:33" s="21" customFormat="1" x14ac:dyDescent="0.25">
      <c r="A59" s="28"/>
      <c r="B59" s="29"/>
      <c r="C59" s="29"/>
      <c r="D59" s="29"/>
      <c r="E59" s="39"/>
      <c r="F59" s="39" t="str">
        <f t="shared" si="27"/>
        <v/>
      </c>
      <c r="G59" s="39" t="str">
        <f t="shared" si="28"/>
        <v/>
      </c>
      <c r="H59" s="29"/>
      <c r="I59" s="39"/>
      <c r="J59" s="39" t="str">
        <f t="shared" si="29"/>
        <v/>
      </c>
      <c r="K59" s="39" t="str">
        <f t="shared" si="30"/>
        <v/>
      </c>
      <c r="L59" s="29"/>
      <c r="M59" s="39"/>
      <c r="N59" s="39" t="str">
        <f t="shared" si="31"/>
        <v/>
      </c>
      <c r="O59" s="39" t="str">
        <f t="shared" si="32"/>
        <v/>
      </c>
      <c r="P59" s="29"/>
      <c r="Q59" s="29"/>
      <c r="R59" s="29"/>
      <c r="S59" s="29"/>
      <c r="T59" s="29"/>
      <c r="U59" s="29"/>
      <c r="V59" s="29"/>
      <c r="W59" s="42" t="str">
        <f t="shared" si="26"/>
        <v/>
      </c>
      <c r="X59" s="15" t="str">
        <f>IF(A59="","",IF(W59="",INDEX(_翻訳マスタ!$B$89:$D$89,1,MATCH(言語切替!$B$3,_翻訳マスタ!$B$1:$D$1,0)),IF(W59&gt;=1,INDEX(_翻訳マスタ!$B$93:$D$93,1,MATCH(言語切替!$B$3,_翻訳マスタ!$B$1:$D$1,0)),IF(W59&gt;=0.8,INDEX(_翻訳マスタ!$B$91:$D$91,1,MATCH(言語切替!$B$3,_翻訳マスタ!$B$1:$D$1,0)),INDEX(_翻訳マスタ!$B$94:$D$94,1,MATCH(言語切替!$B$3,_翻訳マスタ!$B$1:$D$1,0))))))</f>
        <v/>
      </c>
      <c r="Y59" s="30"/>
      <c r="Z59" s="29"/>
      <c r="AA59" s="39"/>
      <c r="AB59" s="39" t="str">
        <f t="shared" si="33"/>
        <v/>
      </c>
      <c r="AC59" s="39" t="str">
        <f t="shared" si="34"/>
        <v/>
      </c>
      <c r="AD59" s="36"/>
      <c r="AE59" s="44"/>
      <c r="AF59" s="44" t="str">
        <f t="shared" si="35"/>
        <v/>
      </c>
      <c r="AG59" s="44" t="str">
        <f t="shared" si="36"/>
        <v/>
      </c>
    </row>
    <row r="60" spans="1:33" s="21" customFormat="1" x14ac:dyDescent="0.25">
      <c r="A60" s="25"/>
      <c r="B60" s="26"/>
      <c r="C60" s="26"/>
      <c r="D60" s="26"/>
      <c r="E60" s="38"/>
      <c r="F60" s="38" t="str">
        <f t="shared" si="27"/>
        <v/>
      </c>
      <c r="G60" s="38" t="str">
        <f t="shared" si="28"/>
        <v/>
      </c>
      <c r="H60" s="26"/>
      <c r="I60" s="38"/>
      <c r="J60" s="38" t="str">
        <f t="shared" si="29"/>
        <v/>
      </c>
      <c r="K60" s="38" t="str">
        <f t="shared" si="30"/>
        <v/>
      </c>
      <c r="L60" s="26"/>
      <c r="M60" s="38"/>
      <c r="N60" s="38" t="str">
        <f t="shared" si="31"/>
        <v/>
      </c>
      <c r="O60" s="38" t="str">
        <f t="shared" si="32"/>
        <v/>
      </c>
      <c r="P60" s="26"/>
      <c r="Q60" s="26"/>
      <c r="R60" s="26"/>
      <c r="S60" s="26"/>
      <c r="T60" s="26"/>
      <c r="U60" s="26"/>
      <c r="V60" s="26"/>
      <c r="W60" s="41" t="str">
        <f t="shared" si="26"/>
        <v/>
      </c>
      <c r="X60" s="12" t="str">
        <f>IF(A60="","",IF(W60="",INDEX(_翻訳マスタ!$B$89:$D$89,1,MATCH(言語切替!$B$3,_翻訳マスタ!$B$1:$D$1,0)),IF(W60&gt;=1,INDEX(_翻訳マスタ!$B$93:$D$93,1,MATCH(言語切替!$B$3,_翻訳マスタ!$B$1:$D$1,0)),IF(W60&gt;=0.8,INDEX(_翻訳マスタ!$B$91:$D$91,1,MATCH(言語切替!$B$3,_翻訳マスタ!$B$1:$D$1,0)),INDEX(_翻訳マスタ!$B$94:$D$94,1,MATCH(言語切替!$B$3,_翻訳マスタ!$B$1:$D$1,0))))))</f>
        <v/>
      </c>
      <c r="Y60" s="27"/>
      <c r="Z60" s="26"/>
      <c r="AA60" s="38"/>
      <c r="AB60" s="38" t="str">
        <f t="shared" si="33"/>
        <v/>
      </c>
      <c r="AC60" s="38" t="str">
        <f t="shared" si="34"/>
        <v/>
      </c>
      <c r="AD60" s="35"/>
      <c r="AE60" s="45"/>
      <c r="AF60" s="45" t="str">
        <f t="shared" si="35"/>
        <v/>
      </c>
      <c r="AG60" s="45" t="str">
        <f t="shared" si="36"/>
        <v/>
      </c>
    </row>
    <row r="61" spans="1:33" s="21" customFormat="1" x14ac:dyDescent="0.25">
      <c r="A61" s="28"/>
      <c r="B61" s="29"/>
      <c r="C61" s="29"/>
      <c r="D61" s="29"/>
      <c r="E61" s="39"/>
      <c r="F61" s="39" t="str">
        <f t="shared" si="27"/>
        <v/>
      </c>
      <c r="G61" s="39" t="str">
        <f t="shared" si="28"/>
        <v/>
      </c>
      <c r="H61" s="29"/>
      <c r="I61" s="39"/>
      <c r="J61" s="39" t="str">
        <f t="shared" si="29"/>
        <v/>
      </c>
      <c r="K61" s="39" t="str">
        <f t="shared" si="30"/>
        <v/>
      </c>
      <c r="L61" s="29"/>
      <c r="M61" s="39"/>
      <c r="N61" s="39" t="str">
        <f t="shared" si="31"/>
        <v/>
      </c>
      <c r="O61" s="39" t="str">
        <f t="shared" si="32"/>
        <v/>
      </c>
      <c r="P61" s="29"/>
      <c r="Q61" s="29"/>
      <c r="R61" s="29"/>
      <c r="S61" s="29"/>
      <c r="T61" s="29"/>
      <c r="U61" s="29"/>
      <c r="V61" s="29"/>
      <c r="W61" s="42" t="str">
        <f t="shared" si="26"/>
        <v/>
      </c>
      <c r="X61" s="15" t="str">
        <f>IF(A61="","",IF(W61="",INDEX(_翻訳マスタ!$B$89:$D$89,1,MATCH(言語切替!$B$3,_翻訳マスタ!$B$1:$D$1,0)),IF(W61&gt;=1,INDEX(_翻訳マスタ!$B$93:$D$93,1,MATCH(言語切替!$B$3,_翻訳マスタ!$B$1:$D$1,0)),IF(W61&gt;=0.8,INDEX(_翻訳マスタ!$B$91:$D$91,1,MATCH(言語切替!$B$3,_翻訳マスタ!$B$1:$D$1,0)),INDEX(_翻訳マスタ!$B$94:$D$94,1,MATCH(言語切替!$B$3,_翻訳マスタ!$B$1:$D$1,0))))))</f>
        <v/>
      </c>
      <c r="Y61" s="30"/>
      <c r="Z61" s="29"/>
      <c r="AA61" s="39"/>
      <c r="AB61" s="39" t="str">
        <f t="shared" si="33"/>
        <v/>
      </c>
      <c r="AC61" s="39" t="str">
        <f t="shared" si="34"/>
        <v/>
      </c>
      <c r="AD61" s="36"/>
      <c r="AE61" s="44"/>
      <c r="AF61" s="44" t="str">
        <f t="shared" si="35"/>
        <v/>
      </c>
      <c r="AG61" s="44" t="str">
        <f t="shared" si="36"/>
        <v/>
      </c>
    </row>
    <row r="62" spans="1:33" s="21" customFormat="1" x14ac:dyDescent="0.25">
      <c r="A62" s="25"/>
      <c r="B62" s="26"/>
      <c r="C62" s="26"/>
      <c r="D62" s="26"/>
      <c r="E62" s="38"/>
      <c r="F62" s="38" t="str">
        <f t="shared" si="27"/>
        <v/>
      </c>
      <c r="G62" s="38" t="str">
        <f t="shared" si="28"/>
        <v/>
      </c>
      <c r="H62" s="26"/>
      <c r="I62" s="38"/>
      <c r="J62" s="38" t="str">
        <f t="shared" si="29"/>
        <v/>
      </c>
      <c r="K62" s="38" t="str">
        <f t="shared" si="30"/>
        <v/>
      </c>
      <c r="L62" s="26"/>
      <c r="M62" s="38"/>
      <c r="N62" s="38" t="str">
        <f t="shared" si="31"/>
        <v/>
      </c>
      <c r="O62" s="38" t="str">
        <f t="shared" si="32"/>
        <v/>
      </c>
      <c r="P62" s="26"/>
      <c r="Q62" s="26"/>
      <c r="R62" s="26"/>
      <c r="S62" s="26"/>
      <c r="T62" s="26"/>
      <c r="U62" s="26"/>
      <c r="V62" s="26"/>
      <c r="W62" s="41" t="str">
        <f t="shared" si="26"/>
        <v/>
      </c>
      <c r="X62" s="12" t="str">
        <f>IF(A62="","",IF(W62="",INDEX(_翻訳マスタ!$B$89:$D$89,1,MATCH(言語切替!$B$3,_翻訳マスタ!$B$1:$D$1,0)),IF(W62&gt;=1,INDEX(_翻訳マスタ!$B$93:$D$93,1,MATCH(言語切替!$B$3,_翻訳マスタ!$B$1:$D$1,0)),IF(W62&gt;=0.8,INDEX(_翻訳マスタ!$B$91:$D$91,1,MATCH(言語切替!$B$3,_翻訳マスタ!$B$1:$D$1,0)),INDEX(_翻訳マスタ!$B$94:$D$94,1,MATCH(言語切替!$B$3,_翻訳マスタ!$B$1:$D$1,0))))))</f>
        <v/>
      </c>
      <c r="Y62" s="27"/>
      <c r="Z62" s="26"/>
      <c r="AA62" s="38"/>
      <c r="AB62" s="38" t="str">
        <f t="shared" si="33"/>
        <v/>
      </c>
      <c r="AC62" s="38" t="str">
        <f t="shared" si="34"/>
        <v/>
      </c>
      <c r="AD62" s="35"/>
      <c r="AE62" s="45"/>
      <c r="AF62" s="45" t="str">
        <f t="shared" si="35"/>
        <v/>
      </c>
      <c r="AG62" s="45" t="str">
        <f t="shared" si="36"/>
        <v/>
      </c>
    </row>
    <row r="63" spans="1:33" s="21" customFormat="1" x14ac:dyDescent="0.25">
      <c r="A63" s="28"/>
      <c r="B63" s="29"/>
      <c r="C63" s="29"/>
      <c r="D63" s="29"/>
      <c r="E63" s="39"/>
      <c r="F63" s="39" t="str">
        <f t="shared" si="27"/>
        <v/>
      </c>
      <c r="G63" s="39" t="str">
        <f t="shared" si="28"/>
        <v/>
      </c>
      <c r="H63" s="29"/>
      <c r="I63" s="39"/>
      <c r="J63" s="39" t="str">
        <f t="shared" si="29"/>
        <v/>
      </c>
      <c r="K63" s="39" t="str">
        <f t="shared" si="30"/>
        <v/>
      </c>
      <c r="L63" s="29"/>
      <c r="M63" s="39"/>
      <c r="N63" s="39" t="str">
        <f t="shared" si="31"/>
        <v/>
      </c>
      <c r="O63" s="39" t="str">
        <f t="shared" si="32"/>
        <v/>
      </c>
      <c r="P63" s="29"/>
      <c r="Q63" s="29"/>
      <c r="R63" s="29"/>
      <c r="S63" s="29"/>
      <c r="T63" s="29"/>
      <c r="U63" s="29"/>
      <c r="V63" s="29"/>
      <c r="W63" s="42" t="str">
        <f t="shared" si="26"/>
        <v/>
      </c>
      <c r="X63" s="15" t="str">
        <f>IF(A63="","",IF(W63="",INDEX(_翻訳マスタ!$B$89:$D$89,1,MATCH(言語切替!$B$3,_翻訳マスタ!$B$1:$D$1,0)),IF(W63&gt;=1,INDEX(_翻訳マスタ!$B$93:$D$93,1,MATCH(言語切替!$B$3,_翻訳マスタ!$B$1:$D$1,0)),IF(W63&gt;=0.8,INDEX(_翻訳マスタ!$B$91:$D$91,1,MATCH(言語切替!$B$3,_翻訳マスタ!$B$1:$D$1,0)),INDEX(_翻訳マスタ!$B$94:$D$94,1,MATCH(言語切替!$B$3,_翻訳マスタ!$B$1:$D$1,0))))))</f>
        <v/>
      </c>
      <c r="Y63" s="30"/>
      <c r="Z63" s="29"/>
      <c r="AA63" s="39"/>
      <c r="AB63" s="39" t="str">
        <f t="shared" si="33"/>
        <v/>
      </c>
      <c r="AC63" s="39" t="str">
        <f t="shared" si="34"/>
        <v/>
      </c>
      <c r="AD63" s="36"/>
      <c r="AE63" s="44"/>
      <c r="AF63" s="44" t="str">
        <f t="shared" si="35"/>
        <v/>
      </c>
      <c r="AG63" s="44" t="str">
        <f t="shared" si="36"/>
        <v/>
      </c>
    </row>
    <row r="64" spans="1:33" s="21" customFormat="1" x14ac:dyDescent="0.25">
      <c r="A64" s="25"/>
      <c r="B64" s="26"/>
      <c r="C64" s="26"/>
      <c r="D64" s="26"/>
      <c r="E64" s="38"/>
      <c r="F64" s="38" t="str">
        <f t="shared" si="27"/>
        <v/>
      </c>
      <c r="G64" s="38" t="str">
        <f t="shared" si="28"/>
        <v/>
      </c>
      <c r="H64" s="26"/>
      <c r="I64" s="38"/>
      <c r="J64" s="38" t="str">
        <f t="shared" si="29"/>
        <v/>
      </c>
      <c r="K64" s="38" t="str">
        <f t="shared" si="30"/>
        <v/>
      </c>
      <c r="L64" s="26"/>
      <c r="M64" s="38"/>
      <c r="N64" s="38" t="str">
        <f t="shared" si="31"/>
        <v/>
      </c>
      <c r="O64" s="38" t="str">
        <f t="shared" si="32"/>
        <v/>
      </c>
      <c r="P64" s="26"/>
      <c r="Q64" s="26"/>
      <c r="R64" s="26"/>
      <c r="S64" s="26"/>
      <c r="T64" s="26"/>
      <c r="U64" s="26"/>
      <c r="V64" s="26"/>
      <c r="W64" s="41" t="str">
        <f t="shared" si="26"/>
        <v/>
      </c>
      <c r="X64" s="12" t="str">
        <f>IF(A64="","",IF(W64="",INDEX(_翻訳マスタ!$B$89:$D$89,1,MATCH(言語切替!$B$3,_翻訳マスタ!$B$1:$D$1,0)),IF(W64&gt;=1,INDEX(_翻訳マスタ!$B$93:$D$93,1,MATCH(言語切替!$B$3,_翻訳マスタ!$B$1:$D$1,0)),IF(W64&gt;=0.8,INDEX(_翻訳マスタ!$B$91:$D$91,1,MATCH(言語切替!$B$3,_翻訳マスタ!$B$1:$D$1,0)),INDEX(_翻訳マスタ!$B$94:$D$94,1,MATCH(言語切替!$B$3,_翻訳マスタ!$B$1:$D$1,0))))))</f>
        <v/>
      </c>
      <c r="Y64" s="27"/>
      <c r="Z64" s="26"/>
      <c r="AA64" s="38"/>
      <c r="AB64" s="38" t="str">
        <f t="shared" si="33"/>
        <v/>
      </c>
      <c r="AC64" s="38" t="str">
        <f t="shared" si="34"/>
        <v/>
      </c>
      <c r="AD64" s="35"/>
      <c r="AE64" s="45"/>
      <c r="AF64" s="45" t="str">
        <f t="shared" si="35"/>
        <v/>
      </c>
      <c r="AG64" s="45" t="str">
        <f t="shared" si="36"/>
        <v/>
      </c>
    </row>
    <row r="65" spans="1:33" s="21" customFormat="1" x14ac:dyDescent="0.25">
      <c r="A65" s="28"/>
      <c r="B65" s="29"/>
      <c r="C65" s="29"/>
      <c r="D65" s="29"/>
      <c r="E65" s="39"/>
      <c r="F65" s="39" t="str">
        <f t="shared" si="27"/>
        <v/>
      </c>
      <c r="G65" s="39" t="str">
        <f t="shared" si="28"/>
        <v/>
      </c>
      <c r="H65" s="29"/>
      <c r="I65" s="39"/>
      <c r="J65" s="39" t="str">
        <f t="shared" si="29"/>
        <v/>
      </c>
      <c r="K65" s="39" t="str">
        <f t="shared" si="30"/>
        <v/>
      </c>
      <c r="L65" s="29"/>
      <c r="M65" s="39"/>
      <c r="N65" s="39" t="str">
        <f t="shared" si="31"/>
        <v/>
      </c>
      <c r="O65" s="39" t="str">
        <f t="shared" si="32"/>
        <v/>
      </c>
      <c r="P65" s="29"/>
      <c r="Q65" s="29"/>
      <c r="R65" s="29"/>
      <c r="S65" s="29"/>
      <c r="T65" s="29"/>
      <c r="U65" s="29"/>
      <c r="V65" s="29"/>
      <c r="W65" s="42" t="str">
        <f t="shared" si="26"/>
        <v/>
      </c>
      <c r="X65" s="15" t="str">
        <f>IF(A65="","",IF(W65="",INDEX(_翻訳マスタ!$B$89:$D$89,1,MATCH(言語切替!$B$3,_翻訳マスタ!$B$1:$D$1,0)),IF(W65&gt;=1,INDEX(_翻訳マスタ!$B$93:$D$93,1,MATCH(言語切替!$B$3,_翻訳マスタ!$B$1:$D$1,0)),IF(W65&gt;=0.8,INDEX(_翻訳マスタ!$B$91:$D$91,1,MATCH(言語切替!$B$3,_翻訳マスタ!$B$1:$D$1,0)),INDEX(_翻訳マスタ!$B$94:$D$94,1,MATCH(言語切替!$B$3,_翻訳マスタ!$B$1:$D$1,0))))))</f>
        <v/>
      </c>
      <c r="Y65" s="30"/>
      <c r="Z65" s="29"/>
      <c r="AA65" s="39"/>
      <c r="AB65" s="39" t="str">
        <f t="shared" si="33"/>
        <v/>
      </c>
      <c r="AC65" s="39" t="str">
        <f t="shared" si="34"/>
        <v/>
      </c>
      <c r="AD65" s="36"/>
      <c r="AE65" s="44"/>
      <c r="AF65" s="44" t="str">
        <f t="shared" si="35"/>
        <v/>
      </c>
      <c r="AG65" s="44" t="str">
        <f t="shared" si="36"/>
        <v/>
      </c>
    </row>
    <row r="66" spans="1:33" s="21" customFormat="1" x14ac:dyDescent="0.25">
      <c r="A66" s="25"/>
      <c r="B66" s="26"/>
      <c r="C66" s="26"/>
      <c r="D66" s="26"/>
      <c r="E66" s="38"/>
      <c r="F66" s="38" t="str">
        <f t="shared" si="27"/>
        <v/>
      </c>
      <c r="G66" s="38" t="str">
        <f t="shared" si="28"/>
        <v/>
      </c>
      <c r="H66" s="26"/>
      <c r="I66" s="38"/>
      <c r="J66" s="38" t="str">
        <f t="shared" si="29"/>
        <v/>
      </c>
      <c r="K66" s="38" t="str">
        <f t="shared" si="30"/>
        <v/>
      </c>
      <c r="L66" s="26"/>
      <c r="M66" s="38"/>
      <c r="N66" s="38" t="str">
        <f t="shared" si="31"/>
        <v/>
      </c>
      <c r="O66" s="38" t="str">
        <f t="shared" si="32"/>
        <v/>
      </c>
      <c r="P66" s="26"/>
      <c r="Q66" s="26"/>
      <c r="R66" s="26"/>
      <c r="S66" s="26"/>
      <c r="T66" s="26"/>
      <c r="U66" s="26"/>
      <c r="V66" s="26"/>
      <c r="W66" s="41" t="str">
        <f t="shared" si="26"/>
        <v/>
      </c>
      <c r="X66" s="12" t="str">
        <f>IF(A66="","",IF(W66="",INDEX(_翻訳マスタ!$B$89:$D$89,1,MATCH(言語切替!$B$3,_翻訳マスタ!$B$1:$D$1,0)),IF(W66&gt;=1,INDEX(_翻訳マスタ!$B$93:$D$93,1,MATCH(言語切替!$B$3,_翻訳マスタ!$B$1:$D$1,0)),IF(W66&gt;=0.8,INDEX(_翻訳マスタ!$B$91:$D$91,1,MATCH(言語切替!$B$3,_翻訳マスタ!$B$1:$D$1,0)),INDEX(_翻訳マスタ!$B$94:$D$94,1,MATCH(言語切替!$B$3,_翻訳マスタ!$B$1:$D$1,0))))))</f>
        <v/>
      </c>
      <c r="Y66" s="27"/>
      <c r="Z66" s="26"/>
      <c r="AA66" s="38"/>
      <c r="AB66" s="38" t="str">
        <f t="shared" si="33"/>
        <v/>
      </c>
      <c r="AC66" s="38" t="str">
        <f t="shared" si="34"/>
        <v/>
      </c>
      <c r="AD66" s="35"/>
      <c r="AE66" s="45"/>
      <c r="AF66" s="45" t="str">
        <f t="shared" si="35"/>
        <v/>
      </c>
      <c r="AG66" s="45" t="str">
        <f t="shared" si="36"/>
        <v/>
      </c>
    </row>
    <row r="67" spans="1:33" s="21" customFormat="1" x14ac:dyDescent="0.25">
      <c r="A67" s="28"/>
      <c r="B67" s="29"/>
      <c r="C67" s="29"/>
      <c r="D67" s="29"/>
      <c r="E67" s="39"/>
      <c r="F67" s="39" t="str">
        <f t="shared" si="27"/>
        <v/>
      </c>
      <c r="G67" s="39" t="str">
        <f t="shared" si="28"/>
        <v/>
      </c>
      <c r="H67" s="29"/>
      <c r="I67" s="39"/>
      <c r="J67" s="39" t="str">
        <f t="shared" si="29"/>
        <v/>
      </c>
      <c r="K67" s="39" t="str">
        <f t="shared" si="30"/>
        <v/>
      </c>
      <c r="L67" s="29"/>
      <c r="M67" s="39"/>
      <c r="N67" s="39" t="str">
        <f t="shared" si="31"/>
        <v/>
      </c>
      <c r="O67" s="39" t="str">
        <f t="shared" si="32"/>
        <v/>
      </c>
      <c r="P67" s="29"/>
      <c r="Q67" s="29"/>
      <c r="R67" s="29"/>
      <c r="S67" s="29"/>
      <c r="T67" s="29"/>
      <c r="U67" s="29"/>
      <c r="V67" s="29"/>
      <c r="W67" s="42" t="str">
        <f t="shared" si="26"/>
        <v/>
      </c>
      <c r="X67" s="15" t="str">
        <f>IF(A67="","",IF(W67="",INDEX(_翻訳マスタ!$B$89:$D$89,1,MATCH(言語切替!$B$3,_翻訳マスタ!$B$1:$D$1,0)),IF(W67&gt;=1,INDEX(_翻訳マスタ!$B$93:$D$93,1,MATCH(言語切替!$B$3,_翻訳マスタ!$B$1:$D$1,0)),IF(W67&gt;=0.8,INDEX(_翻訳マスタ!$B$91:$D$91,1,MATCH(言語切替!$B$3,_翻訳マスタ!$B$1:$D$1,0)),INDEX(_翻訳マスタ!$B$94:$D$94,1,MATCH(言語切替!$B$3,_翻訳マスタ!$B$1:$D$1,0))))))</f>
        <v/>
      </c>
      <c r="Y67" s="30"/>
      <c r="Z67" s="29"/>
      <c r="AA67" s="39"/>
      <c r="AB67" s="39" t="str">
        <f t="shared" si="33"/>
        <v/>
      </c>
      <c r="AC67" s="39" t="str">
        <f t="shared" si="34"/>
        <v/>
      </c>
      <c r="AD67" s="36"/>
      <c r="AE67" s="44"/>
      <c r="AF67" s="44" t="str">
        <f t="shared" si="35"/>
        <v/>
      </c>
      <c r="AG67" s="44" t="str">
        <f t="shared" si="36"/>
        <v/>
      </c>
    </row>
    <row r="68" spans="1:33" s="21" customFormat="1" x14ac:dyDescent="0.25">
      <c r="A68" s="25"/>
      <c r="B68" s="26"/>
      <c r="C68" s="26"/>
      <c r="D68" s="26"/>
      <c r="E68" s="38"/>
      <c r="F68" s="38" t="str">
        <f t="shared" si="27"/>
        <v/>
      </c>
      <c r="G68" s="38" t="str">
        <f t="shared" si="28"/>
        <v/>
      </c>
      <c r="H68" s="26"/>
      <c r="I68" s="38"/>
      <c r="J68" s="38" t="str">
        <f t="shared" si="29"/>
        <v/>
      </c>
      <c r="K68" s="38" t="str">
        <f t="shared" si="30"/>
        <v/>
      </c>
      <c r="L68" s="26"/>
      <c r="M68" s="38"/>
      <c r="N68" s="38" t="str">
        <f t="shared" si="31"/>
        <v/>
      </c>
      <c r="O68" s="38" t="str">
        <f t="shared" si="32"/>
        <v/>
      </c>
      <c r="P68" s="26"/>
      <c r="Q68" s="26"/>
      <c r="R68" s="26"/>
      <c r="S68" s="26"/>
      <c r="T68" s="26"/>
      <c r="U68" s="26"/>
      <c r="V68" s="26"/>
      <c r="W68" s="41" t="str">
        <f t="shared" si="26"/>
        <v/>
      </c>
      <c r="X68" s="12" t="str">
        <f>IF(A68="","",IF(W68="",INDEX(_翻訳マスタ!$B$89:$D$89,1,MATCH(言語切替!$B$3,_翻訳マスタ!$B$1:$D$1,0)),IF(W68&gt;=1,INDEX(_翻訳マスタ!$B$93:$D$93,1,MATCH(言語切替!$B$3,_翻訳マスタ!$B$1:$D$1,0)),IF(W68&gt;=0.8,INDEX(_翻訳マスタ!$B$91:$D$91,1,MATCH(言語切替!$B$3,_翻訳マスタ!$B$1:$D$1,0)),INDEX(_翻訳マスタ!$B$94:$D$94,1,MATCH(言語切替!$B$3,_翻訳マスタ!$B$1:$D$1,0))))))</f>
        <v/>
      </c>
      <c r="Y68" s="27"/>
      <c r="Z68" s="26"/>
      <c r="AA68" s="38"/>
      <c r="AB68" s="38" t="str">
        <f t="shared" si="33"/>
        <v/>
      </c>
      <c r="AC68" s="38" t="str">
        <f t="shared" si="34"/>
        <v/>
      </c>
      <c r="AD68" s="35"/>
      <c r="AE68" s="45"/>
      <c r="AF68" s="45" t="str">
        <f t="shared" si="35"/>
        <v/>
      </c>
      <c r="AG68" s="45" t="str">
        <f t="shared" si="36"/>
        <v/>
      </c>
    </row>
    <row r="69" spans="1:33" s="21" customFormat="1" x14ac:dyDescent="0.25">
      <c r="A69" s="28"/>
      <c r="B69" s="29"/>
      <c r="C69" s="29"/>
      <c r="D69" s="29"/>
      <c r="E69" s="39"/>
      <c r="F69" s="39" t="str">
        <f t="shared" si="27"/>
        <v/>
      </c>
      <c r="G69" s="39" t="str">
        <f t="shared" si="28"/>
        <v/>
      </c>
      <c r="H69" s="29"/>
      <c r="I69" s="39"/>
      <c r="J69" s="39" t="str">
        <f t="shared" si="29"/>
        <v/>
      </c>
      <c r="K69" s="39" t="str">
        <f t="shared" si="30"/>
        <v/>
      </c>
      <c r="L69" s="29"/>
      <c r="M69" s="39"/>
      <c r="N69" s="39" t="str">
        <f t="shared" si="31"/>
        <v/>
      </c>
      <c r="O69" s="39" t="str">
        <f t="shared" si="32"/>
        <v/>
      </c>
      <c r="P69" s="29"/>
      <c r="Q69" s="29"/>
      <c r="R69" s="29"/>
      <c r="S69" s="29"/>
      <c r="T69" s="29"/>
      <c r="U69" s="29"/>
      <c r="V69" s="29"/>
      <c r="W69" s="42" t="str">
        <f t="shared" ref="W69:W100" si="37">IF(OR(U69="",V69=""),"",IF(U69=0,"",V69/U69))</f>
        <v/>
      </c>
      <c r="X69" s="15" t="str">
        <f>IF(A69="","",IF(W69="",INDEX(_翻訳マスタ!$B$89:$D$89,1,MATCH(言語切替!$B$3,_翻訳マスタ!$B$1:$D$1,0)),IF(W69&gt;=1,INDEX(_翻訳マスタ!$B$93:$D$93,1,MATCH(言語切替!$B$3,_翻訳マスタ!$B$1:$D$1,0)),IF(W69&gt;=0.8,INDEX(_翻訳マスタ!$B$91:$D$91,1,MATCH(言語切替!$B$3,_翻訳マスタ!$B$1:$D$1,0)),INDEX(_翻訳マスタ!$B$94:$D$94,1,MATCH(言語切替!$B$3,_翻訳マスタ!$B$1:$D$1,0))))))</f>
        <v/>
      </c>
      <c r="Y69" s="30"/>
      <c r="Z69" s="29"/>
      <c r="AA69" s="39"/>
      <c r="AB69" s="39" t="str">
        <f t="shared" si="33"/>
        <v/>
      </c>
      <c r="AC69" s="39" t="str">
        <f t="shared" si="34"/>
        <v/>
      </c>
      <c r="AD69" s="36"/>
      <c r="AE69" s="44"/>
      <c r="AF69" s="44" t="str">
        <f t="shared" si="35"/>
        <v/>
      </c>
      <c r="AG69" s="44" t="str">
        <f t="shared" si="36"/>
        <v/>
      </c>
    </row>
    <row r="70" spans="1:33" s="21" customFormat="1" x14ac:dyDescent="0.25">
      <c r="A70" s="25"/>
      <c r="B70" s="26"/>
      <c r="C70" s="26"/>
      <c r="D70" s="26"/>
      <c r="E70" s="38"/>
      <c r="F70" s="38" t="str">
        <f t="shared" si="27"/>
        <v/>
      </c>
      <c r="G70" s="38" t="str">
        <f t="shared" si="28"/>
        <v/>
      </c>
      <c r="H70" s="26"/>
      <c r="I70" s="38"/>
      <c r="J70" s="38" t="str">
        <f t="shared" si="29"/>
        <v/>
      </c>
      <c r="K70" s="38" t="str">
        <f t="shared" si="30"/>
        <v/>
      </c>
      <c r="L70" s="26"/>
      <c r="M70" s="38"/>
      <c r="N70" s="38" t="str">
        <f t="shared" si="31"/>
        <v/>
      </c>
      <c r="O70" s="38" t="str">
        <f t="shared" si="32"/>
        <v/>
      </c>
      <c r="P70" s="26"/>
      <c r="Q70" s="26"/>
      <c r="R70" s="26"/>
      <c r="S70" s="26"/>
      <c r="T70" s="26"/>
      <c r="U70" s="26"/>
      <c r="V70" s="26"/>
      <c r="W70" s="41" t="str">
        <f t="shared" si="37"/>
        <v/>
      </c>
      <c r="X70" s="12" t="str">
        <f>IF(A70="","",IF(W70="",INDEX(_翻訳マスタ!$B$89:$D$89,1,MATCH(言語切替!$B$3,_翻訳マスタ!$B$1:$D$1,0)),IF(W70&gt;=1,INDEX(_翻訳マスタ!$B$93:$D$93,1,MATCH(言語切替!$B$3,_翻訳マスタ!$B$1:$D$1,0)),IF(W70&gt;=0.8,INDEX(_翻訳マスタ!$B$91:$D$91,1,MATCH(言語切替!$B$3,_翻訳マスタ!$B$1:$D$1,0)),INDEX(_翻訳マスタ!$B$94:$D$94,1,MATCH(言語切替!$B$3,_翻訳マスタ!$B$1:$D$1,0))))))</f>
        <v/>
      </c>
      <c r="Y70" s="27"/>
      <c r="Z70" s="26"/>
      <c r="AA70" s="38"/>
      <c r="AB70" s="38" t="str">
        <f t="shared" si="33"/>
        <v/>
      </c>
      <c r="AC70" s="38" t="str">
        <f t="shared" si="34"/>
        <v/>
      </c>
      <c r="AD70" s="35"/>
      <c r="AE70" s="45"/>
      <c r="AF70" s="45" t="str">
        <f t="shared" si="35"/>
        <v/>
      </c>
      <c r="AG70" s="45" t="str">
        <f t="shared" si="36"/>
        <v/>
      </c>
    </row>
    <row r="71" spans="1:33" s="21" customFormat="1" x14ac:dyDescent="0.25">
      <c r="A71" s="28"/>
      <c r="B71" s="29"/>
      <c r="C71" s="29"/>
      <c r="D71" s="29"/>
      <c r="E71" s="39"/>
      <c r="F71" s="39" t="str">
        <f t="shared" si="27"/>
        <v/>
      </c>
      <c r="G71" s="39" t="str">
        <f t="shared" si="28"/>
        <v/>
      </c>
      <c r="H71" s="29"/>
      <c r="I71" s="39"/>
      <c r="J71" s="39" t="str">
        <f t="shared" si="29"/>
        <v/>
      </c>
      <c r="K71" s="39" t="str">
        <f t="shared" si="30"/>
        <v/>
      </c>
      <c r="L71" s="29"/>
      <c r="M71" s="39"/>
      <c r="N71" s="39" t="str">
        <f t="shared" si="31"/>
        <v/>
      </c>
      <c r="O71" s="39" t="str">
        <f t="shared" si="32"/>
        <v/>
      </c>
      <c r="P71" s="29"/>
      <c r="Q71" s="29"/>
      <c r="R71" s="29"/>
      <c r="S71" s="29"/>
      <c r="T71" s="29"/>
      <c r="U71" s="29"/>
      <c r="V71" s="29"/>
      <c r="W71" s="42" t="str">
        <f t="shared" si="37"/>
        <v/>
      </c>
      <c r="X71" s="15" t="str">
        <f>IF(A71="","",IF(W71="",INDEX(_翻訳マスタ!$B$89:$D$89,1,MATCH(言語切替!$B$3,_翻訳マスタ!$B$1:$D$1,0)),IF(W71&gt;=1,INDEX(_翻訳マスタ!$B$93:$D$93,1,MATCH(言語切替!$B$3,_翻訳マスタ!$B$1:$D$1,0)),IF(W71&gt;=0.8,INDEX(_翻訳マスタ!$B$91:$D$91,1,MATCH(言語切替!$B$3,_翻訳マスタ!$B$1:$D$1,0)),INDEX(_翻訳マスタ!$B$94:$D$94,1,MATCH(言語切替!$B$3,_翻訳マスタ!$B$1:$D$1,0))))))</f>
        <v/>
      </c>
      <c r="Y71" s="30"/>
      <c r="Z71" s="29"/>
      <c r="AA71" s="39"/>
      <c r="AB71" s="39" t="str">
        <f t="shared" si="33"/>
        <v/>
      </c>
      <c r="AC71" s="39" t="str">
        <f t="shared" si="34"/>
        <v/>
      </c>
      <c r="AD71" s="36"/>
      <c r="AE71" s="44"/>
      <c r="AF71" s="44" t="str">
        <f t="shared" si="35"/>
        <v/>
      </c>
      <c r="AG71" s="44" t="str">
        <f t="shared" si="36"/>
        <v/>
      </c>
    </row>
    <row r="72" spans="1:33" s="21" customFormat="1" x14ac:dyDescent="0.25">
      <c r="A72" s="25"/>
      <c r="B72" s="26"/>
      <c r="C72" s="26"/>
      <c r="D72" s="26"/>
      <c r="E72" s="38"/>
      <c r="F72" s="38" t="str">
        <f t="shared" si="27"/>
        <v/>
      </c>
      <c r="G72" s="38" t="str">
        <f t="shared" si="28"/>
        <v/>
      </c>
      <c r="H72" s="26"/>
      <c r="I72" s="38"/>
      <c r="J72" s="38" t="str">
        <f t="shared" si="29"/>
        <v/>
      </c>
      <c r="K72" s="38" t="str">
        <f t="shared" si="30"/>
        <v/>
      </c>
      <c r="L72" s="26"/>
      <c r="M72" s="38"/>
      <c r="N72" s="38" t="str">
        <f t="shared" si="31"/>
        <v/>
      </c>
      <c r="O72" s="38" t="str">
        <f t="shared" si="32"/>
        <v/>
      </c>
      <c r="P72" s="26"/>
      <c r="Q72" s="26"/>
      <c r="R72" s="26"/>
      <c r="S72" s="26"/>
      <c r="T72" s="26"/>
      <c r="U72" s="26"/>
      <c r="V72" s="26"/>
      <c r="W72" s="41" t="str">
        <f t="shared" si="37"/>
        <v/>
      </c>
      <c r="X72" s="12" t="str">
        <f>IF(A72="","",IF(W72="",INDEX(_翻訳マスタ!$B$89:$D$89,1,MATCH(言語切替!$B$3,_翻訳マスタ!$B$1:$D$1,0)),IF(W72&gt;=1,INDEX(_翻訳マスタ!$B$93:$D$93,1,MATCH(言語切替!$B$3,_翻訳マスタ!$B$1:$D$1,0)),IF(W72&gt;=0.8,INDEX(_翻訳マスタ!$B$91:$D$91,1,MATCH(言語切替!$B$3,_翻訳マスタ!$B$1:$D$1,0)),INDEX(_翻訳マスタ!$B$94:$D$94,1,MATCH(言語切替!$B$3,_翻訳マスタ!$B$1:$D$1,0))))))</f>
        <v/>
      </c>
      <c r="Y72" s="27"/>
      <c r="Z72" s="26"/>
      <c r="AA72" s="38"/>
      <c r="AB72" s="38" t="str">
        <f t="shared" si="33"/>
        <v/>
      </c>
      <c r="AC72" s="38" t="str">
        <f t="shared" si="34"/>
        <v/>
      </c>
      <c r="AD72" s="35"/>
      <c r="AE72" s="45"/>
      <c r="AF72" s="45" t="str">
        <f t="shared" si="35"/>
        <v/>
      </c>
      <c r="AG72" s="45" t="str">
        <f t="shared" si="36"/>
        <v/>
      </c>
    </row>
    <row r="73" spans="1:33" s="21" customFormat="1" x14ac:dyDescent="0.25">
      <c r="A73" s="28"/>
      <c r="B73" s="29"/>
      <c r="C73" s="29"/>
      <c r="D73" s="29"/>
      <c r="E73" s="39"/>
      <c r="F73" s="39" t="str">
        <f t="shared" ref="F73:F104" si="38">IF(D73="","",_xlfn.TRANSLATE(D73,"vi","ja"))</f>
        <v/>
      </c>
      <c r="G73" s="39" t="str">
        <f t="shared" ref="G73:G104" si="39">IF(D73="","",_xlfn.TRANSLATE(D73,"vi","zh-Hans"))</f>
        <v/>
      </c>
      <c r="H73" s="29"/>
      <c r="I73" s="39"/>
      <c r="J73" s="39" t="str">
        <f t="shared" ref="J73:J104" si="40">IF(H73="","",_xlfn.TRANSLATE(H73,"vi","ja"))</f>
        <v/>
      </c>
      <c r="K73" s="39" t="str">
        <f t="shared" ref="K73:K104" si="41">IF(H73="","",_xlfn.TRANSLATE(H73,"vi","zh-Hans"))</f>
        <v/>
      </c>
      <c r="L73" s="29"/>
      <c r="M73" s="39"/>
      <c r="N73" s="39" t="str">
        <f t="shared" ref="N73:N104" si="42">IF(L73="","",_xlfn.TRANSLATE(L73,"vi","ja"))</f>
        <v/>
      </c>
      <c r="O73" s="39" t="str">
        <f t="shared" ref="O73:O104" si="43">IF(L73="","",_xlfn.TRANSLATE(L73,"vi","zh-Hans"))</f>
        <v/>
      </c>
      <c r="P73" s="29"/>
      <c r="Q73" s="29"/>
      <c r="R73" s="29"/>
      <c r="S73" s="29"/>
      <c r="T73" s="29"/>
      <c r="U73" s="29"/>
      <c r="V73" s="29"/>
      <c r="W73" s="42" t="str">
        <f t="shared" si="37"/>
        <v/>
      </c>
      <c r="X73" s="15" t="str">
        <f>IF(A73="","",IF(W73="",INDEX(_翻訳マスタ!$B$89:$D$89,1,MATCH(言語切替!$B$3,_翻訳マスタ!$B$1:$D$1,0)),IF(W73&gt;=1,INDEX(_翻訳マスタ!$B$93:$D$93,1,MATCH(言語切替!$B$3,_翻訳マスタ!$B$1:$D$1,0)),IF(W73&gt;=0.8,INDEX(_翻訳マスタ!$B$91:$D$91,1,MATCH(言語切替!$B$3,_翻訳マスタ!$B$1:$D$1,0)),INDEX(_翻訳マスタ!$B$94:$D$94,1,MATCH(言語切替!$B$3,_翻訳マスタ!$B$1:$D$1,0))))))</f>
        <v/>
      </c>
      <c r="Y73" s="30"/>
      <c r="Z73" s="29"/>
      <c r="AA73" s="39"/>
      <c r="AB73" s="39" t="str">
        <f t="shared" ref="AB73:AB104" si="44">IF(Z73="","",_xlfn.TRANSLATE(Z73,"vi","ja"))</f>
        <v/>
      </c>
      <c r="AC73" s="39" t="str">
        <f t="shared" ref="AC73:AC104" si="45">IF(Z73="","",_xlfn.TRANSLATE(Z73,"vi","zh-Hans"))</f>
        <v/>
      </c>
      <c r="AD73" s="36"/>
      <c r="AE73" s="44"/>
      <c r="AF73" s="44" t="str">
        <f t="shared" ref="AF73:AF104" si="46">IF(AD73="","",_xlfn.TRANSLATE(AD73,"vi","ja"))</f>
        <v/>
      </c>
      <c r="AG73" s="44" t="str">
        <f t="shared" ref="AG73:AG104" si="47">IF(AD73="","",_xlfn.TRANSLATE(AD73,"vi","zh-Hans"))</f>
        <v/>
      </c>
    </row>
    <row r="74" spans="1:33" s="21" customFormat="1" x14ac:dyDescent="0.25">
      <c r="A74" s="25"/>
      <c r="B74" s="26"/>
      <c r="C74" s="26"/>
      <c r="D74" s="26"/>
      <c r="E74" s="38"/>
      <c r="F74" s="38" t="str">
        <f t="shared" si="38"/>
        <v/>
      </c>
      <c r="G74" s="38" t="str">
        <f t="shared" si="39"/>
        <v/>
      </c>
      <c r="H74" s="26"/>
      <c r="I74" s="38"/>
      <c r="J74" s="38" t="str">
        <f t="shared" si="40"/>
        <v/>
      </c>
      <c r="K74" s="38" t="str">
        <f t="shared" si="41"/>
        <v/>
      </c>
      <c r="L74" s="26"/>
      <c r="M74" s="38"/>
      <c r="N74" s="38" t="str">
        <f t="shared" si="42"/>
        <v/>
      </c>
      <c r="O74" s="38" t="str">
        <f t="shared" si="43"/>
        <v/>
      </c>
      <c r="P74" s="26"/>
      <c r="Q74" s="26"/>
      <c r="R74" s="26"/>
      <c r="S74" s="26"/>
      <c r="T74" s="26"/>
      <c r="U74" s="26"/>
      <c r="V74" s="26"/>
      <c r="W74" s="41" t="str">
        <f t="shared" si="37"/>
        <v/>
      </c>
      <c r="X74" s="12" t="str">
        <f>IF(A74="","",IF(W74="",INDEX(_翻訳マスタ!$B$89:$D$89,1,MATCH(言語切替!$B$3,_翻訳マスタ!$B$1:$D$1,0)),IF(W74&gt;=1,INDEX(_翻訳マスタ!$B$93:$D$93,1,MATCH(言語切替!$B$3,_翻訳マスタ!$B$1:$D$1,0)),IF(W74&gt;=0.8,INDEX(_翻訳マスタ!$B$91:$D$91,1,MATCH(言語切替!$B$3,_翻訳マスタ!$B$1:$D$1,0)),INDEX(_翻訳マスタ!$B$94:$D$94,1,MATCH(言語切替!$B$3,_翻訳マスタ!$B$1:$D$1,0))))))</f>
        <v/>
      </c>
      <c r="Y74" s="27"/>
      <c r="Z74" s="26"/>
      <c r="AA74" s="38"/>
      <c r="AB74" s="38" t="str">
        <f t="shared" si="44"/>
        <v/>
      </c>
      <c r="AC74" s="38" t="str">
        <f t="shared" si="45"/>
        <v/>
      </c>
      <c r="AD74" s="35"/>
      <c r="AE74" s="45"/>
      <c r="AF74" s="45" t="str">
        <f t="shared" si="46"/>
        <v/>
      </c>
      <c r="AG74" s="45" t="str">
        <f t="shared" si="47"/>
        <v/>
      </c>
    </row>
    <row r="75" spans="1:33" s="21" customFormat="1" x14ac:dyDescent="0.25">
      <c r="A75" s="28"/>
      <c r="B75" s="29"/>
      <c r="C75" s="29"/>
      <c r="D75" s="29"/>
      <c r="E75" s="39"/>
      <c r="F75" s="39" t="str">
        <f t="shared" si="38"/>
        <v/>
      </c>
      <c r="G75" s="39" t="str">
        <f t="shared" si="39"/>
        <v/>
      </c>
      <c r="H75" s="29"/>
      <c r="I75" s="39"/>
      <c r="J75" s="39" t="str">
        <f t="shared" si="40"/>
        <v/>
      </c>
      <c r="K75" s="39" t="str">
        <f t="shared" si="41"/>
        <v/>
      </c>
      <c r="L75" s="29"/>
      <c r="M75" s="39"/>
      <c r="N75" s="39" t="str">
        <f t="shared" si="42"/>
        <v/>
      </c>
      <c r="O75" s="39" t="str">
        <f t="shared" si="43"/>
        <v/>
      </c>
      <c r="P75" s="29"/>
      <c r="Q75" s="29"/>
      <c r="R75" s="29"/>
      <c r="S75" s="29"/>
      <c r="T75" s="29"/>
      <c r="U75" s="29"/>
      <c r="V75" s="29"/>
      <c r="W75" s="42" t="str">
        <f t="shared" si="37"/>
        <v/>
      </c>
      <c r="X75" s="15" t="str">
        <f>IF(A75="","",IF(W75="",INDEX(_翻訳マスタ!$B$89:$D$89,1,MATCH(言語切替!$B$3,_翻訳マスタ!$B$1:$D$1,0)),IF(W75&gt;=1,INDEX(_翻訳マスタ!$B$93:$D$93,1,MATCH(言語切替!$B$3,_翻訳マスタ!$B$1:$D$1,0)),IF(W75&gt;=0.8,INDEX(_翻訳マスタ!$B$91:$D$91,1,MATCH(言語切替!$B$3,_翻訳マスタ!$B$1:$D$1,0)),INDEX(_翻訳マスタ!$B$94:$D$94,1,MATCH(言語切替!$B$3,_翻訳マスタ!$B$1:$D$1,0))))))</f>
        <v/>
      </c>
      <c r="Y75" s="30"/>
      <c r="Z75" s="29"/>
      <c r="AA75" s="39"/>
      <c r="AB75" s="39" t="str">
        <f t="shared" si="44"/>
        <v/>
      </c>
      <c r="AC75" s="39" t="str">
        <f t="shared" si="45"/>
        <v/>
      </c>
      <c r="AD75" s="36"/>
      <c r="AE75" s="44"/>
      <c r="AF75" s="44" t="str">
        <f t="shared" si="46"/>
        <v/>
      </c>
      <c r="AG75" s="44" t="str">
        <f t="shared" si="47"/>
        <v/>
      </c>
    </row>
    <row r="76" spans="1:33" s="21" customFormat="1" x14ac:dyDescent="0.25">
      <c r="A76" s="25"/>
      <c r="B76" s="26"/>
      <c r="C76" s="26"/>
      <c r="D76" s="26"/>
      <c r="E76" s="38"/>
      <c r="F76" s="38" t="str">
        <f t="shared" si="38"/>
        <v/>
      </c>
      <c r="G76" s="38" t="str">
        <f t="shared" si="39"/>
        <v/>
      </c>
      <c r="H76" s="26"/>
      <c r="I76" s="38"/>
      <c r="J76" s="38" t="str">
        <f t="shared" si="40"/>
        <v/>
      </c>
      <c r="K76" s="38" t="str">
        <f t="shared" si="41"/>
        <v/>
      </c>
      <c r="L76" s="26"/>
      <c r="M76" s="38"/>
      <c r="N76" s="38" t="str">
        <f t="shared" si="42"/>
        <v/>
      </c>
      <c r="O76" s="38" t="str">
        <f t="shared" si="43"/>
        <v/>
      </c>
      <c r="P76" s="26"/>
      <c r="Q76" s="26"/>
      <c r="R76" s="26"/>
      <c r="S76" s="26"/>
      <c r="T76" s="26"/>
      <c r="U76" s="26"/>
      <c r="V76" s="26"/>
      <c r="W76" s="41" t="str">
        <f t="shared" si="37"/>
        <v/>
      </c>
      <c r="X76" s="12" t="str">
        <f>IF(A76="","",IF(W76="",INDEX(_翻訳マスタ!$B$89:$D$89,1,MATCH(言語切替!$B$3,_翻訳マスタ!$B$1:$D$1,0)),IF(W76&gt;=1,INDEX(_翻訳マスタ!$B$93:$D$93,1,MATCH(言語切替!$B$3,_翻訳マスタ!$B$1:$D$1,0)),IF(W76&gt;=0.8,INDEX(_翻訳マスタ!$B$91:$D$91,1,MATCH(言語切替!$B$3,_翻訳マスタ!$B$1:$D$1,0)),INDEX(_翻訳マスタ!$B$94:$D$94,1,MATCH(言語切替!$B$3,_翻訳マスタ!$B$1:$D$1,0))))))</f>
        <v/>
      </c>
      <c r="Y76" s="27"/>
      <c r="Z76" s="26"/>
      <c r="AA76" s="38"/>
      <c r="AB76" s="38" t="str">
        <f t="shared" si="44"/>
        <v/>
      </c>
      <c r="AC76" s="38" t="str">
        <f t="shared" si="45"/>
        <v/>
      </c>
      <c r="AD76" s="35"/>
      <c r="AE76" s="45"/>
      <c r="AF76" s="45" t="str">
        <f t="shared" si="46"/>
        <v/>
      </c>
      <c r="AG76" s="45" t="str">
        <f t="shared" si="47"/>
        <v/>
      </c>
    </row>
    <row r="77" spans="1:33" s="21" customFormat="1" x14ac:dyDescent="0.25">
      <c r="A77" s="28"/>
      <c r="B77" s="29"/>
      <c r="C77" s="29"/>
      <c r="D77" s="29"/>
      <c r="E77" s="39"/>
      <c r="F77" s="39" t="str">
        <f t="shared" si="38"/>
        <v/>
      </c>
      <c r="G77" s="39" t="str">
        <f t="shared" si="39"/>
        <v/>
      </c>
      <c r="H77" s="29"/>
      <c r="I77" s="39"/>
      <c r="J77" s="39" t="str">
        <f t="shared" si="40"/>
        <v/>
      </c>
      <c r="K77" s="39" t="str">
        <f t="shared" si="41"/>
        <v/>
      </c>
      <c r="L77" s="29"/>
      <c r="M77" s="39"/>
      <c r="N77" s="39" t="str">
        <f t="shared" si="42"/>
        <v/>
      </c>
      <c r="O77" s="39" t="str">
        <f t="shared" si="43"/>
        <v/>
      </c>
      <c r="P77" s="29"/>
      <c r="Q77" s="29"/>
      <c r="R77" s="29"/>
      <c r="S77" s="29"/>
      <c r="T77" s="29"/>
      <c r="U77" s="29"/>
      <c r="V77" s="29"/>
      <c r="W77" s="42" t="str">
        <f t="shared" si="37"/>
        <v/>
      </c>
      <c r="X77" s="15" t="str">
        <f>IF(A77="","",IF(W77="",INDEX(_翻訳マスタ!$B$89:$D$89,1,MATCH(言語切替!$B$3,_翻訳マスタ!$B$1:$D$1,0)),IF(W77&gt;=1,INDEX(_翻訳マスタ!$B$93:$D$93,1,MATCH(言語切替!$B$3,_翻訳マスタ!$B$1:$D$1,0)),IF(W77&gt;=0.8,INDEX(_翻訳マスタ!$B$91:$D$91,1,MATCH(言語切替!$B$3,_翻訳マスタ!$B$1:$D$1,0)),INDEX(_翻訳マスタ!$B$94:$D$94,1,MATCH(言語切替!$B$3,_翻訳マスタ!$B$1:$D$1,0))))))</f>
        <v/>
      </c>
      <c r="Y77" s="30"/>
      <c r="Z77" s="29"/>
      <c r="AA77" s="39"/>
      <c r="AB77" s="39" t="str">
        <f t="shared" si="44"/>
        <v/>
      </c>
      <c r="AC77" s="39" t="str">
        <f t="shared" si="45"/>
        <v/>
      </c>
      <c r="AD77" s="36"/>
      <c r="AE77" s="44"/>
      <c r="AF77" s="44" t="str">
        <f t="shared" si="46"/>
        <v/>
      </c>
      <c r="AG77" s="44" t="str">
        <f t="shared" si="47"/>
        <v/>
      </c>
    </row>
    <row r="78" spans="1:33" s="21" customFormat="1" x14ac:dyDescent="0.25">
      <c r="A78" s="25"/>
      <c r="B78" s="26"/>
      <c r="C78" s="26"/>
      <c r="D78" s="26"/>
      <c r="E78" s="38"/>
      <c r="F78" s="38" t="str">
        <f t="shared" si="38"/>
        <v/>
      </c>
      <c r="G78" s="38" t="str">
        <f t="shared" si="39"/>
        <v/>
      </c>
      <c r="H78" s="26"/>
      <c r="I78" s="38"/>
      <c r="J78" s="38" t="str">
        <f t="shared" si="40"/>
        <v/>
      </c>
      <c r="K78" s="38" t="str">
        <f t="shared" si="41"/>
        <v/>
      </c>
      <c r="L78" s="26"/>
      <c r="M78" s="38"/>
      <c r="N78" s="38" t="str">
        <f t="shared" si="42"/>
        <v/>
      </c>
      <c r="O78" s="38" t="str">
        <f t="shared" si="43"/>
        <v/>
      </c>
      <c r="P78" s="26"/>
      <c r="Q78" s="26"/>
      <c r="R78" s="26"/>
      <c r="S78" s="26"/>
      <c r="T78" s="26"/>
      <c r="U78" s="26"/>
      <c r="V78" s="26"/>
      <c r="W78" s="41" t="str">
        <f t="shared" si="37"/>
        <v/>
      </c>
      <c r="X78" s="12" t="str">
        <f>IF(A78="","",IF(W78="",INDEX(_翻訳マスタ!$B$89:$D$89,1,MATCH(言語切替!$B$3,_翻訳マスタ!$B$1:$D$1,0)),IF(W78&gt;=1,INDEX(_翻訳マスタ!$B$93:$D$93,1,MATCH(言語切替!$B$3,_翻訳マスタ!$B$1:$D$1,0)),IF(W78&gt;=0.8,INDEX(_翻訳マスタ!$B$91:$D$91,1,MATCH(言語切替!$B$3,_翻訳マスタ!$B$1:$D$1,0)),INDEX(_翻訳マスタ!$B$94:$D$94,1,MATCH(言語切替!$B$3,_翻訳マスタ!$B$1:$D$1,0))))))</f>
        <v/>
      </c>
      <c r="Y78" s="27"/>
      <c r="Z78" s="26"/>
      <c r="AA78" s="38"/>
      <c r="AB78" s="38" t="str">
        <f t="shared" si="44"/>
        <v/>
      </c>
      <c r="AC78" s="38" t="str">
        <f t="shared" si="45"/>
        <v/>
      </c>
      <c r="AD78" s="35"/>
      <c r="AE78" s="45"/>
      <c r="AF78" s="45" t="str">
        <f t="shared" si="46"/>
        <v/>
      </c>
      <c r="AG78" s="45" t="str">
        <f t="shared" si="47"/>
        <v/>
      </c>
    </row>
    <row r="79" spans="1:33" s="21" customFormat="1" x14ac:dyDescent="0.25">
      <c r="A79" s="28"/>
      <c r="B79" s="29"/>
      <c r="C79" s="29"/>
      <c r="D79" s="29"/>
      <c r="E79" s="39"/>
      <c r="F79" s="39" t="str">
        <f t="shared" si="38"/>
        <v/>
      </c>
      <c r="G79" s="39" t="str">
        <f t="shared" si="39"/>
        <v/>
      </c>
      <c r="H79" s="29"/>
      <c r="I79" s="39"/>
      <c r="J79" s="39" t="str">
        <f t="shared" si="40"/>
        <v/>
      </c>
      <c r="K79" s="39" t="str">
        <f t="shared" si="41"/>
        <v/>
      </c>
      <c r="L79" s="29"/>
      <c r="M79" s="39"/>
      <c r="N79" s="39" t="str">
        <f t="shared" si="42"/>
        <v/>
      </c>
      <c r="O79" s="39" t="str">
        <f t="shared" si="43"/>
        <v/>
      </c>
      <c r="P79" s="29"/>
      <c r="Q79" s="29"/>
      <c r="R79" s="29"/>
      <c r="S79" s="29"/>
      <c r="T79" s="29"/>
      <c r="U79" s="29"/>
      <c r="V79" s="29"/>
      <c r="W79" s="42" t="str">
        <f t="shared" si="37"/>
        <v/>
      </c>
      <c r="X79" s="15" t="str">
        <f>IF(A79="","",IF(W79="",INDEX(_翻訳マスタ!$B$89:$D$89,1,MATCH(言語切替!$B$3,_翻訳マスタ!$B$1:$D$1,0)),IF(W79&gt;=1,INDEX(_翻訳マスタ!$B$93:$D$93,1,MATCH(言語切替!$B$3,_翻訳マスタ!$B$1:$D$1,0)),IF(W79&gt;=0.8,INDEX(_翻訳マスタ!$B$91:$D$91,1,MATCH(言語切替!$B$3,_翻訳マスタ!$B$1:$D$1,0)),INDEX(_翻訳マスタ!$B$94:$D$94,1,MATCH(言語切替!$B$3,_翻訳マスタ!$B$1:$D$1,0))))))</f>
        <v/>
      </c>
      <c r="Y79" s="30"/>
      <c r="Z79" s="29"/>
      <c r="AA79" s="39"/>
      <c r="AB79" s="39" t="str">
        <f t="shared" si="44"/>
        <v/>
      </c>
      <c r="AC79" s="39" t="str">
        <f t="shared" si="45"/>
        <v/>
      </c>
      <c r="AD79" s="36"/>
      <c r="AE79" s="44"/>
      <c r="AF79" s="44" t="str">
        <f t="shared" si="46"/>
        <v/>
      </c>
      <c r="AG79" s="44" t="str">
        <f t="shared" si="47"/>
        <v/>
      </c>
    </row>
    <row r="80" spans="1:33" s="21" customFormat="1" x14ac:dyDescent="0.25">
      <c r="A80" s="25"/>
      <c r="B80" s="26"/>
      <c r="C80" s="26"/>
      <c r="D80" s="26"/>
      <c r="E80" s="38"/>
      <c r="F80" s="38" t="str">
        <f t="shared" si="38"/>
        <v/>
      </c>
      <c r="G80" s="38" t="str">
        <f t="shared" si="39"/>
        <v/>
      </c>
      <c r="H80" s="26"/>
      <c r="I80" s="38"/>
      <c r="J80" s="38" t="str">
        <f t="shared" si="40"/>
        <v/>
      </c>
      <c r="K80" s="38" t="str">
        <f t="shared" si="41"/>
        <v/>
      </c>
      <c r="L80" s="26"/>
      <c r="M80" s="38"/>
      <c r="N80" s="38" t="str">
        <f t="shared" si="42"/>
        <v/>
      </c>
      <c r="O80" s="38" t="str">
        <f t="shared" si="43"/>
        <v/>
      </c>
      <c r="P80" s="26"/>
      <c r="Q80" s="26"/>
      <c r="R80" s="26"/>
      <c r="S80" s="26"/>
      <c r="T80" s="26"/>
      <c r="U80" s="26"/>
      <c r="V80" s="26"/>
      <c r="W80" s="41" t="str">
        <f t="shared" si="37"/>
        <v/>
      </c>
      <c r="X80" s="12" t="str">
        <f>IF(A80="","",IF(W80="",INDEX(_翻訳マスタ!$B$89:$D$89,1,MATCH(言語切替!$B$3,_翻訳マスタ!$B$1:$D$1,0)),IF(W80&gt;=1,INDEX(_翻訳マスタ!$B$93:$D$93,1,MATCH(言語切替!$B$3,_翻訳マスタ!$B$1:$D$1,0)),IF(W80&gt;=0.8,INDEX(_翻訳マスタ!$B$91:$D$91,1,MATCH(言語切替!$B$3,_翻訳マスタ!$B$1:$D$1,0)),INDEX(_翻訳マスタ!$B$94:$D$94,1,MATCH(言語切替!$B$3,_翻訳マスタ!$B$1:$D$1,0))))))</f>
        <v/>
      </c>
      <c r="Y80" s="27"/>
      <c r="Z80" s="26"/>
      <c r="AA80" s="38"/>
      <c r="AB80" s="38" t="str">
        <f t="shared" si="44"/>
        <v/>
      </c>
      <c r="AC80" s="38" t="str">
        <f t="shared" si="45"/>
        <v/>
      </c>
      <c r="AD80" s="35"/>
      <c r="AE80" s="45"/>
      <c r="AF80" s="45" t="str">
        <f t="shared" si="46"/>
        <v/>
      </c>
      <c r="AG80" s="45" t="str">
        <f t="shared" si="47"/>
        <v/>
      </c>
    </row>
    <row r="81" spans="1:33" s="21" customFormat="1" x14ac:dyDescent="0.25">
      <c r="A81" s="28"/>
      <c r="B81" s="29"/>
      <c r="C81" s="29"/>
      <c r="D81" s="29"/>
      <c r="E81" s="39"/>
      <c r="F81" s="39" t="str">
        <f t="shared" si="38"/>
        <v/>
      </c>
      <c r="G81" s="39" t="str">
        <f t="shared" si="39"/>
        <v/>
      </c>
      <c r="H81" s="29"/>
      <c r="I81" s="39"/>
      <c r="J81" s="39" t="str">
        <f t="shared" si="40"/>
        <v/>
      </c>
      <c r="K81" s="39" t="str">
        <f t="shared" si="41"/>
        <v/>
      </c>
      <c r="L81" s="29"/>
      <c r="M81" s="39"/>
      <c r="N81" s="39" t="str">
        <f t="shared" si="42"/>
        <v/>
      </c>
      <c r="O81" s="39" t="str">
        <f t="shared" si="43"/>
        <v/>
      </c>
      <c r="P81" s="29"/>
      <c r="Q81" s="29"/>
      <c r="R81" s="29"/>
      <c r="S81" s="29"/>
      <c r="T81" s="29"/>
      <c r="U81" s="29"/>
      <c r="V81" s="29"/>
      <c r="W81" s="42" t="str">
        <f t="shared" si="37"/>
        <v/>
      </c>
      <c r="X81" s="15" t="str">
        <f>IF(A81="","",IF(W81="",INDEX(_翻訳マスタ!$B$89:$D$89,1,MATCH(言語切替!$B$3,_翻訳マスタ!$B$1:$D$1,0)),IF(W81&gt;=1,INDEX(_翻訳マスタ!$B$93:$D$93,1,MATCH(言語切替!$B$3,_翻訳マスタ!$B$1:$D$1,0)),IF(W81&gt;=0.8,INDEX(_翻訳マスタ!$B$91:$D$91,1,MATCH(言語切替!$B$3,_翻訳マスタ!$B$1:$D$1,0)),INDEX(_翻訳マスタ!$B$94:$D$94,1,MATCH(言語切替!$B$3,_翻訳マスタ!$B$1:$D$1,0))))))</f>
        <v/>
      </c>
      <c r="Y81" s="30"/>
      <c r="Z81" s="29"/>
      <c r="AA81" s="39"/>
      <c r="AB81" s="39" t="str">
        <f t="shared" si="44"/>
        <v/>
      </c>
      <c r="AC81" s="39" t="str">
        <f t="shared" si="45"/>
        <v/>
      </c>
      <c r="AD81" s="36"/>
      <c r="AE81" s="44"/>
      <c r="AF81" s="44" t="str">
        <f t="shared" si="46"/>
        <v/>
      </c>
      <c r="AG81" s="44" t="str">
        <f t="shared" si="47"/>
        <v/>
      </c>
    </row>
    <row r="82" spans="1:33" s="21" customFormat="1" x14ac:dyDescent="0.25">
      <c r="A82" s="25"/>
      <c r="B82" s="26"/>
      <c r="C82" s="26"/>
      <c r="D82" s="26"/>
      <c r="E82" s="38"/>
      <c r="F82" s="38" t="str">
        <f t="shared" si="38"/>
        <v/>
      </c>
      <c r="G82" s="38" t="str">
        <f t="shared" si="39"/>
        <v/>
      </c>
      <c r="H82" s="26"/>
      <c r="I82" s="38"/>
      <c r="J82" s="38" t="str">
        <f t="shared" si="40"/>
        <v/>
      </c>
      <c r="K82" s="38" t="str">
        <f t="shared" si="41"/>
        <v/>
      </c>
      <c r="L82" s="26"/>
      <c r="M82" s="38"/>
      <c r="N82" s="38" t="str">
        <f t="shared" si="42"/>
        <v/>
      </c>
      <c r="O82" s="38" t="str">
        <f t="shared" si="43"/>
        <v/>
      </c>
      <c r="P82" s="26"/>
      <c r="Q82" s="26"/>
      <c r="R82" s="26"/>
      <c r="S82" s="26"/>
      <c r="T82" s="26"/>
      <c r="U82" s="26"/>
      <c r="V82" s="26"/>
      <c r="W82" s="41" t="str">
        <f t="shared" si="37"/>
        <v/>
      </c>
      <c r="X82" s="12" t="str">
        <f>IF(A82="","",IF(W82="",INDEX(_翻訳マスタ!$B$89:$D$89,1,MATCH(言語切替!$B$3,_翻訳マスタ!$B$1:$D$1,0)),IF(W82&gt;=1,INDEX(_翻訳マスタ!$B$93:$D$93,1,MATCH(言語切替!$B$3,_翻訳マスタ!$B$1:$D$1,0)),IF(W82&gt;=0.8,INDEX(_翻訳マスタ!$B$91:$D$91,1,MATCH(言語切替!$B$3,_翻訳マスタ!$B$1:$D$1,0)),INDEX(_翻訳マスタ!$B$94:$D$94,1,MATCH(言語切替!$B$3,_翻訳マスタ!$B$1:$D$1,0))))))</f>
        <v/>
      </c>
      <c r="Y82" s="27"/>
      <c r="Z82" s="26"/>
      <c r="AA82" s="38"/>
      <c r="AB82" s="38" t="str">
        <f t="shared" si="44"/>
        <v/>
      </c>
      <c r="AC82" s="38" t="str">
        <f t="shared" si="45"/>
        <v/>
      </c>
      <c r="AD82" s="35"/>
      <c r="AE82" s="45"/>
      <c r="AF82" s="45" t="str">
        <f t="shared" si="46"/>
        <v/>
      </c>
      <c r="AG82" s="45" t="str">
        <f t="shared" si="47"/>
        <v/>
      </c>
    </row>
    <row r="83" spans="1:33" s="21" customFormat="1" x14ac:dyDescent="0.25">
      <c r="A83" s="28"/>
      <c r="B83" s="29"/>
      <c r="C83" s="29"/>
      <c r="D83" s="29"/>
      <c r="E83" s="39"/>
      <c r="F83" s="39" t="str">
        <f t="shared" si="38"/>
        <v/>
      </c>
      <c r="G83" s="39" t="str">
        <f t="shared" si="39"/>
        <v/>
      </c>
      <c r="H83" s="29"/>
      <c r="I83" s="39"/>
      <c r="J83" s="39" t="str">
        <f t="shared" si="40"/>
        <v/>
      </c>
      <c r="K83" s="39" t="str">
        <f t="shared" si="41"/>
        <v/>
      </c>
      <c r="L83" s="29"/>
      <c r="M83" s="39"/>
      <c r="N83" s="39" t="str">
        <f t="shared" si="42"/>
        <v/>
      </c>
      <c r="O83" s="39" t="str">
        <f t="shared" si="43"/>
        <v/>
      </c>
      <c r="P83" s="29"/>
      <c r="Q83" s="29"/>
      <c r="R83" s="29"/>
      <c r="S83" s="29"/>
      <c r="T83" s="29"/>
      <c r="U83" s="29"/>
      <c r="V83" s="29"/>
      <c r="W83" s="42" t="str">
        <f t="shared" si="37"/>
        <v/>
      </c>
      <c r="X83" s="15" t="str">
        <f>IF(A83="","",IF(W83="",INDEX(_翻訳マスタ!$B$89:$D$89,1,MATCH(言語切替!$B$3,_翻訳マスタ!$B$1:$D$1,0)),IF(W83&gt;=1,INDEX(_翻訳マスタ!$B$93:$D$93,1,MATCH(言語切替!$B$3,_翻訳マスタ!$B$1:$D$1,0)),IF(W83&gt;=0.8,INDEX(_翻訳マスタ!$B$91:$D$91,1,MATCH(言語切替!$B$3,_翻訳マスタ!$B$1:$D$1,0)),INDEX(_翻訳マスタ!$B$94:$D$94,1,MATCH(言語切替!$B$3,_翻訳マスタ!$B$1:$D$1,0))))))</f>
        <v/>
      </c>
      <c r="Y83" s="30"/>
      <c r="Z83" s="29"/>
      <c r="AA83" s="39"/>
      <c r="AB83" s="39" t="str">
        <f t="shared" si="44"/>
        <v/>
      </c>
      <c r="AC83" s="39" t="str">
        <f t="shared" si="45"/>
        <v/>
      </c>
      <c r="AD83" s="36"/>
      <c r="AE83" s="44"/>
      <c r="AF83" s="44" t="str">
        <f t="shared" si="46"/>
        <v/>
      </c>
      <c r="AG83" s="44" t="str">
        <f t="shared" si="47"/>
        <v/>
      </c>
    </row>
    <row r="84" spans="1:33" s="21" customFormat="1" x14ac:dyDescent="0.25">
      <c r="A84" s="25"/>
      <c r="B84" s="26"/>
      <c r="C84" s="26"/>
      <c r="D84" s="26"/>
      <c r="E84" s="38"/>
      <c r="F84" s="38" t="str">
        <f t="shared" si="38"/>
        <v/>
      </c>
      <c r="G84" s="38" t="str">
        <f t="shared" si="39"/>
        <v/>
      </c>
      <c r="H84" s="26"/>
      <c r="I84" s="38"/>
      <c r="J84" s="38" t="str">
        <f t="shared" si="40"/>
        <v/>
      </c>
      <c r="K84" s="38" t="str">
        <f t="shared" si="41"/>
        <v/>
      </c>
      <c r="L84" s="26"/>
      <c r="M84" s="38"/>
      <c r="N84" s="38" t="str">
        <f t="shared" si="42"/>
        <v/>
      </c>
      <c r="O84" s="38" t="str">
        <f t="shared" si="43"/>
        <v/>
      </c>
      <c r="P84" s="26"/>
      <c r="Q84" s="26"/>
      <c r="R84" s="26"/>
      <c r="S84" s="26"/>
      <c r="T84" s="26"/>
      <c r="U84" s="26"/>
      <c r="V84" s="26"/>
      <c r="W84" s="41" t="str">
        <f t="shared" si="37"/>
        <v/>
      </c>
      <c r="X84" s="12" t="str">
        <f>IF(A84="","",IF(W84="",INDEX(_翻訳マスタ!$B$89:$D$89,1,MATCH(言語切替!$B$3,_翻訳マスタ!$B$1:$D$1,0)),IF(W84&gt;=1,INDEX(_翻訳マスタ!$B$93:$D$93,1,MATCH(言語切替!$B$3,_翻訳マスタ!$B$1:$D$1,0)),IF(W84&gt;=0.8,INDEX(_翻訳マスタ!$B$91:$D$91,1,MATCH(言語切替!$B$3,_翻訳マスタ!$B$1:$D$1,0)),INDEX(_翻訳マスタ!$B$94:$D$94,1,MATCH(言語切替!$B$3,_翻訳マスタ!$B$1:$D$1,0))))))</f>
        <v/>
      </c>
      <c r="Y84" s="27"/>
      <c r="Z84" s="26"/>
      <c r="AA84" s="38"/>
      <c r="AB84" s="38" t="str">
        <f t="shared" si="44"/>
        <v/>
      </c>
      <c r="AC84" s="38" t="str">
        <f t="shared" si="45"/>
        <v/>
      </c>
      <c r="AD84" s="35"/>
      <c r="AE84" s="45"/>
      <c r="AF84" s="45" t="str">
        <f t="shared" si="46"/>
        <v/>
      </c>
      <c r="AG84" s="45" t="str">
        <f t="shared" si="47"/>
        <v/>
      </c>
    </row>
    <row r="85" spans="1:33" s="21" customFormat="1" x14ac:dyDescent="0.25">
      <c r="A85" s="28"/>
      <c r="B85" s="29"/>
      <c r="C85" s="29"/>
      <c r="D85" s="29"/>
      <c r="E85" s="39"/>
      <c r="F85" s="39" t="str">
        <f t="shared" si="38"/>
        <v/>
      </c>
      <c r="G85" s="39" t="str">
        <f t="shared" si="39"/>
        <v/>
      </c>
      <c r="H85" s="29"/>
      <c r="I85" s="39"/>
      <c r="J85" s="39" t="str">
        <f t="shared" si="40"/>
        <v/>
      </c>
      <c r="K85" s="39" t="str">
        <f t="shared" si="41"/>
        <v/>
      </c>
      <c r="L85" s="29"/>
      <c r="M85" s="39"/>
      <c r="N85" s="39" t="str">
        <f t="shared" si="42"/>
        <v/>
      </c>
      <c r="O85" s="39" t="str">
        <f t="shared" si="43"/>
        <v/>
      </c>
      <c r="P85" s="29"/>
      <c r="Q85" s="29"/>
      <c r="R85" s="29"/>
      <c r="S85" s="29"/>
      <c r="T85" s="29"/>
      <c r="U85" s="29"/>
      <c r="V85" s="29"/>
      <c r="W85" s="42" t="str">
        <f t="shared" si="37"/>
        <v/>
      </c>
      <c r="X85" s="15" t="str">
        <f>IF(A85="","",IF(W85="",INDEX(_翻訳マスタ!$B$89:$D$89,1,MATCH(言語切替!$B$3,_翻訳マスタ!$B$1:$D$1,0)),IF(W85&gt;=1,INDEX(_翻訳マスタ!$B$93:$D$93,1,MATCH(言語切替!$B$3,_翻訳マスタ!$B$1:$D$1,0)),IF(W85&gt;=0.8,INDEX(_翻訳マスタ!$B$91:$D$91,1,MATCH(言語切替!$B$3,_翻訳マスタ!$B$1:$D$1,0)),INDEX(_翻訳マスタ!$B$94:$D$94,1,MATCH(言語切替!$B$3,_翻訳マスタ!$B$1:$D$1,0))))))</f>
        <v/>
      </c>
      <c r="Y85" s="30"/>
      <c r="Z85" s="29"/>
      <c r="AA85" s="39"/>
      <c r="AB85" s="39" t="str">
        <f t="shared" si="44"/>
        <v/>
      </c>
      <c r="AC85" s="39" t="str">
        <f t="shared" si="45"/>
        <v/>
      </c>
      <c r="AD85" s="36"/>
      <c r="AE85" s="44"/>
      <c r="AF85" s="44" t="str">
        <f t="shared" si="46"/>
        <v/>
      </c>
      <c r="AG85" s="44" t="str">
        <f t="shared" si="47"/>
        <v/>
      </c>
    </row>
    <row r="86" spans="1:33" s="21" customFormat="1" x14ac:dyDescent="0.25">
      <c r="A86" s="25"/>
      <c r="B86" s="26"/>
      <c r="C86" s="26"/>
      <c r="D86" s="26"/>
      <c r="E86" s="38"/>
      <c r="F86" s="38" t="str">
        <f t="shared" si="38"/>
        <v/>
      </c>
      <c r="G86" s="38" t="str">
        <f t="shared" si="39"/>
        <v/>
      </c>
      <c r="H86" s="26"/>
      <c r="I86" s="38"/>
      <c r="J86" s="38" t="str">
        <f t="shared" si="40"/>
        <v/>
      </c>
      <c r="K86" s="38" t="str">
        <f t="shared" si="41"/>
        <v/>
      </c>
      <c r="L86" s="26"/>
      <c r="M86" s="38"/>
      <c r="N86" s="38" t="str">
        <f t="shared" si="42"/>
        <v/>
      </c>
      <c r="O86" s="38" t="str">
        <f t="shared" si="43"/>
        <v/>
      </c>
      <c r="P86" s="26"/>
      <c r="Q86" s="26"/>
      <c r="R86" s="26"/>
      <c r="S86" s="26"/>
      <c r="T86" s="26"/>
      <c r="U86" s="26"/>
      <c r="V86" s="26"/>
      <c r="W86" s="41" t="str">
        <f t="shared" si="37"/>
        <v/>
      </c>
      <c r="X86" s="12" t="str">
        <f>IF(A86="","",IF(W86="",INDEX(_翻訳マスタ!$B$89:$D$89,1,MATCH(言語切替!$B$3,_翻訳マスタ!$B$1:$D$1,0)),IF(W86&gt;=1,INDEX(_翻訳マスタ!$B$93:$D$93,1,MATCH(言語切替!$B$3,_翻訳マスタ!$B$1:$D$1,0)),IF(W86&gt;=0.8,INDEX(_翻訳マスタ!$B$91:$D$91,1,MATCH(言語切替!$B$3,_翻訳マスタ!$B$1:$D$1,0)),INDEX(_翻訳マスタ!$B$94:$D$94,1,MATCH(言語切替!$B$3,_翻訳マスタ!$B$1:$D$1,0))))))</f>
        <v/>
      </c>
      <c r="Y86" s="27"/>
      <c r="Z86" s="26"/>
      <c r="AA86" s="38"/>
      <c r="AB86" s="38" t="str">
        <f t="shared" si="44"/>
        <v/>
      </c>
      <c r="AC86" s="38" t="str">
        <f t="shared" si="45"/>
        <v/>
      </c>
      <c r="AD86" s="35"/>
      <c r="AE86" s="45"/>
      <c r="AF86" s="45" t="str">
        <f t="shared" si="46"/>
        <v/>
      </c>
      <c r="AG86" s="45" t="str">
        <f t="shared" si="47"/>
        <v/>
      </c>
    </row>
    <row r="87" spans="1:33" s="21" customFormat="1" x14ac:dyDescent="0.25">
      <c r="A87" s="28"/>
      <c r="B87" s="29"/>
      <c r="C87" s="29"/>
      <c r="D87" s="29"/>
      <c r="E87" s="39"/>
      <c r="F87" s="39" t="str">
        <f t="shared" si="38"/>
        <v/>
      </c>
      <c r="G87" s="39" t="str">
        <f t="shared" si="39"/>
        <v/>
      </c>
      <c r="H87" s="29"/>
      <c r="I87" s="39"/>
      <c r="J87" s="39" t="str">
        <f t="shared" si="40"/>
        <v/>
      </c>
      <c r="K87" s="39" t="str">
        <f t="shared" si="41"/>
        <v/>
      </c>
      <c r="L87" s="29"/>
      <c r="M87" s="39"/>
      <c r="N87" s="39" t="str">
        <f t="shared" si="42"/>
        <v/>
      </c>
      <c r="O87" s="39" t="str">
        <f t="shared" si="43"/>
        <v/>
      </c>
      <c r="P87" s="29"/>
      <c r="Q87" s="29"/>
      <c r="R87" s="29"/>
      <c r="S87" s="29"/>
      <c r="T87" s="29"/>
      <c r="U87" s="29"/>
      <c r="V87" s="29"/>
      <c r="W87" s="42" t="str">
        <f t="shared" si="37"/>
        <v/>
      </c>
      <c r="X87" s="15" t="str">
        <f>IF(A87="","",IF(W87="",INDEX(_翻訳マスタ!$B$89:$D$89,1,MATCH(言語切替!$B$3,_翻訳マスタ!$B$1:$D$1,0)),IF(W87&gt;=1,INDEX(_翻訳マスタ!$B$93:$D$93,1,MATCH(言語切替!$B$3,_翻訳マスタ!$B$1:$D$1,0)),IF(W87&gt;=0.8,INDEX(_翻訳マスタ!$B$91:$D$91,1,MATCH(言語切替!$B$3,_翻訳マスタ!$B$1:$D$1,0)),INDEX(_翻訳マスタ!$B$94:$D$94,1,MATCH(言語切替!$B$3,_翻訳マスタ!$B$1:$D$1,0))))))</f>
        <v/>
      </c>
      <c r="Y87" s="30"/>
      <c r="Z87" s="29"/>
      <c r="AA87" s="39"/>
      <c r="AB87" s="39" t="str">
        <f t="shared" si="44"/>
        <v/>
      </c>
      <c r="AC87" s="39" t="str">
        <f t="shared" si="45"/>
        <v/>
      </c>
      <c r="AD87" s="36"/>
      <c r="AE87" s="44"/>
      <c r="AF87" s="44" t="str">
        <f t="shared" si="46"/>
        <v/>
      </c>
      <c r="AG87" s="44" t="str">
        <f t="shared" si="47"/>
        <v/>
      </c>
    </row>
    <row r="88" spans="1:33" s="21" customFormat="1" x14ac:dyDescent="0.25">
      <c r="A88" s="25"/>
      <c r="B88" s="26"/>
      <c r="C88" s="26"/>
      <c r="D88" s="26"/>
      <c r="E88" s="38"/>
      <c r="F88" s="38" t="str">
        <f t="shared" si="38"/>
        <v/>
      </c>
      <c r="G88" s="38" t="str">
        <f t="shared" si="39"/>
        <v/>
      </c>
      <c r="H88" s="26"/>
      <c r="I88" s="38"/>
      <c r="J88" s="38" t="str">
        <f t="shared" si="40"/>
        <v/>
      </c>
      <c r="K88" s="38" t="str">
        <f t="shared" si="41"/>
        <v/>
      </c>
      <c r="L88" s="26"/>
      <c r="M88" s="38"/>
      <c r="N88" s="38" t="str">
        <f t="shared" si="42"/>
        <v/>
      </c>
      <c r="O88" s="38" t="str">
        <f t="shared" si="43"/>
        <v/>
      </c>
      <c r="P88" s="26"/>
      <c r="Q88" s="26"/>
      <c r="R88" s="26"/>
      <c r="S88" s="26"/>
      <c r="T88" s="26"/>
      <c r="U88" s="26"/>
      <c r="V88" s="26"/>
      <c r="W88" s="41" t="str">
        <f t="shared" si="37"/>
        <v/>
      </c>
      <c r="X88" s="12" t="str">
        <f>IF(A88="","",IF(W88="",INDEX(_翻訳マスタ!$B$89:$D$89,1,MATCH(言語切替!$B$3,_翻訳マスタ!$B$1:$D$1,0)),IF(W88&gt;=1,INDEX(_翻訳マスタ!$B$93:$D$93,1,MATCH(言語切替!$B$3,_翻訳マスタ!$B$1:$D$1,0)),IF(W88&gt;=0.8,INDEX(_翻訳マスタ!$B$91:$D$91,1,MATCH(言語切替!$B$3,_翻訳マスタ!$B$1:$D$1,0)),INDEX(_翻訳マスタ!$B$94:$D$94,1,MATCH(言語切替!$B$3,_翻訳マスタ!$B$1:$D$1,0))))))</f>
        <v/>
      </c>
      <c r="Y88" s="27"/>
      <c r="Z88" s="26"/>
      <c r="AA88" s="38"/>
      <c r="AB88" s="38" t="str">
        <f t="shared" si="44"/>
        <v/>
      </c>
      <c r="AC88" s="38" t="str">
        <f t="shared" si="45"/>
        <v/>
      </c>
      <c r="AD88" s="35"/>
      <c r="AE88" s="45"/>
      <c r="AF88" s="45" t="str">
        <f t="shared" si="46"/>
        <v/>
      </c>
      <c r="AG88" s="45" t="str">
        <f t="shared" si="47"/>
        <v/>
      </c>
    </row>
    <row r="89" spans="1:33" s="21" customFormat="1" x14ac:dyDescent="0.25">
      <c r="A89" s="28"/>
      <c r="B89" s="29"/>
      <c r="C89" s="29"/>
      <c r="D89" s="29"/>
      <c r="E89" s="39"/>
      <c r="F89" s="39" t="str">
        <f t="shared" si="38"/>
        <v/>
      </c>
      <c r="G89" s="39" t="str">
        <f t="shared" si="39"/>
        <v/>
      </c>
      <c r="H89" s="29"/>
      <c r="I89" s="39"/>
      <c r="J89" s="39" t="str">
        <f t="shared" si="40"/>
        <v/>
      </c>
      <c r="K89" s="39" t="str">
        <f t="shared" si="41"/>
        <v/>
      </c>
      <c r="L89" s="29"/>
      <c r="M89" s="39"/>
      <c r="N89" s="39" t="str">
        <f t="shared" si="42"/>
        <v/>
      </c>
      <c r="O89" s="39" t="str">
        <f t="shared" si="43"/>
        <v/>
      </c>
      <c r="P89" s="29"/>
      <c r="Q89" s="29"/>
      <c r="R89" s="29"/>
      <c r="S89" s="29"/>
      <c r="T89" s="29"/>
      <c r="U89" s="29"/>
      <c r="V89" s="29"/>
      <c r="W89" s="42" t="str">
        <f t="shared" si="37"/>
        <v/>
      </c>
      <c r="X89" s="15" t="str">
        <f>IF(A89="","",IF(W89="",INDEX(_翻訳マスタ!$B$89:$D$89,1,MATCH(言語切替!$B$3,_翻訳マスタ!$B$1:$D$1,0)),IF(W89&gt;=1,INDEX(_翻訳マスタ!$B$93:$D$93,1,MATCH(言語切替!$B$3,_翻訳マスタ!$B$1:$D$1,0)),IF(W89&gt;=0.8,INDEX(_翻訳マスタ!$B$91:$D$91,1,MATCH(言語切替!$B$3,_翻訳マスタ!$B$1:$D$1,0)),INDEX(_翻訳マスタ!$B$94:$D$94,1,MATCH(言語切替!$B$3,_翻訳マスタ!$B$1:$D$1,0))))))</f>
        <v/>
      </c>
      <c r="Y89" s="30"/>
      <c r="Z89" s="29"/>
      <c r="AA89" s="39"/>
      <c r="AB89" s="39" t="str">
        <f t="shared" si="44"/>
        <v/>
      </c>
      <c r="AC89" s="39" t="str">
        <f t="shared" si="45"/>
        <v/>
      </c>
      <c r="AD89" s="36"/>
      <c r="AE89" s="44"/>
      <c r="AF89" s="44" t="str">
        <f t="shared" si="46"/>
        <v/>
      </c>
      <c r="AG89" s="44" t="str">
        <f t="shared" si="47"/>
        <v/>
      </c>
    </row>
    <row r="90" spans="1:33" s="21" customFormat="1" x14ac:dyDescent="0.25">
      <c r="A90" s="25"/>
      <c r="B90" s="26"/>
      <c r="C90" s="26"/>
      <c r="D90" s="26"/>
      <c r="E90" s="38"/>
      <c r="F90" s="38" t="str">
        <f t="shared" si="38"/>
        <v/>
      </c>
      <c r="G90" s="38" t="str">
        <f t="shared" si="39"/>
        <v/>
      </c>
      <c r="H90" s="26"/>
      <c r="I90" s="38"/>
      <c r="J90" s="38" t="str">
        <f t="shared" si="40"/>
        <v/>
      </c>
      <c r="K90" s="38" t="str">
        <f t="shared" si="41"/>
        <v/>
      </c>
      <c r="L90" s="26"/>
      <c r="M90" s="38"/>
      <c r="N90" s="38" t="str">
        <f t="shared" si="42"/>
        <v/>
      </c>
      <c r="O90" s="38" t="str">
        <f t="shared" si="43"/>
        <v/>
      </c>
      <c r="P90" s="26"/>
      <c r="Q90" s="26"/>
      <c r="R90" s="26"/>
      <c r="S90" s="26"/>
      <c r="T90" s="26"/>
      <c r="U90" s="26"/>
      <c r="V90" s="26"/>
      <c r="W90" s="41" t="str">
        <f t="shared" si="37"/>
        <v/>
      </c>
      <c r="X90" s="12" t="str">
        <f>IF(A90="","",IF(W90="",INDEX(_翻訳マスタ!$B$89:$D$89,1,MATCH(言語切替!$B$3,_翻訳マスタ!$B$1:$D$1,0)),IF(W90&gt;=1,INDEX(_翻訳マスタ!$B$93:$D$93,1,MATCH(言語切替!$B$3,_翻訳マスタ!$B$1:$D$1,0)),IF(W90&gt;=0.8,INDEX(_翻訳マスタ!$B$91:$D$91,1,MATCH(言語切替!$B$3,_翻訳マスタ!$B$1:$D$1,0)),INDEX(_翻訳マスタ!$B$94:$D$94,1,MATCH(言語切替!$B$3,_翻訳マスタ!$B$1:$D$1,0))))))</f>
        <v/>
      </c>
      <c r="Y90" s="27"/>
      <c r="Z90" s="26"/>
      <c r="AA90" s="38"/>
      <c r="AB90" s="38" t="str">
        <f t="shared" si="44"/>
        <v/>
      </c>
      <c r="AC90" s="38" t="str">
        <f t="shared" si="45"/>
        <v/>
      </c>
      <c r="AD90" s="35"/>
      <c r="AE90" s="45"/>
      <c r="AF90" s="45" t="str">
        <f t="shared" si="46"/>
        <v/>
      </c>
      <c r="AG90" s="45" t="str">
        <f t="shared" si="47"/>
        <v/>
      </c>
    </row>
    <row r="91" spans="1:33" s="21" customFormat="1" x14ac:dyDescent="0.25">
      <c r="A91" s="28"/>
      <c r="B91" s="29"/>
      <c r="C91" s="29"/>
      <c r="D91" s="29"/>
      <c r="E91" s="39"/>
      <c r="F91" s="39" t="str">
        <f t="shared" si="38"/>
        <v/>
      </c>
      <c r="G91" s="39" t="str">
        <f t="shared" si="39"/>
        <v/>
      </c>
      <c r="H91" s="29"/>
      <c r="I91" s="39"/>
      <c r="J91" s="39" t="str">
        <f t="shared" si="40"/>
        <v/>
      </c>
      <c r="K91" s="39" t="str">
        <f t="shared" si="41"/>
        <v/>
      </c>
      <c r="L91" s="29"/>
      <c r="M91" s="39"/>
      <c r="N91" s="39" t="str">
        <f t="shared" si="42"/>
        <v/>
      </c>
      <c r="O91" s="39" t="str">
        <f t="shared" si="43"/>
        <v/>
      </c>
      <c r="P91" s="29"/>
      <c r="Q91" s="29"/>
      <c r="R91" s="29"/>
      <c r="S91" s="29"/>
      <c r="T91" s="29"/>
      <c r="U91" s="29"/>
      <c r="V91" s="29"/>
      <c r="W91" s="42" t="str">
        <f t="shared" si="37"/>
        <v/>
      </c>
      <c r="X91" s="15" t="str">
        <f>IF(A91="","",IF(W91="",INDEX(_翻訳マスタ!$B$89:$D$89,1,MATCH(言語切替!$B$3,_翻訳マスタ!$B$1:$D$1,0)),IF(W91&gt;=1,INDEX(_翻訳マスタ!$B$93:$D$93,1,MATCH(言語切替!$B$3,_翻訳マスタ!$B$1:$D$1,0)),IF(W91&gt;=0.8,INDEX(_翻訳マスタ!$B$91:$D$91,1,MATCH(言語切替!$B$3,_翻訳マスタ!$B$1:$D$1,0)),INDEX(_翻訳マスタ!$B$94:$D$94,1,MATCH(言語切替!$B$3,_翻訳マスタ!$B$1:$D$1,0))))))</f>
        <v/>
      </c>
      <c r="Y91" s="30"/>
      <c r="Z91" s="29"/>
      <c r="AA91" s="39"/>
      <c r="AB91" s="39" t="str">
        <f t="shared" si="44"/>
        <v/>
      </c>
      <c r="AC91" s="39" t="str">
        <f t="shared" si="45"/>
        <v/>
      </c>
      <c r="AD91" s="36"/>
      <c r="AE91" s="44"/>
      <c r="AF91" s="44" t="str">
        <f t="shared" si="46"/>
        <v/>
      </c>
      <c r="AG91" s="44" t="str">
        <f t="shared" si="47"/>
        <v/>
      </c>
    </row>
    <row r="92" spans="1:33" s="21" customFormat="1" x14ac:dyDescent="0.25">
      <c r="A92" s="25"/>
      <c r="B92" s="26"/>
      <c r="C92" s="26"/>
      <c r="D92" s="26"/>
      <c r="E92" s="38"/>
      <c r="F92" s="38" t="str">
        <f t="shared" si="38"/>
        <v/>
      </c>
      <c r="G92" s="38" t="str">
        <f t="shared" si="39"/>
        <v/>
      </c>
      <c r="H92" s="26"/>
      <c r="I92" s="38"/>
      <c r="J92" s="38" t="str">
        <f t="shared" si="40"/>
        <v/>
      </c>
      <c r="K92" s="38" t="str">
        <f t="shared" si="41"/>
        <v/>
      </c>
      <c r="L92" s="26"/>
      <c r="M92" s="38"/>
      <c r="N92" s="38" t="str">
        <f t="shared" si="42"/>
        <v/>
      </c>
      <c r="O92" s="38" t="str">
        <f t="shared" si="43"/>
        <v/>
      </c>
      <c r="P92" s="26"/>
      <c r="Q92" s="26"/>
      <c r="R92" s="26"/>
      <c r="S92" s="26"/>
      <c r="T92" s="26"/>
      <c r="U92" s="26"/>
      <c r="V92" s="26"/>
      <c r="W92" s="41" t="str">
        <f t="shared" si="37"/>
        <v/>
      </c>
      <c r="X92" s="12" t="str">
        <f>IF(A92="","",IF(W92="",INDEX(_翻訳マスタ!$B$89:$D$89,1,MATCH(言語切替!$B$3,_翻訳マスタ!$B$1:$D$1,0)),IF(W92&gt;=1,INDEX(_翻訳マスタ!$B$93:$D$93,1,MATCH(言語切替!$B$3,_翻訳マスタ!$B$1:$D$1,0)),IF(W92&gt;=0.8,INDEX(_翻訳マスタ!$B$91:$D$91,1,MATCH(言語切替!$B$3,_翻訳マスタ!$B$1:$D$1,0)),INDEX(_翻訳マスタ!$B$94:$D$94,1,MATCH(言語切替!$B$3,_翻訳マスタ!$B$1:$D$1,0))))))</f>
        <v/>
      </c>
      <c r="Y92" s="27"/>
      <c r="Z92" s="26"/>
      <c r="AA92" s="38"/>
      <c r="AB92" s="38" t="str">
        <f t="shared" si="44"/>
        <v/>
      </c>
      <c r="AC92" s="38" t="str">
        <f t="shared" si="45"/>
        <v/>
      </c>
      <c r="AD92" s="35"/>
      <c r="AE92" s="45"/>
      <c r="AF92" s="45" t="str">
        <f t="shared" si="46"/>
        <v/>
      </c>
      <c r="AG92" s="45" t="str">
        <f t="shared" si="47"/>
        <v/>
      </c>
    </row>
    <row r="93" spans="1:33" s="21" customFormat="1" x14ac:dyDescent="0.25">
      <c r="A93" s="28"/>
      <c r="B93" s="29"/>
      <c r="C93" s="29"/>
      <c r="D93" s="29"/>
      <c r="E93" s="39"/>
      <c r="F93" s="39" t="str">
        <f t="shared" si="38"/>
        <v/>
      </c>
      <c r="G93" s="39" t="str">
        <f t="shared" si="39"/>
        <v/>
      </c>
      <c r="H93" s="29"/>
      <c r="I93" s="39"/>
      <c r="J93" s="39" t="str">
        <f t="shared" si="40"/>
        <v/>
      </c>
      <c r="K93" s="39" t="str">
        <f t="shared" si="41"/>
        <v/>
      </c>
      <c r="L93" s="29"/>
      <c r="M93" s="39"/>
      <c r="N93" s="39" t="str">
        <f t="shared" si="42"/>
        <v/>
      </c>
      <c r="O93" s="39" t="str">
        <f t="shared" si="43"/>
        <v/>
      </c>
      <c r="P93" s="29"/>
      <c r="Q93" s="29"/>
      <c r="R93" s="29"/>
      <c r="S93" s="29"/>
      <c r="T93" s="29"/>
      <c r="U93" s="29"/>
      <c r="V93" s="29"/>
      <c r="W93" s="42" t="str">
        <f t="shared" si="37"/>
        <v/>
      </c>
      <c r="X93" s="15" t="str">
        <f>IF(A93="","",IF(W93="",INDEX(_翻訳マスタ!$B$89:$D$89,1,MATCH(言語切替!$B$3,_翻訳マスタ!$B$1:$D$1,0)),IF(W93&gt;=1,INDEX(_翻訳マスタ!$B$93:$D$93,1,MATCH(言語切替!$B$3,_翻訳マスタ!$B$1:$D$1,0)),IF(W93&gt;=0.8,INDEX(_翻訳マスタ!$B$91:$D$91,1,MATCH(言語切替!$B$3,_翻訳マスタ!$B$1:$D$1,0)),INDEX(_翻訳マスタ!$B$94:$D$94,1,MATCH(言語切替!$B$3,_翻訳マスタ!$B$1:$D$1,0))))))</f>
        <v/>
      </c>
      <c r="Y93" s="30"/>
      <c r="Z93" s="29"/>
      <c r="AA93" s="39"/>
      <c r="AB93" s="39" t="str">
        <f t="shared" si="44"/>
        <v/>
      </c>
      <c r="AC93" s="39" t="str">
        <f t="shared" si="45"/>
        <v/>
      </c>
      <c r="AD93" s="36"/>
      <c r="AE93" s="44"/>
      <c r="AF93" s="44" t="str">
        <f t="shared" si="46"/>
        <v/>
      </c>
      <c r="AG93" s="44" t="str">
        <f t="shared" si="47"/>
        <v/>
      </c>
    </row>
    <row r="94" spans="1:33" s="21" customFormat="1" x14ac:dyDescent="0.25">
      <c r="A94" s="25"/>
      <c r="B94" s="26"/>
      <c r="C94" s="26"/>
      <c r="D94" s="26"/>
      <c r="E94" s="38"/>
      <c r="F94" s="38" t="str">
        <f t="shared" si="38"/>
        <v/>
      </c>
      <c r="G94" s="38" t="str">
        <f t="shared" si="39"/>
        <v/>
      </c>
      <c r="H94" s="26"/>
      <c r="I94" s="38"/>
      <c r="J94" s="38" t="str">
        <f t="shared" si="40"/>
        <v/>
      </c>
      <c r="K94" s="38" t="str">
        <f t="shared" si="41"/>
        <v/>
      </c>
      <c r="L94" s="26"/>
      <c r="M94" s="38"/>
      <c r="N94" s="38" t="str">
        <f t="shared" si="42"/>
        <v/>
      </c>
      <c r="O94" s="38" t="str">
        <f t="shared" si="43"/>
        <v/>
      </c>
      <c r="P94" s="26"/>
      <c r="Q94" s="26"/>
      <c r="R94" s="26"/>
      <c r="S94" s="26"/>
      <c r="T94" s="26"/>
      <c r="U94" s="26"/>
      <c r="V94" s="26"/>
      <c r="W94" s="41" t="str">
        <f t="shared" si="37"/>
        <v/>
      </c>
      <c r="X94" s="12" t="str">
        <f>IF(A94="","",IF(W94="",INDEX(_翻訳マスタ!$B$89:$D$89,1,MATCH(言語切替!$B$3,_翻訳マスタ!$B$1:$D$1,0)),IF(W94&gt;=1,INDEX(_翻訳マスタ!$B$93:$D$93,1,MATCH(言語切替!$B$3,_翻訳マスタ!$B$1:$D$1,0)),IF(W94&gt;=0.8,INDEX(_翻訳マスタ!$B$91:$D$91,1,MATCH(言語切替!$B$3,_翻訳マスタ!$B$1:$D$1,0)),INDEX(_翻訳マスタ!$B$94:$D$94,1,MATCH(言語切替!$B$3,_翻訳マスタ!$B$1:$D$1,0))))))</f>
        <v/>
      </c>
      <c r="Y94" s="27"/>
      <c r="Z94" s="26"/>
      <c r="AA94" s="38"/>
      <c r="AB94" s="38" t="str">
        <f t="shared" si="44"/>
        <v/>
      </c>
      <c r="AC94" s="38" t="str">
        <f t="shared" si="45"/>
        <v/>
      </c>
      <c r="AD94" s="35"/>
      <c r="AE94" s="45"/>
      <c r="AF94" s="45" t="str">
        <f t="shared" si="46"/>
        <v/>
      </c>
      <c r="AG94" s="45" t="str">
        <f t="shared" si="47"/>
        <v/>
      </c>
    </row>
    <row r="95" spans="1:33" s="21" customFormat="1" x14ac:dyDescent="0.25">
      <c r="A95" s="28"/>
      <c r="B95" s="29"/>
      <c r="C95" s="29"/>
      <c r="D95" s="29"/>
      <c r="E95" s="39"/>
      <c r="F95" s="39" t="str">
        <f t="shared" si="38"/>
        <v/>
      </c>
      <c r="G95" s="39" t="str">
        <f t="shared" si="39"/>
        <v/>
      </c>
      <c r="H95" s="29"/>
      <c r="I95" s="39"/>
      <c r="J95" s="39" t="str">
        <f t="shared" si="40"/>
        <v/>
      </c>
      <c r="K95" s="39" t="str">
        <f t="shared" si="41"/>
        <v/>
      </c>
      <c r="L95" s="29"/>
      <c r="M95" s="39"/>
      <c r="N95" s="39" t="str">
        <f t="shared" si="42"/>
        <v/>
      </c>
      <c r="O95" s="39" t="str">
        <f t="shared" si="43"/>
        <v/>
      </c>
      <c r="P95" s="29"/>
      <c r="Q95" s="29"/>
      <c r="R95" s="29"/>
      <c r="S95" s="29"/>
      <c r="T95" s="29"/>
      <c r="U95" s="29"/>
      <c r="V95" s="29"/>
      <c r="W95" s="42" t="str">
        <f t="shared" si="37"/>
        <v/>
      </c>
      <c r="X95" s="15" t="str">
        <f>IF(A95="","",IF(W95="",INDEX(_翻訳マスタ!$B$89:$D$89,1,MATCH(言語切替!$B$3,_翻訳マスタ!$B$1:$D$1,0)),IF(W95&gt;=1,INDEX(_翻訳マスタ!$B$93:$D$93,1,MATCH(言語切替!$B$3,_翻訳マスタ!$B$1:$D$1,0)),IF(W95&gt;=0.8,INDEX(_翻訳マスタ!$B$91:$D$91,1,MATCH(言語切替!$B$3,_翻訳マスタ!$B$1:$D$1,0)),INDEX(_翻訳マスタ!$B$94:$D$94,1,MATCH(言語切替!$B$3,_翻訳マスタ!$B$1:$D$1,0))))))</f>
        <v/>
      </c>
      <c r="Y95" s="30"/>
      <c r="Z95" s="29"/>
      <c r="AA95" s="39"/>
      <c r="AB95" s="39" t="str">
        <f t="shared" si="44"/>
        <v/>
      </c>
      <c r="AC95" s="39" t="str">
        <f t="shared" si="45"/>
        <v/>
      </c>
      <c r="AD95" s="36"/>
      <c r="AE95" s="44"/>
      <c r="AF95" s="44" t="str">
        <f t="shared" si="46"/>
        <v/>
      </c>
      <c r="AG95" s="44" t="str">
        <f t="shared" si="47"/>
        <v/>
      </c>
    </row>
    <row r="96" spans="1:33" s="21" customFormat="1" x14ac:dyDescent="0.25">
      <c r="A96" s="25"/>
      <c r="B96" s="26"/>
      <c r="C96" s="26"/>
      <c r="D96" s="26"/>
      <c r="E96" s="38"/>
      <c r="F96" s="38" t="str">
        <f t="shared" si="38"/>
        <v/>
      </c>
      <c r="G96" s="38" t="str">
        <f t="shared" si="39"/>
        <v/>
      </c>
      <c r="H96" s="26"/>
      <c r="I96" s="38"/>
      <c r="J96" s="38" t="str">
        <f t="shared" si="40"/>
        <v/>
      </c>
      <c r="K96" s="38" t="str">
        <f t="shared" si="41"/>
        <v/>
      </c>
      <c r="L96" s="26"/>
      <c r="M96" s="38"/>
      <c r="N96" s="38" t="str">
        <f t="shared" si="42"/>
        <v/>
      </c>
      <c r="O96" s="38" t="str">
        <f t="shared" si="43"/>
        <v/>
      </c>
      <c r="P96" s="26"/>
      <c r="Q96" s="26"/>
      <c r="R96" s="26"/>
      <c r="S96" s="26"/>
      <c r="T96" s="26"/>
      <c r="U96" s="26"/>
      <c r="V96" s="26"/>
      <c r="W96" s="41" t="str">
        <f t="shared" si="37"/>
        <v/>
      </c>
      <c r="X96" s="12" t="str">
        <f>IF(A96="","",IF(W96="",INDEX(_翻訳マスタ!$B$89:$D$89,1,MATCH(言語切替!$B$3,_翻訳マスタ!$B$1:$D$1,0)),IF(W96&gt;=1,INDEX(_翻訳マスタ!$B$93:$D$93,1,MATCH(言語切替!$B$3,_翻訳マスタ!$B$1:$D$1,0)),IF(W96&gt;=0.8,INDEX(_翻訳マスタ!$B$91:$D$91,1,MATCH(言語切替!$B$3,_翻訳マスタ!$B$1:$D$1,0)),INDEX(_翻訳マスタ!$B$94:$D$94,1,MATCH(言語切替!$B$3,_翻訳マスタ!$B$1:$D$1,0))))))</f>
        <v/>
      </c>
      <c r="Y96" s="27"/>
      <c r="Z96" s="26"/>
      <c r="AA96" s="38"/>
      <c r="AB96" s="38" t="str">
        <f t="shared" si="44"/>
        <v/>
      </c>
      <c r="AC96" s="38" t="str">
        <f t="shared" si="45"/>
        <v/>
      </c>
      <c r="AD96" s="35"/>
      <c r="AE96" s="45"/>
      <c r="AF96" s="45" t="str">
        <f t="shared" si="46"/>
        <v/>
      </c>
      <c r="AG96" s="45" t="str">
        <f t="shared" si="47"/>
        <v/>
      </c>
    </row>
    <row r="97" spans="1:33" s="21" customFormat="1" x14ac:dyDescent="0.25">
      <c r="A97" s="28"/>
      <c r="B97" s="29"/>
      <c r="C97" s="29"/>
      <c r="D97" s="29"/>
      <c r="E97" s="39"/>
      <c r="F97" s="39" t="str">
        <f t="shared" si="38"/>
        <v/>
      </c>
      <c r="G97" s="39" t="str">
        <f t="shared" si="39"/>
        <v/>
      </c>
      <c r="H97" s="29"/>
      <c r="I97" s="39"/>
      <c r="J97" s="39" t="str">
        <f t="shared" si="40"/>
        <v/>
      </c>
      <c r="K97" s="39" t="str">
        <f t="shared" si="41"/>
        <v/>
      </c>
      <c r="L97" s="29"/>
      <c r="M97" s="39"/>
      <c r="N97" s="39" t="str">
        <f t="shared" si="42"/>
        <v/>
      </c>
      <c r="O97" s="39" t="str">
        <f t="shared" si="43"/>
        <v/>
      </c>
      <c r="P97" s="29"/>
      <c r="Q97" s="29"/>
      <c r="R97" s="29"/>
      <c r="S97" s="29"/>
      <c r="T97" s="29"/>
      <c r="U97" s="29"/>
      <c r="V97" s="29"/>
      <c r="W97" s="42" t="str">
        <f t="shared" si="37"/>
        <v/>
      </c>
      <c r="X97" s="15" t="str">
        <f>IF(A97="","",IF(W97="",INDEX(_翻訳マスタ!$B$89:$D$89,1,MATCH(言語切替!$B$3,_翻訳マスタ!$B$1:$D$1,0)),IF(W97&gt;=1,INDEX(_翻訳マスタ!$B$93:$D$93,1,MATCH(言語切替!$B$3,_翻訳マスタ!$B$1:$D$1,0)),IF(W97&gt;=0.8,INDEX(_翻訳マスタ!$B$91:$D$91,1,MATCH(言語切替!$B$3,_翻訳マスタ!$B$1:$D$1,0)),INDEX(_翻訳マスタ!$B$94:$D$94,1,MATCH(言語切替!$B$3,_翻訳マスタ!$B$1:$D$1,0))))))</f>
        <v/>
      </c>
      <c r="Y97" s="30"/>
      <c r="Z97" s="29"/>
      <c r="AA97" s="39"/>
      <c r="AB97" s="39" t="str">
        <f t="shared" si="44"/>
        <v/>
      </c>
      <c r="AC97" s="39" t="str">
        <f t="shared" si="45"/>
        <v/>
      </c>
      <c r="AD97" s="36"/>
      <c r="AE97" s="44"/>
      <c r="AF97" s="44" t="str">
        <f t="shared" si="46"/>
        <v/>
      </c>
      <c r="AG97" s="44" t="str">
        <f t="shared" si="47"/>
        <v/>
      </c>
    </row>
    <row r="98" spans="1:33" s="21" customFormat="1" x14ac:dyDescent="0.25">
      <c r="A98" s="25"/>
      <c r="B98" s="26"/>
      <c r="C98" s="26"/>
      <c r="D98" s="26"/>
      <c r="E98" s="38"/>
      <c r="F98" s="38" t="str">
        <f t="shared" si="38"/>
        <v/>
      </c>
      <c r="G98" s="38" t="str">
        <f t="shared" si="39"/>
        <v/>
      </c>
      <c r="H98" s="26"/>
      <c r="I98" s="38"/>
      <c r="J98" s="38" t="str">
        <f t="shared" si="40"/>
        <v/>
      </c>
      <c r="K98" s="38" t="str">
        <f t="shared" si="41"/>
        <v/>
      </c>
      <c r="L98" s="26"/>
      <c r="M98" s="38"/>
      <c r="N98" s="38" t="str">
        <f t="shared" si="42"/>
        <v/>
      </c>
      <c r="O98" s="38" t="str">
        <f t="shared" si="43"/>
        <v/>
      </c>
      <c r="P98" s="26"/>
      <c r="Q98" s="26"/>
      <c r="R98" s="26"/>
      <c r="S98" s="26"/>
      <c r="T98" s="26"/>
      <c r="U98" s="26"/>
      <c r="V98" s="26"/>
      <c r="W98" s="41" t="str">
        <f t="shared" si="37"/>
        <v/>
      </c>
      <c r="X98" s="12" t="str">
        <f>IF(A98="","",IF(W98="",INDEX(_翻訳マスタ!$B$89:$D$89,1,MATCH(言語切替!$B$3,_翻訳マスタ!$B$1:$D$1,0)),IF(W98&gt;=1,INDEX(_翻訳マスタ!$B$93:$D$93,1,MATCH(言語切替!$B$3,_翻訳マスタ!$B$1:$D$1,0)),IF(W98&gt;=0.8,INDEX(_翻訳マスタ!$B$91:$D$91,1,MATCH(言語切替!$B$3,_翻訳マスタ!$B$1:$D$1,0)),INDEX(_翻訳マスタ!$B$94:$D$94,1,MATCH(言語切替!$B$3,_翻訳マスタ!$B$1:$D$1,0))))))</f>
        <v/>
      </c>
      <c r="Y98" s="27"/>
      <c r="Z98" s="26"/>
      <c r="AA98" s="38"/>
      <c r="AB98" s="38" t="str">
        <f t="shared" si="44"/>
        <v/>
      </c>
      <c r="AC98" s="38" t="str">
        <f t="shared" si="45"/>
        <v/>
      </c>
      <c r="AD98" s="35"/>
      <c r="AE98" s="45"/>
      <c r="AF98" s="45" t="str">
        <f t="shared" si="46"/>
        <v/>
      </c>
      <c r="AG98" s="45" t="str">
        <f t="shared" si="47"/>
        <v/>
      </c>
    </row>
    <row r="99" spans="1:33" s="21" customFormat="1" x14ac:dyDescent="0.25">
      <c r="A99" s="28"/>
      <c r="B99" s="29"/>
      <c r="C99" s="29"/>
      <c r="D99" s="29"/>
      <c r="E99" s="39"/>
      <c r="F99" s="39" t="str">
        <f t="shared" si="38"/>
        <v/>
      </c>
      <c r="G99" s="39" t="str">
        <f t="shared" si="39"/>
        <v/>
      </c>
      <c r="H99" s="29"/>
      <c r="I99" s="39"/>
      <c r="J99" s="39" t="str">
        <f t="shared" si="40"/>
        <v/>
      </c>
      <c r="K99" s="39" t="str">
        <f t="shared" si="41"/>
        <v/>
      </c>
      <c r="L99" s="29"/>
      <c r="M99" s="39"/>
      <c r="N99" s="39" t="str">
        <f t="shared" si="42"/>
        <v/>
      </c>
      <c r="O99" s="39" t="str">
        <f t="shared" si="43"/>
        <v/>
      </c>
      <c r="P99" s="29"/>
      <c r="Q99" s="29"/>
      <c r="R99" s="29"/>
      <c r="S99" s="29"/>
      <c r="T99" s="29"/>
      <c r="U99" s="29"/>
      <c r="V99" s="29"/>
      <c r="W99" s="42" t="str">
        <f t="shared" si="37"/>
        <v/>
      </c>
      <c r="X99" s="15" t="str">
        <f>IF(A99="","",IF(W99="",INDEX(_翻訳マスタ!$B$89:$D$89,1,MATCH(言語切替!$B$3,_翻訳マスタ!$B$1:$D$1,0)),IF(W99&gt;=1,INDEX(_翻訳マスタ!$B$93:$D$93,1,MATCH(言語切替!$B$3,_翻訳マスタ!$B$1:$D$1,0)),IF(W99&gt;=0.8,INDEX(_翻訳マスタ!$B$91:$D$91,1,MATCH(言語切替!$B$3,_翻訳マスタ!$B$1:$D$1,0)),INDEX(_翻訳マスタ!$B$94:$D$94,1,MATCH(言語切替!$B$3,_翻訳マスタ!$B$1:$D$1,0))))))</f>
        <v/>
      </c>
      <c r="Y99" s="30"/>
      <c r="Z99" s="29"/>
      <c r="AA99" s="39"/>
      <c r="AB99" s="39" t="str">
        <f t="shared" si="44"/>
        <v/>
      </c>
      <c r="AC99" s="39" t="str">
        <f t="shared" si="45"/>
        <v/>
      </c>
      <c r="AD99" s="36"/>
      <c r="AE99" s="44"/>
      <c r="AF99" s="44" t="str">
        <f t="shared" si="46"/>
        <v/>
      </c>
      <c r="AG99" s="44" t="str">
        <f t="shared" si="47"/>
        <v/>
      </c>
    </row>
    <row r="100" spans="1:33" s="21" customFormat="1" x14ac:dyDescent="0.25">
      <c r="A100" s="25"/>
      <c r="B100" s="26"/>
      <c r="C100" s="26"/>
      <c r="D100" s="26"/>
      <c r="E100" s="38"/>
      <c r="F100" s="38" t="str">
        <f t="shared" si="38"/>
        <v/>
      </c>
      <c r="G100" s="38" t="str">
        <f t="shared" si="39"/>
        <v/>
      </c>
      <c r="H100" s="26"/>
      <c r="I100" s="38"/>
      <c r="J100" s="38" t="str">
        <f t="shared" si="40"/>
        <v/>
      </c>
      <c r="K100" s="38" t="str">
        <f t="shared" si="41"/>
        <v/>
      </c>
      <c r="L100" s="26"/>
      <c r="M100" s="38"/>
      <c r="N100" s="38" t="str">
        <f t="shared" si="42"/>
        <v/>
      </c>
      <c r="O100" s="38" t="str">
        <f t="shared" si="43"/>
        <v/>
      </c>
      <c r="P100" s="26"/>
      <c r="Q100" s="26"/>
      <c r="R100" s="26"/>
      <c r="S100" s="26"/>
      <c r="T100" s="26"/>
      <c r="U100" s="26"/>
      <c r="V100" s="26"/>
      <c r="W100" s="41" t="str">
        <f t="shared" si="37"/>
        <v/>
      </c>
      <c r="X100" s="12" t="str">
        <f>IF(A100="","",IF(W100="",INDEX(_翻訳マスタ!$B$89:$D$89,1,MATCH(言語切替!$B$3,_翻訳マスタ!$B$1:$D$1,0)),IF(W100&gt;=1,INDEX(_翻訳マスタ!$B$93:$D$93,1,MATCH(言語切替!$B$3,_翻訳マスタ!$B$1:$D$1,0)),IF(W100&gt;=0.8,INDEX(_翻訳マスタ!$B$91:$D$91,1,MATCH(言語切替!$B$3,_翻訳マスタ!$B$1:$D$1,0)),INDEX(_翻訳マスタ!$B$94:$D$94,1,MATCH(言語切替!$B$3,_翻訳マスタ!$B$1:$D$1,0))))))</f>
        <v/>
      </c>
      <c r="Y100" s="27"/>
      <c r="Z100" s="26"/>
      <c r="AA100" s="38"/>
      <c r="AB100" s="38" t="str">
        <f t="shared" si="44"/>
        <v/>
      </c>
      <c r="AC100" s="38" t="str">
        <f t="shared" si="45"/>
        <v/>
      </c>
      <c r="AD100" s="35"/>
      <c r="AE100" s="45"/>
      <c r="AF100" s="45" t="str">
        <f t="shared" si="46"/>
        <v/>
      </c>
      <c r="AG100" s="45" t="str">
        <f t="shared" si="47"/>
        <v/>
      </c>
    </row>
    <row r="101" spans="1:33" s="21" customFormat="1" x14ac:dyDescent="0.25">
      <c r="A101" s="28"/>
      <c r="B101" s="29"/>
      <c r="C101" s="29"/>
      <c r="D101" s="29"/>
      <c r="E101" s="29"/>
      <c r="F101" s="39" t="str">
        <f t="shared" si="38"/>
        <v/>
      </c>
      <c r="G101" s="39" t="str">
        <f t="shared" si="39"/>
        <v/>
      </c>
      <c r="H101" s="29"/>
      <c r="I101" s="29"/>
      <c r="J101" s="39" t="str">
        <f t="shared" si="40"/>
        <v/>
      </c>
      <c r="K101" s="39" t="str">
        <f t="shared" si="41"/>
        <v/>
      </c>
      <c r="L101" s="29"/>
      <c r="M101" s="29"/>
      <c r="N101" s="39" t="str">
        <f t="shared" si="42"/>
        <v/>
      </c>
      <c r="O101" s="39" t="str">
        <f t="shared" si="43"/>
        <v/>
      </c>
      <c r="P101" s="29"/>
      <c r="Q101" s="29"/>
      <c r="R101" s="29"/>
      <c r="S101" s="29"/>
      <c r="T101" s="29"/>
      <c r="U101" s="29"/>
      <c r="V101" s="29"/>
      <c r="W101" s="42" t="str">
        <f t="shared" ref="W101:W132" si="48">IF(OR(U101="",V101=""),"",IF(U101=0,"",V101/U101))</f>
        <v/>
      </c>
      <c r="X101" s="15" t="str">
        <f>IF(A101="","",IF(W101="",INDEX(_翻訳マスタ!$B$89:$D$89,1,MATCH(言語切替!$B$3,_翻訳マスタ!$B$1:$D$1,0)),IF(W101&gt;=1,INDEX(_翻訳マスタ!$B$93:$D$93,1,MATCH(言語切替!$B$3,_翻訳マスタ!$B$1:$D$1,0)),IF(W101&gt;=0.8,INDEX(_翻訳マスタ!$B$91:$D$91,1,MATCH(言語切替!$B$3,_翻訳マスタ!$B$1:$D$1,0)),INDEX(_翻訳マスタ!$B$94:$D$94,1,MATCH(言語切替!$B$3,_翻訳マスタ!$B$1:$D$1,0))))))</f>
        <v/>
      </c>
      <c r="Y101" s="30"/>
      <c r="Z101" s="29"/>
      <c r="AA101" s="29"/>
      <c r="AB101" s="39" t="str">
        <f t="shared" si="44"/>
        <v/>
      </c>
      <c r="AC101" s="39" t="str">
        <f t="shared" si="45"/>
        <v/>
      </c>
      <c r="AD101" s="36"/>
      <c r="AE101" s="46"/>
      <c r="AF101" s="44" t="str">
        <f t="shared" si="46"/>
        <v/>
      </c>
      <c r="AG101" s="44" t="str">
        <f t="shared" si="47"/>
        <v/>
      </c>
    </row>
    <row r="102" spans="1:33" s="21" customFormat="1" x14ac:dyDescent="0.25">
      <c r="A102" s="25"/>
      <c r="B102" s="26"/>
      <c r="C102" s="26"/>
      <c r="D102" s="26"/>
      <c r="E102" s="26"/>
      <c r="F102" s="38" t="str">
        <f t="shared" si="38"/>
        <v/>
      </c>
      <c r="G102" s="38" t="str">
        <f t="shared" si="39"/>
        <v/>
      </c>
      <c r="H102" s="26"/>
      <c r="I102" s="26"/>
      <c r="J102" s="38" t="str">
        <f t="shared" si="40"/>
        <v/>
      </c>
      <c r="K102" s="38" t="str">
        <f t="shared" si="41"/>
        <v/>
      </c>
      <c r="L102" s="26"/>
      <c r="M102" s="26"/>
      <c r="N102" s="38" t="str">
        <f t="shared" si="42"/>
        <v/>
      </c>
      <c r="O102" s="38" t="str">
        <f t="shared" si="43"/>
        <v/>
      </c>
      <c r="P102" s="26"/>
      <c r="Q102" s="26"/>
      <c r="R102" s="26"/>
      <c r="S102" s="26"/>
      <c r="T102" s="26"/>
      <c r="U102" s="26"/>
      <c r="V102" s="26"/>
      <c r="W102" s="41" t="str">
        <f t="shared" si="48"/>
        <v/>
      </c>
      <c r="X102" s="12" t="str">
        <f>IF(A102="","",IF(W102="",INDEX(_翻訳マスタ!$B$89:$D$89,1,MATCH(言語切替!$B$3,_翻訳マスタ!$B$1:$D$1,0)),IF(W102&gt;=1,INDEX(_翻訳マスタ!$B$93:$D$93,1,MATCH(言語切替!$B$3,_翻訳マスタ!$B$1:$D$1,0)),IF(W102&gt;=0.8,INDEX(_翻訳マスタ!$B$91:$D$91,1,MATCH(言語切替!$B$3,_翻訳マスタ!$B$1:$D$1,0)),INDEX(_翻訳マスタ!$B$94:$D$94,1,MATCH(言語切替!$B$3,_翻訳マスタ!$B$1:$D$1,0))))))</f>
        <v/>
      </c>
      <c r="Y102" s="27"/>
      <c r="Z102" s="26"/>
      <c r="AA102" s="26"/>
      <c r="AB102" s="38" t="str">
        <f t="shared" si="44"/>
        <v/>
      </c>
      <c r="AC102" s="38" t="str">
        <f t="shared" si="45"/>
        <v/>
      </c>
      <c r="AD102" s="35"/>
      <c r="AE102" s="47"/>
      <c r="AF102" s="45" t="str">
        <f t="shared" si="46"/>
        <v/>
      </c>
      <c r="AG102" s="45" t="str">
        <f t="shared" si="47"/>
        <v/>
      </c>
    </row>
    <row r="103" spans="1:33" s="21" customFormat="1" x14ac:dyDescent="0.25">
      <c r="A103" s="28"/>
      <c r="B103" s="29"/>
      <c r="C103" s="29"/>
      <c r="D103" s="29"/>
      <c r="E103" s="29"/>
      <c r="F103" s="39" t="str">
        <f t="shared" si="38"/>
        <v/>
      </c>
      <c r="G103" s="39" t="str">
        <f t="shared" si="39"/>
        <v/>
      </c>
      <c r="H103" s="29"/>
      <c r="I103" s="29"/>
      <c r="J103" s="39" t="str">
        <f t="shared" si="40"/>
        <v/>
      </c>
      <c r="K103" s="39" t="str">
        <f t="shared" si="41"/>
        <v/>
      </c>
      <c r="L103" s="29"/>
      <c r="M103" s="29"/>
      <c r="N103" s="39" t="str">
        <f t="shared" si="42"/>
        <v/>
      </c>
      <c r="O103" s="39" t="str">
        <f t="shared" si="43"/>
        <v/>
      </c>
      <c r="P103" s="29"/>
      <c r="Q103" s="29"/>
      <c r="R103" s="29"/>
      <c r="S103" s="29"/>
      <c r="T103" s="29"/>
      <c r="U103" s="29"/>
      <c r="V103" s="29"/>
      <c r="W103" s="42" t="str">
        <f t="shared" si="48"/>
        <v/>
      </c>
      <c r="X103" s="15" t="str">
        <f>IF(A103="","",IF(W103="",INDEX(_翻訳マスタ!$B$89:$D$89,1,MATCH(言語切替!$B$3,_翻訳マスタ!$B$1:$D$1,0)),IF(W103&gt;=1,INDEX(_翻訳マスタ!$B$93:$D$93,1,MATCH(言語切替!$B$3,_翻訳マスタ!$B$1:$D$1,0)),IF(W103&gt;=0.8,INDEX(_翻訳マスタ!$B$91:$D$91,1,MATCH(言語切替!$B$3,_翻訳マスタ!$B$1:$D$1,0)),INDEX(_翻訳マスタ!$B$94:$D$94,1,MATCH(言語切替!$B$3,_翻訳マスタ!$B$1:$D$1,0))))))</f>
        <v/>
      </c>
      <c r="Y103" s="30"/>
      <c r="Z103" s="29"/>
      <c r="AA103" s="29"/>
      <c r="AB103" s="39" t="str">
        <f t="shared" si="44"/>
        <v/>
      </c>
      <c r="AC103" s="39" t="str">
        <f t="shared" si="45"/>
        <v/>
      </c>
      <c r="AD103" s="36"/>
      <c r="AE103" s="46"/>
      <c r="AF103" s="44" t="str">
        <f t="shared" si="46"/>
        <v/>
      </c>
      <c r="AG103" s="44" t="str">
        <f t="shared" si="47"/>
        <v/>
      </c>
    </row>
    <row r="104" spans="1:33" s="21" customFormat="1" x14ac:dyDescent="0.25">
      <c r="A104" s="25"/>
      <c r="B104" s="26"/>
      <c r="C104" s="26"/>
      <c r="D104" s="26"/>
      <c r="E104" s="26"/>
      <c r="F104" s="38" t="str">
        <f t="shared" si="38"/>
        <v/>
      </c>
      <c r="G104" s="38" t="str">
        <f t="shared" si="39"/>
        <v/>
      </c>
      <c r="H104" s="26"/>
      <c r="I104" s="26"/>
      <c r="J104" s="38" t="str">
        <f t="shared" si="40"/>
        <v/>
      </c>
      <c r="K104" s="38" t="str">
        <f t="shared" si="41"/>
        <v/>
      </c>
      <c r="L104" s="26"/>
      <c r="M104" s="26"/>
      <c r="N104" s="38" t="str">
        <f t="shared" si="42"/>
        <v/>
      </c>
      <c r="O104" s="38" t="str">
        <f t="shared" si="43"/>
        <v/>
      </c>
      <c r="P104" s="26"/>
      <c r="Q104" s="26"/>
      <c r="R104" s="26"/>
      <c r="S104" s="26"/>
      <c r="T104" s="26"/>
      <c r="U104" s="26"/>
      <c r="V104" s="26"/>
      <c r="W104" s="41" t="str">
        <f t="shared" si="48"/>
        <v/>
      </c>
      <c r="X104" s="12" t="str">
        <f>IF(A104="","",IF(W104="",INDEX(_翻訳マスタ!$B$89:$D$89,1,MATCH(言語切替!$B$3,_翻訳マスタ!$B$1:$D$1,0)),IF(W104&gt;=1,INDEX(_翻訳マスタ!$B$93:$D$93,1,MATCH(言語切替!$B$3,_翻訳マスタ!$B$1:$D$1,0)),IF(W104&gt;=0.8,INDEX(_翻訳マスタ!$B$91:$D$91,1,MATCH(言語切替!$B$3,_翻訳マスタ!$B$1:$D$1,0)),INDEX(_翻訳マスタ!$B$94:$D$94,1,MATCH(言語切替!$B$3,_翻訳マスタ!$B$1:$D$1,0))))))</f>
        <v/>
      </c>
      <c r="Y104" s="27"/>
      <c r="Z104" s="26"/>
      <c r="AA104" s="26"/>
      <c r="AB104" s="38" t="str">
        <f t="shared" si="44"/>
        <v/>
      </c>
      <c r="AC104" s="38" t="str">
        <f t="shared" si="45"/>
        <v/>
      </c>
      <c r="AD104" s="35"/>
      <c r="AE104" s="47"/>
      <c r="AF104" s="45" t="str">
        <f t="shared" si="46"/>
        <v/>
      </c>
      <c r="AG104" s="45" t="str">
        <f t="shared" si="47"/>
        <v/>
      </c>
    </row>
    <row r="105" spans="1:33" s="21" customFormat="1" x14ac:dyDescent="0.25">
      <c r="A105" s="28"/>
      <c r="B105" s="29"/>
      <c r="C105" s="29"/>
      <c r="D105" s="29"/>
      <c r="E105" s="29"/>
      <c r="F105" s="39" t="str">
        <f t="shared" ref="F105:F136" si="49">IF(D105="","",_xlfn.TRANSLATE(D105,"vi","ja"))</f>
        <v/>
      </c>
      <c r="G105" s="39" t="str">
        <f t="shared" ref="G105:G136" si="50">IF(D105="","",_xlfn.TRANSLATE(D105,"vi","zh-Hans"))</f>
        <v/>
      </c>
      <c r="H105" s="29"/>
      <c r="I105" s="29"/>
      <c r="J105" s="39" t="str">
        <f t="shared" ref="J105:J136" si="51">IF(H105="","",_xlfn.TRANSLATE(H105,"vi","ja"))</f>
        <v/>
      </c>
      <c r="K105" s="39" t="str">
        <f t="shared" ref="K105:K136" si="52">IF(H105="","",_xlfn.TRANSLATE(H105,"vi","zh-Hans"))</f>
        <v/>
      </c>
      <c r="L105" s="29"/>
      <c r="M105" s="29"/>
      <c r="N105" s="39" t="str">
        <f t="shared" ref="N105:N136" si="53">IF(L105="","",_xlfn.TRANSLATE(L105,"vi","ja"))</f>
        <v/>
      </c>
      <c r="O105" s="39" t="str">
        <f t="shared" ref="O105:O136" si="54">IF(L105="","",_xlfn.TRANSLATE(L105,"vi","zh-Hans"))</f>
        <v/>
      </c>
      <c r="P105" s="29"/>
      <c r="Q105" s="29"/>
      <c r="R105" s="29"/>
      <c r="S105" s="29"/>
      <c r="T105" s="29"/>
      <c r="U105" s="29"/>
      <c r="V105" s="29"/>
      <c r="W105" s="42" t="str">
        <f t="shared" si="48"/>
        <v/>
      </c>
      <c r="X105" s="15" t="str">
        <f>IF(A105="","",IF(W105="",INDEX(_翻訳マスタ!$B$89:$D$89,1,MATCH(言語切替!$B$3,_翻訳マスタ!$B$1:$D$1,0)),IF(W105&gt;=1,INDEX(_翻訳マスタ!$B$93:$D$93,1,MATCH(言語切替!$B$3,_翻訳マスタ!$B$1:$D$1,0)),IF(W105&gt;=0.8,INDEX(_翻訳マスタ!$B$91:$D$91,1,MATCH(言語切替!$B$3,_翻訳マスタ!$B$1:$D$1,0)),INDEX(_翻訳マスタ!$B$94:$D$94,1,MATCH(言語切替!$B$3,_翻訳マスタ!$B$1:$D$1,0))))))</f>
        <v/>
      </c>
      <c r="Y105" s="30"/>
      <c r="Z105" s="29"/>
      <c r="AA105" s="29"/>
      <c r="AB105" s="39" t="str">
        <f t="shared" ref="AB105:AB136" si="55">IF(Z105="","",_xlfn.TRANSLATE(Z105,"vi","ja"))</f>
        <v/>
      </c>
      <c r="AC105" s="39" t="str">
        <f t="shared" ref="AC105:AC136" si="56">IF(Z105="","",_xlfn.TRANSLATE(Z105,"vi","zh-Hans"))</f>
        <v/>
      </c>
      <c r="AD105" s="36"/>
      <c r="AE105" s="46"/>
      <c r="AF105" s="44" t="str">
        <f t="shared" ref="AF105:AF136" si="57">IF(AD105="","",_xlfn.TRANSLATE(AD105,"vi","ja"))</f>
        <v/>
      </c>
      <c r="AG105" s="44" t="str">
        <f t="shared" ref="AG105:AG136" si="58">IF(AD105="","",_xlfn.TRANSLATE(AD105,"vi","zh-Hans"))</f>
        <v/>
      </c>
    </row>
    <row r="106" spans="1:33" s="21" customFormat="1" x14ac:dyDescent="0.25">
      <c r="A106" s="25"/>
      <c r="B106" s="26"/>
      <c r="C106" s="26"/>
      <c r="D106" s="26"/>
      <c r="E106" s="26"/>
      <c r="F106" s="38" t="str">
        <f t="shared" si="49"/>
        <v/>
      </c>
      <c r="G106" s="38" t="str">
        <f t="shared" si="50"/>
        <v/>
      </c>
      <c r="H106" s="26"/>
      <c r="I106" s="26"/>
      <c r="J106" s="38" t="str">
        <f t="shared" si="51"/>
        <v/>
      </c>
      <c r="K106" s="38" t="str">
        <f t="shared" si="52"/>
        <v/>
      </c>
      <c r="L106" s="26"/>
      <c r="M106" s="26"/>
      <c r="N106" s="38" t="str">
        <f t="shared" si="53"/>
        <v/>
      </c>
      <c r="O106" s="38" t="str">
        <f t="shared" si="54"/>
        <v/>
      </c>
      <c r="P106" s="26"/>
      <c r="Q106" s="26"/>
      <c r="R106" s="26"/>
      <c r="S106" s="26"/>
      <c r="T106" s="26"/>
      <c r="U106" s="26"/>
      <c r="V106" s="26"/>
      <c r="W106" s="41" t="str">
        <f t="shared" si="48"/>
        <v/>
      </c>
      <c r="X106" s="12" t="str">
        <f>IF(A106="","",IF(W106="",INDEX(_翻訳マスタ!$B$89:$D$89,1,MATCH(言語切替!$B$3,_翻訳マスタ!$B$1:$D$1,0)),IF(W106&gt;=1,INDEX(_翻訳マスタ!$B$93:$D$93,1,MATCH(言語切替!$B$3,_翻訳マスタ!$B$1:$D$1,0)),IF(W106&gt;=0.8,INDEX(_翻訳マスタ!$B$91:$D$91,1,MATCH(言語切替!$B$3,_翻訳マスタ!$B$1:$D$1,0)),INDEX(_翻訳マスタ!$B$94:$D$94,1,MATCH(言語切替!$B$3,_翻訳マスタ!$B$1:$D$1,0))))))</f>
        <v/>
      </c>
      <c r="Y106" s="27"/>
      <c r="Z106" s="26"/>
      <c r="AA106" s="26"/>
      <c r="AB106" s="38" t="str">
        <f t="shared" si="55"/>
        <v/>
      </c>
      <c r="AC106" s="38" t="str">
        <f t="shared" si="56"/>
        <v/>
      </c>
      <c r="AD106" s="35"/>
      <c r="AE106" s="47"/>
      <c r="AF106" s="45" t="str">
        <f t="shared" si="57"/>
        <v/>
      </c>
      <c r="AG106" s="45" t="str">
        <f t="shared" si="58"/>
        <v/>
      </c>
    </row>
    <row r="107" spans="1:33" s="21" customFormat="1" x14ac:dyDescent="0.25">
      <c r="A107" s="28"/>
      <c r="B107" s="29"/>
      <c r="C107" s="29"/>
      <c r="D107" s="29"/>
      <c r="E107" s="29"/>
      <c r="F107" s="39" t="str">
        <f t="shared" si="49"/>
        <v/>
      </c>
      <c r="G107" s="39" t="str">
        <f t="shared" si="50"/>
        <v/>
      </c>
      <c r="H107" s="29"/>
      <c r="I107" s="29"/>
      <c r="J107" s="39" t="str">
        <f t="shared" si="51"/>
        <v/>
      </c>
      <c r="K107" s="39" t="str">
        <f t="shared" si="52"/>
        <v/>
      </c>
      <c r="L107" s="29"/>
      <c r="M107" s="29"/>
      <c r="N107" s="39" t="str">
        <f t="shared" si="53"/>
        <v/>
      </c>
      <c r="O107" s="39" t="str">
        <f t="shared" si="54"/>
        <v/>
      </c>
      <c r="P107" s="29"/>
      <c r="Q107" s="29"/>
      <c r="R107" s="29"/>
      <c r="S107" s="29"/>
      <c r="T107" s="29"/>
      <c r="U107" s="29"/>
      <c r="V107" s="29"/>
      <c r="W107" s="42" t="str">
        <f t="shared" si="48"/>
        <v/>
      </c>
      <c r="X107" s="15" t="str">
        <f>IF(A107="","",IF(W107="",INDEX(_翻訳マスタ!$B$89:$D$89,1,MATCH(言語切替!$B$3,_翻訳マスタ!$B$1:$D$1,0)),IF(W107&gt;=1,INDEX(_翻訳マスタ!$B$93:$D$93,1,MATCH(言語切替!$B$3,_翻訳マスタ!$B$1:$D$1,0)),IF(W107&gt;=0.8,INDEX(_翻訳マスタ!$B$91:$D$91,1,MATCH(言語切替!$B$3,_翻訳マスタ!$B$1:$D$1,0)),INDEX(_翻訳マスタ!$B$94:$D$94,1,MATCH(言語切替!$B$3,_翻訳マスタ!$B$1:$D$1,0))))))</f>
        <v/>
      </c>
      <c r="Y107" s="30"/>
      <c r="Z107" s="29"/>
      <c r="AA107" s="29"/>
      <c r="AB107" s="39" t="str">
        <f t="shared" si="55"/>
        <v/>
      </c>
      <c r="AC107" s="39" t="str">
        <f t="shared" si="56"/>
        <v/>
      </c>
      <c r="AD107" s="36"/>
      <c r="AE107" s="46"/>
      <c r="AF107" s="44" t="str">
        <f t="shared" si="57"/>
        <v/>
      </c>
      <c r="AG107" s="44" t="str">
        <f t="shared" si="58"/>
        <v/>
      </c>
    </row>
    <row r="108" spans="1:33" s="21" customFormat="1" x14ac:dyDescent="0.25">
      <c r="A108" s="25"/>
      <c r="B108" s="26"/>
      <c r="C108" s="26"/>
      <c r="D108" s="26"/>
      <c r="E108" s="26"/>
      <c r="F108" s="38" t="str">
        <f t="shared" si="49"/>
        <v/>
      </c>
      <c r="G108" s="38" t="str">
        <f t="shared" si="50"/>
        <v/>
      </c>
      <c r="H108" s="26"/>
      <c r="I108" s="26"/>
      <c r="J108" s="38" t="str">
        <f t="shared" si="51"/>
        <v/>
      </c>
      <c r="K108" s="38" t="str">
        <f t="shared" si="52"/>
        <v/>
      </c>
      <c r="L108" s="26"/>
      <c r="M108" s="26"/>
      <c r="N108" s="38" t="str">
        <f t="shared" si="53"/>
        <v/>
      </c>
      <c r="O108" s="38" t="str">
        <f t="shared" si="54"/>
        <v/>
      </c>
      <c r="P108" s="26"/>
      <c r="Q108" s="26"/>
      <c r="R108" s="26"/>
      <c r="S108" s="26"/>
      <c r="T108" s="26"/>
      <c r="U108" s="26"/>
      <c r="V108" s="26"/>
      <c r="W108" s="41" t="str">
        <f t="shared" si="48"/>
        <v/>
      </c>
      <c r="X108" s="12" t="str">
        <f>IF(A108="","",IF(W108="",INDEX(_翻訳マスタ!$B$89:$D$89,1,MATCH(言語切替!$B$3,_翻訳マスタ!$B$1:$D$1,0)),IF(W108&gt;=1,INDEX(_翻訳マスタ!$B$93:$D$93,1,MATCH(言語切替!$B$3,_翻訳マスタ!$B$1:$D$1,0)),IF(W108&gt;=0.8,INDEX(_翻訳マスタ!$B$91:$D$91,1,MATCH(言語切替!$B$3,_翻訳マスタ!$B$1:$D$1,0)),INDEX(_翻訳マスタ!$B$94:$D$94,1,MATCH(言語切替!$B$3,_翻訳マスタ!$B$1:$D$1,0))))))</f>
        <v/>
      </c>
      <c r="Y108" s="27"/>
      <c r="Z108" s="26"/>
      <c r="AA108" s="26"/>
      <c r="AB108" s="38" t="str">
        <f t="shared" si="55"/>
        <v/>
      </c>
      <c r="AC108" s="38" t="str">
        <f t="shared" si="56"/>
        <v/>
      </c>
      <c r="AD108" s="35"/>
      <c r="AE108" s="47"/>
      <c r="AF108" s="45" t="str">
        <f t="shared" si="57"/>
        <v/>
      </c>
      <c r="AG108" s="45" t="str">
        <f t="shared" si="58"/>
        <v/>
      </c>
    </row>
    <row r="109" spans="1:33" s="21" customFormat="1" x14ac:dyDescent="0.25">
      <c r="A109" s="28"/>
      <c r="B109" s="29"/>
      <c r="C109" s="29"/>
      <c r="D109" s="29"/>
      <c r="E109" s="29"/>
      <c r="F109" s="39" t="str">
        <f t="shared" si="49"/>
        <v/>
      </c>
      <c r="G109" s="39" t="str">
        <f t="shared" si="50"/>
        <v/>
      </c>
      <c r="H109" s="29"/>
      <c r="I109" s="29"/>
      <c r="J109" s="39" t="str">
        <f t="shared" si="51"/>
        <v/>
      </c>
      <c r="K109" s="39" t="str">
        <f t="shared" si="52"/>
        <v/>
      </c>
      <c r="L109" s="29"/>
      <c r="M109" s="29"/>
      <c r="N109" s="39" t="str">
        <f t="shared" si="53"/>
        <v/>
      </c>
      <c r="O109" s="39" t="str">
        <f t="shared" si="54"/>
        <v/>
      </c>
      <c r="P109" s="29"/>
      <c r="Q109" s="29"/>
      <c r="R109" s="29"/>
      <c r="S109" s="29"/>
      <c r="T109" s="29"/>
      <c r="U109" s="29"/>
      <c r="V109" s="29"/>
      <c r="W109" s="42" t="str">
        <f t="shared" si="48"/>
        <v/>
      </c>
      <c r="X109" s="15" t="str">
        <f>IF(A109="","",IF(W109="",INDEX(_翻訳マスタ!$B$89:$D$89,1,MATCH(言語切替!$B$3,_翻訳マスタ!$B$1:$D$1,0)),IF(W109&gt;=1,INDEX(_翻訳マスタ!$B$93:$D$93,1,MATCH(言語切替!$B$3,_翻訳マスタ!$B$1:$D$1,0)),IF(W109&gt;=0.8,INDEX(_翻訳マスタ!$B$91:$D$91,1,MATCH(言語切替!$B$3,_翻訳マスタ!$B$1:$D$1,0)),INDEX(_翻訳マスタ!$B$94:$D$94,1,MATCH(言語切替!$B$3,_翻訳マスタ!$B$1:$D$1,0))))))</f>
        <v/>
      </c>
      <c r="Y109" s="30"/>
      <c r="Z109" s="29"/>
      <c r="AA109" s="29"/>
      <c r="AB109" s="39" t="str">
        <f t="shared" si="55"/>
        <v/>
      </c>
      <c r="AC109" s="39" t="str">
        <f t="shared" si="56"/>
        <v/>
      </c>
      <c r="AD109" s="36"/>
      <c r="AE109" s="46"/>
      <c r="AF109" s="44" t="str">
        <f t="shared" si="57"/>
        <v/>
      </c>
      <c r="AG109" s="44" t="str">
        <f t="shared" si="58"/>
        <v/>
      </c>
    </row>
    <row r="110" spans="1:33" s="21" customFormat="1" x14ac:dyDescent="0.25">
      <c r="A110" s="25"/>
      <c r="B110" s="26"/>
      <c r="C110" s="26"/>
      <c r="D110" s="26"/>
      <c r="E110" s="26"/>
      <c r="F110" s="38" t="str">
        <f t="shared" si="49"/>
        <v/>
      </c>
      <c r="G110" s="38" t="str">
        <f t="shared" si="50"/>
        <v/>
      </c>
      <c r="H110" s="26"/>
      <c r="I110" s="26"/>
      <c r="J110" s="38" t="str">
        <f t="shared" si="51"/>
        <v/>
      </c>
      <c r="K110" s="38" t="str">
        <f t="shared" si="52"/>
        <v/>
      </c>
      <c r="L110" s="26"/>
      <c r="M110" s="26"/>
      <c r="N110" s="38" t="str">
        <f t="shared" si="53"/>
        <v/>
      </c>
      <c r="O110" s="38" t="str">
        <f t="shared" si="54"/>
        <v/>
      </c>
      <c r="P110" s="26"/>
      <c r="Q110" s="26"/>
      <c r="R110" s="26"/>
      <c r="S110" s="26"/>
      <c r="T110" s="26"/>
      <c r="U110" s="26"/>
      <c r="V110" s="26"/>
      <c r="W110" s="41" t="str">
        <f t="shared" si="48"/>
        <v/>
      </c>
      <c r="X110" s="12" t="str">
        <f>IF(A110="","",IF(W110="",INDEX(_翻訳マスタ!$B$89:$D$89,1,MATCH(言語切替!$B$3,_翻訳マスタ!$B$1:$D$1,0)),IF(W110&gt;=1,INDEX(_翻訳マスタ!$B$93:$D$93,1,MATCH(言語切替!$B$3,_翻訳マスタ!$B$1:$D$1,0)),IF(W110&gt;=0.8,INDEX(_翻訳マスタ!$B$91:$D$91,1,MATCH(言語切替!$B$3,_翻訳マスタ!$B$1:$D$1,0)),INDEX(_翻訳マスタ!$B$94:$D$94,1,MATCH(言語切替!$B$3,_翻訳マスタ!$B$1:$D$1,0))))))</f>
        <v/>
      </c>
      <c r="Y110" s="27"/>
      <c r="Z110" s="26"/>
      <c r="AA110" s="26"/>
      <c r="AB110" s="38" t="str">
        <f t="shared" si="55"/>
        <v/>
      </c>
      <c r="AC110" s="38" t="str">
        <f t="shared" si="56"/>
        <v/>
      </c>
      <c r="AD110" s="35"/>
      <c r="AE110" s="47"/>
      <c r="AF110" s="45" t="str">
        <f t="shared" si="57"/>
        <v/>
      </c>
      <c r="AG110" s="45" t="str">
        <f t="shared" si="58"/>
        <v/>
      </c>
    </row>
    <row r="111" spans="1:33" s="21" customFormat="1" x14ac:dyDescent="0.25">
      <c r="A111" s="28"/>
      <c r="B111" s="29"/>
      <c r="C111" s="29"/>
      <c r="D111" s="29"/>
      <c r="E111" s="29"/>
      <c r="F111" s="39" t="str">
        <f t="shared" si="49"/>
        <v/>
      </c>
      <c r="G111" s="39" t="str">
        <f t="shared" si="50"/>
        <v/>
      </c>
      <c r="H111" s="29"/>
      <c r="I111" s="29"/>
      <c r="J111" s="39" t="str">
        <f t="shared" si="51"/>
        <v/>
      </c>
      <c r="K111" s="39" t="str">
        <f t="shared" si="52"/>
        <v/>
      </c>
      <c r="L111" s="29"/>
      <c r="M111" s="29"/>
      <c r="N111" s="39" t="str">
        <f t="shared" si="53"/>
        <v/>
      </c>
      <c r="O111" s="39" t="str">
        <f t="shared" si="54"/>
        <v/>
      </c>
      <c r="P111" s="29"/>
      <c r="Q111" s="29"/>
      <c r="R111" s="29"/>
      <c r="S111" s="29"/>
      <c r="T111" s="29"/>
      <c r="U111" s="29"/>
      <c r="V111" s="29"/>
      <c r="W111" s="42" t="str">
        <f t="shared" si="48"/>
        <v/>
      </c>
      <c r="X111" s="15" t="str">
        <f>IF(A111="","",IF(W111="",INDEX(_翻訳マスタ!$B$89:$D$89,1,MATCH(言語切替!$B$3,_翻訳マスタ!$B$1:$D$1,0)),IF(W111&gt;=1,INDEX(_翻訳マスタ!$B$93:$D$93,1,MATCH(言語切替!$B$3,_翻訳マスタ!$B$1:$D$1,0)),IF(W111&gt;=0.8,INDEX(_翻訳マスタ!$B$91:$D$91,1,MATCH(言語切替!$B$3,_翻訳マスタ!$B$1:$D$1,0)),INDEX(_翻訳マスタ!$B$94:$D$94,1,MATCH(言語切替!$B$3,_翻訳マスタ!$B$1:$D$1,0))))))</f>
        <v/>
      </c>
      <c r="Y111" s="30"/>
      <c r="Z111" s="29"/>
      <c r="AA111" s="29"/>
      <c r="AB111" s="39" t="str">
        <f t="shared" si="55"/>
        <v/>
      </c>
      <c r="AC111" s="39" t="str">
        <f t="shared" si="56"/>
        <v/>
      </c>
      <c r="AD111" s="36"/>
      <c r="AE111" s="46"/>
      <c r="AF111" s="44" t="str">
        <f t="shared" si="57"/>
        <v/>
      </c>
      <c r="AG111" s="44" t="str">
        <f t="shared" si="58"/>
        <v/>
      </c>
    </row>
    <row r="112" spans="1:33" s="21" customFormat="1" x14ac:dyDescent="0.25">
      <c r="A112" s="25"/>
      <c r="B112" s="26"/>
      <c r="C112" s="26"/>
      <c r="D112" s="26"/>
      <c r="E112" s="26"/>
      <c r="F112" s="38" t="str">
        <f t="shared" si="49"/>
        <v/>
      </c>
      <c r="G112" s="38" t="str">
        <f t="shared" si="50"/>
        <v/>
      </c>
      <c r="H112" s="26"/>
      <c r="I112" s="26"/>
      <c r="J112" s="38" t="str">
        <f t="shared" si="51"/>
        <v/>
      </c>
      <c r="K112" s="38" t="str">
        <f t="shared" si="52"/>
        <v/>
      </c>
      <c r="L112" s="26"/>
      <c r="M112" s="26"/>
      <c r="N112" s="38" t="str">
        <f t="shared" si="53"/>
        <v/>
      </c>
      <c r="O112" s="38" t="str">
        <f t="shared" si="54"/>
        <v/>
      </c>
      <c r="P112" s="26"/>
      <c r="Q112" s="26"/>
      <c r="R112" s="26"/>
      <c r="S112" s="26"/>
      <c r="T112" s="26"/>
      <c r="U112" s="26"/>
      <c r="V112" s="26"/>
      <c r="W112" s="41" t="str">
        <f t="shared" si="48"/>
        <v/>
      </c>
      <c r="X112" s="12" t="str">
        <f>IF(A112="","",IF(W112="",INDEX(_翻訳マスタ!$B$89:$D$89,1,MATCH(言語切替!$B$3,_翻訳マスタ!$B$1:$D$1,0)),IF(W112&gt;=1,INDEX(_翻訳マスタ!$B$93:$D$93,1,MATCH(言語切替!$B$3,_翻訳マスタ!$B$1:$D$1,0)),IF(W112&gt;=0.8,INDEX(_翻訳マスタ!$B$91:$D$91,1,MATCH(言語切替!$B$3,_翻訳マスタ!$B$1:$D$1,0)),INDEX(_翻訳マスタ!$B$94:$D$94,1,MATCH(言語切替!$B$3,_翻訳マスタ!$B$1:$D$1,0))))))</f>
        <v/>
      </c>
      <c r="Y112" s="27"/>
      <c r="Z112" s="26"/>
      <c r="AA112" s="26"/>
      <c r="AB112" s="38" t="str">
        <f t="shared" si="55"/>
        <v/>
      </c>
      <c r="AC112" s="38" t="str">
        <f t="shared" si="56"/>
        <v/>
      </c>
      <c r="AD112" s="35"/>
      <c r="AE112" s="47"/>
      <c r="AF112" s="45" t="str">
        <f t="shared" si="57"/>
        <v/>
      </c>
      <c r="AG112" s="45" t="str">
        <f t="shared" si="58"/>
        <v/>
      </c>
    </row>
    <row r="113" spans="1:33" s="21" customFormat="1" x14ac:dyDescent="0.25">
      <c r="A113" s="28"/>
      <c r="B113" s="29"/>
      <c r="C113" s="29"/>
      <c r="D113" s="29"/>
      <c r="E113" s="29"/>
      <c r="F113" s="39" t="str">
        <f t="shared" si="49"/>
        <v/>
      </c>
      <c r="G113" s="39" t="str">
        <f t="shared" si="50"/>
        <v/>
      </c>
      <c r="H113" s="29"/>
      <c r="I113" s="29"/>
      <c r="J113" s="39" t="str">
        <f t="shared" si="51"/>
        <v/>
      </c>
      <c r="K113" s="39" t="str">
        <f t="shared" si="52"/>
        <v/>
      </c>
      <c r="L113" s="29"/>
      <c r="M113" s="29"/>
      <c r="N113" s="39" t="str">
        <f t="shared" si="53"/>
        <v/>
      </c>
      <c r="O113" s="39" t="str">
        <f t="shared" si="54"/>
        <v/>
      </c>
      <c r="P113" s="29"/>
      <c r="Q113" s="29"/>
      <c r="R113" s="29"/>
      <c r="S113" s="29"/>
      <c r="T113" s="29"/>
      <c r="U113" s="29"/>
      <c r="V113" s="29"/>
      <c r="W113" s="42" t="str">
        <f t="shared" si="48"/>
        <v/>
      </c>
      <c r="X113" s="15" t="str">
        <f>IF(A113="","",IF(W113="",INDEX(_翻訳マスタ!$B$89:$D$89,1,MATCH(言語切替!$B$3,_翻訳マスタ!$B$1:$D$1,0)),IF(W113&gt;=1,INDEX(_翻訳マスタ!$B$93:$D$93,1,MATCH(言語切替!$B$3,_翻訳マスタ!$B$1:$D$1,0)),IF(W113&gt;=0.8,INDEX(_翻訳マスタ!$B$91:$D$91,1,MATCH(言語切替!$B$3,_翻訳マスタ!$B$1:$D$1,0)),INDEX(_翻訳マスタ!$B$94:$D$94,1,MATCH(言語切替!$B$3,_翻訳マスタ!$B$1:$D$1,0))))))</f>
        <v/>
      </c>
      <c r="Y113" s="30"/>
      <c r="Z113" s="29"/>
      <c r="AA113" s="29"/>
      <c r="AB113" s="39" t="str">
        <f t="shared" si="55"/>
        <v/>
      </c>
      <c r="AC113" s="39" t="str">
        <f t="shared" si="56"/>
        <v/>
      </c>
      <c r="AD113" s="36"/>
      <c r="AE113" s="46"/>
      <c r="AF113" s="44" t="str">
        <f t="shared" si="57"/>
        <v/>
      </c>
      <c r="AG113" s="44" t="str">
        <f t="shared" si="58"/>
        <v/>
      </c>
    </row>
    <row r="114" spans="1:33" s="21" customFormat="1" x14ac:dyDescent="0.25">
      <c r="A114" s="25"/>
      <c r="B114" s="26"/>
      <c r="C114" s="26"/>
      <c r="D114" s="26"/>
      <c r="E114" s="26"/>
      <c r="F114" s="38" t="str">
        <f t="shared" si="49"/>
        <v/>
      </c>
      <c r="G114" s="38" t="str">
        <f t="shared" si="50"/>
        <v/>
      </c>
      <c r="H114" s="26"/>
      <c r="I114" s="26"/>
      <c r="J114" s="38" t="str">
        <f t="shared" si="51"/>
        <v/>
      </c>
      <c r="K114" s="38" t="str">
        <f t="shared" si="52"/>
        <v/>
      </c>
      <c r="L114" s="26"/>
      <c r="M114" s="26"/>
      <c r="N114" s="38" t="str">
        <f t="shared" si="53"/>
        <v/>
      </c>
      <c r="O114" s="38" t="str">
        <f t="shared" si="54"/>
        <v/>
      </c>
      <c r="P114" s="26"/>
      <c r="Q114" s="26"/>
      <c r="R114" s="26"/>
      <c r="S114" s="26"/>
      <c r="T114" s="26"/>
      <c r="U114" s="26"/>
      <c r="V114" s="26"/>
      <c r="W114" s="41" t="str">
        <f t="shared" si="48"/>
        <v/>
      </c>
      <c r="X114" s="12" t="str">
        <f>IF(A114="","",IF(W114="",INDEX(_翻訳マスタ!$B$89:$D$89,1,MATCH(言語切替!$B$3,_翻訳マスタ!$B$1:$D$1,0)),IF(W114&gt;=1,INDEX(_翻訳マスタ!$B$93:$D$93,1,MATCH(言語切替!$B$3,_翻訳マスタ!$B$1:$D$1,0)),IF(W114&gt;=0.8,INDEX(_翻訳マスタ!$B$91:$D$91,1,MATCH(言語切替!$B$3,_翻訳マスタ!$B$1:$D$1,0)),INDEX(_翻訳マスタ!$B$94:$D$94,1,MATCH(言語切替!$B$3,_翻訳マスタ!$B$1:$D$1,0))))))</f>
        <v/>
      </c>
      <c r="Y114" s="27"/>
      <c r="Z114" s="26"/>
      <c r="AA114" s="26"/>
      <c r="AB114" s="38" t="str">
        <f t="shared" si="55"/>
        <v/>
      </c>
      <c r="AC114" s="38" t="str">
        <f t="shared" si="56"/>
        <v/>
      </c>
      <c r="AD114" s="35"/>
      <c r="AE114" s="47"/>
      <c r="AF114" s="45" t="str">
        <f t="shared" si="57"/>
        <v/>
      </c>
      <c r="AG114" s="45" t="str">
        <f t="shared" si="58"/>
        <v/>
      </c>
    </row>
    <row r="115" spans="1:33" s="21" customFormat="1" x14ac:dyDescent="0.25">
      <c r="A115" s="28"/>
      <c r="B115" s="29"/>
      <c r="C115" s="29"/>
      <c r="D115" s="29"/>
      <c r="E115" s="29"/>
      <c r="F115" s="39" t="str">
        <f t="shared" si="49"/>
        <v/>
      </c>
      <c r="G115" s="39" t="str">
        <f t="shared" si="50"/>
        <v/>
      </c>
      <c r="H115" s="29"/>
      <c r="I115" s="29"/>
      <c r="J115" s="39" t="str">
        <f t="shared" si="51"/>
        <v/>
      </c>
      <c r="K115" s="39" t="str">
        <f t="shared" si="52"/>
        <v/>
      </c>
      <c r="L115" s="29"/>
      <c r="M115" s="29"/>
      <c r="N115" s="39" t="str">
        <f t="shared" si="53"/>
        <v/>
      </c>
      <c r="O115" s="39" t="str">
        <f t="shared" si="54"/>
        <v/>
      </c>
      <c r="P115" s="29"/>
      <c r="Q115" s="29"/>
      <c r="R115" s="29"/>
      <c r="S115" s="29"/>
      <c r="T115" s="29"/>
      <c r="U115" s="29"/>
      <c r="V115" s="29"/>
      <c r="W115" s="42" t="str">
        <f t="shared" si="48"/>
        <v/>
      </c>
      <c r="X115" s="15" t="str">
        <f>IF(A115="","",IF(W115="",INDEX(_翻訳マスタ!$B$89:$D$89,1,MATCH(言語切替!$B$3,_翻訳マスタ!$B$1:$D$1,0)),IF(W115&gt;=1,INDEX(_翻訳マスタ!$B$93:$D$93,1,MATCH(言語切替!$B$3,_翻訳マスタ!$B$1:$D$1,0)),IF(W115&gt;=0.8,INDEX(_翻訳マスタ!$B$91:$D$91,1,MATCH(言語切替!$B$3,_翻訳マスタ!$B$1:$D$1,0)),INDEX(_翻訳マスタ!$B$94:$D$94,1,MATCH(言語切替!$B$3,_翻訳マスタ!$B$1:$D$1,0))))))</f>
        <v/>
      </c>
      <c r="Y115" s="30"/>
      <c r="Z115" s="29"/>
      <c r="AA115" s="29"/>
      <c r="AB115" s="39" t="str">
        <f t="shared" si="55"/>
        <v/>
      </c>
      <c r="AC115" s="39" t="str">
        <f t="shared" si="56"/>
        <v/>
      </c>
      <c r="AD115" s="36"/>
      <c r="AE115" s="46"/>
      <c r="AF115" s="44" t="str">
        <f t="shared" si="57"/>
        <v/>
      </c>
      <c r="AG115" s="44" t="str">
        <f t="shared" si="58"/>
        <v/>
      </c>
    </row>
    <row r="116" spans="1:33" s="21" customFormat="1" x14ac:dyDescent="0.25">
      <c r="A116" s="25"/>
      <c r="B116" s="26"/>
      <c r="C116" s="26"/>
      <c r="D116" s="26"/>
      <c r="E116" s="26"/>
      <c r="F116" s="38" t="str">
        <f t="shared" si="49"/>
        <v/>
      </c>
      <c r="G116" s="38" t="str">
        <f t="shared" si="50"/>
        <v/>
      </c>
      <c r="H116" s="26"/>
      <c r="I116" s="26"/>
      <c r="J116" s="38" t="str">
        <f t="shared" si="51"/>
        <v/>
      </c>
      <c r="K116" s="38" t="str">
        <f t="shared" si="52"/>
        <v/>
      </c>
      <c r="L116" s="26"/>
      <c r="M116" s="26"/>
      <c r="N116" s="38" t="str">
        <f t="shared" si="53"/>
        <v/>
      </c>
      <c r="O116" s="38" t="str">
        <f t="shared" si="54"/>
        <v/>
      </c>
      <c r="P116" s="26"/>
      <c r="Q116" s="26"/>
      <c r="R116" s="26"/>
      <c r="S116" s="26"/>
      <c r="T116" s="26"/>
      <c r="U116" s="26"/>
      <c r="V116" s="26"/>
      <c r="W116" s="41" t="str">
        <f t="shared" si="48"/>
        <v/>
      </c>
      <c r="X116" s="12" t="str">
        <f>IF(A116="","",IF(W116="",INDEX(_翻訳マスタ!$B$89:$D$89,1,MATCH(言語切替!$B$3,_翻訳マスタ!$B$1:$D$1,0)),IF(W116&gt;=1,INDEX(_翻訳マスタ!$B$93:$D$93,1,MATCH(言語切替!$B$3,_翻訳マスタ!$B$1:$D$1,0)),IF(W116&gt;=0.8,INDEX(_翻訳マスタ!$B$91:$D$91,1,MATCH(言語切替!$B$3,_翻訳マスタ!$B$1:$D$1,0)),INDEX(_翻訳マスタ!$B$94:$D$94,1,MATCH(言語切替!$B$3,_翻訳マスタ!$B$1:$D$1,0))))))</f>
        <v/>
      </c>
      <c r="Y116" s="27"/>
      <c r="Z116" s="26"/>
      <c r="AA116" s="26"/>
      <c r="AB116" s="38" t="str">
        <f t="shared" si="55"/>
        <v/>
      </c>
      <c r="AC116" s="38" t="str">
        <f t="shared" si="56"/>
        <v/>
      </c>
      <c r="AD116" s="35"/>
      <c r="AE116" s="47"/>
      <c r="AF116" s="45" t="str">
        <f t="shared" si="57"/>
        <v/>
      </c>
      <c r="AG116" s="45" t="str">
        <f t="shared" si="58"/>
        <v/>
      </c>
    </row>
    <row r="117" spans="1:33" s="21" customFormat="1" x14ac:dyDescent="0.25">
      <c r="A117" s="28"/>
      <c r="B117" s="29"/>
      <c r="C117" s="29"/>
      <c r="D117" s="29"/>
      <c r="E117" s="29"/>
      <c r="F117" s="39" t="str">
        <f t="shared" si="49"/>
        <v/>
      </c>
      <c r="G117" s="39" t="str">
        <f t="shared" si="50"/>
        <v/>
      </c>
      <c r="H117" s="29"/>
      <c r="I117" s="29"/>
      <c r="J117" s="39" t="str">
        <f t="shared" si="51"/>
        <v/>
      </c>
      <c r="K117" s="39" t="str">
        <f t="shared" si="52"/>
        <v/>
      </c>
      <c r="L117" s="29"/>
      <c r="M117" s="29"/>
      <c r="N117" s="39" t="str">
        <f t="shared" si="53"/>
        <v/>
      </c>
      <c r="O117" s="39" t="str">
        <f t="shared" si="54"/>
        <v/>
      </c>
      <c r="P117" s="29"/>
      <c r="Q117" s="29"/>
      <c r="R117" s="29"/>
      <c r="S117" s="29"/>
      <c r="T117" s="29"/>
      <c r="U117" s="29"/>
      <c r="V117" s="29"/>
      <c r="W117" s="42" t="str">
        <f t="shared" si="48"/>
        <v/>
      </c>
      <c r="X117" s="15" t="str">
        <f>IF(A117="","",IF(W117="",INDEX(_翻訳マスタ!$B$89:$D$89,1,MATCH(言語切替!$B$3,_翻訳マスタ!$B$1:$D$1,0)),IF(W117&gt;=1,INDEX(_翻訳マスタ!$B$93:$D$93,1,MATCH(言語切替!$B$3,_翻訳マスタ!$B$1:$D$1,0)),IF(W117&gt;=0.8,INDEX(_翻訳マスタ!$B$91:$D$91,1,MATCH(言語切替!$B$3,_翻訳マスタ!$B$1:$D$1,0)),INDEX(_翻訳マスタ!$B$94:$D$94,1,MATCH(言語切替!$B$3,_翻訳マスタ!$B$1:$D$1,0))))))</f>
        <v/>
      </c>
      <c r="Y117" s="30"/>
      <c r="Z117" s="29"/>
      <c r="AA117" s="29"/>
      <c r="AB117" s="39" t="str">
        <f t="shared" si="55"/>
        <v/>
      </c>
      <c r="AC117" s="39" t="str">
        <f t="shared" si="56"/>
        <v/>
      </c>
      <c r="AD117" s="36"/>
      <c r="AE117" s="46"/>
      <c r="AF117" s="44" t="str">
        <f t="shared" si="57"/>
        <v/>
      </c>
      <c r="AG117" s="44" t="str">
        <f t="shared" si="58"/>
        <v/>
      </c>
    </row>
    <row r="118" spans="1:33" s="21" customFormat="1" x14ac:dyDescent="0.25">
      <c r="A118" s="25"/>
      <c r="B118" s="26"/>
      <c r="C118" s="26"/>
      <c r="D118" s="26"/>
      <c r="E118" s="26"/>
      <c r="F118" s="38" t="str">
        <f t="shared" si="49"/>
        <v/>
      </c>
      <c r="G118" s="38" t="str">
        <f t="shared" si="50"/>
        <v/>
      </c>
      <c r="H118" s="26"/>
      <c r="I118" s="26"/>
      <c r="J118" s="38" t="str">
        <f t="shared" si="51"/>
        <v/>
      </c>
      <c r="K118" s="38" t="str">
        <f t="shared" si="52"/>
        <v/>
      </c>
      <c r="L118" s="26"/>
      <c r="M118" s="26"/>
      <c r="N118" s="38" t="str">
        <f t="shared" si="53"/>
        <v/>
      </c>
      <c r="O118" s="38" t="str">
        <f t="shared" si="54"/>
        <v/>
      </c>
      <c r="P118" s="26"/>
      <c r="Q118" s="26"/>
      <c r="R118" s="26"/>
      <c r="S118" s="26"/>
      <c r="T118" s="26"/>
      <c r="U118" s="26"/>
      <c r="V118" s="26"/>
      <c r="W118" s="41" t="str">
        <f t="shared" si="48"/>
        <v/>
      </c>
      <c r="X118" s="12" t="str">
        <f>IF(A118="","",IF(W118="",INDEX(_翻訳マスタ!$B$89:$D$89,1,MATCH(言語切替!$B$3,_翻訳マスタ!$B$1:$D$1,0)),IF(W118&gt;=1,INDEX(_翻訳マスタ!$B$93:$D$93,1,MATCH(言語切替!$B$3,_翻訳マスタ!$B$1:$D$1,0)),IF(W118&gt;=0.8,INDEX(_翻訳マスタ!$B$91:$D$91,1,MATCH(言語切替!$B$3,_翻訳マスタ!$B$1:$D$1,0)),INDEX(_翻訳マスタ!$B$94:$D$94,1,MATCH(言語切替!$B$3,_翻訳マスタ!$B$1:$D$1,0))))))</f>
        <v/>
      </c>
      <c r="Y118" s="27"/>
      <c r="Z118" s="26"/>
      <c r="AA118" s="26"/>
      <c r="AB118" s="38" t="str">
        <f t="shared" si="55"/>
        <v/>
      </c>
      <c r="AC118" s="38" t="str">
        <f t="shared" si="56"/>
        <v/>
      </c>
      <c r="AD118" s="35"/>
      <c r="AE118" s="47"/>
      <c r="AF118" s="45" t="str">
        <f t="shared" si="57"/>
        <v/>
      </c>
      <c r="AG118" s="45" t="str">
        <f t="shared" si="58"/>
        <v/>
      </c>
    </row>
    <row r="119" spans="1:33" s="21" customFormat="1" x14ac:dyDescent="0.25">
      <c r="A119" s="28"/>
      <c r="B119" s="29"/>
      <c r="C119" s="29"/>
      <c r="D119" s="29"/>
      <c r="E119" s="29"/>
      <c r="F119" s="39" t="str">
        <f t="shared" si="49"/>
        <v/>
      </c>
      <c r="G119" s="39" t="str">
        <f t="shared" si="50"/>
        <v/>
      </c>
      <c r="H119" s="29"/>
      <c r="I119" s="29"/>
      <c r="J119" s="39" t="str">
        <f t="shared" si="51"/>
        <v/>
      </c>
      <c r="K119" s="39" t="str">
        <f t="shared" si="52"/>
        <v/>
      </c>
      <c r="L119" s="29"/>
      <c r="M119" s="29"/>
      <c r="N119" s="39" t="str">
        <f t="shared" si="53"/>
        <v/>
      </c>
      <c r="O119" s="39" t="str">
        <f t="shared" si="54"/>
        <v/>
      </c>
      <c r="P119" s="29"/>
      <c r="Q119" s="29"/>
      <c r="R119" s="29"/>
      <c r="S119" s="29"/>
      <c r="T119" s="29"/>
      <c r="U119" s="29"/>
      <c r="V119" s="29"/>
      <c r="W119" s="42" t="str">
        <f t="shared" si="48"/>
        <v/>
      </c>
      <c r="X119" s="15" t="str">
        <f>IF(A119="","",IF(W119="",INDEX(_翻訳マスタ!$B$89:$D$89,1,MATCH(言語切替!$B$3,_翻訳マスタ!$B$1:$D$1,0)),IF(W119&gt;=1,INDEX(_翻訳マスタ!$B$93:$D$93,1,MATCH(言語切替!$B$3,_翻訳マスタ!$B$1:$D$1,0)),IF(W119&gt;=0.8,INDEX(_翻訳マスタ!$B$91:$D$91,1,MATCH(言語切替!$B$3,_翻訳マスタ!$B$1:$D$1,0)),INDEX(_翻訳マスタ!$B$94:$D$94,1,MATCH(言語切替!$B$3,_翻訳マスタ!$B$1:$D$1,0))))))</f>
        <v/>
      </c>
      <c r="Y119" s="30"/>
      <c r="Z119" s="29"/>
      <c r="AA119" s="29"/>
      <c r="AB119" s="39" t="str">
        <f t="shared" si="55"/>
        <v/>
      </c>
      <c r="AC119" s="39" t="str">
        <f t="shared" si="56"/>
        <v/>
      </c>
      <c r="AD119" s="36"/>
      <c r="AE119" s="46"/>
      <c r="AF119" s="44" t="str">
        <f t="shared" si="57"/>
        <v/>
      </c>
      <c r="AG119" s="44" t="str">
        <f t="shared" si="58"/>
        <v/>
      </c>
    </row>
    <row r="120" spans="1:33" s="21" customFormat="1" x14ac:dyDescent="0.25">
      <c r="A120" s="25"/>
      <c r="B120" s="26"/>
      <c r="C120" s="26"/>
      <c r="D120" s="26"/>
      <c r="E120" s="26"/>
      <c r="F120" s="38" t="str">
        <f t="shared" si="49"/>
        <v/>
      </c>
      <c r="G120" s="38" t="str">
        <f t="shared" si="50"/>
        <v/>
      </c>
      <c r="H120" s="26"/>
      <c r="I120" s="26"/>
      <c r="J120" s="38" t="str">
        <f t="shared" si="51"/>
        <v/>
      </c>
      <c r="K120" s="38" t="str">
        <f t="shared" si="52"/>
        <v/>
      </c>
      <c r="L120" s="26"/>
      <c r="M120" s="26"/>
      <c r="N120" s="38" t="str">
        <f t="shared" si="53"/>
        <v/>
      </c>
      <c r="O120" s="38" t="str">
        <f t="shared" si="54"/>
        <v/>
      </c>
      <c r="P120" s="26"/>
      <c r="Q120" s="26"/>
      <c r="R120" s="26"/>
      <c r="S120" s="26"/>
      <c r="T120" s="26"/>
      <c r="U120" s="26"/>
      <c r="V120" s="26"/>
      <c r="W120" s="41" t="str">
        <f t="shared" si="48"/>
        <v/>
      </c>
      <c r="X120" s="12" t="str">
        <f>IF(A120="","",IF(W120="",INDEX(_翻訳マスタ!$B$89:$D$89,1,MATCH(言語切替!$B$3,_翻訳マスタ!$B$1:$D$1,0)),IF(W120&gt;=1,INDEX(_翻訳マスタ!$B$93:$D$93,1,MATCH(言語切替!$B$3,_翻訳マスタ!$B$1:$D$1,0)),IF(W120&gt;=0.8,INDEX(_翻訳マスタ!$B$91:$D$91,1,MATCH(言語切替!$B$3,_翻訳マスタ!$B$1:$D$1,0)),INDEX(_翻訳マスタ!$B$94:$D$94,1,MATCH(言語切替!$B$3,_翻訳マスタ!$B$1:$D$1,0))))))</f>
        <v/>
      </c>
      <c r="Y120" s="27"/>
      <c r="Z120" s="26"/>
      <c r="AA120" s="26"/>
      <c r="AB120" s="38" t="str">
        <f t="shared" si="55"/>
        <v/>
      </c>
      <c r="AC120" s="38" t="str">
        <f t="shared" si="56"/>
        <v/>
      </c>
      <c r="AD120" s="35"/>
      <c r="AE120" s="47"/>
      <c r="AF120" s="45" t="str">
        <f t="shared" si="57"/>
        <v/>
      </c>
      <c r="AG120" s="45" t="str">
        <f t="shared" si="58"/>
        <v/>
      </c>
    </row>
    <row r="121" spans="1:33" s="21" customFormat="1" x14ac:dyDescent="0.25">
      <c r="A121" s="28"/>
      <c r="B121" s="29"/>
      <c r="C121" s="29"/>
      <c r="D121" s="29"/>
      <c r="E121" s="29"/>
      <c r="F121" s="39" t="str">
        <f t="shared" si="49"/>
        <v/>
      </c>
      <c r="G121" s="39" t="str">
        <f t="shared" si="50"/>
        <v/>
      </c>
      <c r="H121" s="29"/>
      <c r="I121" s="29"/>
      <c r="J121" s="39" t="str">
        <f t="shared" si="51"/>
        <v/>
      </c>
      <c r="K121" s="39" t="str">
        <f t="shared" si="52"/>
        <v/>
      </c>
      <c r="L121" s="29"/>
      <c r="M121" s="29"/>
      <c r="N121" s="39" t="str">
        <f t="shared" si="53"/>
        <v/>
      </c>
      <c r="O121" s="39" t="str">
        <f t="shared" si="54"/>
        <v/>
      </c>
      <c r="P121" s="29"/>
      <c r="Q121" s="29"/>
      <c r="R121" s="29"/>
      <c r="S121" s="29"/>
      <c r="T121" s="29"/>
      <c r="U121" s="29"/>
      <c r="V121" s="29"/>
      <c r="W121" s="42" t="str">
        <f t="shared" si="48"/>
        <v/>
      </c>
      <c r="X121" s="15" t="str">
        <f>IF(A121="","",IF(W121="",INDEX(_翻訳マスタ!$B$89:$D$89,1,MATCH(言語切替!$B$3,_翻訳マスタ!$B$1:$D$1,0)),IF(W121&gt;=1,INDEX(_翻訳マスタ!$B$93:$D$93,1,MATCH(言語切替!$B$3,_翻訳マスタ!$B$1:$D$1,0)),IF(W121&gt;=0.8,INDEX(_翻訳マスタ!$B$91:$D$91,1,MATCH(言語切替!$B$3,_翻訳マスタ!$B$1:$D$1,0)),INDEX(_翻訳マスタ!$B$94:$D$94,1,MATCH(言語切替!$B$3,_翻訳マスタ!$B$1:$D$1,0))))))</f>
        <v/>
      </c>
      <c r="Y121" s="30"/>
      <c r="Z121" s="29"/>
      <c r="AA121" s="29"/>
      <c r="AB121" s="39" t="str">
        <f t="shared" si="55"/>
        <v/>
      </c>
      <c r="AC121" s="39" t="str">
        <f t="shared" si="56"/>
        <v/>
      </c>
      <c r="AD121" s="36"/>
      <c r="AE121" s="46"/>
      <c r="AF121" s="44" t="str">
        <f t="shared" si="57"/>
        <v/>
      </c>
      <c r="AG121" s="44" t="str">
        <f t="shared" si="58"/>
        <v/>
      </c>
    </row>
    <row r="122" spans="1:33" s="21" customFormat="1" x14ac:dyDescent="0.25">
      <c r="A122" s="25"/>
      <c r="B122" s="26"/>
      <c r="C122" s="26"/>
      <c r="D122" s="26"/>
      <c r="E122" s="26"/>
      <c r="F122" s="38" t="str">
        <f t="shared" si="49"/>
        <v/>
      </c>
      <c r="G122" s="38" t="str">
        <f t="shared" si="50"/>
        <v/>
      </c>
      <c r="H122" s="26"/>
      <c r="I122" s="26"/>
      <c r="J122" s="38" t="str">
        <f t="shared" si="51"/>
        <v/>
      </c>
      <c r="K122" s="38" t="str">
        <f t="shared" si="52"/>
        <v/>
      </c>
      <c r="L122" s="26"/>
      <c r="M122" s="26"/>
      <c r="N122" s="38" t="str">
        <f t="shared" si="53"/>
        <v/>
      </c>
      <c r="O122" s="38" t="str">
        <f t="shared" si="54"/>
        <v/>
      </c>
      <c r="P122" s="26"/>
      <c r="Q122" s="26"/>
      <c r="R122" s="26"/>
      <c r="S122" s="26"/>
      <c r="T122" s="26"/>
      <c r="U122" s="26"/>
      <c r="V122" s="26"/>
      <c r="W122" s="41" t="str">
        <f t="shared" si="48"/>
        <v/>
      </c>
      <c r="X122" s="12" t="str">
        <f>IF(A122="","",IF(W122="",INDEX(_翻訳マスタ!$B$89:$D$89,1,MATCH(言語切替!$B$3,_翻訳マスタ!$B$1:$D$1,0)),IF(W122&gt;=1,INDEX(_翻訳マスタ!$B$93:$D$93,1,MATCH(言語切替!$B$3,_翻訳マスタ!$B$1:$D$1,0)),IF(W122&gt;=0.8,INDEX(_翻訳マスタ!$B$91:$D$91,1,MATCH(言語切替!$B$3,_翻訳マスタ!$B$1:$D$1,0)),INDEX(_翻訳マスタ!$B$94:$D$94,1,MATCH(言語切替!$B$3,_翻訳マスタ!$B$1:$D$1,0))))))</f>
        <v/>
      </c>
      <c r="Y122" s="27"/>
      <c r="Z122" s="26"/>
      <c r="AA122" s="26"/>
      <c r="AB122" s="38" t="str">
        <f t="shared" si="55"/>
        <v/>
      </c>
      <c r="AC122" s="38" t="str">
        <f t="shared" si="56"/>
        <v/>
      </c>
      <c r="AD122" s="35"/>
      <c r="AE122" s="47"/>
      <c r="AF122" s="45" t="str">
        <f t="shared" si="57"/>
        <v/>
      </c>
      <c r="AG122" s="45" t="str">
        <f t="shared" si="58"/>
        <v/>
      </c>
    </row>
    <row r="123" spans="1:33" s="21" customFormat="1" x14ac:dyDescent="0.25">
      <c r="A123" s="28"/>
      <c r="B123" s="29"/>
      <c r="C123" s="29"/>
      <c r="D123" s="29"/>
      <c r="E123" s="29"/>
      <c r="F123" s="39" t="str">
        <f t="shared" si="49"/>
        <v/>
      </c>
      <c r="G123" s="39" t="str">
        <f t="shared" si="50"/>
        <v/>
      </c>
      <c r="H123" s="29"/>
      <c r="I123" s="29"/>
      <c r="J123" s="39" t="str">
        <f t="shared" si="51"/>
        <v/>
      </c>
      <c r="K123" s="39" t="str">
        <f t="shared" si="52"/>
        <v/>
      </c>
      <c r="L123" s="29"/>
      <c r="M123" s="29"/>
      <c r="N123" s="39" t="str">
        <f t="shared" si="53"/>
        <v/>
      </c>
      <c r="O123" s="39" t="str">
        <f t="shared" si="54"/>
        <v/>
      </c>
      <c r="P123" s="29"/>
      <c r="Q123" s="29"/>
      <c r="R123" s="29"/>
      <c r="S123" s="29"/>
      <c r="T123" s="29"/>
      <c r="U123" s="29"/>
      <c r="V123" s="29"/>
      <c r="W123" s="42" t="str">
        <f t="shared" si="48"/>
        <v/>
      </c>
      <c r="X123" s="15" t="str">
        <f>IF(A123="","",IF(W123="",INDEX(_翻訳マスタ!$B$89:$D$89,1,MATCH(言語切替!$B$3,_翻訳マスタ!$B$1:$D$1,0)),IF(W123&gt;=1,INDEX(_翻訳マスタ!$B$93:$D$93,1,MATCH(言語切替!$B$3,_翻訳マスタ!$B$1:$D$1,0)),IF(W123&gt;=0.8,INDEX(_翻訳マスタ!$B$91:$D$91,1,MATCH(言語切替!$B$3,_翻訳マスタ!$B$1:$D$1,0)),INDEX(_翻訳マスタ!$B$94:$D$94,1,MATCH(言語切替!$B$3,_翻訳マスタ!$B$1:$D$1,0))))))</f>
        <v/>
      </c>
      <c r="Y123" s="30"/>
      <c r="Z123" s="29"/>
      <c r="AA123" s="29"/>
      <c r="AB123" s="39" t="str">
        <f t="shared" si="55"/>
        <v/>
      </c>
      <c r="AC123" s="39" t="str">
        <f t="shared" si="56"/>
        <v/>
      </c>
      <c r="AD123" s="36"/>
      <c r="AE123" s="46"/>
      <c r="AF123" s="44" t="str">
        <f t="shared" si="57"/>
        <v/>
      </c>
      <c r="AG123" s="44" t="str">
        <f t="shared" si="58"/>
        <v/>
      </c>
    </row>
    <row r="124" spans="1:33" s="21" customFormat="1" x14ac:dyDescent="0.25">
      <c r="A124" s="25"/>
      <c r="B124" s="26"/>
      <c r="C124" s="26"/>
      <c r="D124" s="26"/>
      <c r="E124" s="26"/>
      <c r="F124" s="38" t="str">
        <f t="shared" si="49"/>
        <v/>
      </c>
      <c r="G124" s="38" t="str">
        <f t="shared" si="50"/>
        <v/>
      </c>
      <c r="H124" s="26"/>
      <c r="I124" s="26"/>
      <c r="J124" s="38" t="str">
        <f t="shared" si="51"/>
        <v/>
      </c>
      <c r="K124" s="38" t="str">
        <f t="shared" si="52"/>
        <v/>
      </c>
      <c r="L124" s="26"/>
      <c r="M124" s="26"/>
      <c r="N124" s="38" t="str">
        <f t="shared" si="53"/>
        <v/>
      </c>
      <c r="O124" s="38" t="str">
        <f t="shared" si="54"/>
        <v/>
      </c>
      <c r="P124" s="26"/>
      <c r="Q124" s="26"/>
      <c r="R124" s="26"/>
      <c r="S124" s="26"/>
      <c r="T124" s="26"/>
      <c r="U124" s="26"/>
      <c r="V124" s="26"/>
      <c r="W124" s="41" t="str">
        <f t="shared" si="48"/>
        <v/>
      </c>
      <c r="X124" s="12" t="str">
        <f>IF(A124="","",IF(W124="",INDEX(_翻訳マスタ!$B$89:$D$89,1,MATCH(言語切替!$B$3,_翻訳マスタ!$B$1:$D$1,0)),IF(W124&gt;=1,INDEX(_翻訳マスタ!$B$93:$D$93,1,MATCH(言語切替!$B$3,_翻訳マスタ!$B$1:$D$1,0)),IF(W124&gt;=0.8,INDEX(_翻訳マスタ!$B$91:$D$91,1,MATCH(言語切替!$B$3,_翻訳マスタ!$B$1:$D$1,0)),INDEX(_翻訳マスタ!$B$94:$D$94,1,MATCH(言語切替!$B$3,_翻訳マスタ!$B$1:$D$1,0))))))</f>
        <v/>
      </c>
      <c r="Y124" s="27"/>
      <c r="Z124" s="26"/>
      <c r="AA124" s="26"/>
      <c r="AB124" s="38" t="str">
        <f t="shared" si="55"/>
        <v/>
      </c>
      <c r="AC124" s="38" t="str">
        <f t="shared" si="56"/>
        <v/>
      </c>
      <c r="AD124" s="35"/>
      <c r="AE124" s="47"/>
      <c r="AF124" s="45" t="str">
        <f t="shared" si="57"/>
        <v/>
      </c>
      <c r="AG124" s="45" t="str">
        <f t="shared" si="58"/>
        <v/>
      </c>
    </row>
    <row r="125" spans="1:33" s="21" customFormat="1" x14ac:dyDescent="0.25">
      <c r="A125" s="28"/>
      <c r="B125" s="29"/>
      <c r="C125" s="29"/>
      <c r="D125" s="29"/>
      <c r="E125" s="29"/>
      <c r="F125" s="39" t="str">
        <f t="shared" si="49"/>
        <v/>
      </c>
      <c r="G125" s="39" t="str">
        <f t="shared" si="50"/>
        <v/>
      </c>
      <c r="H125" s="29"/>
      <c r="I125" s="29"/>
      <c r="J125" s="39" t="str">
        <f t="shared" si="51"/>
        <v/>
      </c>
      <c r="K125" s="39" t="str">
        <f t="shared" si="52"/>
        <v/>
      </c>
      <c r="L125" s="29"/>
      <c r="M125" s="29"/>
      <c r="N125" s="39" t="str">
        <f t="shared" si="53"/>
        <v/>
      </c>
      <c r="O125" s="39" t="str">
        <f t="shared" si="54"/>
        <v/>
      </c>
      <c r="P125" s="29"/>
      <c r="Q125" s="29"/>
      <c r="R125" s="29"/>
      <c r="S125" s="29"/>
      <c r="T125" s="29"/>
      <c r="U125" s="29"/>
      <c r="V125" s="29"/>
      <c r="W125" s="42" t="str">
        <f t="shared" si="48"/>
        <v/>
      </c>
      <c r="X125" s="15" t="str">
        <f>IF(A125="","",IF(W125="",INDEX(_翻訳マスタ!$B$89:$D$89,1,MATCH(言語切替!$B$3,_翻訳マスタ!$B$1:$D$1,0)),IF(W125&gt;=1,INDEX(_翻訳マスタ!$B$93:$D$93,1,MATCH(言語切替!$B$3,_翻訳マスタ!$B$1:$D$1,0)),IF(W125&gt;=0.8,INDEX(_翻訳マスタ!$B$91:$D$91,1,MATCH(言語切替!$B$3,_翻訳マスタ!$B$1:$D$1,0)),INDEX(_翻訳マスタ!$B$94:$D$94,1,MATCH(言語切替!$B$3,_翻訳マスタ!$B$1:$D$1,0))))))</f>
        <v/>
      </c>
      <c r="Y125" s="30"/>
      <c r="Z125" s="29"/>
      <c r="AA125" s="29"/>
      <c r="AB125" s="39" t="str">
        <f t="shared" si="55"/>
        <v/>
      </c>
      <c r="AC125" s="39" t="str">
        <f t="shared" si="56"/>
        <v/>
      </c>
      <c r="AD125" s="36"/>
      <c r="AE125" s="46"/>
      <c r="AF125" s="44" t="str">
        <f t="shared" si="57"/>
        <v/>
      </c>
      <c r="AG125" s="44" t="str">
        <f t="shared" si="58"/>
        <v/>
      </c>
    </row>
    <row r="126" spans="1:33" s="21" customFormat="1" x14ac:dyDescent="0.25">
      <c r="A126" s="25"/>
      <c r="B126" s="26"/>
      <c r="C126" s="26"/>
      <c r="D126" s="26"/>
      <c r="E126" s="26"/>
      <c r="F126" s="38" t="str">
        <f t="shared" si="49"/>
        <v/>
      </c>
      <c r="G126" s="38" t="str">
        <f t="shared" si="50"/>
        <v/>
      </c>
      <c r="H126" s="26"/>
      <c r="I126" s="26"/>
      <c r="J126" s="38" t="str">
        <f t="shared" si="51"/>
        <v/>
      </c>
      <c r="K126" s="38" t="str">
        <f t="shared" si="52"/>
        <v/>
      </c>
      <c r="L126" s="26"/>
      <c r="M126" s="26"/>
      <c r="N126" s="38" t="str">
        <f t="shared" si="53"/>
        <v/>
      </c>
      <c r="O126" s="38" t="str">
        <f t="shared" si="54"/>
        <v/>
      </c>
      <c r="P126" s="26"/>
      <c r="Q126" s="26"/>
      <c r="R126" s="26"/>
      <c r="S126" s="26"/>
      <c r="T126" s="26"/>
      <c r="U126" s="26"/>
      <c r="V126" s="26"/>
      <c r="W126" s="41" t="str">
        <f t="shared" si="48"/>
        <v/>
      </c>
      <c r="X126" s="12" t="str">
        <f>IF(A126="","",IF(W126="",INDEX(_翻訳マスタ!$B$89:$D$89,1,MATCH(言語切替!$B$3,_翻訳マスタ!$B$1:$D$1,0)),IF(W126&gt;=1,INDEX(_翻訳マスタ!$B$93:$D$93,1,MATCH(言語切替!$B$3,_翻訳マスタ!$B$1:$D$1,0)),IF(W126&gt;=0.8,INDEX(_翻訳マスタ!$B$91:$D$91,1,MATCH(言語切替!$B$3,_翻訳マスタ!$B$1:$D$1,0)),INDEX(_翻訳マスタ!$B$94:$D$94,1,MATCH(言語切替!$B$3,_翻訳マスタ!$B$1:$D$1,0))))))</f>
        <v/>
      </c>
      <c r="Y126" s="27"/>
      <c r="Z126" s="26"/>
      <c r="AA126" s="26"/>
      <c r="AB126" s="38" t="str">
        <f t="shared" si="55"/>
        <v/>
      </c>
      <c r="AC126" s="38" t="str">
        <f t="shared" si="56"/>
        <v/>
      </c>
      <c r="AD126" s="35"/>
      <c r="AE126" s="47"/>
      <c r="AF126" s="45" t="str">
        <f t="shared" si="57"/>
        <v/>
      </c>
      <c r="AG126" s="45" t="str">
        <f t="shared" si="58"/>
        <v/>
      </c>
    </row>
    <row r="127" spans="1:33" s="21" customFormat="1" x14ac:dyDescent="0.25">
      <c r="A127" s="28"/>
      <c r="B127" s="29"/>
      <c r="C127" s="29"/>
      <c r="D127" s="29"/>
      <c r="E127" s="29"/>
      <c r="F127" s="39" t="str">
        <f t="shared" si="49"/>
        <v/>
      </c>
      <c r="G127" s="39" t="str">
        <f t="shared" si="50"/>
        <v/>
      </c>
      <c r="H127" s="29"/>
      <c r="I127" s="29"/>
      <c r="J127" s="39" t="str">
        <f t="shared" si="51"/>
        <v/>
      </c>
      <c r="K127" s="39" t="str">
        <f t="shared" si="52"/>
        <v/>
      </c>
      <c r="L127" s="29"/>
      <c r="M127" s="29"/>
      <c r="N127" s="39" t="str">
        <f t="shared" si="53"/>
        <v/>
      </c>
      <c r="O127" s="39" t="str">
        <f t="shared" si="54"/>
        <v/>
      </c>
      <c r="P127" s="29"/>
      <c r="Q127" s="29"/>
      <c r="R127" s="29"/>
      <c r="S127" s="29"/>
      <c r="T127" s="29"/>
      <c r="U127" s="29"/>
      <c r="V127" s="29"/>
      <c r="W127" s="42" t="str">
        <f t="shared" si="48"/>
        <v/>
      </c>
      <c r="X127" s="15" t="str">
        <f>IF(A127="","",IF(W127="",INDEX(_翻訳マスタ!$B$89:$D$89,1,MATCH(言語切替!$B$3,_翻訳マスタ!$B$1:$D$1,0)),IF(W127&gt;=1,INDEX(_翻訳マスタ!$B$93:$D$93,1,MATCH(言語切替!$B$3,_翻訳マスタ!$B$1:$D$1,0)),IF(W127&gt;=0.8,INDEX(_翻訳マスタ!$B$91:$D$91,1,MATCH(言語切替!$B$3,_翻訳マスタ!$B$1:$D$1,0)),INDEX(_翻訳マスタ!$B$94:$D$94,1,MATCH(言語切替!$B$3,_翻訳マスタ!$B$1:$D$1,0))))))</f>
        <v/>
      </c>
      <c r="Y127" s="30"/>
      <c r="Z127" s="29"/>
      <c r="AA127" s="29"/>
      <c r="AB127" s="39" t="str">
        <f t="shared" si="55"/>
        <v/>
      </c>
      <c r="AC127" s="39" t="str">
        <f t="shared" si="56"/>
        <v/>
      </c>
      <c r="AD127" s="36"/>
      <c r="AE127" s="46"/>
      <c r="AF127" s="44" t="str">
        <f t="shared" si="57"/>
        <v/>
      </c>
      <c r="AG127" s="44" t="str">
        <f t="shared" si="58"/>
        <v/>
      </c>
    </row>
    <row r="128" spans="1:33" s="21" customFormat="1" x14ac:dyDescent="0.25">
      <c r="A128" s="25"/>
      <c r="B128" s="26"/>
      <c r="C128" s="26"/>
      <c r="D128" s="26"/>
      <c r="E128" s="26"/>
      <c r="F128" s="38" t="str">
        <f t="shared" si="49"/>
        <v/>
      </c>
      <c r="G128" s="38" t="str">
        <f t="shared" si="50"/>
        <v/>
      </c>
      <c r="H128" s="26"/>
      <c r="I128" s="26"/>
      <c r="J128" s="38" t="str">
        <f t="shared" si="51"/>
        <v/>
      </c>
      <c r="K128" s="38" t="str">
        <f t="shared" si="52"/>
        <v/>
      </c>
      <c r="L128" s="26"/>
      <c r="M128" s="26"/>
      <c r="N128" s="38" t="str">
        <f t="shared" si="53"/>
        <v/>
      </c>
      <c r="O128" s="38" t="str">
        <f t="shared" si="54"/>
        <v/>
      </c>
      <c r="P128" s="26"/>
      <c r="Q128" s="26"/>
      <c r="R128" s="26"/>
      <c r="S128" s="26"/>
      <c r="T128" s="26"/>
      <c r="U128" s="26"/>
      <c r="V128" s="26"/>
      <c r="W128" s="41" t="str">
        <f t="shared" si="48"/>
        <v/>
      </c>
      <c r="X128" s="12" t="str">
        <f>IF(A128="","",IF(W128="",INDEX(_翻訳マスタ!$B$89:$D$89,1,MATCH(言語切替!$B$3,_翻訳マスタ!$B$1:$D$1,0)),IF(W128&gt;=1,INDEX(_翻訳マスタ!$B$93:$D$93,1,MATCH(言語切替!$B$3,_翻訳マスタ!$B$1:$D$1,0)),IF(W128&gt;=0.8,INDEX(_翻訳マスタ!$B$91:$D$91,1,MATCH(言語切替!$B$3,_翻訳マスタ!$B$1:$D$1,0)),INDEX(_翻訳マスタ!$B$94:$D$94,1,MATCH(言語切替!$B$3,_翻訳マスタ!$B$1:$D$1,0))))))</f>
        <v/>
      </c>
      <c r="Y128" s="27"/>
      <c r="Z128" s="26"/>
      <c r="AA128" s="26"/>
      <c r="AB128" s="38" t="str">
        <f t="shared" si="55"/>
        <v/>
      </c>
      <c r="AC128" s="38" t="str">
        <f t="shared" si="56"/>
        <v/>
      </c>
      <c r="AD128" s="35"/>
      <c r="AE128" s="47"/>
      <c r="AF128" s="45" t="str">
        <f t="shared" si="57"/>
        <v/>
      </c>
      <c r="AG128" s="45" t="str">
        <f t="shared" si="58"/>
        <v/>
      </c>
    </row>
    <row r="129" spans="1:33" s="21" customFormat="1" x14ac:dyDescent="0.25">
      <c r="A129" s="28"/>
      <c r="B129" s="29"/>
      <c r="C129" s="29"/>
      <c r="D129" s="29"/>
      <c r="E129" s="29"/>
      <c r="F129" s="39" t="str">
        <f t="shared" si="49"/>
        <v/>
      </c>
      <c r="G129" s="39" t="str">
        <f t="shared" si="50"/>
        <v/>
      </c>
      <c r="H129" s="29"/>
      <c r="I129" s="29"/>
      <c r="J129" s="39" t="str">
        <f t="shared" si="51"/>
        <v/>
      </c>
      <c r="K129" s="39" t="str">
        <f t="shared" si="52"/>
        <v/>
      </c>
      <c r="L129" s="29"/>
      <c r="M129" s="29"/>
      <c r="N129" s="39" t="str">
        <f t="shared" si="53"/>
        <v/>
      </c>
      <c r="O129" s="39" t="str">
        <f t="shared" si="54"/>
        <v/>
      </c>
      <c r="P129" s="29"/>
      <c r="Q129" s="29"/>
      <c r="R129" s="29"/>
      <c r="S129" s="29"/>
      <c r="T129" s="29"/>
      <c r="U129" s="29"/>
      <c r="V129" s="29"/>
      <c r="W129" s="42" t="str">
        <f t="shared" si="48"/>
        <v/>
      </c>
      <c r="X129" s="15" t="str">
        <f>IF(A129="","",IF(W129="",INDEX(_翻訳マスタ!$B$89:$D$89,1,MATCH(言語切替!$B$3,_翻訳マスタ!$B$1:$D$1,0)),IF(W129&gt;=1,INDEX(_翻訳マスタ!$B$93:$D$93,1,MATCH(言語切替!$B$3,_翻訳マスタ!$B$1:$D$1,0)),IF(W129&gt;=0.8,INDEX(_翻訳マスタ!$B$91:$D$91,1,MATCH(言語切替!$B$3,_翻訳マスタ!$B$1:$D$1,0)),INDEX(_翻訳マスタ!$B$94:$D$94,1,MATCH(言語切替!$B$3,_翻訳マスタ!$B$1:$D$1,0))))))</f>
        <v/>
      </c>
      <c r="Y129" s="30"/>
      <c r="Z129" s="29"/>
      <c r="AA129" s="29"/>
      <c r="AB129" s="39" t="str">
        <f t="shared" si="55"/>
        <v/>
      </c>
      <c r="AC129" s="39" t="str">
        <f t="shared" si="56"/>
        <v/>
      </c>
      <c r="AD129" s="36"/>
      <c r="AE129" s="46"/>
      <c r="AF129" s="44" t="str">
        <f t="shared" si="57"/>
        <v/>
      </c>
      <c r="AG129" s="44" t="str">
        <f t="shared" si="58"/>
        <v/>
      </c>
    </row>
    <row r="130" spans="1:33" s="21" customFormat="1" x14ac:dyDescent="0.25">
      <c r="A130" s="25"/>
      <c r="B130" s="26"/>
      <c r="C130" s="26"/>
      <c r="D130" s="26"/>
      <c r="E130" s="26"/>
      <c r="F130" s="38" t="str">
        <f t="shared" si="49"/>
        <v/>
      </c>
      <c r="G130" s="38" t="str">
        <f t="shared" si="50"/>
        <v/>
      </c>
      <c r="H130" s="26"/>
      <c r="I130" s="26"/>
      <c r="J130" s="38" t="str">
        <f t="shared" si="51"/>
        <v/>
      </c>
      <c r="K130" s="38" t="str">
        <f t="shared" si="52"/>
        <v/>
      </c>
      <c r="L130" s="26"/>
      <c r="M130" s="26"/>
      <c r="N130" s="38" t="str">
        <f t="shared" si="53"/>
        <v/>
      </c>
      <c r="O130" s="38" t="str">
        <f t="shared" si="54"/>
        <v/>
      </c>
      <c r="P130" s="26"/>
      <c r="Q130" s="26"/>
      <c r="R130" s="26"/>
      <c r="S130" s="26"/>
      <c r="T130" s="26"/>
      <c r="U130" s="26"/>
      <c r="V130" s="26"/>
      <c r="W130" s="41" t="str">
        <f t="shared" si="48"/>
        <v/>
      </c>
      <c r="X130" s="12" t="str">
        <f>IF(A130="","",IF(W130="",INDEX(_翻訳マスタ!$B$89:$D$89,1,MATCH(言語切替!$B$3,_翻訳マスタ!$B$1:$D$1,0)),IF(W130&gt;=1,INDEX(_翻訳マスタ!$B$93:$D$93,1,MATCH(言語切替!$B$3,_翻訳マスタ!$B$1:$D$1,0)),IF(W130&gt;=0.8,INDEX(_翻訳マスタ!$B$91:$D$91,1,MATCH(言語切替!$B$3,_翻訳マスタ!$B$1:$D$1,0)),INDEX(_翻訳マスタ!$B$94:$D$94,1,MATCH(言語切替!$B$3,_翻訳マスタ!$B$1:$D$1,0))))))</f>
        <v/>
      </c>
      <c r="Y130" s="27"/>
      <c r="Z130" s="26"/>
      <c r="AA130" s="26"/>
      <c r="AB130" s="38" t="str">
        <f t="shared" si="55"/>
        <v/>
      </c>
      <c r="AC130" s="38" t="str">
        <f t="shared" si="56"/>
        <v/>
      </c>
      <c r="AD130" s="35"/>
      <c r="AE130" s="47"/>
      <c r="AF130" s="45" t="str">
        <f t="shared" si="57"/>
        <v/>
      </c>
      <c r="AG130" s="45" t="str">
        <f t="shared" si="58"/>
        <v/>
      </c>
    </row>
    <row r="131" spans="1:33" s="21" customFormat="1" x14ac:dyDescent="0.25">
      <c r="A131" s="28"/>
      <c r="B131" s="29"/>
      <c r="C131" s="29"/>
      <c r="D131" s="29"/>
      <c r="E131" s="29"/>
      <c r="F131" s="39" t="str">
        <f t="shared" si="49"/>
        <v/>
      </c>
      <c r="G131" s="39" t="str">
        <f t="shared" si="50"/>
        <v/>
      </c>
      <c r="H131" s="29"/>
      <c r="I131" s="29"/>
      <c r="J131" s="39" t="str">
        <f t="shared" si="51"/>
        <v/>
      </c>
      <c r="K131" s="39" t="str">
        <f t="shared" si="52"/>
        <v/>
      </c>
      <c r="L131" s="29"/>
      <c r="M131" s="29"/>
      <c r="N131" s="39" t="str">
        <f t="shared" si="53"/>
        <v/>
      </c>
      <c r="O131" s="39" t="str">
        <f t="shared" si="54"/>
        <v/>
      </c>
      <c r="P131" s="29"/>
      <c r="Q131" s="29"/>
      <c r="R131" s="29"/>
      <c r="S131" s="29"/>
      <c r="T131" s="29"/>
      <c r="U131" s="29"/>
      <c r="V131" s="29"/>
      <c r="W131" s="42" t="str">
        <f t="shared" si="48"/>
        <v/>
      </c>
      <c r="X131" s="15" t="str">
        <f>IF(A131="","",IF(W131="",INDEX(_翻訳マスタ!$B$89:$D$89,1,MATCH(言語切替!$B$3,_翻訳マスタ!$B$1:$D$1,0)),IF(W131&gt;=1,INDEX(_翻訳マスタ!$B$93:$D$93,1,MATCH(言語切替!$B$3,_翻訳マスタ!$B$1:$D$1,0)),IF(W131&gt;=0.8,INDEX(_翻訳マスタ!$B$91:$D$91,1,MATCH(言語切替!$B$3,_翻訳マスタ!$B$1:$D$1,0)),INDEX(_翻訳マスタ!$B$94:$D$94,1,MATCH(言語切替!$B$3,_翻訳マスタ!$B$1:$D$1,0))))))</f>
        <v/>
      </c>
      <c r="Y131" s="30"/>
      <c r="Z131" s="29"/>
      <c r="AA131" s="29"/>
      <c r="AB131" s="39" t="str">
        <f t="shared" si="55"/>
        <v/>
      </c>
      <c r="AC131" s="39" t="str">
        <f t="shared" si="56"/>
        <v/>
      </c>
      <c r="AD131" s="36"/>
      <c r="AE131" s="46"/>
      <c r="AF131" s="44" t="str">
        <f t="shared" si="57"/>
        <v/>
      </c>
      <c r="AG131" s="44" t="str">
        <f t="shared" si="58"/>
        <v/>
      </c>
    </row>
    <row r="132" spans="1:33" s="21" customFormat="1" x14ac:dyDescent="0.25">
      <c r="A132" s="25"/>
      <c r="B132" s="26"/>
      <c r="C132" s="26"/>
      <c r="D132" s="26"/>
      <c r="E132" s="26"/>
      <c r="F132" s="38" t="str">
        <f t="shared" si="49"/>
        <v/>
      </c>
      <c r="G132" s="38" t="str">
        <f t="shared" si="50"/>
        <v/>
      </c>
      <c r="H132" s="26"/>
      <c r="I132" s="26"/>
      <c r="J132" s="38" t="str">
        <f t="shared" si="51"/>
        <v/>
      </c>
      <c r="K132" s="38" t="str">
        <f t="shared" si="52"/>
        <v/>
      </c>
      <c r="L132" s="26"/>
      <c r="M132" s="26"/>
      <c r="N132" s="38" t="str">
        <f t="shared" si="53"/>
        <v/>
      </c>
      <c r="O132" s="38" t="str">
        <f t="shared" si="54"/>
        <v/>
      </c>
      <c r="P132" s="26"/>
      <c r="Q132" s="26"/>
      <c r="R132" s="26"/>
      <c r="S132" s="26"/>
      <c r="T132" s="26"/>
      <c r="U132" s="26"/>
      <c r="V132" s="26"/>
      <c r="W132" s="41" t="str">
        <f t="shared" si="48"/>
        <v/>
      </c>
      <c r="X132" s="12" t="str">
        <f>IF(A132="","",IF(W132="",INDEX(_翻訳マスタ!$B$89:$D$89,1,MATCH(言語切替!$B$3,_翻訳マスタ!$B$1:$D$1,0)),IF(W132&gt;=1,INDEX(_翻訳マスタ!$B$93:$D$93,1,MATCH(言語切替!$B$3,_翻訳マスタ!$B$1:$D$1,0)),IF(W132&gt;=0.8,INDEX(_翻訳マスタ!$B$91:$D$91,1,MATCH(言語切替!$B$3,_翻訳マスタ!$B$1:$D$1,0)),INDEX(_翻訳マスタ!$B$94:$D$94,1,MATCH(言語切替!$B$3,_翻訳マスタ!$B$1:$D$1,0))))))</f>
        <v/>
      </c>
      <c r="Y132" s="27"/>
      <c r="Z132" s="26"/>
      <c r="AA132" s="26"/>
      <c r="AB132" s="38" t="str">
        <f t="shared" si="55"/>
        <v/>
      </c>
      <c r="AC132" s="38" t="str">
        <f t="shared" si="56"/>
        <v/>
      </c>
      <c r="AD132" s="35"/>
      <c r="AE132" s="47"/>
      <c r="AF132" s="45" t="str">
        <f t="shared" si="57"/>
        <v/>
      </c>
      <c r="AG132" s="45" t="str">
        <f t="shared" si="58"/>
        <v/>
      </c>
    </row>
    <row r="133" spans="1:33" s="21" customFormat="1" x14ac:dyDescent="0.25">
      <c r="A133" s="28"/>
      <c r="B133" s="29"/>
      <c r="C133" s="29"/>
      <c r="D133" s="29"/>
      <c r="E133" s="29"/>
      <c r="F133" s="39" t="str">
        <f t="shared" si="49"/>
        <v/>
      </c>
      <c r="G133" s="39" t="str">
        <f t="shared" si="50"/>
        <v/>
      </c>
      <c r="H133" s="29"/>
      <c r="I133" s="29"/>
      <c r="J133" s="39" t="str">
        <f t="shared" si="51"/>
        <v/>
      </c>
      <c r="K133" s="39" t="str">
        <f t="shared" si="52"/>
        <v/>
      </c>
      <c r="L133" s="29"/>
      <c r="M133" s="29"/>
      <c r="N133" s="39" t="str">
        <f t="shared" si="53"/>
        <v/>
      </c>
      <c r="O133" s="39" t="str">
        <f t="shared" si="54"/>
        <v/>
      </c>
      <c r="P133" s="29"/>
      <c r="Q133" s="29"/>
      <c r="R133" s="29"/>
      <c r="S133" s="29"/>
      <c r="T133" s="29"/>
      <c r="U133" s="29"/>
      <c r="V133" s="29"/>
      <c r="W133" s="42" t="str">
        <f t="shared" ref="W133:W164" si="59">IF(OR(U133="",V133=""),"",IF(U133=0,"",V133/U133))</f>
        <v/>
      </c>
      <c r="X133" s="15" t="str">
        <f>IF(A133="","",IF(W133="",INDEX(_翻訳マスタ!$B$89:$D$89,1,MATCH(言語切替!$B$3,_翻訳マスタ!$B$1:$D$1,0)),IF(W133&gt;=1,INDEX(_翻訳マスタ!$B$93:$D$93,1,MATCH(言語切替!$B$3,_翻訳マスタ!$B$1:$D$1,0)),IF(W133&gt;=0.8,INDEX(_翻訳マスタ!$B$91:$D$91,1,MATCH(言語切替!$B$3,_翻訳マスタ!$B$1:$D$1,0)),INDEX(_翻訳マスタ!$B$94:$D$94,1,MATCH(言語切替!$B$3,_翻訳マスタ!$B$1:$D$1,0))))))</f>
        <v/>
      </c>
      <c r="Y133" s="30"/>
      <c r="Z133" s="29"/>
      <c r="AA133" s="29"/>
      <c r="AB133" s="39" t="str">
        <f t="shared" si="55"/>
        <v/>
      </c>
      <c r="AC133" s="39" t="str">
        <f t="shared" si="56"/>
        <v/>
      </c>
      <c r="AD133" s="36"/>
      <c r="AE133" s="46"/>
      <c r="AF133" s="44" t="str">
        <f t="shared" si="57"/>
        <v/>
      </c>
      <c r="AG133" s="44" t="str">
        <f t="shared" si="58"/>
        <v/>
      </c>
    </row>
    <row r="134" spans="1:33" s="21" customFormat="1" x14ac:dyDescent="0.25">
      <c r="A134" s="25"/>
      <c r="B134" s="26"/>
      <c r="C134" s="26"/>
      <c r="D134" s="26"/>
      <c r="E134" s="26"/>
      <c r="F134" s="38" t="str">
        <f t="shared" si="49"/>
        <v/>
      </c>
      <c r="G134" s="38" t="str">
        <f t="shared" si="50"/>
        <v/>
      </c>
      <c r="H134" s="26"/>
      <c r="I134" s="26"/>
      <c r="J134" s="38" t="str">
        <f t="shared" si="51"/>
        <v/>
      </c>
      <c r="K134" s="38" t="str">
        <f t="shared" si="52"/>
        <v/>
      </c>
      <c r="L134" s="26"/>
      <c r="M134" s="26"/>
      <c r="N134" s="38" t="str">
        <f t="shared" si="53"/>
        <v/>
      </c>
      <c r="O134" s="38" t="str">
        <f t="shared" si="54"/>
        <v/>
      </c>
      <c r="P134" s="26"/>
      <c r="Q134" s="26"/>
      <c r="R134" s="26"/>
      <c r="S134" s="26"/>
      <c r="T134" s="26"/>
      <c r="U134" s="26"/>
      <c r="V134" s="26"/>
      <c r="W134" s="41" t="str">
        <f t="shared" si="59"/>
        <v/>
      </c>
      <c r="X134" s="12" t="str">
        <f>IF(A134="","",IF(W134="",INDEX(_翻訳マスタ!$B$89:$D$89,1,MATCH(言語切替!$B$3,_翻訳マスタ!$B$1:$D$1,0)),IF(W134&gt;=1,INDEX(_翻訳マスタ!$B$93:$D$93,1,MATCH(言語切替!$B$3,_翻訳マスタ!$B$1:$D$1,0)),IF(W134&gt;=0.8,INDEX(_翻訳マスタ!$B$91:$D$91,1,MATCH(言語切替!$B$3,_翻訳マスタ!$B$1:$D$1,0)),INDEX(_翻訳マスタ!$B$94:$D$94,1,MATCH(言語切替!$B$3,_翻訳マスタ!$B$1:$D$1,0))))))</f>
        <v/>
      </c>
      <c r="Y134" s="27"/>
      <c r="Z134" s="26"/>
      <c r="AA134" s="26"/>
      <c r="AB134" s="38" t="str">
        <f t="shared" si="55"/>
        <v/>
      </c>
      <c r="AC134" s="38" t="str">
        <f t="shared" si="56"/>
        <v/>
      </c>
      <c r="AD134" s="35"/>
      <c r="AE134" s="47"/>
      <c r="AF134" s="45" t="str">
        <f t="shared" si="57"/>
        <v/>
      </c>
      <c r="AG134" s="45" t="str">
        <f t="shared" si="58"/>
        <v/>
      </c>
    </row>
    <row r="135" spans="1:33" s="21" customFormat="1" x14ac:dyDescent="0.25">
      <c r="A135" s="28"/>
      <c r="B135" s="29"/>
      <c r="C135" s="29"/>
      <c r="D135" s="29"/>
      <c r="E135" s="29"/>
      <c r="F135" s="39" t="str">
        <f t="shared" si="49"/>
        <v/>
      </c>
      <c r="G135" s="39" t="str">
        <f t="shared" si="50"/>
        <v/>
      </c>
      <c r="H135" s="29"/>
      <c r="I135" s="29"/>
      <c r="J135" s="39" t="str">
        <f t="shared" si="51"/>
        <v/>
      </c>
      <c r="K135" s="39" t="str">
        <f t="shared" si="52"/>
        <v/>
      </c>
      <c r="L135" s="29"/>
      <c r="M135" s="29"/>
      <c r="N135" s="39" t="str">
        <f t="shared" si="53"/>
        <v/>
      </c>
      <c r="O135" s="39" t="str">
        <f t="shared" si="54"/>
        <v/>
      </c>
      <c r="P135" s="29"/>
      <c r="Q135" s="29"/>
      <c r="R135" s="29"/>
      <c r="S135" s="29"/>
      <c r="T135" s="29"/>
      <c r="U135" s="29"/>
      <c r="V135" s="29"/>
      <c r="W135" s="42" t="str">
        <f t="shared" si="59"/>
        <v/>
      </c>
      <c r="X135" s="15" t="str">
        <f>IF(A135="","",IF(W135="",INDEX(_翻訳マスタ!$B$89:$D$89,1,MATCH(言語切替!$B$3,_翻訳マスタ!$B$1:$D$1,0)),IF(W135&gt;=1,INDEX(_翻訳マスタ!$B$93:$D$93,1,MATCH(言語切替!$B$3,_翻訳マスタ!$B$1:$D$1,0)),IF(W135&gt;=0.8,INDEX(_翻訳マスタ!$B$91:$D$91,1,MATCH(言語切替!$B$3,_翻訳マスタ!$B$1:$D$1,0)),INDEX(_翻訳マスタ!$B$94:$D$94,1,MATCH(言語切替!$B$3,_翻訳マスタ!$B$1:$D$1,0))))))</f>
        <v/>
      </c>
      <c r="Y135" s="30"/>
      <c r="Z135" s="29"/>
      <c r="AA135" s="29"/>
      <c r="AB135" s="39" t="str">
        <f t="shared" si="55"/>
        <v/>
      </c>
      <c r="AC135" s="39" t="str">
        <f t="shared" si="56"/>
        <v/>
      </c>
      <c r="AD135" s="36"/>
      <c r="AE135" s="46"/>
      <c r="AF135" s="44" t="str">
        <f t="shared" si="57"/>
        <v/>
      </c>
      <c r="AG135" s="44" t="str">
        <f t="shared" si="58"/>
        <v/>
      </c>
    </row>
    <row r="136" spans="1:33" s="21" customFormat="1" x14ac:dyDescent="0.25">
      <c r="A136" s="25"/>
      <c r="B136" s="26"/>
      <c r="C136" s="26"/>
      <c r="D136" s="26"/>
      <c r="E136" s="26"/>
      <c r="F136" s="38" t="str">
        <f t="shared" si="49"/>
        <v/>
      </c>
      <c r="G136" s="38" t="str">
        <f t="shared" si="50"/>
        <v/>
      </c>
      <c r="H136" s="26"/>
      <c r="I136" s="26"/>
      <c r="J136" s="38" t="str">
        <f t="shared" si="51"/>
        <v/>
      </c>
      <c r="K136" s="38" t="str">
        <f t="shared" si="52"/>
        <v/>
      </c>
      <c r="L136" s="26"/>
      <c r="M136" s="26"/>
      <c r="N136" s="38" t="str">
        <f t="shared" si="53"/>
        <v/>
      </c>
      <c r="O136" s="38" t="str">
        <f t="shared" si="54"/>
        <v/>
      </c>
      <c r="P136" s="26"/>
      <c r="Q136" s="26"/>
      <c r="R136" s="26"/>
      <c r="S136" s="26"/>
      <c r="T136" s="26"/>
      <c r="U136" s="26"/>
      <c r="V136" s="26"/>
      <c r="W136" s="41" t="str">
        <f t="shared" si="59"/>
        <v/>
      </c>
      <c r="X136" s="12" t="str">
        <f>IF(A136="","",IF(W136="",INDEX(_翻訳マスタ!$B$89:$D$89,1,MATCH(言語切替!$B$3,_翻訳マスタ!$B$1:$D$1,0)),IF(W136&gt;=1,INDEX(_翻訳マスタ!$B$93:$D$93,1,MATCH(言語切替!$B$3,_翻訳マスタ!$B$1:$D$1,0)),IF(W136&gt;=0.8,INDEX(_翻訳マスタ!$B$91:$D$91,1,MATCH(言語切替!$B$3,_翻訳マスタ!$B$1:$D$1,0)),INDEX(_翻訳マスタ!$B$94:$D$94,1,MATCH(言語切替!$B$3,_翻訳マスタ!$B$1:$D$1,0))))))</f>
        <v/>
      </c>
      <c r="Y136" s="27"/>
      <c r="Z136" s="26"/>
      <c r="AA136" s="26"/>
      <c r="AB136" s="38" t="str">
        <f t="shared" si="55"/>
        <v/>
      </c>
      <c r="AC136" s="38" t="str">
        <f t="shared" si="56"/>
        <v/>
      </c>
      <c r="AD136" s="35"/>
      <c r="AE136" s="47"/>
      <c r="AF136" s="45" t="str">
        <f t="shared" si="57"/>
        <v/>
      </c>
      <c r="AG136" s="45" t="str">
        <f t="shared" si="58"/>
        <v/>
      </c>
    </row>
    <row r="137" spans="1:33" s="21" customFormat="1" x14ac:dyDescent="0.25">
      <c r="A137" s="28"/>
      <c r="B137" s="29"/>
      <c r="C137" s="29"/>
      <c r="D137" s="29"/>
      <c r="E137" s="29"/>
      <c r="F137" s="39" t="str">
        <f t="shared" ref="F137:F168" si="60">IF(D137="","",_xlfn.TRANSLATE(D137,"vi","ja"))</f>
        <v/>
      </c>
      <c r="G137" s="39" t="str">
        <f t="shared" ref="G137:G168" si="61">IF(D137="","",_xlfn.TRANSLATE(D137,"vi","zh-Hans"))</f>
        <v/>
      </c>
      <c r="H137" s="29"/>
      <c r="I137" s="29"/>
      <c r="J137" s="39" t="str">
        <f t="shared" ref="J137:J168" si="62">IF(H137="","",_xlfn.TRANSLATE(H137,"vi","ja"))</f>
        <v/>
      </c>
      <c r="K137" s="39" t="str">
        <f t="shared" ref="K137:K168" si="63">IF(H137="","",_xlfn.TRANSLATE(H137,"vi","zh-Hans"))</f>
        <v/>
      </c>
      <c r="L137" s="29"/>
      <c r="M137" s="29"/>
      <c r="N137" s="39" t="str">
        <f t="shared" ref="N137:N168" si="64">IF(L137="","",_xlfn.TRANSLATE(L137,"vi","ja"))</f>
        <v/>
      </c>
      <c r="O137" s="39" t="str">
        <f t="shared" ref="O137:O168" si="65">IF(L137="","",_xlfn.TRANSLATE(L137,"vi","zh-Hans"))</f>
        <v/>
      </c>
      <c r="P137" s="29"/>
      <c r="Q137" s="29"/>
      <c r="R137" s="29"/>
      <c r="S137" s="29"/>
      <c r="T137" s="29"/>
      <c r="U137" s="29"/>
      <c r="V137" s="29"/>
      <c r="W137" s="42" t="str">
        <f t="shared" si="59"/>
        <v/>
      </c>
      <c r="X137" s="15" t="str">
        <f>IF(A137="","",IF(W137="",INDEX(_翻訳マスタ!$B$89:$D$89,1,MATCH(言語切替!$B$3,_翻訳マスタ!$B$1:$D$1,0)),IF(W137&gt;=1,INDEX(_翻訳マスタ!$B$93:$D$93,1,MATCH(言語切替!$B$3,_翻訳マスタ!$B$1:$D$1,0)),IF(W137&gt;=0.8,INDEX(_翻訳マスタ!$B$91:$D$91,1,MATCH(言語切替!$B$3,_翻訳マスタ!$B$1:$D$1,0)),INDEX(_翻訳マスタ!$B$94:$D$94,1,MATCH(言語切替!$B$3,_翻訳マスタ!$B$1:$D$1,0))))))</f>
        <v/>
      </c>
      <c r="Y137" s="30"/>
      <c r="Z137" s="29"/>
      <c r="AA137" s="29"/>
      <c r="AB137" s="39" t="str">
        <f t="shared" ref="AB137:AB168" si="66">IF(Z137="","",_xlfn.TRANSLATE(Z137,"vi","ja"))</f>
        <v/>
      </c>
      <c r="AC137" s="39" t="str">
        <f t="shared" ref="AC137:AC168" si="67">IF(Z137="","",_xlfn.TRANSLATE(Z137,"vi","zh-Hans"))</f>
        <v/>
      </c>
      <c r="AD137" s="36"/>
      <c r="AE137" s="46"/>
      <c r="AF137" s="44" t="str">
        <f t="shared" ref="AF137:AF168" si="68">IF(AD137="","",_xlfn.TRANSLATE(AD137,"vi","ja"))</f>
        <v/>
      </c>
      <c r="AG137" s="44" t="str">
        <f t="shared" ref="AG137:AG168" si="69">IF(AD137="","",_xlfn.TRANSLATE(AD137,"vi","zh-Hans"))</f>
        <v/>
      </c>
    </row>
    <row r="138" spans="1:33" s="21" customFormat="1" x14ac:dyDescent="0.25">
      <c r="A138" s="25"/>
      <c r="B138" s="26"/>
      <c r="C138" s="26"/>
      <c r="D138" s="26"/>
      <c r="E138" s="26"/>
      <c r="F138" s="38" t="str">
        <f t="shared" si="60"/>
        <v/>
      </c>
      <c r="G138" s="38" t="str">
        <f t="shared" si="61"/>
        <v/>
      </c>
      <c r="H138" s="26"/>
      <c r="I138" s="26"/>
      <c r="J138" s="38" t="str">
        <f t="shared" si="62"/>
        <v/>
      </c>
      <c r="K138" s="38" t="str">
        <f t="shared" si="63"/>
        <v/>
      </c>
      <c r="L138" s="26"/>
      <c r="M138" s="26"/>
      <c r="N138" s="38" t="str">
        <f t="shared" si="64"/>
        <v/>
      </c>
      <c r="O138" s="38" t="str">
        <f t="shared" si="65"/>
        <v/>
      </c>
      <c r="P138" s="26"/>
      <c r="Q138" s="26"/>
      <c r="R138" s="26"/>
      <c r="S138" s="26"/>
      <c r="T138" s="26"/>
      <c r="U138" s="26"/>
      <c r="V138" s="26"/>
      <c r="W138" s="41" t="str">
        <f t="shared" si="59"/>
        <v/>
      </c>
      <c r="X138" s="12" t="str">
        <f>IF(A138="","",IF(W138="",INDEX(_翻訳マスタ!$B$89:$D$89,1,MATCH(言語切替!$B$3,_翻訳マスタ!$B$1:$D$1,0)),IF(W138&gt;=1,INDEX(_翻訳マスタ!$B$93:$D$93,1,MATCH(言語切替!$B$3,_翻訳マスタ!$B$1:$D$1,0)),IF(W138&gt;=0.8,INDEX(_翻訳マスタ!$B$91:$D$91,1,MATCH(言語切替!$B$3,_翻訳マスタ!$B$1:$D$1,0)),INDEX(_翻訳マスタ!$B$94:$D$94,1,MATCH(言語切替!$B$3,_翻訳マスタ!$B$1:$D$1,0))))))</f>
        <v/>
      </c>
      <c r="Y138" s="27"/>
      <c r="Z138" s="26"/>
      <c r="AA138" s="26"/>
      <c r="AB138" s="38" t="str">
        <f t="shared" si="66"/>
        <v/>
      </c>
      <c r="AC138" s="38" t="str">
        <f t="shared" si="67"/>
        <v/>
      </c>
      <c r="AD138" s="35"/>
      <c r="AE138" s="47"/>
      <c r="AF138" s="45" t="str">
        <f t="shared" si="68"/>
        <v/>
      </c>
      <c r="AG138" s="45" t="str">
        <f t="shared" si="69"/>
        <v/>
      </c>
    </row>
    <row r="139" spans="1:33" s="21" customFormat="1" x14ac:dyDescent="0.25">
      <c r="A139" s="28"/>
      <c r="B139" s="29"/>
      <c r="C139" s="29"/>
      <c r="D139" s="29"/>
      <c r="E139" s="29"/>
      <c r="F139" s="39" t="str">
        <f t="shared" si="60"/>
        <v/>
      </c>
      <c r="G139" s="39" t="str">
        <f t="shared" si="61"/>
        <v/>
      </c>
      <c r="H139" s="29"/>
      <c r="I139" s="29"/>
      <c r="J139" s="39" t="str">
        <f t="shared" si="62"/>
        <v/>
      </c>
      <c r="K139" s="39" t="str">
        <f t="shared" si="63"/>
        <v/>
      </c>
      <c r="L139" s="29"/>
      <c r="M139" s="29"/>
      <c r="N139" s="39" t="str">
        <f t="shared" si="64"/>
        <v/>
      </c>
      <c r="O139" s="39" t="str">
        <f t="shared" si="65"/>
        <v/>
      </c>
      <c r="P139" s="29"/>
      <c r="Q139" s="29"/>
      <c r="R139" s="29"/>
      <c r="S139" s="29"/>
      <c r="T139" s="29"/>
      <c r="U139" s="29"/>
      <c r="V139" s="29"/>
      <c r="W139" s="42" t="str">
        <f t="shared" si="59"/>
        <v/>
      </c>
      <c r="X139" s="15" t="str">
        <f>IF(A139="","",IF(W139="",INDEX(_翻訳マスタ!$B$89:$D$89,1,MATCH(言語切替!$B$3,_翻訳マスタ!$B$1:$D$1,0)),IF(W139&gt;=1,INDEX(_翻訳マスタ!$B$93:$D$93,1,MATCH(言語切替!$B$3,_翻訳マスタ!$B$1:$D$1,0)),IF(W139&gt;=0.8,INDEX(_翻訳マスタ!$B$91:$D$91,1,MATCH(言語切替!$B$3,_翻訳マスタ!$B$1:$D$1,0)),INDEX(_翻訳マスタ!$B$94:$D$94,1,MATCH(言語切替!$B$3,_翻訳マスタ!$B$1:$D$1,0))))))</f>
        <v/>
      </c>
      <c r="Y139" s="30"/>
      <c r="Z139" s="29"/>
      <c r="AA139" s="29"/>
      <c r="AB139" s="39" t="str">
        <f t="shared" si="66"/>
        <v/>
      </c>
      <c r="AC139" s="39" t="str">
        <f t="shared" si="67"/>
        <v/>
      </c>
      <c r="AD139" s="36"/>
      <c r="AE139" s="46"/>
      <c r="AF139" s="44" t="str">
        <f t="shared" si="68"/>
        <v/>
      </c>
      <c r="AG139" s="44" t="str">
        <f t="shared" si="69"/>
        <v/>
      </c>
    </row>
    <row r="140" spans="1:33" s="21" customFormat="1" x14ac:dyDescent="0.25">
      <c r="A140" s="25"/>
      <c r="B140" s="26"/>
      <c r="C140" s="26"/>
      <c r="D140" s="26"/>
      <c r="E140" s="26"/>
      <c r="F140" s="38" t="str">
        <f t="shared" si="60"/>
        <v/>
      </c>
      <c r="G140" s="38" t="str">
        <f t="shared" si="61"/>
        <v/>
      </c>
      <c r="H140" s="26"/>
      <c r="I140" s="26"/>
      <c r="J140" s="38" t="str">
        <f t="shared" si="62"/>
        <v/>
      </c>
      <c r="K140" s="38" t="str">
        <f t="shared" si="63"/>
        <v/>
      </c>
      <c r="L140" s="26"/>
      <c r="M140" s="26"/>
      <c r="N140" s="38" t="str">
        <f t="shared" si="64"/>
        <v/>
      </c>
      <c r="O140" s="38" t="str">
        <f t="shared" si="65"/>
        <v/>
      </c>
      <c r="P140" s="26"/>
      <c r="Q140" s="26"/>
      <c r="R140" s="26"/>
      <c r="S140" s="26"/>
      <c r="T140" s="26"/>
      <c r="U140" s="26"/>
      <c r="V140" s="26"/>
      <c r="W140" s="41" t="str">
        <f t="shared" si="59"/>
        <v/>
      </c>
      <c r="X140" s="12" t="str">
        <f>IF(A140="","",IF(W140="",INDEX(_翻訳マスタ!$B$89:$D$89,1,MATCH(言語切替!$B$3,_翻訳マスタ!$B$1:$D$1,0)),IF(W140&gt;=1,INDEX(_翻訳マスタ!$B$93:$D$93,1,MATCH(言語切替!$B$3,_翻訳マスタ!$B$1:$D$1,0)),IF(W140&gt;=0.8,INDEX(_翻訳マスタ!$B$91:$D$91,1,MATCH(言語切替!$B$3,_翻訳マスタ!$B$1:$D$1,0)),INDEX(_翻訳マスタ!$B$94:$D$94,1,MATCH(言語切替!$B$3,_翻訳マスタ!$B$1:$D$1,0))))))</f>
        <v/>
      </c>
      <c r="Y140" s="27"/>
      <c r="Z140" s="26"/>
      <c r="AA140" s="26"/>
      <c r="AB140" s="38" t="str">
        <f t="shared" si="66"/>
        <v/>
      </c>
      <c r="AC140" s="38" t="str">
        <f t="shared" si="67"/>
        <v/>
      </c>
      <c r="AD140" s="35"/>
      <c r="AE140" s="47"/>
      <c r="AF140" s="45" t="str">
        <f t="shared" si="68"/>
        <v/>
      </c>
      <c r="AG140" s="45" t="str">
        <f t="shared" si="69"/>
        <v/>
      </c>
    </row>
    <row r="141" spans="1:33" s="21" customFormat="1" x14ac:dyDescent="0.25">
      <c r="A141" s="28"/>
      <c r="B141" s="29"/>
      <c r="C141" s="29"/>
      <c r="D141" s="29"/>
      <c r="E141" s="29"/>
      <c r="F141" s="39" t="str">
        <f t="shared" si="60"/>
        <v/>
      </c>
      <c r="G141" s="39" t="str">
        <f t="shared" si="61"/>
        <v/>
      </c>
      <c r="H141" s="29"/>
      <c r="I141" s="29"/>
      <c r="J141" s="39" t="str">
        <f t="shared" si="62"/>
        <v/>
      </c>
      <c r="K141" s="39" t="str">
        <f t="shared" si="63"/>
        <v/>
      </c>
      <c r="L141" s="29"/>
      <c r="M141" s="29"/>
      <c r="N141" s="39" t="str">
        <f t="shared" si="64"/>
        <v/>
      </c>
      <c r="O141" s="39" t="str">
        <f t="shared" si="65"/>
        <v/>
      </c>
      <c r="P141" s="29"/>
      <c r="Q141" s="29"/>
      <c r="R141" s="29"/>
      <c r="S141" s="29"/>
      <c r="T141" s="29"/>
      <c r="U141" s="29"/>
      <c r="V141" s="29"/>
      <c r="W141" s="42" t="str">
        <f t="shared" si="59"/>
        <v/>
      </c>
      <c r="X141" s="15" t="str">
        <f>IF(A141="","",IF(W141="",INDEX(_翻訳マスタ!$B$89:$D$89,1,MATCH(言語切替!$B$3,_翻訳マスタ!$B$1:$D$1,0)),IF(W141&gt;=1,INDEX(_翻訳マスタ!$B$93:$D$93,1,MATCH(言語切替!$B$3,_翻訳マスタ!$B$1:$D$1,0)),IF(W141&gt;=0.8,INDEX(_翻訳マスタ!$B$91:$D$91,1,MATCH(言語切替!$B$3,_翻訳マスタ!$B$1:$D$1,0)),INDEX(_翻訳マスタ!$B$94:$D$94,1,MATCH(言語切替!$B$3,_翻訳マスタ!$B$1:$D$1,0))))))</f>
        <v/>
      </c>
      <c r="Y141" s="30"/>
      <c r="Z141" s="29"/>
      <c r="AA141" s="29"/>
      <c r="AB141" s="39" t="str">
        <f t="shared" si="66"/>
        <v/>
      </c>
      <c r="AC141" s="39" t="str">
        <f t="shared" si="67"/>
        <v/>
      </c>
      <c r="AD141" s="36"/>
      <c r="AE141" s="46"/>
      <c r="AF141" s="44" t="str">
        <f t="shared" si="68"/>
        <v/>
      </c>
      <c r="AG141" s="44" t="str">
        <f t="shared" si="69"/>
        <v/>
      </c>
    </row>
    <row r="142" spans="1:33" s="21" customFormat="1" x14ac:dyDescent="0.25">
      <c r="A142" s="25"/>
      <c r="B142" s="26"/>
      <c r="C142" s="26"/>
      <c r="D142" s="26"/>
      <c r="E142" s="26"/>
      <c r="F142" s="38" t="str">
        <f t="shared" si="60"/>
        <v/>
      </c>
      <c r="G142" s="38" t="str">
        <f t="shared" si="61"/>
        <v/>
      </c>
      <c r="H142" s="26"/>
      <c r="I142" s="26"/>
      <c r="J142" s="38" t="str">
        <f t="shared" si="62"/>
        <v/>
      </c>
      <c r="K142" s="38" t="str">
        <f t="shared" si="63"/>
        <v/>
      </c>
      <c r="L142" s="26"/>
      <c r="M142" s="26"/>
      <c r="N142" s="38" t="str">
        <f t="shared" si="64"/>
        <v/>
      </c>
      <c r="O142" s="38" t="str">
        <f t="shared" si="65"/>
        <v/>
      </c>
      <c r="P142" s="26"/>
      <c r="Q142" s="26"/>
      <c r="R142" s="26"/>
      <c r="S142" s="26"/>
      <c r="T142" s="26"/>
      <c r="U142" s="26"/>
      <c r="V142" s="26"/>
      <c r="W142" s="41" t="str">
        <f t="shared" si="59"/>
        <v/>
      </c>
      <c r="X142" s="12" t="str">
        <f>IF(A142="","",IF(W142="",INDEX(_翻訳マスタ!$B$89:$D$89,1,MATCH(言語切替!$B$3,_翻訳マスタ!$B$1:$D$1,0)),IF(W142&gt;=1,INDEX(_翻訳マスタ!$B$93:$D$93,1,MATCH(言語切替!$B$3,_翻訳マスタ!$B$1:$D$1,0)),IF(W142&gt;=0.8,INDEX(_翻訳マスタ!$B$91:$D$91,1,MATCH(言語切替!$B$3,_翻訳マスタ!$B$1:$D$1,0)),INDEX(_翻訳マスタ!$B$94:$D$94,1,MATCH(言語切替!$B$3,_翻訳マスタ!$B$1:$D$1,0))))))</f>
        <v/>
      </c>
      <c r="Y142" s="27"/>
      <c r="Z142" s="26"/>
      <c r="AA142" s="26"/>
      <c r="AB142" s="38" t="str">
        <f t="shared" si="66"/>
        <v/>
      </c>
      <c r="AC142" s="38" t="str">
        <f t="shared" si="67"/>
        <v/>
      </c>
      <c r="AD142" s="35"/>
      <c r="AE142" s="47"/>
      <c r="AF142" s="45" t="str">
        <f t="shared" si="68"/>
        <v/>
      </c>
      <c r="AG142" s="45" t="str">
        <f t="shared" si="69"/>
        <v/>
      </c>
    </row>
    <row r="143" spans="1:33" s="21" customFormat="1" x14ac:dyDescent="0.25">
      <c r="A143" s="28"/>
      <c r="B143" s="29"/>
      <c r="C143" s="29"/>
      <c r="D143" s="29"/>
      <c r="E143" s="29"/>
      <c r="F143" s="39" t="str">
        <f t="shared" si="60"/>
        <v/>
      </c>
      <c r="G143" s="39" t="str">
        <f t="shared" si="61"/>
        <v/>
      </c>
      <c r="H143" s="29"/>
      <c r="I143" s="29"/>
      <c r="J143" s="39" t="str">
        <f t="shared" si="62"/>
        <v/>
      </c>
      <c r="K143" s="39" t="str">
        <f t="shared" si="63"/>
        <v/>
      </c>
      <c r="L143" s="29"/>
      <c r="M143" s="29"/>
      <c r="N143" s="39" t="str">
        <f t="shared" si="64"/>
        <v/>
      </c>
      <c r="O143" s="39" t="str">
        <f t="shared" si="65"/>
        <v/>
      </c>
      <c r="P143" s="29"/>
      <c r="Q143" s="29"/>
      <c r="R143" s="29"/>
      <c r="S143" s="29"/>
      <c r="T143" s="29"/>
      <c r="U143" s="29"/>
      <c r="V143" s="29"/>
      <c r="W143" s="42" t="str">
        <f t="shared" si="59"/>
        <v/>
      </c>
      <c r="X143" s="15" t="str">
        <f>IF(A143="","",IF(W143="",INDEX(_翻訳マスタ!$B$89:$D$89,1,MATCH(言語切替!$B$3,_翻訳マスタ!$B$1:$D$1,0)),IF(W143&gt;=1,INDEX(_翻訳マスタ!$B$93:$D$93,1,MATCH(言語切替!$B$3,_翻訳マスタ!$B$1:$D$1,0)),IF(W143&gt;=0.8,INDEX(_翻訳マスタ!$B$91:$D$91,1,MATCH(言語切替!$B$3,_翻訳マスタ!$B$1:$D$1,0)),INDEX(_翻訳マスタ!$B$94:$D$94,1,MATCH(言語切替!$B$3,_翻訳マスタ!$B$1:$D$1,0))))))</f>
        <v/>
      </c>
      <c r="Y143" s="30"/>
      <c r="Z143" s="29"/>
      <c r="AA143" s="29"/>
      <c r="AB143" s="39" t="str">
        <f t="shared" si="66"/>
        <v/>
      </c>
      <c r="AC143" s="39" t="str">
        <f t="shared" si="67"/>
        <v/>
      </c>
      <c r="AD143" s="36"/>
      <c r="AE143" s="46"/>
      <c r="AF143" s="44" t="str">
        <f t="shared" si="68"/>
        <v/>
      </c>
      <c r="AG143" s="44" t="str">
        <f t="shared" si="69"/>
        <v/>
      </c>
    </row>
    <row r="144" spans="1:33" s="21" customFormat="1" x14ac:dyDescent="0.25">
      <c r="A144" s="25"/>
      <c r="B144" s="26"/>
      <c r="C144" s="26"/>
      <c r="D144" s="26"/>
      <c r="E144" s="26"/>
      <c r="F144" s="38" t="str">
        <f t="shared" si="60"/>
        <v/>
      </c>
      <c r="G144" s="38" t="str">
        <f t="shared" si="61"/>
        <v/>
      </c>
      <c r="H144" s="26"/>
      <c r="I144" s="26"/>
      <c r="J144" s="38" t="str">
        <f t="shared" si="62"/>
        <v/>
      </c>
      <c r="K144" s="38" t="str">
        <f t="shared" si="63"/>
        <v/>
      </c>
      <c r="L144" s="26"/>
      <c r="M144" s="26"/>
      <c r="N144" s="38" t="str">
        <f t="shared" si="64"/>
        <v/>
      </c>
      <c r="O144" s="38" t="str">
        <f t="shared" si="65"/>
        <v/>
      </c>
      <c r="P144" s="26"/>
      <c r="Q144" s="26"/>
      <c r="R144" s="26"/>
      <c r="S144" s="26"/>
      <c r="T144" s="26"/>
      <c r="U144" s="26"/>
      <c r="V144" s="26"/>
      <c r="W144" s="41" t="str">
        <f t="shared" si="59"/>
        <v/>
      </c>
      <c r="X144" s="12" t="str">
        <f>IF(A144="","",IF(W144="",INDEX(_翻訳マスタ!$B$89:$D$89,1,MATCH(言語切替!$B$3,_翻訳マスタ!$B$1:$D$1,0)),IF(W144&gt;=1,INDEX(_翻訳マスタ!$B$93:$D$93,1,MATCH(言語切替!$B$3,_翻訳マスタ!$B$1:$D$1,0)),IF(W144&gt;=0.8,INDEX(_翻訳マスタ!$B$91:$D$91,1,MATCH(言語切替!$B$3,_翻訳マスタ!$B$1:$D$1,0)),INDEX(_翻訳マスタ!$B$94:$D$94,1,MATCH(言語切替!$B$3,_翻訳マスタ!$B$1:$D$1,0))))))</f>
        <v/>
      </c>
      <c r="Y144" s="27"/>
      <c r="Z144" s="26"/>
      <c r="AA144" s="26"/>
      <c r="AB144" s="38" t="str">
        <f t="shared" si="66"/>
        <v/>
      </c>
      <c r="AC144" s="38" t="str">
        <f t="shared" si="67"/>
        <v/>
      </c>
      <c r="AD144" s="35"/>
      <c r="AE144" s="47"/>
      <c r="AF144" s="45" t="str">
        <f t="shared" si="68"/>
        <v/>
      </c>
      <c r="AG144" s="45" t="str">
        <f t="shared" si="69"/>
        <v/>
      </c>
    </row>
    <row r="145" spans="1:33" s="21" customFormat="1" x14ac:dyDescent="0.25">
      <c r="A145" s="28"/>
      <c r="B145" s="29"/>
      <c r="C145" s="29"/>
      <c r="D145" s="29"/>
      <c r="E145" s="29"/>
      <c r="F145" s="39" t="str">
        <f t="shared" si="60"/>
        <v/>
      </c>
      <c r="G145" s="39" t="str">
        <f t="shared" si="61"/>
        <v/>
      </c>
      <c r="H145" s="29"/>
      <c r="I145" s="29"/>
      <c r="J145" s="39" t="str">
        <f t="shared" si="62"/>
        <v/>
      </c>
      <c r="K145" s="39" t="str">
        <f t="shared" si="63"/>
        <v/>
      </c>
      <c r="L145" s="29"/>
      <c r="M145" s="29"/>
      <c r="N145" s="39" t="str">
        <f t="shared" si="64"/>
        <v/>
      </c>
      <c r="O145" s="39" t="str">
        <f t="shared" si="65"/>
        <v/>
      </c>
      <c r="P145" s="29"/>
      <c r="Q145" s="29"/>
      <c r="R145" s="29"/>
      <c r="S145" s="29"/>
      <c r="T145" s="29"/>
      <c r="U145" s="29"/>
      <c r="V145" s="29"/>
      <c r="W145" s="42" t="str">
        <f t="shared" si="59"/>
        <v/>
      </c>
      <c r="X145" s="15" t="str">
        <f>IF(A145="","",IF(W145="",INDEX(_翻訳マスタ!$B$89:$D$89,1,MATCH(言語切替!$B$3,_翻訳マスタ!$B$1:$D$1,0)),IF(W145&gt;=1,INDEX(_翻訳マスタ!$B$93:$D$93,1,MATCH(言語切替!$B$3,_翻訳マスタ!$B$1:$D$1,0)),IF(W145&gt;=0.8,INDEX(_翻訳マスタ!$B$91:$D$91,1,MATCH(言語切替!$B$3,_翻訳マスタ!$B$1:$D$1,0)),INDEX(_翻訳マスタ!$B$94:$D$94,1,MATCH(言語切替!$B$3,_翻訳マスタ!$B$1:$D$1,0))))))</f>
        <v/>
      </c>
      <c r="Y145" s="30"/>
      <c r="Z145" s="29"/>
      <c r="AA145" s="29"/>
      <c r="AB145" s="39" t="str">
        <f t="shared" si="66"/>
        <v/>
      </c>
      <c r="AC145" s="39" t="str">
        <f t="shared" si="67"/>
        <v/>
      </c>
      <c r="AD145" s="36"/>
      <c r="AE145" s="46"/>
      <c r="AF145" s="44" t="str">
        <f t="shared" si="68"/>
        <v/>
      </c>
      <c r="AG145" s="44" t="str">
        <f t="shared" si="69"/>
        <v/>
      </c>
    </row>
    <row r="146" spans="1:33" s="21" customFormat="1" x14ac:dyDescent="0.25">
      <c r="A146" s="25"/>
      <c r="B146" s="26"/>
      <c r="C146" s="26"/>
      <c r="D146" s="26"/>
      <c r="E146" s="26"/>
      <c r="F146" s="38" t="str">
        <f t="shared" si="60"/>
        <v/>
      </c>
      <c r="G146" s="38" t="str">
        <f t="shared" si="61"/>
        <v/>
      </c>
      <c r="H146" s="26"/>
      <c r="I146" s="26"/>
      <c r="J146" s="38" t="str">
        <f t="shared" si="62"/>
        <v/>
      </c>
      <c r="K146" s="38" t="str">
        <f t="shared" si="63"/>
        <v/>
      </c>
      <c r="L146" s="26"/>
      <c r="M146" s="26"/>
      <c r="N146" s="38" t="str">
        <f t="shared" si="64"/>
        <v/>
      </c>
      <c r="O146" s="38" t="str">
        <f t="shared" si="65"/>
        <v/>
      </c>
      <c r="P146" s="26"/>
      <c r="Q146" s="26"/>
      <c r="R146" s="26"/>
      <c r="S146" s="26"/>
      <c r="T146" s="26"/>
      <c r="U146" s="26"/>
      <c r="V146" s="26"/>
      <c r="W146" s="41" t="str">
        <f t="shared" si="59"/>
        <v/>
      </c>
      <c r="X146" s="12" t="str">
        <f>IF(A146="","",IF(W146="",INDEX(_翻訳マスタ!$B$89:$D$89,1,MATCH(言語切替!$B$3,_翻訳マスタ!$B$1:$D$1,0)),IF(W146&gt;=1,INDEX(_翻訳マスタ!$B$93:$D$93,1,MATCH(言語切替!$B$3,_翻訳マスタ!$B$1:$D$1,0)),IF(W146&gt;=0.8,INDEX(_翻訳マスタ!$B$91:$D$91,1,MATCH(言語切替!$B$3,_翻訳マスタ!$B$1:$D$1,0)),INDEX(_翻訳マスタ!$B$94:$D$94,1,MATCH(言語切替!$B$3,_翻訳マスタ!$B$1:$D$1,0))))))</f>
        <v/>
      </c>
      <c r="Y146" s="27"/>
      <c r="Z146" s="26"/>
      <c r="AA146" s="26"/>
      <c r="AB146" s="38" t="str">
        <f t="shared" si="66"/>
        <v/>
      </c>
      <c r="AC146" s="38" t="str">
        <f t="shared" si="67"/>
        <v/>
      </c>
      <c r="AD146" s="35"/>
      <c r="AE146" s="47"/>
      <c r="AF146" s="45" t="str">
        <f t="shared" si="68"/>
        <v/>
      </c>
      <c r="AG146" s="45" t="str">
        <f t="shared" si="69"/>
        <v/>
      </c>
    </row>
    <row r="147" spans="1:33" s="21" customFormat="1" x14ac:dyDescent="0.25">
      <c r="A147" s="28"/>
      <c r="B147" s="29"/>
      <c r="C147" s="29"/>
      <c r="D147" s="29"/>
      <c r="E147" s="29"/>
      <c r="F147" s="39" t="str">
        <f t="shared" si="60"/>
        <v/>
      </c>
      <c r="G147" s="39" t="str">
        <f t="shared" si="61"/>
        <v/>
      </c>
      <c r="H147" s="29"/>
      <c r="I147" s="29"/>
      <c r="J147" s="39" t="str">
        <f t="shared" si="62"/>
        <v/>
      </c>
      <c r="K147" s="39" t="str">
        <f t="shared" si="63"/>
        <v/>
      </c>
      <c r="L147" s="29"/>
      <c r="M147" s="29"/>
      <c r="N147" s="39" t="str">
        <f t="shared" si="64"/>
        <v/>
      </c>
      <c r="O147" s="39" t="str">
        <f t="shared" si="65"/>
        <v/>
      </c>
      <c r="P147" s="29"/>
      <c r="Q147" s="29"/>
      <c r="R147" s="29"/>
      <c r="S147" s="29"/>
      <c r="T147" s="29"/>
      <c r="U147" s="29"/>
      <c r="V147" s="29"/>
      <c r="W147" s="42" t="str">
        <f t="shared" si="59"/>
        <v/>
      </c>
      <c r="X147" s="15" t="str">
        <f>IF(A147="","",IF(W147="",INDEX(_翻訳マスタ!$B$89:$D$89,1,MATCH(言語切替!$B$3,_翻訳マスタ!$B$1:$D$1,0)),IF(W147&gt;=1,INDEX(_翻訳マスタ!$B$93:$D$93,1,MATCH(言語切替!$B$3,_翻訳マスタ!$B$1:$D$1,0)),IF(W147&gt;=0.8,INDEX(_翻訳マスタ!$B$91:$D$91,1,MATCH(言語切替!$B$3,_翻訳マスタ!$B$1:$D$1,0)),INDEX(_翻訳マスタ!$B$94:$D$94,1,MATCH(言語切替!$B$3,_翻訳マスタ!$B$1:$D$1,0))))))</f>
        <v/>
      </c>
      <c r="Y147" s="30"/>
      <c r="Z147" s="29"/>
      <c r="AA147" s="29"/>
      <c r="AB147" s="39" t="str">
        <f t="shared" si="66"/>
        <v/>
      </c>
      <c r="AC147" s="39" t="str">
        <f t="shared" si="67"/>
        <v/>
      </c>
      <c r="AD147" s="36"/>
      <c r="AE147" s="46"/>
      <c r="AF147" s="44" t="str">
        <f t="shared" si="68"/>
        <v/>
      </c>
      <c r="AG147" s="44" t="str">
        <f t="shared" si="69"/>
        <v/>
      </c>
    </row>
    <row r="148" spans="1:33" s="21" customFormat="1" x14ac:dyDescent="0.25">
      <c r="A148" s="25"/>
      <c r="B148" s="26"/>
      <c r="C148" s="26"/>
      <c r="D148" s="26"/>
      <c r="E148" s="26"/>
      <c r="F148" s="38" t="str">
        <f t="shared" si="60"/>
        <v/>
      </c>
      <c r="G148" s="38" t="str">
        <f t="shared" si="61"/>
        <v/>
      </c>
      <c r="H148" s="26"/>
      <c r="I148" s="26"/>
      <c r="J148" s="38" t="str">
        <f t="shared" si="62"/>
        <v/>
      </c>
      <c r="K148" s="38" t="str">
        <f t="shared" si="63"/>
        <v/>
      </c>
      <c r="L148" s="26"/>
      <c r="M148" s="26"/>
      <c r="N148" s="38" t="str">
        <f t="shared" si="64"/>
        <v/>
      </c>
      <c r="O148" s="38" t="str">
        <f t="shared" si="65"/>
        <v/>
      </c>
      <c r="P148" s="26"/>
      <c r="Q148" s="26"/>
      <c r="R148" s="26"/>
      <c r="S148" s="26"/>
      <c r="T148" s="26"/>
      <c r="U148" s="26"/>
      <c r="V148" s="26"/>
      <c r="W148" s="41" t="str">
        <f t="shared" si="59"/>
        <v/>
      </c>
      <c r="X148" s="12" t="str">
        <f>IF(A148="","",IF(W148="",INDEX(_翻訳マスタ!$B$89:$D$89,1,MATCH(言語切替!$B$3,_翻訳マスタ!$B$1:$D$1,0)),IF(W148&gt;=1,INDEX(_翻訳マスタ!$B$93:$D$93,1,MATCH(言語切替!$B$3,_翻訳マスタ!$B$1:$D$1,0)),IF(W148&gt;=0.8,INDEX(_翻訳マスタ!$B$91:$D$91,1,MATCH(言語切替!$B$3,_翻訳マスタ!$B$1:$D$1,0)),INDEX(_翻訳マスタ!$B$94:$D$94,1,MATCH(言語切替!$B$3,_翻訳マスタ!$B$1:$D$1,0))))))</f>
        <v/>
      </c>
      <c r="Y148" s="27"/>
      <c r="Z148" s="26"/>
      <c r="AA148" s="26"/>
      <c r="AB148" s="38" t="str">
        <f t="shared" si="66"/>
        <v/>
      </c>
      <c r="AC148" s="38" t="str">
        <f t="shared" si="67"/>
        <v/>
      </c>
      <c r="AD148" s="35"/>
      <c r="AE148" s="47"/>
      <c r="AF148" s="45" t="str">
        <f t="shared" si="68"/>
        <v/>
      </c>
      <c r="AG148" s="45" t="str">
        <f t="shared" si="69"/>
        <v/>
      </c>
    </row>
    <row r="149" spans="1:33" s="21" customFormat="1" x14ac:dyDescent="0.25">
      <c r="A149" s="28"/>
      <c r="B149" s="29"/>
      <c r="C149" s="29"/>
      <c r="D149" s="29"/>
      <c r="E149" s="29"/>
      <c r="F149" s="39" t="str">
        <f t="shared" si="60"/>
        <v/>
      </c>
      <c r="G149" s="39" t="str">
        <f t="shared" si="61"/>
        <v/>
      </c>
      <c r="H149" s="29"/>
      <c r="I149" s="29"/>
      <c r="J149" s="39" t="str">
        <f t="shared" si="62"/>
        <v/>
      </c>
      <c r="K149" s="39" t="str">
        <f t="shared" si="63"/>
        <v/>
      </c>
      <c r="L149" s="29"/>
      <c r="M149" s="29"/>
      <c r="N149" s="39" t="str">
        <f t="shared" si="64"/>
        <v/>
      </c>
      <c r="O149" s="39" t="str">
        <f t="shared" si="65"/>
        <v/>
      </c>
      <c r="P149" s="29"/>
      <c r="Q149" s="29"/>
      <c r="R149" s="29"/>
      <c r="S149" s="29"/>
      <c r="T149" s="29"/>
      <c r="U149" s="29"/>
      <c r="V149" s="29"/>
      <c r="W149" s="42" t="str">
        <f t="shared" si="59"/>
        <v/>
      </c>
      <c r="X149" s="15" t="str">
        <f>IF(A149="","",IF(W149="",INDEX(_翻訳マスタ!$B$89:$D$89,1,MATCH(言語切替!$B$3,_翻訳マスタ!$B$1:$D$1,0)),IF(W149&gt;=1,INDEX(_翻訳マスタ!$B$93:$D$93,1,MATCH(言語切替!$B$3,_翻訳マスタ!$B$1:$D$1,0)),IF(W149&gt;=0.8,INDEX(_翻訳マスタ!$B$91:$D$91,1,MATCH(言語切替!$B$3,_翻訳マスタ!$B$1:$D$1,0)),INDEX(_翻訳マスタ!$B$94:$D$94,1,MATCH(言語切替!$B$3,_翻訳マスタ!$B$1:$D$1,0))))))</f>
        <v/>
      </c>
      <c r="Y149" s="30"/>
      <c r="Z149" s="29"/>
      <c r="AA149" s="29"/>
      <c r="AB149" s="39" t="str">
        <f t="shared" si="66"/>
        <v/>
      </c>
      <c r="AC149" s="39" t="str">
        <f t="shared" si="67"/>
        <v/>
      </c>
      <c r="AD149" s="36"/>
      <c r="AE149" s="46"/>
      <c r="AF149" s="44" t="str">
        <f t="shared" si="68"/>
        <v/>
      </c>
      <c r="AG149" s="44" t="str">
        <f t="shared" si="69"/>
        <v/>
      </c>
    </row>
    <row r="150" spans="1:33" s="21" customFormat="1" x14ac:dyDescent="0.25">
      <c r="A150" s="25"/>
      <c r="B150" s="26"/>
      <c r="C150" s="26"/>
      <c r="D150" s="26"/>
      <c r="E150" s="26"/>
      <c r="F150" s="38" t="str">
        <f t="shared" si="60"/>
        <v/>
      </c>
      <c r="G150" s="38" t="str">
        <f t="shared" si="61"/>
        <v/>
      </c>
      <c r="H150" s="26"/>
      <c r="I150" s="26"/>
      <c r="J150" s="38" t="str">
        <f t="shared" si="62"/>
        <v/>
      </c>
      <c r="K150" s="38" t="str">
        <f t="shared" si="63"/>
        <v/>
      </c>
      <c r="L150" s="26"/>
      <c r="M150" s="26"/>
      <c r="N150" s="38" t="str">
        <f t="shared" si="64"/>
        <v/>
      </c>
      <c r="O150" s="38" t="str">
        <f t="shared" si="65"/>
        <v/>
      </c>
      <c r="P150" s="26"/>
      <c r="Q150" s="26"/>
      <c r="R150" s="26"/>
      <c r="S150" s="26"/>
      <c r="T150" s="26"/>
      <c r="U150" s="26"/>
      <c r="V150" s="26"/>
      <c r="W150" s="41" t="str">
        <f t="shared" si="59"/>
        <v/>
      </c>
      <c r="X150" s="12" t="str">
        <f>IF(A150="","",IF(W150="",INDEX(_翻訳マスタ!$B$89:$D$89,1,MATCH(言語切替!$B$3,_翻訳マスタ!$B$1:$D$1,0)),IF(W150&gt;=1,INDEX(_翻訳マスタ!$B$93:$D$93,1,MATCH(言語切替!$B$3,_翻訳マスタ!$B$1:$D$1,0)),IF(W150&gt;=0.8,INDEX(_翻訳マスタ!$B$91:$D$91,1,MATCH(言語切替!$B$3,_翻訳マスタ!$B$1:$D$1,0)),INDEX(_翻訳マスタ!$B$94:$D$94,1,MATCH(言語切替!$B$3,_翻訳マスタ!$B$1:$D$1,0))))))</f>
        <v/>
      </c>
      <c r="Y150" s="27"/>
      <c r="Z150" s="26"/>
      <c r="AA150" s="26"/>
      <c r="AB150" s="38" t="str">
        <f t="shared" si="66"/>
        <v/>
      </c>
      <c r="AC150" s="38" t="str">
        <f t="shared" si="67"/>
        <v/>
      </c>
      <c r="AD150" s="35"/>
      <c r="AE150" s="47"/>
      <c r="AF150" s="45" t="str">
        <f t="shared" si="68"/>
        <v/>
      </c>
      <c r="AG150" s="45" t="str">
        <f t="shared" si="69"/>
        <v/>
      </c>
    </row>
    <row r="151" spans="1:33" s="21" customFormat="1" x14ac:dyDescent="0.25">
      <c r="A151" s="28"/>
      <c r="B151" s="29"/>
      <c r="C151" s="29"/>
      <c r="D151" s="29"/>
      <c r="E151" s="29"/>
      <c r="F151" s="39" t="str">
        <f t="shared" si="60"/>
        <v/>
      </c>
      <c r="G151" s="39" t="str">
        <f t="shared" si="61"/>
        <v/>
      </c>
      <c r="H151" s="29"/>
      <c r="I151" s="29"/>
      <c r="J151" s="39" t="str">
        <f t="shared" si="62"/>
        <v/>
      </c>
      <c r="K151" s="39" t="str">
        <f t="shared" si="63"/>
        <v/>
      </c>
      <c r="L151" s="29"/>
      <c r="M151" s="29"/>
      <c r="N151" s="39" t="str">
        <f t="shared" si="64"/>
        <v/>
      </c>
      <c r="O151" s="39" t="str">
        <f t="shared" si="65"/>
        <v/>
      </c>
      <c r="P151" s="29"/>
      <c r="Q151" s="29"/>
      <c r="R151" s="29"/>
      <c r="S151" s="29"/>
      <c r="T151" s="29"/>
      <c r="U151" s="29"/>
      <c r="V151" s="29"/>
      <c r="W151" s="42" t="str">
        <f t="shared" si="59"/>
        <v/>
      </c>
      <c r="X151" s="15" t="str">
        <f>IF(A151="","",IF(W151="",INDEX(_翻訳マスタ!$B$89:$D$89,1,MATCH(言語切替!$B$3,_翻訳マスタ!$B$1:$D$1,0)),IF(W151&gt;=1,INDEX(_翻訳マスタ!$B$93:$D$93,1,MATCH(言語切替!$B$3,_翻訳マスタ!$B$1:$D$1,0)),IF(W151&gt;=0.8,INDEX(_翻訳マスタ!$B$91:$D$91,1,MATCH(言語切替!$B$3,_翻訳マスタ!$B$1:$D$1,0)),INDEX(_翻訳マスタ!$B$94:$D$94,1,MATCH(言語切替!$B$3,_翻訳マスタ!$B$1:$D$1,0))))))</f>
        <v/>
      </c>
      <c r="Y151" s="30"/>
      <c r="Z151" s="29"/>
      <c r="AA151" s="29"/>
      <c r="AB151" s="39" t="str">
        <f t="shared" si="66"/>
        <v/>
      </c>
      <c r="AC151" s="39" t="str">
        <f t="shared" si="67"/>
        <v/>
      </c>
      <c r="AD151" s="36"/>
      <c r="AE151" s="46"/>
      <c r="AF151" s="44" t="str">
        <f t="shared" si="68"/>
        <v/>
      </c>
      <c r="AG151" s="44" t="str">
        <f t="shared" si="69"/>
        <v/>
      </c>
    </row>
    <row r="152" spans="1:33" s="21" customFormat="1" x14ac:dyDescent="0.25">
      <c r="A152" s="25"/>
      <c r="B152" s="26"/>
      <c r="C152" s="26"/>
      <c r="D152" s="26"/>
      <c r="E152" s="26"/>
      <c r="F152" s="38" t="str">
        <f t="shared" si="60"/>
        <v/>
      </c>
      <c r="G152" s="38" t="str">
        <f t="shared" si="61"/>
        <v/>
      </c>
      <c r="H152" s="26"/>
      <c r="I152" s="26"/>
      <c r="J152" s="38" t="str">
        <f t="shared" si="62"/>
        <v/>
      </c>
      <c r="K152" s="38" t="str">
        <f t="shared" si="63"/>
        <v/>
      </c>
      <c r="L152" s="26"/>
      <c r="M152" s="26"/>
      <c r="N152" s="38" t="str">
        <f t="shared" si="64"/>
        <v/>
      </c>
      <c r="O152" s="38" t="str">
        <f t="shared" si="65"/>
        <v/>
      </c>
      <c r="P152" s="26"/>
      <c r="Q152" s="26"/>
      <c r="R152" s="26"/>
      <c r="S152" s="26"/>
      <c r="T152" s="26"/>
      <c r="U152" s="26"/>
      <c r="V152" s="26"/>
      <c r="W152" s="41" t="str">
        <f t="shared" si="59"/>
        <v/>
      </c>
      <c r="X152" s="12" t="str">
        <f>IF(A152="","",IF(W152="",INDEX(_翻訳マスタ!$B$89:$D$89,1,MATCH(言語切替!$B$3,_翻訳マスタ!$B$1:$D$1,0)),IF(W152&gt;=1,INDEX(_翻訳マスタ!$B$93:$D$93,1,MATCH(言語切替!$B$3,_翻訳マスタ!$B$1:$D$1,0)),IF(W152&gt;=0.8,INDEX(_翻訳マスタ!$B$91:$D$91,1,MATCH(言語切替!$B$3,_翻訳マスタ!$B$1:$D$1,0)),INDEX(_翻訳マスタ!$B$94:$D$94,1,MATCH(言語切替!$B$3,_翻訳マスタ!$B$1:$D$1,0))))))</f>
        <v/>
      </c>
      <c r="Y152" s="27"/>
      <c r="Z152" s="26"/>
      <c r="AA152" s="26"/>
      <c r="AB152" s="38" t="str">
        <f t="shared" si="66"/>
        <v/>
      </c>
      <c r="AC152" s="38" t="str">
        <f t="shared" si="67"/>
        <v/>
      </c>
      <c r="AD152" s="35"/>
      <c r="AE152" s="47"/>
      <c r="AF152" s="45" t="str">
        <f t="shared" si="68"/>
        <v/>
      </c>
      <c r="AG152" s="45" t="str">
        <f t="shared" si="69"/>
        <v/>
      </c>
    </row>
    <row r="153" spans="1:33" s="21" customFormat="1" x14ac:dyDescent="0.25">
      <c r="A153" s="28"/>
      <c r="B153" s="29"/>
      <c r="C153" s="29"/>
      <c r="D153" s="29"/>
      <c r="E153" s="29"/>
      <c r="F153" s="39" t="str">
        <f t="shared" si="60"/>
        <v/>
      </c>
      <c r="G153" s="39" t="str">
        <f t="shared" si="61"/>
        <v/>
      </c>
      <c r="H153" s="29"/>
      <c r="I153" s="29"/>
      <c r="J153" s="39" t="str">
        <f t="shared" si="62"/>
        <v/>
      </c>
      <c r="K153" s="39" t="str">
        <f t="shared" si="63"/>
        <v/>
      </c>
      <c r="L153" s="29"/>
      <c r="M153" s="29"/>
      <c r="N153" s="39" t="str">
        <f t="shared" si="64"/>
        <v/>
      </c>
      <c r="O153" s="39" t="str">
        <f t="shared" si="65"/>
        <v/>
      </c>
      <c r="P153" s="29"/>
      <c r="Q153" s="29"/>
      <c r="R153" s="29"/>
      <c r="S153" s="29"/>
      <c r="T153" s="29"/>
      <c r="U153" s="29"/>
      <c r="V153" s="29"/>
      <c r="W153" s="42" t="str">
        <f t="shared" si="59"/>
        <v/>
      </c>
      <c r="X153" s="15" t="str">
        <f>IF(A153="","",IF(W153="",INDEX(_翻訳マスタ!$B$89:$D$89,1,MATCH(言語切替!$B$3,_翻訳マスタ!$B$1:$D$1,0)),IF(W153&gt;=1,INDEX(_翻訳マスタ!$B$93:$D$93,1,MATCH(言語切替!$B$3,_翻訳マスタ!$B$1:$D$1,0)),IF(W153&gt;=0.8,INDEX(_翻訳マスタ!$B$91:$D$91,1,MATCH(言語切替!$B$3,_翻訳マスタ!$B$1:$D$1,0)),INDEX(_翻訳マスタ!$B$94:$D$94,1,MATCH(言語切替!$B$3,_翻訳マスタ!$B$1:$D$1,0))))))</f>
        <v/>
      </c>
      <c r="Y153" s="30"/>
      <c r="Z153" s="29"/>
      <c r="AA153" s="29"/>
      <c r="AB153" s="39" t="str">
        <f t="shared" si="66"/>
        <v/>
      </c>
      <c r="AC153" s="39" t="str">
        <f t="shared" si="67"/>
        <v/>
      </c>
      <c r="AD153" s="36"/>
      <c r="AE153" s="46"/>
      <c r="AF153" s="44" t="str">
        <f t="shared" si="68"/>
        <v/>
      </c>
      <c r="AG153" s="44" t="str">
        <f t="shared" si="69"/>
        <v/>
      </c>
    </row>
    <row r="154" spans="1:33" s="21" customFormat="1" x14ac:dyDescent="0.25">
      <c r="A154" s="25"/>
      <c r="B154" s="26"/>
      <c r="C154" s="26"/>
      <c r="D154" s="26"/>
      <c r="E154" s="26"/>
      <c r="F154" s="38" t="str">
        <f t="shared" si="60"/>
        <v/>
      </c>
      <c r="G154" s="38" t="str">
        <f t="shared" si="61"/>
        <v/>
      </c>
      <c r="H154" s="26"/>
      <c r="I154" s="26"/>
      <c r="J154" s="38" t="str">
        <f t="shared" si="62"/>
        <v/>
      </c>
      <c r="K154" s="38" t="str">
        <f t="shared" si="63"/>
        <v/>
      </c>
      <c r="L154" s="26"/>
      <c r="M154" s="26"/>
      <c r="N154" s="38" t="str">
        <f t="shared" si="64"/>
        <v/>
      </c>
      <c r="O154" s="38" t="str">
        <f t="shared" si="65"/>
        <v/>
      </c>
      <c r="P154" s="26"/>
      <c r="Q154" s="26"/>
      <c r="R154" s="26"/>
      <c r="S154" s="26"/>
      <c r="T154" s="26"/>
      <c r="U154" s="26"/>
      <c r="V154" s="26"/>
      <c r="W154" s="41" t="str">
        <f t="shared" si="59"/>
        <v/>
      </c>
      <c r="X154" s="12" t="str">
        <f>IF(A154="","",IF(W154="",INDEX(_翻訳マスタ!$B$89:$D$89,1,MATCH(言語切替!$B$3,_翻訳マスタ!$B$1:$D$1,0)),IF(W154&gt;=1,INDEX(_翻訳マスタ!$B$93:$D$93,1,MATCH(言語切替!$B$3,_翻訳マスタ!$B$1:$D$1,0)),IF(W154&gt;=0.8,INDEX(_翻訳マスタ!$B$91:$D$91,1,MATCH(言語切替!$B$3,_翻訳マスタ!$B$1:$D$1,0)),INDEX(_翻訳マスタ!$B$94:$D$94,1,MATCH(言語切替!$B$3,_翻訳マスタ!$B$1:$D$1,0))))))</f>
        <v/>
      </c>
      <c r="Y154" s="27"/>
      <c r="Z154" s="26"/>
      <c r="AA154" s="26"/>
      <c r="AB154" s="38" t="str">
        <f t="shared" si="66"/>
        <v/>
      </c>
      <c r="AC154" s="38" t="str">
        <f t="shared" si="67"/>
        <v/>
      </c>
      <c r="AD154" s="35"/>
      <c r="AE154" s="47"/>
      <c r="AF154" s="45" t="str">
        <f t="shared" si="68"/>
        <v/>
      </c>
      <c r="AG154" s="45" t="str">
        <f t="shared" si="69"/>
        <v/>
      </c>
    </row>
    <row r="155" spans="1:33" s="21" customFormat="1" x14ac:dyDescent="0.25">
      <c r="A155" s="28"/>
      <c r="B155" s="29"/>
      <c r="C155" s="29"/>
      <c r="D155" s="29"/>
      <c r="E155" s="29"/>
      <c r="F155" s="39" t="str">
        <f t="shared" si="60"/>
        <v/>
      </c>
      <c r="G155" s="39" t="str">
        <f t="shared" si="61"/>
        <v/>
      </c>
      <c r="H155" s="29"/>
      <c r="I155" s="29"/>
      <c r="J155" s="39" t="str">
        <f t="shared" si="62"/>
        <v/>
      </c>
      <c r="K155" s="39" t="str">
        <f t="shared" si="63"/>
        <v/>
      </c>
      <c r="L155" s="29"/>
      <c r="M155" s="29"/>
      <c r="N155" s="39" t="str">
        <f t="shared" si="64"/>
        <v/>
      </c>
      <c r="O155" s="39" t="str">
        <f t="shared" si="65"/>
        <v/>
      </c>
      <c r="P155" s="29"/>
      <c r="Q155" s="29"/>
      <c r="R155" s="29"/>
      <c r="S155" s="29"/>
      <c r="T155" s="29"/>
      <c r="U155" s="29"/>
      <c r="V155" s="29"/>
      <c r="W155" s="42" t="str">
        <f t="shared" si="59"/>
        <v/>
      </c>
      <c r="X155" s="15" t="str">
        <f>IF(A155="","",IF(W155="",INDEX(_翻訳マスタ!$B$89:$D$89,1,MATCH(言語切替!$B$3,_翻訳マスタ!$B$1:$D$1,0)),IF(W155&gt;=1,INDEX(_翻訳マスタ!$B$93:$D$93,1,MATCH(言語切替!$B$3,_翻訳マスタ!$B$1:$D$1,0)),IF(W155&gt;=0.8,INDEX(_翻訳マスタ!$B$91:$D$91,1,MATCH(言語切替!$B$3,_翻訳マスタ!$B$1:$D$1,0)),INDEX(_翻訳マスタ!$B$94:$D$94,1,MATCH(言語切替!$B$3,_翻訳マスタ!$B$1:$D$1,0))))))</f>
        <v/>
      </c>
      <c r="Y155" s="30"/>
      <c r="Z155" s="29"/>
      <c r="AA155" s="29"/>
      <c r="AB155" s="39" t="str">
        <f t="shared" si="66"/>
        <v/>
      </c>
      <c r="AC155" s="39" t="str">
        <f t="shared" si="67"/>
        <v/>
      </c>
      <c r="AD155" s="36"/>
      <c r="AE155" s="46"/>
      <c r="AF155" s="44" t="str">
        <f t="shared" si="68"/>
        <v/>
      </c>
      <c r="AG155" s="44" t="str">
        <f t="shared" si="69"/>
        <v/>
      </c>
    </row>
    <row r="156" spans="1:33" s="21" customFormat="1" x14ac:dyDescent="0.25">
      <c r="A156" s="25"/>
      <c r="B156" s="26"/>
      <c r="C156" s="26"/>
      <c r="D156" s="26"/>
      <c r="E156" s="26"/>
      <c r="F156" s="38" t="str">
        <f t="shared" si="60"/>
        <v/>
      </c>
      <c r="G156" s="38" t="str">
        <f t="shared" si="61"/>
        <v/>
      </c>
      <c r="H156" s="26"/>
      <c r="I156" s="26"/>
      <c r="J156" s="38" t="str">
        <f t="shared" si="62"/>
        <v/>
      </c>
      <c r="K156" s="38" t="str">
        <f t="shared" si="63"/>
        <v/>
      </c>
      <c r="L156" s="26"/>
      <c r="M156" s="26"/>
      <c r="N156" s="38" t="str">
        <f t="shared" si="64"/>
        <v/>
      </c>
      <c r="O156" s="38" t="str">
        <f t="shared" si="65"/>
        <v/>
      </c>
      <c r="P156" s="26"/>
      <c r="Q156" s="26"/>
      <c r="R156" s="26"/>
      <c r="S156" s="26"/>
      <c r="T156" s="26"/>
      <c r="U156" s="26"/>
      <c r="V156" s="26"/>
      <c r="W156" s="41" t="str">
        <f t="shared" si="59"/>
        <v/>
      </c>
      <c r="X156" s="12" t="str">
        <f>IF(A156="","",IF(W156="",INDEX(_翻訳マスタ!$B$89:$D$89,1,MATCH(言語切替!$B$3,_翻訳マスタ!$B$1:$D$1,0)),IF(W156&gt;=1,INDEX(_翻訳マスタ!$B$93:$D$93,1,MATCH(言語切替!$B$3,_翻訳マスタ!$B$1:$D$1,0)),IF(W156&gt;=0.8,INDEX(_翻訳マスタ!$B$91:$D$91,1,MATCH(言語切替!$B$3,_翻訳マスタ!$B$1:$D$1,0)),INDEX(_翻訳マスタ!$B$94:$D$94,1,MATCH(言語切替!$B$3,_翻訳マスタ!$B$1:$D$1,0))))))</f>
        <v/>
      </c>
      <c r="Y156" s="27"/>
      <c r="Z156" s="26"/>
      <c r="AA156" s="26"/>
      <c r="AB156" s="38" t="str">
        <f t="shared" si="66"/>
        <v/>
      </c>
      <c r="AC156" s="38" t="str">
        <f t="shared" si="67"/>
        <v/>
      </c>
      <c r="AD156" s="35"/>
      <c r="AE156" s="47"/>
      <c r="AF156" s="45" t="str">
        <f t="shared" si="68"/>
        <v/>
      </c>
      <c r="AG156" s="45" t="str">
        <f t="shared" si="69"/>
        <v/>
      </c>
    </row>
    <row r="157" spans="1:33" s="21" customFormat="1" x14ac:dyDescent="0.25">
      <c r="A157" s="28"/>
      <c r="B157" s="29"/>
      <c r="C157" s="29"/>
      <c r="D157" s="29"/>
      <c r="E157" s="29"/>
      <c r="F157" s="39" t="str">
        <f t="shared" si="60"/>
        <v/>
      </c>
      <c r="G157" s="39" t="str">
        <f t="shared" si="61"/>
        <v/>
      </c>
      <c r="H157" s="29"/>
      <c r="I157" s="29"/>
      <c r="J157" s="39" t="str">
        <f t="shared" si="62"/>
        <v/>
      </c>
      <c r="K157" s="39" t="str">
        <f t="shared" si="63"/>
        <v/>
      </c>
      <c r="L157" s="29"/>
      <c r="M157" s="29"/>
      <c r="N157" s="39" t="str">
        <f t="shared" si="64"/>
        <v/>
      </c>
      <c r="O157" s="39" t="str">
        <f t="shared" si="65"/>
        <v/>
      </c>
      <c r="P157" s="29"/>
      <c r="Q157" s="29"/>
      <c r="R157" s="29"/>
      <c r="S157" s="29"/>
      <c r="T157" s="29"/>
      <c r="U157" s="29"/>
      <c r="V157" s="29"/>
      <c r="W157" s="42" t="str">
        <f t="shared" si="59"/>
        <v/>
      </c>
      <c r="X157" s="15" t="str">
        <f>IF(A157="","",IF(W157="",INDEX(_翻訳マスタ!$B$89:$D$89,1,MATCH(言語切替!$B$3,_翻訳マスタ!$B$1:$D$1,0)),IF(W157&gt;=1,INDEX(_翻訳マスタ!$B$93:$D$93,1,MATCH(言語切替!$B$3,_翻訳マスタ!$B$1:$D$1,0)),IF(W157&gt;=0.8,INDEX(_翻訳マスタ!$B$91:$D$91,1,MATCH(言語切替!$B$3,_翻訳マスタ!$B$1:$D$1,0)),INDEX(_翻訳マスタ!$B$94:$D$94,1,MATCH(言語切替!$B$3,_翻訳マスタ!$B$1:$D$1,0))))))</f>
        <v/>
      </c>
      <c r="Y157" s="30"/>
      <c r="Z157" s="29"/>
      <c r="AA157" s="29"/>
      <c r="AB157" s="39" t="str">
        <f t="shared" si="66"/>
        <v/>
      </c>
      <c r="AC157" s="39" t="str">
        <f t="shared" si="67"/>
        <v/>
      </c>
      <c r="AD157" s="36"/>
      <c r="AE157" s="46"/>
      <c r="AF157" s="44" t="str">
        <f t="shared" si="68"/>
        <v/>
      </c>
      <c r="AG157" s="44" t="str">
        <f t="shared" si="69"/>
        <v/>
      </c>
    </row>
    <row r="158" spans="1:33" s="21" customFormat="1" x14ac:dyDescent="0.25">
      <c r="A158" s="25"/>
      <c r="B158" s="26"/>
      <c r="C158" s="26"/>
      <c r="D158" s="26"/>
      <c r="E158" s="26"/>
      <c r="F158" s="38" t="str">
        <f t="shared" si="60"/>
        <v/>
      </c>
      <c r="G158" s="38" t="str">
        <f t="shared" si="61"/>
        <v/>
      </c>
      <c r="H158" s="26"/>
      <c r="I158" s="26"/>
      <c r="J158" s="38" t="str">
        <f t="shared" si="62"/>
        <v/>
      </c>
      <c r="K158" s="38" t="str">
        <f t="shared" si="63"/>
        <v/>
      </c>
      <c r="L158" s="26"/>
      <c r="M158" s="26"/>
      <c r="N158" s="38" t="str">
        <f t="shared" si="64"/>
        <v/>
      </c>
      <c r="O158" s="38" t="str">
        <f t="shared" si="65"/>
        <v/>
      </c>
      <c r="P158" s="26"/>
      <c r="Q158" s="26"/>
      <c r="R158" s="26"/>
      <c r="S158" s="26"/>
      <c r="T158" s="26"/>
      <c r="U158" s="26"/>
      <c r="V158" s="26"/>
      <c r="W158" s="41" t="str">
        <f t="shared" si="59"/>
        <v/>
      </c>
      <c r="X158" s="12" t="str">
        <f>IF(A158="","",IF(W158="",INDEX(_翻訳マスタ!$B$89:$D$89,1,MATCH(言語切替!$B$3,_翻訳マスタ!$B$1:$D$1,0)),IF(W158&gt;=1,INDEX(_翻訳マスタ!$B$93:$D$93,1,MATCH(言語切替!$B$3,_翻訳マスタ!$B$1:$D$1,0)),IF(W158&gt;=0.8,INDEX(_翻訳マスタ!$B$91:$D$91,1,MATCH(言語切替!$B$3,_翻訳マスタ!$B$1:$D$1,0)),INDEX(_翻訳マスタ!$B$94:$D$94,1,MATCH(言語切替!$B$3,_翻訳マスタ!$B$1:$D$1,0))))))</f>
        <v/>
      </c>
      <c r="Y158" s="27"/>
      <c r="Z158" s="26"/>
      <c r="AA158" s="26"/>
      <c r="AB158" s="38" t="str">
        <f t="shared" si="66"/>
        <v/>
      </c>
      <c r="AC158" s="38" t="str">
        <f t="shared" si="67"/>
        <v/>
      </c>
      <c r="AD158" s="35"/>
      <c r="AE158" s="47"/>
      <c r="AF158" s="45" t="str">
        <f t="shared" si="68"/>
        <v/>
      </c>
      <c r="AG158" s="45" t="str">
        <f t="shared" si="69"/>
        <v/>
      </c>
    </row>
    <row r="159" spans="1:33" s="21" customFormat="1" x14ac:dyDescent="0.25">
      <c r="A159" s="28"/>
      <c r="B159" s="29"/>
      <c r="C159" s="29"/>
      <c r="D159" s="29"/>
      <c r="E159" s="29"/>
      <c r="F159" s="39" t="str">
        <f t="shared" si="60"/>
        <v/>
      </c>
      <c r="G159" s="39" t="str">
        <f t="shared" si="61"/>
        <v/>
      </c>
      <c r="H159" s="29"/>
      <c r="I159" s="29"/>
      <c r="J159" s="39" t="str">
        <f t="shared" si="62"/>
        <v/>
      </c>
      <c r="K159" s="39" t="str">
        <f t="shared" si="63"/>
        <v/>
      </c>
      <c r="L159" s="29"/>
      <c r="M159" s="29"/>
      <c r="N159" s="39" t="str">
        <f t="shared" si="64"/>
        <v/>
      </c>
      <c r="O159" s="39" t="str">
        <f t="shared" si="65"/>
        <v/>
      </c>
      <c r="P159" s="29"/>
      <c r="Q159" s="29"/>
      <c r="R159" s="29"/>
      <c r="S159" s="29"/>
      <c r="T159" s="29"/>
      <c r="U159" s="29"/>
      <c r="V159" s="29"/>
      <c r="W159" s="42" t="str">
        <f t="shared" si="59"/>
        <v/>
      </c>
      <c r="X159" s="15" t="str">
        <f>IF(A159="","",IF(W159="",INDEX(_翻訳マスタ!$B$89:$D$89,1,MATCH(言語切替!$B$3,_翻訳マスタ!$B$1:$D$1,0)),IF(W159&gt;=1,INDEX(_翻訳マスタ!$B$93:$D$93,1,MATCH(言語切替!$B$3,_翻訳マスタ!$B$1:$D$1,0)),IF(W159&gt;=0.8,INDEX(_翻訳マスタ!$B$91:$D$91,1,MATCH(言語切替!$B$3,_翻訳マスタ!$B$1:$D$1,0)),INDEX(_翻訳マスタ!$B$94:$D$94,1,MATCH(言語切替!$B$3,_翻訳マスタ!$B$1:$D$1,0))))))</f>
        <v/>
      </c>
      <c r="Y159" s="30"/>
      <c r="Z159" s="29"/>
      <c r="AA159" s="29"/>
      <c r="AB159" s="39" t="str">
        <f t="shared" si="66"/>
        <v/>
      </c>
      <c r="AC159" s="39" t="str">
        <f t="shared" si="67"/>
        <v/>
      </c>
      <c r="AD159" s="36"/>
      <c r="AE159" s="46"/>
      <c r="AF159" s="44" t="str">
        <f t="shared" si="68"/>
        <v/>
      </c>
      <c r="AG159" s="44" t="str">
        <f t="shared" si="69"/>
        <v/>
      </c>
    </row>
    <row r="160" spans="1:33" s="21" customFormat="1" x14ac:dyDescent="0.25">
      <c r="A160" s="25"/>
      <c r="B160" s="26"/>
      <c r="C160" s="26"/>
      <c r="D160" s="26"/>
      <c r="E160" s="26"/>
      <c r="F160" s="38" t="str">
        <f t="shared" si="60"/>
        <v/>
      </c>
      <c r="G160" s="38" t="str">
        <f t="shared" si="61"/>
        <v/>
      </c>
      <c r="H160" s="26"/>
      <c r="I160" s="26"/>
      <c r="J160" s="38" t="str">
        <f t="shared" si="62"/>
        <v/>
      </c>
      <c r="K160" s="38" t="str">
        <f t="shared" si="63"/>
        <v/>
      </c>
      <c r="L160" s="26"/>
      <c r="M160" s="26"/>
      <c r="N160" s="38" t="str">
        <f t="shared" si="64"/>
        <v/>
      </c>
      <c r="O160" s="38" t="str">
        <f t="shared" si="65"/>
        <v/>
      </c>
      <c r="P160" s="26"/>
      <c r="Q160" s="26"/>
      <c r="R160" s="26"/>
      <c r="S160" s="26"/>
      <c r="T160" s="26"/>
      <c r="U160" s="26"/>
      <c r="V160" s="26"/>
      <c r="W160" s="41" t="str">
        <f t="shared" si="59"/>
        <v/>
      </c>
      <c r="X160" s="12" t="str">
        <f>IF(A160="","",IF(W160="",INDEX(_翻訳マスタ!$B$89:$D$89,1,MATCH(言語切替!$B$3,_翻訳マスタ!$B$1:$D$1,0)),IF(W160&gt;=1,INDEX(_翻訳マスタ!$B$93:$D$93,1,MATCH(言語切替!$B$3,_翻訳マスタ!$B$1:$D$1,0)),IF(W160&gt;=0.8,INDEX(_翻訳マスタ!$B$91:$D$91,1,MATCH(言語切替!$B$3,_翻訳マスタ!$B$1:$D$1,0)),INDEX(_翻訳マスタ!$B$94:$D$94,1,MATCH(言語切替!$B$3,_翻訳マスタ!$B$1:$D$1,0))))))</f>
        <v/>
      </c>
      <c r="Y160" s="27"/>
      <c r="Z160" s="26"/>
      <c r="AA160" s="26"/>
      <c r="AB160" s="38" t="str">
        <f t="shared" si="66"/>
        <v/>
      </c>
      <c r="AC160" s="38" t="str">
        <f t="shared" si="67"/>
        <v/>
      </c>
      <c r="AD160" s="35"/>
      <c r="AE160" s="47"/>
      <c r="AF160" s="45" t="str">
        <f t="shared" si="68"/>
        <v/>
      </c>
      <c r="AG160" s="45" t="str">
        <f t="shared" si="69"/>
        <v/>
      </c>
    </row>
    <row r="161" spans="1:33" s="21" customFormat="1" x14ac:dyDescent="0.25">
      <c r="A161" s="28"/>
      <c r="B161" s="29"/>
      <c r="C161" s="29"/>
      <c r="D161" s="29"/>
      <c r="E161" s="29"/>
      <c r="F161" s="39" t="str">
        <f t="shared" si="60"/>
        <v/>
      </c>
      <c r="G161" s="39" t="str">
        <f t="shared" si="61"/>
        <v/>
      </c>
      <c r="H161" s="29"/>
      <c r="I161" s="29"/>
      <c r="J161" s="39" t="str">
        <f t="shared" si="62"/>
        <v/>
      </c>
      <c r="K161" s="39" t="str">
        <f t="shared" si="63"/>
        <v/>
      </c>
      <c r="L161" s="29"/>
      <c r="M161" s="29"/>
      <c r="N161" s="39" t="str">
        <f t="shared" si="64"/>
        <v/>
      </c>
      <c r="O161" s="39" t="str">
        <f t="shared" si="65"/>
        <v/>
      </c>
      <c r="P161" s="29"/>
      <c r="Q161" s="29"/>
      <c r="R161" s="29"/>
      <c r="S161" s="29"/>
      <c r="T161" s="29"/>
      <c r="U161" s="29"/>
      <c r="V161" s="29"/>
      <c r="W161" s="42" t="str">
        <f t="shared" si="59"/>
        <v/>
      </c>
      <c r="X161" s="15" t="str">
        <f>IF(A161="","",IF(W161="",INDEX(_翻訳マスタ!$B$89:$D$89,1,MATCH(言語切替!$B$3,_翻訳マスタ!$B$1:$D$1,0)),IF(W161&gt;=1,INDEX(_翻訳マスタ!$B$93:$D$93,1,MATCH(言語切替!$B$3,_翻訳マスタ!$B$1:$D$1,0)),IF(W161&gt;=0.8,INDEX(_翻訳マスタ!$B$91:$D$91,1,MATCH(言語切替!$B$3,_翻訳マスタ!$B$1:$D$1,0)),INDEX(_翻訳マスタ!$B$94:$D$94,1,MATCH(言語切替!$B$3,_翻訳マスタ!$B$1:$D$1,0))))))</f>
        <v/>
      </c>
      <c r="Y161" s="30"/>
      <c r="Z161" s="29"/>
      <c r="AA161" s="29"/>
      <c r="AB161" s="39" t="str">
        <f t="shared" si="66"/>
        <v/>
      </c>
      <c r="AC161" s="39" t="str">
        <f t="shared" si="67"/>
        <v/>
      </c>
      <c r="AD161" s="36"/>
      <c r="AE161" s="46"/>
      <c r="AF161" s="44" t="str">
        <f t="shared" si="68"/>
        <v/>
      </c>
      <c r="AG161" s="44" t="str">
        <f t="shared" si="69"/>
        <v/>
      </c>
    </row>
    <row r="162" spans="1:33" s="21" customFormat="1" x14ac:dyDescent="0.25">
      <c r="A162" s="25"/>
      <c r="B162" s="26"/>
      <c r="C162" s="26"/>
      <c r="D162" s="26"/>
      <c r="E162" s="26"/>
      <c r="F162" s="38" t="str">
        <f t="shared" si="60"/>
        <v/>
      </c>
      <c r="G162" s="38" t="str">
        <f t="shared" si="61"/>
        <v/>
      </c>
      <c r="H162" s="26"/>
      <c r="I162" s="26"/>
      <c r="J162" s="38" t="str">
        <f t="shared" si="62"/>
        <v/>
      </c>
      <c r="K162" s="38" t="str">
        <f t="shared" si="63"/>
        <v/>
      </c>
      <c r="L162" s="26"/>
      <c r="M162" s="26"/>
      <c r="N162" s="38" t="str">
        <f t="shared" si="64"/>
        <v/>
      </c>
      <c r="O162" s="38" t="str">
        <f t="shared" si="65"/>
        <v/>
      </c>
      <c r="P162" s="26"/>
      <c r="Q162" s="26"/>
      <c r="R162" s="26"/>
      <c r="S162" s="26"/>
      <c r="T162" s="26"/>
      <c r="U162" s="26"/>
      <c r="V162" s="26"/>
      <c r="W162" s="41" t="str">
        <f t="shared" si="59"/>
        <v/>
      </c>
      <c r="X162" s="12" t="str">
        <f>IF(A162="","",IF(W162="",INDEX(_翻訳マスタ!$B$89:$D$89,1,MATCH(言語切替!$B$3,_翻訳マスタ!$B$1:$D$1,0)),IF(W162&gt;=1,INDEX(_翻訳マスタ!$B$93:$D$93,1,MATCH(言語切替!$B$3,_翻訳マスタ!$B$1:$D$1,0)),IF(W162&gt;=0.8,INDEX(_翻訳マスタ!$B$91:$D$91,1,MATCH(言語切替!$B$3,_翻訳マスタ!$B$1:$D$1,0)),INDEX(_翻訳マスタ!$B$94:$D$94,1,MATCH(言語切替!$B$3,_翻訳マスタ!$B$1:$D$1,0))))))</f>
        <v/>
      </c>
      <c r="Y162" s="27"/>
      <c r="Z162" s="26"/>
      <c r="AA162" s="26"/>
      <c r="AB162" s="38" t="str">
        <f t="shared" si="66"/>
        <v/>
      </c>
      <c r="AC162" s="38" t="str">
        <f t="shared" si="67"/>
        <v/>
      </c>
      <c r="AD162" s="35"/>
      <c r="AE162" s="47"/>
      <c r="AF162" s="45" t="str">
        <f t="shared" si="68"/>
        <v/>
      </c>
      <c r="AG162" s="45" t="str">
        <f t="shared" si="69"/>
        <v/>
      </c>
    </row>
    <row r="163" spans="1:33" s="21" customFormat="1" x14ac:dyDescent="0.25">
      <c r="A163" s="28"/>
      <c r="B163" s="29"/>
      <c r="C163" s="29"/>
      <c r="D163" s="29"/>
      <c r="E163" s="29"/>
      <c r="F163" s="39" t="str">
        <f t="shared" si="60"/>
        <v/>
      </c>
      <c r="G163" s="39" t="str">
        <f t="shared" si="61"/>
        <v/>
      </c>
      <c r="H163" s="29"/>
      <c r="I163" s="29"/>
      <c r="J163" s="39" t="str">
        <f t="shared" si="62"/>
        <v/>
      </c>
      <c r="K163" s="39" t="str">
        <f t="shared" si="63"/>
        <v/>
      </c>
      <c r="L163" s="29"/>
      <c r="M163" s="29"/>
      <c r="N163" s="39" t="str">
        <f t="shared" si="64"/>
        <v/>
      </c>
      <c r="O163" s="39" t="str">
        <f t="shared" si="65"/>
        <v/>
      </c>
      <c r="P163" s="29"/>
      <c r="Q163" s="29"/>
      <c r="R163" s="29"/>
      <c r="S163" s="29"/>
      <c r="T163" s="29"/>
      <c r="U163" s="29"/>
      <c r="V163" s="29"/>
      <c r="W163" s="42" t="str">
        <f t="shared" si="59"/>
        <v/>
      </c>
      <c r="X163" s="15" t="str">
        <f>IF(A163="","",IF(W163="",INDEX(_翻訳マスタ!$B$89:$D$89,1,MATCH(言語切替!$B$3,_翻訳マスタ!$B$1:$D$1,0)),IF(W163&gt;=1,INDEX(_翻訳マスタ!$B$93:$D$93,1,MATCH(言語切替!$B$3,_翻訳マスタ!$B$1:$D$1,0)),IF(W163&gt;=0.8,INDEX(_翻訳マスタ!$B$91:$D$91,1,MATCH(言語切替!$B$3,_翻訳マスタ!$B$1:$D$1,0)),INDEX(_翻訳マスタ!$B$94:$D$94,1,MATCH(言語切替!$B$3,_翻訳マスタ!$B$1:$D$1,0))))))</f>
        <v/>
      </c>
      <c r="Y163" s="30"/>
      <c r="Z163" s="29"/>
      <c r="AA163" s="29"/>
      <c r="AB163" s="39" t="str">
        <f t="shared" si="66"/>
        <v/>
      </c>
      <c r="AC163" s="39" t="str">
        <f t="shared" si="67"/>
        <v/>
      </c>
      <c r="AD163" s="36"/>
      <c r="AE163" s="46"/>
      <c r="AF163" s="44" t="str">
        <f t="shared" si="68"/>
        <v/>
      </c>
      <c r="AG163" s="44" t="str">
        <f t="shared" si="69"/>
        <v/>
      </c>
    </row>
    <row r="164" spans="1:33" s="21" customFormat="1" x14ac:dyDescent="0.25">
      <c r="A164" s="25"/>
      <c r="B164" s="26"/>
      <c r="C164" s="26"/>
      <c r="D164" s="26"/>
      <c r="E164" s="26"/>
      <c r="F164" s="38" t="str">
        <f t="shared" si="60"/>
        <v/>
      </c>
      <c r="G164" s="38" t="str">
        <f t="shared" si="61"/>
        <v/>
      </c>
      <c r="H164" s="26"/>
      <c r="I164" s="26"/>
      <c r="J164" s="38" t="str">
        <f t="shared" si="62"/>
        <v/>
      </c>
      <c r="K164" s="38" t="str">
        <f t="shared" si="63"/>
        <v/>
      </c>
      <c r="L164" s="26"/>
      <c r="M164" s="26"/>
      <c r="N164" s="38" t="str">
        <f t="shared" si="64"/>
        <v/>
      </c>
      <c r="O164" s="38" t="str">
        <f t="shared" si="65"/>
        <v/>
      </c>
      <c r="P164" s="26"/>
      <c r="Q164" s="26"/>
      <c r="R164" s="26"/>
      <c r="S164" s="26"/>
      <c r="T164" s="26"/>
      <c r="U164" s="26"/>
      <c r="V164" s="26"/>
      <c r="W164" s="41" t="str">
        <f t="shared" si="59"/>
        <v/>
      </c>
      <c r="X164" s="12" t="str">
        <f>IF(A164="","",IF(W164="",INDEX(_翻訳マスタ!$B$89:$D$89,1,MATCH(言語切替!$B$3,_翻訳マスタ!$B$1:$D$1,0)),IF(W164&gt;=1,INDEX(_翻訳マスタ!$B$93:$D$93,1,MATCH(言語切替!$B$3,_翻訳マスタ!$B$1:$D$1,0)),IF(W164&gt;=0.8,INDEX(_翻訳マスタ!$B$91:$D$91,1,MATCH(言語切替!$B$3,_翻訳マスタ!$B$1:$D$1,0)),INDEX(_翻訳マスタ!$B$94:$D$94,1,MATCH(言語切替!$B$3,_翻訳マスタ!$B$1:$D$1,0))))))</f>
        <v/>
      </c>
      <c r="Y164" s="27"/>
      <c r="Z164" s="26"/>
      <c r="AA164" s="26"/>
      <c r="AB164" s="38" t="str">
        <f t="shared" si="66"/>
        <v/>
      </c>
      <c r="AC164" s="38" t="str">
        <f t="shared" si="67"/>
        <v/>
      </c>
      <c r="AD164" s="35"/>
      <c r="AE164" s="47"/>
      <c r="AF164" s="45" t="str">
        <f t="shared" si="68"/>
        <v/>
      </c>
      <c r="AG164" s="45" t="str">
        <f t="shared" si="69"/>
        <v/>
      </c>
    </row>
    <row r="165" spans="1:33" s="21" customFormat="1" x14ac:dyDescent="0.25">
      <c r="A165" s="28"/>
      <c r="B165" s="29"/>
      <c r="C165" s="29"/>
      <c r="D165" s="29"/>
      <c r="E165" s="29"/>
      <c r="F165" s="39" t="str">
        <f t="shared" si="60"/>
        <v/>
      </c>
      <c r="G165" s="39" t="str">
        <f t="shared" si="61"/>
        <v/>
      </c>
      <c r="H165" s="29"/>
      <c r="I165" s="29"/>
      <c r="J165" s="39" t="str">
        <f t="shared" si="62"/>
        <v/>
      </c>
      <c r="K165" s="39" t="str">
        <f t="shared" si="63"/>
        <v/>
      </c>
      <c r="L165" s="29"/>
      <c r="M165" s="29"/>
      <c r="N165" s="39" t="str">
        <f t="shared" si="64"/>
        <v/>
      </c>
      <c r="O165" s="39" t="str">
        <f t="shared" si="65"/>
        <v/>
      </c>
      <c r="P165" s="29"/>
      <c r="Q165" s="29"/>
      <c r="R165" s="29"/>
      <c r="S165" s="29"/>
      <c r="T165" s="29"/>
      <c r="U165" s="29"/>
      <c r="V165" s="29"/>
      <c r="W165" s="42" t="str">
        <f t="shared" ref="W165:W196" si="70">IF(OR(U165="",V165=""),"",IF(U165=0,"",V165/U165))</f>
        <v/>
      </c>
      <c r="X165" s="15" t="str">
        <f>IF(A165="","",IF(W165="",INDEX(_翻訳マスタ!$B$89:$D$89,1,MATCH(言語切替!$B$3,_翻訳マスタ!$B$1:$D$1,0)),IF(W165&gt;=1,INDEX(_翻訳マスタ!$B$93:$D$93,1,MATCH(言語切替!$B$3,_翻訳マスタ!$B$1:$D$1,0)),IF(W165&gt;=0.8,INDEX(_翻訳マスタ!$B$91:$D$91,1,MATCH(言語切替!$B$3,_翻訳マスタ!$B$1:$D$1,0)),INDEX(_翻訳マスタ!$B$94:$D$94,1,MATCH(言語切替!$B$3,_翻訳マスタ!$B$1:$D$1,0))))))</f>
        <v/>
      </c>
      <c r="Y165" s="30"/>
      <c r="Z165" s="29"/>
      <c r="AA165" s="29"/>
      <c r="AB165" s="39" t="str">
        <f t="shared" si="66"/>
        <v/>
      </c>
      <c r="AC165" s="39" t="str">
        <f t="shared" si="67"/>
        <v/>
      </c>
      <c r="AD165" s="36"/>
      <c r="AE165" s="46"/>
      <c r="AF165" s="44" t="str">
        <f t="shared" si="68"/>
        <v/>
      </c>
      <c r="AG165" s="44" t="str">
        <f t="shared" si="69"/>
        <v/>
      </c>
    </row>
    <row r="166" spans="1:33" s="21" customFormat="1" x14ac:dyDescent="0.25">
      <c r="A166" s="25"/>
      <c r="B166" s="26"/>
      <c r="C166" s="26"/>
      <c r="D166" s="26"/>
      <c r="E166" s="26"/>
      <c r="F166" s="38" t="str">
        <f t="shared" si="60"/>
        <v/>
      </c>
      <c r="G166" s="38" t="str">
        <f t="shared" si="61"/>
        <v/>
      </c>
      <c r="H166" s="26"/>
      <c r="I166" s="26"/>
      <c r="J166" s="38" t="str">
        <f t="shared" si="62"/>
        <v/>
      </c>
      <c r="K166" s="38" t="str">
        <f t="shared" si="63"/>
        <v/>
      </c>
      <c r="L166" s="26"/>
      <c r="M166" s="26"/>
      <c r="N166" s="38" t="str">
        <f t="shared" si="64"/>
        <v/>
      </c>
      <c r="O166" s="38" t="str">
        <f t="shared" si="65"/>
        <v/>
      </c>
      <c r="P166" s="26"/>
      <c r="Q166" s="26"/>
      <c r="R166" s="26"/>
      <c r="S166" s="26"/>
      <c r="T166" s="26"/>
      <c r="U166" s="26"/>
      <c r="V166" s="26"/>
      <c r="W166" s="41" t="str">
        <f t="shared" si="70"/>
        <v/>
      </c>
      <c r="X166" s="12" t="str">
        <f>IF(A166="","",IF(W166="",INDEX(_翻訳マスタ!$B$89:$D$89,1,MATCH(言語切替!$B$3,_翻訳マスタ!$B$1:$D$1,0)),IF(W166&gt;=1,INDEX(_翻訳マスタ!$B$93:$D$93,1,MATCH(言語切替!$B$3,_翻訳マスタ!$B$1:$D$1,0)),IF(W166&gt;=0.8,INDEX(_翻訳マスタ!$B$91:$D$91,1,MATCH(言語切替!$B$3,_翻訳マスタ!$B$1:$D$1,0)),INDEX(_翻訳マスタ!$B$94:$D$94,1,MATCH(言語切替!$B$3,_翻訳マスタ!$B$1:$D$1,0))))))</f>
        <v/>
      </c>
      <c r="Y166" s="27"/>
      <c r="Z166" s="26"/>
      <c r="AA166" s="26"/>
      <c r="AB166" s="38" t="str">
        <f t="shared" si="66"/>
        <v/>
      </c>
      <c r="AC166" s="38" t="str">
        <f t="shared" si="67"/>
        <v/>
      </c>
      <c r="AD166" s="35"/>
      <c r="AE166" s="47"/>
      <c r="AF166" s="45" t="str">
        <f t="shared" si="68"/>
        <v/>
      </c>
      <c r="AG166" s="45" t="str">
        <f t="shared" si="69"/>
        <v/>
      </c>
    </row>
    <row r="167" spans="1:33" s="21" customFormat="1" x14ac:dyDescent="0.25">
      <c r="A167" s="28"/>
      <c r="B167" s="29"/>
      <c r="C167" s="29"/>
      <c r="D167" s="29"/>
      <c r="E167" s="29"/>
      <c r="F167" s="39" t="str">
        <f t="shared" si="60"/>
        <v/>
      </c>
      <c r="G167" s="39" t="str">
        <f t="shared" si="61"/>
        <v/>
      </c>
      <c r="H167" s="29"/>
      <c r="I167" s="29"/>
      <c r="J167" s="39" t="str">
        <f t="shared" si="62"/>
        <v/>
      </c>
      <c r="K167" s="39" t="str">
        <f t="shared" si="63"/>
        <v/>
      </c>
      <c r="L167" s="29"/>
      <c r="M167" s="29"/>
      <c r="N167" s="39" t="str">
        <f t="shared" si="64"/>
        <v/>
      </c>
      <c r="O167" s="39" t="str">
        <f t="shared" si="65"/>
        <v/>
      </c>
      <c r="P167" s="29"/>
      <c r="Q167" s="29"/>
      <c r="R167" s="29"/>
      <c r="S167" s="29"/>
      <c r="T167" s="29"/>
      <c r="U167" s="29"/>
      <c r="V167" s="29"/>
      <c r="W167" s="42" t="str">
        <f t="shared" si="70"/>
        <v/>
      </c>
      <c r="X167" s="15" t="str">
        <f>IF(A167="","",IF(W167="",INDEX(_翻訳マスタ!$B$89:$D$89,1,MATCH(言語切替!$B$3,_翻訳マスタ!$B$1:$D$1,0)),IF(W167&gt;=1,INDEX(_翻訳マスタ!$B$93:$D$93,1,MATCH(言語切替!$B$3,_翻訳マスタ!$B$1:$D$1,0)),IF(W167&gt;=0.8,INDEX(_翻訳マスタ!$B$91:$D$91,1,MATCH(言語切替!$B$3,_翻訳マスタ!$B$1:$D$1,0)),INDEX(_翻訳マスタ!$B$94:$D$94,1,MATCH(言語切替!$B$3,_翻訳マスタ!$B$1:$D$1,0))))))</f>
        <v/>
      </c>
      <c r="Y167" s="30"/>
      <c r="Z167" s="29"/>
      <c r="AA167" s="29"/>
      <c r="AB167" s="39" t="str">
        <f t="shared" si="66"/>
        <v/>
      </c>
      <c r="AC167" s="39" t="str">
        <f t="shared" si="67"/>
        <v/>
      </c>
      <c r="AD167" s="36"/>
      <c r="AE167" s="46"/>
      <c r="AF167" s="44" t="str">
        <f t="shared" si="68"/>
        <v/>
      </c>
      <c r="AG167" s="44" t="str">
        <f t="shared" si="69"/>
        <v/>
      </c>
    </row>
    <row r="168" spans="1:33" s="21" customFormat="1" x14ac:dyDescent="0.25">
      <c r="A168" s="25"/>
      <c r="B168" s="26"/>
      <c r="C168" s="26"/>
      <c r="D168" s="26"/>
      <c r="E168" s="26"/>
      <c r="F168" s="38" t="str">
        <f t="shared" si="60"/>
        <v/>
      </c>
      <c r="G168" s="38" t="str">
        <f t="shared" si="61"/>
        <v/>
      </c>
      <c r="H168" s="26"/>
      <c r="I168" s="26"/>
      <c r="J168" s="38" t="str">
        <f t="shared" si="62"/>
        <v/>
      </c>
      <c r="K168" s="38" t="str">
        <f t="shared" si="63"/>
        <v/>
      </c>
      <c r="L168" s="26"/>
      <c r="M168" s="26"/>
      <c r="N168" s="38" t="str">
        <f t="shared" si="64"/>
        <v/>
      </c>
      <c r="O168" s="38" t="str">
        <f t="shared" si="65"/>
        <v/>
      </c>
      <c r="P168" s="26"/>
      <c r="Q168" s="26"/>
      <c r="R168" s="26"/>
      <c r="S168" s="26"/>
      <c r="T168" s="26"/>
      <c r="U168" s="26"/>
      <c r="V168" s="26"/>
      <c r="W168" s="41" t="str">
        <f t="shared" si="70"/>
        <v/>
      </c>
      <c r="X168" s="12" t="str">
        <f>IF(A168="","",IF(W168="",INDEX(_翻訳マスタ!$B$89:$D$89,1,MATCH(言語切替!$B$3,_翻訳マスタ!$B$1:$D$1,0)),IF(W168&gt;=1,INDEX(_翻訳マスタ!$B$93:$D$93,1,MATCH(言語切替!$B$3,_翻訳マスタ!$B$1:$D$1,0)),IF(W168&gt;=0.8,INDEX(_翻訳マスタ!$B$91:$D$91,1,MATCH(言語切替!$B$3,_翻訳マスタ!$B$1:$D$1,0)),INDEX(_翻訳マスタ!$B$94:$D$94,1,MATCH(言語切替!$B$3,_翻訳マスタ!$B$1:$D$1,0))))))</f>
        <v/>
      </c>
      <c r="Y168" s="27"/>
      <c r="Z168" s="26"/>
      <c r="AA168" s="26"/>
      <c r="AB168" s="38" t="str">
        <f t="shared" si="66"/>
        <v/>
      </c>
      <c r="AC168" s="38" t="str">
        <f t="shared" si="67"/>
        <v/>
      </c>
      <c r="AD168" s="35"/>
      <c r="AE168" s="47"/>
      <c r="AF168" s="45" t="str">
        <f t="shared" si="68"/>
        <v/>
      </c>
      <c r="AG168" s="45" t="str">
        <f t="shared" si="69"/>
        <v/>
      </c>
    </row>
    <row r="169" spans="1:33" s="21" customFormat="1" x14ac:dyDescent="0.25">
      <c r="A169" s="28"/>
      <c r="B169" s="29"/>
      <c r="C169" s="29"/>
      <c r="D169" s="29"/>
      <c r="E169" s="29"/>
      <c r="F169" s="39" t="str">
        <f t="shared" ref="F169:F200" si="71">IF(D169="","",_xlfn.TRANSLATE(D169,"vi","ja"))</f>
        <v/>
      </c>
      <c r="G169" s="39" t="str">
        <f t="shared" ref="G169:G204" si="72">IF(D169="","",_xlfn.TRANSLATE(D169,"vi","zh-Hans"))</f>
        <v/>
      </c>
      <c r="H169" s="29"/>
      <c r="I169" s="29"/>
      <c r="J169" s="39" t="str">
        <f t="shared" ref="J169:J200" si="73">IF(H169="","",_xlfn.TRANSLATE(H169,"vi","ja"))</f>
        <v/>
      </c>
      <c r="K169" s="39" t="str">
        <f t="shared" ref="K169:K204" si="74">IF(H169="","",_xlfn.TRANSLATE(H169,"vi","zh-Hans"))</f>
        <v/>
      </c>
      <c r="L169" s="29"/>
      <c r="M169" s="29"/>
      <c r="N169" s="39" t="str">
        <f t="shared" ref="N169:N200" si="75">IF(L169="","",_xlfn.TRANSLATE(L169,"vi","ja"))</f>
        <v/>
      </c>
      <c r="O169" s="39" t="str">
        <f t="shared" ref="O169:O204" si="76">IF(L169="","",_xlfn.TRANSLATE(L169,"vi","zh-Hans"))</f>
        <v/>
      </c>
      <c r="P169" s="29"/>
      <c r="Q169" s="29"/>
      <c r="R169" s="29"/>
      <c r="S169" s="29"/>
      <c r="T169" s="29"/>
      <c r="U169" s="29"/>
      <c r="V169" s="29"/>
      <c r="W169" s="42" t="str">
        <f t="shared" si="70"/>
        <v/>
      </c>
      <c r="X169" s="15" t="str">
        <f>IF(A169="","",IF(W169="",INDEX(_翻訳マスタ!$B$89:$D$89,1,MATCH(言語切替!$B$3,_翻訳マスタ!$B$1:$D$1,0)),IF(W169&gt;=1,INDEX(_翻訳マスタ!$B$93:$D$93,1,MATCH(言語切替!$B$3,_翻訳マスタ!$B$1:$D$1,0)),IF(W169&gt;=0.8,INDEX(_翻訳マスタ!$B$91:$D$91,1,MATCH(言語切替!$B$3,_翻訳マスタ!$B$1:$D$1,0)),INDEX(_翻訳マスタ!$B$94:$D$94,1,MATCH(言語切替!$B$3,_翻訳マスタ!$B$1:$D$1,0))))))</f>
        <v/>
      </c>
      <c r="Y169" s="30"/>
      <c r="Z169" s="29"/>
      <c r="AA169" s="29"/>
      <c r="AB169" s="39" t="str">
        <f t="shared" ref="AB169:AB200" si="77">IF(Z169="","",_xlfn.TRANSLATE(Z169,"vi","ja"))</f>
        <v/>
      </c>
      <c r="AC169" s="39" t="str">
        <f t="shared" ref="AC169:AC204" si="78">IF(Z169="","",_xlfn.TRANSLATE(Z169,"vi","zh-Hans"))</f>
        <v/>
      </c>
      <c r="AD169" s="36"/>
      <c r="AE169" s="46"/>
      <c r="AF169" s="44" t="str">
        <f t="shared" ref="AF169:AF200" si="79">IF(AD169="","",_xlfn.TRANSLATE(AD169,"vi","ja"))</f>
        <v/>
      </c>
      <c r="AG169" s="44" t="str">
        <f t="shared" ref="AG169:AG204" si="80">IF(AD169="","",_xlfn.TRANSLATE(AD169,"vi","zh-Hans"))</f>
        <v/>
      </c>
    </row>
    <row r="170" spans="1:33" s="21" customFormat="1" x14ac:dyDescent="0.25">
      <c r="A170" s="25"/>
      <c r="B170" s="26"/>
      <c r="C170" s="26"/>
      <c r="D170" s="26"/>
      <c r="E170" s="26"/>
      <c r="F170" s="38" t="str">
        <f t="shared" si="71"/>
        <v/>
      </c>
      <c r="G170" s="38" t="str">
        <f t="shared" si="72"/>
        <v/>
      </c>
      <c r="H170" s="26"/>
      <c r="I170" s="26"/>
      <c r="J170" s="38" t="str">
        <f t="shared" si="73"/>
        <v/>
      </c>
      <c r="K170" s="38" t="str">
        <f t="shared" si="74"/>
        <v/>
      </c>
      <c r="L170" s="26"/>
      <c r="M170" s="26"/>
      <c r="N170" s="38" t="str">
        <f t="shared" si="75"/>
        <v/>
      </c>
      <c r="O170" s="38" t="str">
        <f t="shared" si="76"/>
        <v/>
      </c>
      <c r="P170" s="26"/>
      <c r="Q170" s="26"/>
      <c r="R170" s="26"/>
      <c r="S170" s="26"/>
      <c r="T170" s="26"/>
      <c r="U170" s="26"/>
      <c r="V170" s="26"/>
      <c r="W170" s="41" t="str">
        <f t="shared" si="70"/>
        <v/>
      </c>
      <c r="X170" s="12" t="str">
        <f>IF(A170="","",IF(W170="",INDEX(_翻訳マスタ!$B$89:$D$89,1,MATCH(言語切替!$B$3,_翻訳マスタ!$B$1:$D$1,0)),IF(W170&gt;=1,INDEX(_翻訳マスタ!$B$93:$D$93,1,MATCH(言語切替!$B$3,_翻訳マスタ!$B$1:$D$1,0)),IF(W170&gt;=0.8,INDEX(_翻訳マスタ!$B$91:$D$91,1,MATCH(言語切替!$B$3,_翻訳マスタ!$B$1:$D$1,0)),INDEX(_翻訳マスタ!$B$94:$D$94,1,MATCH(言語切替!$B$3,_翻訳マスタ!$B$1:$D$1,0))))))</f>
        <v/>
      </c>
      <c r="Y170" s="27"/>
      <c r="Z170" s="26"/>
      <c r="AA170" s="26"/>
      <c r="AB170" s="38" t="str">
        <f t="shared" si="77"/>
        <v/>
      </c>
      <c r="AC170" s="38" t="str">
        <f t="shared" si="78"/>
        <v/>
      </c>
      <c r="AD170" s="35"/>
      <c r="AE170" s="47"/>
      <c r="AF170" s="45" t="str">
        <f t="shared" si="79"/>
        <v/>
      </c>
      <c r="AG170" s="45" t="str">
        <f t="shared" si="80"/>
        <v/>
      </c>
    </row>
    <row r="171" spans="1:33" s="21" customFormat="1" x14ac:dyDescent="0.25">
      <c r="A171" s="28"/>
      <c r="B171" s="29"/>
      <c r="C171" s="29"/>
      <c r="D171" s="29"/>
      <c r="E171" s="29"/>
      <c r="F171" s="39" t="str">
        <f t="shared" si="71"/>
        <v/>
      </c>
      <c r="G171" s="39" t="str">
        <f t="shared" si="72"/>
        <v/>
      </c>
      <c r="H171" s="29"/>
      <c r="I171" s="29"/>
      <c r="J171" s="39" t="str">
        <f t="shared" si="73"/>
        <v/>
      </c>
      <c r="K171" s="39" t="str">
        <f t="shared" si="74"/>
        <v/>
      </c>
      <c r="L171" s="29"/>
      <c r="M171" s="29"/>
      <c r="N171" s="39" t="str">
        <f t="shared" si="75"/>
        <v/>
      </c>
      <c r="O171" s="39" t="str">
        <f t="shared" si="76"/>
        <v/>
      </c>
      <c r="P171" s="29"/>
      <c r="Q171" s="29"/>
      <c r="R171" s="29"/>
      <c r="S171" s="29"/>
      <c r="T171" s="29"/>
      <c r="U171" s="29"/>
      <c r="V171" s="29"/>
      <c r="W171" s="42" t="str">
        <f t="shared" si="70"/>
        <v/>
      </c>
      <c r="X171" s="15" t="str">
        <f>IF(A171="","",IF(W171="",INDEX(_翻訳マスタ!$B$89:$D$89,1,MATCH(言語切替!$B$3,_翻訳マスタ!$B$1:$D$1,0)),IF(W171&gt;=1,INDEX(_翻訳マスタ!$B$93:$D$93,1,MATCH(言語切替!$B$3,_翻訳マスタ!$B$1:$D$1,0)),IF(W171&gt;=0.8,INDEX(_翻訳マスタ!$B$91:$D$91,1,MATCH(言語切替!$B$3,_翻訳マスタ!$B$1:$D$1,0)),INDEX(_翻訳マスタ!$B$94:$D$94,1,MATCH(言語切替!$B$3,_翻訳マスタ!$B$1:$D$1,0))))))</f>
        <v/>
      </c>
      <c r="Y171" s="30"/>
      <c r="Z171" s="29"/>
      <c r="AA171" s="29"/>
      <c r="AB171" s="39" t="str">
        <f t="shared" si="77"/>
        <v/>
      </c>
      <c r="AC171" s="39" t="str">
        <f t="shared" si="78"/>
        <v/>
      </c>
      <c r="AD171" s="36"/>
      <c r="AE171" s="46"/>
      <c r="AF171" s="44" t="str">
        <f t="shared" si="79"/>
        <v/>
      </c>
      <c r="AG171" s="44" t="str">
        <f t="shared" si="80"/>
        <v/>
      </c>
    </row>
    <row r="172" spans="1:33" s="21" customFormat="1" x14ac:dyDescent="0.25">
      <c r="A172" s="25"/>
      <c r="B172" s="26"/>
      <c r="C172" s="26"/>
      <c r="D172" s="26"/>
      <c r="E172" s="26"/>
      <c r="F172" s="38" t="str">
        <f t="shared" si="71"/>
        <v/>
      </c>
      <c r="G172" s="38" t="str">
        <f t="shared" si="72"/>
        <v/>
      </c>
      <c r="H172" s="26"/>
      <c r="I172" s="26"/>
      <c r="J172" s="38" t="str">
        <f t="shared" si="73"/>
        <v/>
      </c>
      <c r="K172" s="38" t="str">
        <f t="shared" si="74"/>
        <v/>
      </c>
      <c r="L172" s="26"/>
      <c r="M172" s="26"/>
      <c r="N172" s="38" t="str">
        <f t="shared" si="75"/>
        <v/>
      </c>
      <c r="O172" s="38" t="str">
        <f t="shared" si="76"/>
        <v/>
      </c>
      <c r="P172" s="26"/>
      <c r="Q172" s="26"/>
      <c r="R172" s="26"/>
      <c r="S172" s="26"/>
      <c r="T172" s="26"/>
      <c r="U172" s="26"/>
      <c r="V172" s="26"/>
      <c r="W172" s="41" t="str">
        <f t="shared" si="70"/>
        <v/>
      </c>
      <c r="X172" s="12" t="str">
        <f>IF(A172="","",IF(W172="",INDEX(_翻訳マスタ!$B$89:$D$89,1,MATCH(言語切替!$B$3,_翻訳マスタ!$B$1:$D$1,0)),IF(W172&gt;=1,INDEX(_翻訳マスタ!$B$93:$D$93,1,MATCH(言語切替!$B$3,_翻訳マスタ!$B$1:$D$1,0)),IF(W172&gt;=0.8,INDEX(_翻訳マスタ!$B$91:$D$91,1,MATCH(言語切替!$B$3,_翻訳マスタ!$B$1:$D$1,0)),INDEX(_翻訳マスタ!$B$94:$D$94,1,MATCH(言語切替!$B$3,_翻訳マスタ!$B$1:$D$1,0))))))</f>
        <v/>
      </c>
      <c r="Y172" s="27"/>
      <c r="Z172" s="26"/>
      <c r="AA172" s="26"/>
      <c r="AB172" s="38" t="str">
        <f t="shared" si="77"/>
        <v/>
      </c>
      <c r="AC172" s="38" t="str">
        <f t="shared" si="78"/>
        <v/>
      </c>
      <c r="AD172" s="35"/>
      <c r="AE172" s="47"/>
      <c r="AF172" s="45" t="str">
        <f t="shared" si="79"/>
        <v/>
      </c>
      <c r="AG172" s="45" t="str">
        <f t="shared" si="80"/>
        <v/>
      </c>
    </row>
    <row r="173" spans="1:33" s="21" customFormat="1" x14ac:dyDescent="0.25">
      <c r="A173" s="28"/>
      <c r="B173" s="29"/>
      <c r="C173" s="29"/>
      <c r="D173" s="29"/>
      <c r="E173" s="29"/>
      <c r="F173" s="39" t="str">
        <f t="shared" si="71"/>
        <v/>
      </c>
      <c r="G173" s="39" t="str">
        <f t="shared" si="72"/>
        <v/>
      </c>
      <c r="H173" s="29"/>
      <c r="I173" s="29"/>
      <c r="J173" s="39" t="str">
        <f t="shared" si="73"/>
        <v/>
      </c>
      <c r="K173" s="39" t="str">
        <f t="shared" si="74"/>
        <v/>
      </c>
      <c r="L173" s="29"/>
      <c r="M173" s="29"/>
      <c r="N173" s="39" t="str">
        <f t="shared" si="75"/>
        <v/>
      </c>
      <c r="O173" s="39" t="str">
        <f t="shared" si="76"/>
        <v/>
      </c>
      <c r="P173" s="29"/>
      <c r="Q173" s="29"/>
      <c r="R173" s="29"/>
      <c r="S173" s="29"/>
      <c r="T173" s="29"/>
      <c r="U173" s="29"/>
      <c r="V173" s="29"/>
      <c r="W173" s="42" t="str">
        <f t="shared" si="70"/>
        <v/>
      </c>
      <c r="X173" s="15" t="str">
        <f>IF(A173="","",IF(W173="",INDEX(_翻訳マスタ!$B$89:$D$89,1,MATCH(言語切替!$B$3,_翻訳マスタ!$B$1:$D$1,0)),IF(W173&gt;=1,INDEX(_翻訳マスタ!$B$93:$D$93,1,MATCH(言語切替!$B$3,_翻訳マスタ!$B$1:$D$1,0)),IF(W173&gt;=0.8,INDEX(_翻訳マスタ!$B$91:$D$91,1,MATCH(言語切替!$B$3,_翻訳マスタ!$B$1:$D$1,0)),INDEX(_翻訳マスタ!$B$94:$D$94,1,MATCH(言語切替!$B$3,_翻訳マスタ!$B$1:$D$1,0))))))</f>
        <v/>
      </c>
      <c r="Y173" s="30"/>
      <c r="Z173" s="29"/>
      <c r="AA173" s="29"/>
      <c r="AB173" s="39" t="str">
        <f t="shared" si="77"/>
        <v/>
      </c>
      <c r="AC173" s="39" t="str">
        <f t="shared" si="78"/>
        <v/>
      </c>
      <c r="AD173" s="36"/>
      <c r="AE173" s="46"/>
      <c r="AF173" s="44" t="str">
        <f t="shared" si="79"/>
        <v/>
      </c>
      <c r="AG173" s="44" t="str">
        <f t="shared" si="80"/>
        <v/>
      </c>
    </row>
    <row r="174" spans="1:33" s="21" customFormat="1" x14ac:dyDescent="0.25">
      <c r="A174" s="25"/>
      <c r="B174" s="26"/>
      <c r="C174" s="26"/>
      <c r="D174" s="26"/>
      <c r="E174" s="26"/>
      <c r="F174" s="38" t="str">
        <f t="shared" si="71"/>
        <v/>
      </c>
      <c r="G174" s="38" t="str">
        <f t="shared" si="72"/>
        <v/>
      </c>
      <c r="H174" s="26"/>
      <c r="I174" s="26"/>
      <c r="J174" s="38" t="str">
        <f t="shared" si="73"/>
        <v/>
      </c>
      <c r="K174" s="38" t="str">
        <f t="shared" si="74"/>
        <v/>
      </c>
      <c r="L174" s="26"/>
      <c r="M174" s="26"/>
      <c r="N174" s="38" t="str">
        <f t="shared" si="75"/>
        <v/>
      </c>
      <c r="O174" s="38" t="str">
        <f t="shared" si="76"/>
        <v/>
      </c>
      <c r="P174" s="26"/>
      <c r="Q174" s="26"/>
      <c r="R174" s="26"/>
      <c r="S174" s="26"/>
      <c r="T174" s="26"/>
      <c r="U174" s="26"/>
      <c r="V174" s="26"/>
      <c r="W174" s="41" t="str">
        <f t="shared" si="70"/>
        <v/>
      </c>
      <c r="X174" s="12" t="str">
        <f>IF(A174="","",IF(W174="",INDEX(_翻訳マスタ!$B$89:$D$89,1,MATCH(言語切替!$B$3,_翻訳マスタ!$B$1:$D$1,0)),IF(W174&gt;=1,INDEX(_翻訳マスタ!$B$93:$D$93,1,MATCH(言語切替!$B$3,_翻訳マスタ!$B$1:$D$1,0)),IF(W174&gt;=0.8,INDEX(_翻訳マスタ!$B$91:$D$91,1,MATCH(言語切替!$B$3,_翻訳マスタ!$B$1:$D$1,0)),INDEX(_翻訳マスタ!$B$94:$D$94,1,MATCH(言語切替!$B$3,_翻訳マスタ!$B$1:$D$1,0))))))</f>
        <v/>
      </c>
      <c r="Y174" s="27"/>
      <c r="Z174" s="26"/>
      <c r="AA174" s="26"/>
      <c r="AB174" s="38" t="str">
        <f t="shared" si="77"/>
        <v/>
      </c>
      <c r="AC174" s="38" t="str">
        <f t="shared" si="78"/>
        <v/>
      </c>
      <c r="AD174" s="35"/>
      <c r="AE174" s="47"/>
      <c r="AF174" s="45" t="str">
        <f t="shared" si="79"/>
        <v/>
      </c>
      <c r="AG174" s="45" t="str">
        <f t="shared" si="80"/>
        <v/>
      </c>
    </row>
    <row r="175" spans="1:33" s="21" customFormat="1" x14ac:dyDescent="0.25">
      <c r="A175" s="28"/>
      <c r="B175" s="29"/>
      <c r="C175" s="29"/>
      <c r="D175" s="29"/>
      <c r="E175" s="29"/>
      <c r="F175" s="39" t="str">
        <f t="shared" si="71"/>
        <v/>
      </c>
      <c r="G175" s="39" t="str">
        <f t="shared" si="72"/>
        <v/>
      </c>
      <c r="H175" s="29"/>
      <c r="I175" s="29"/>
      <c r="J175" s="39" t="str">
        <f t="shared" si="73"/>
        <v/>
      </c>
      <c r="K175" s="39" t="str">
        <f t="shared" si="74"/>
        <v/>
      </c>
      <c r="L175" s="29"/>
      <c r="M175" s="29"/>
      <c r="N175" s="39" t="str">
        <f t="shared" si="75"/>
        <v/>
      </c>
      <c r="O175" s="39" t="str">
        <f t="shared" si="76"/>
        <v/>
      </c>
      <c r="P175" s="29"/>
      <c r="Q175" s="29"/>
      <c r="R175" s="29"/>
      <c r="S175" s="29"/>
      <c r="T175" s="29"/>
      <c r="U175" s="29"/>
      <c r="V175" s="29"/>
      <c r="W175" s="42" t="str">
        <f t="shared" si="70"/>
        <v/>
      </c>
      <c r="X175" s="15" t="str">
        <f>IF(A175="","",IF(W175="",INDEX(_翻訳マスタ!$B$89:$D$89,1,MATCH(言語切替!$B$3,_翻訳マスタ!$B$1:$D$1,0)),IF(W175&gt;=1,INDEX(_翻訳マスタ!$B$93:$D$93,1,MATCH(言語切替!$B$3,_翻訳マスタ!$B$1:$D$1,0)),IF(W175&gt;=0.8,INDEX(_翻訳マスタ!$B$91:$D$91,1,MATCH(言語切替!$B$3,_翻訳マスタ!$B$1:$D$1,0)),INDEX(_翻訳マスタ!$B$94:$D$94,1,MATCH(言語切替!$B$3,_翻訳マスタ!$B$1:$D$1,0))))))</f>
        <v/>
      </c>
      <c r="Y175" s="30"/>
      <c r="Z175" s="29"/>
      <c r="AA175" s="29"/>
      <c r="AB175" s="39" t="str">
        <f t="shared" si="77"/>
        <v/>
      </c>
      <c r="AC175" s="39" t="str">
        <f t="shared" si="78"/>
        <v/>
      </c>
      <c r="AD175" s="36"/>
      <c r="AE175" s="46"/>
      <c r="AF175" s="44" t="str">
        <f t="shared" si="79"/>
        <v/>
      </c>
      <c r="AG175" s="44" t="str">
        <f t="shared" si="80"/>
        <v/>
      </c>
    </row>
    <row r="176" spans="1:33" s="21" customFormat="1" x14ac:dyDescent="0.25">
      <c r="A176" s="25"/>
      <c r="B176" s="26"/>
      <c r="C176" s="26"/>
      <c r="D176" s="26"/>
      <c r="E176" s="26"/>
      <c r="F176" s="38" t="str">
        <f t="shared" si="71"/>
        <v/>
      </c>
      <c r="G176" s="38" t="str">
        <f t="shared" si="72"/>
        <v/>
      </c>
      <c r="H176" s="26"/>
      <c r="I176" s="26"/>
      <c r="J176" s="38" t="str">
        <f t="shared" si="73"/>
        <v/>
      </c>
      <c r="K176" s="38" t="str">
        <f t="shared" si="74"/>
        <v/>
      </c>
      <c r="L176" s="26"/>
      <c r="M176" s="26"/>
      <c r="N176" s="38" t="str">
        <f t="shared" si="75"/>
        <v/>
      </c>
      <c r="O176" s="38" t="str">
        <f t="shared" si="76"/>
        <v/>
      </c>
      <c r="P176" s="26"/>
      <c r="Q176" s="26"/>
      <c r="R176" s="26"/>
      <c r="S176" s="26"/>
      <c r="T176" s="26"/>
      <c r="U176" s="26"/>
      <c r="V176" s="26"/>
      <c r="W176" s="41" t="str">
        <f t="shared" si="70"/>
        <v/>
      </c>
      <c r="X176" s="12" t="str">
        <f>IF(A176="","",IF(W176="",INDEX(_翻訳マスタ!$B$89:$D$89,1,MATCH(言語切替!$B$3,_翻訳マスタ!$B$1:$D$1,0)),IF(W176&gt;=1,INDEX(_翻訳マスタ!$B$93:$D$93,1,MATCH(言語切替!$B$3,_翻訳マスタ!$B$1:$D$1,0)),IF(W176&gt;=0.8,INDEX(_翻訳マスタ!$B$91:$D$91,1,MATCH(言語切替!$B$3,_翻訳マスタ!$B$1:$D$1,0)),INDEX(_翻訳マスタ!$B$94:$D$94,1,MATCH(言語切替!$B$3,_翻訳マスタ!$B$1:$D$1,0))))))</f>
        <v/>
      </c>
      <c r="Y176" s="27"/>
      <c r="Z176" s="26"/>
      <c r="AA176" s="26"/>
      <c r="AB176" s="38" t="str">
        <f t="shared" si="77"/>
        <v/>
      </c>
      <c r="AC176" s="38" t="str">
        <f t="shared" si="78"/>
        <v/>
      </c>
      <c r="AD176" s="35"/>
      <c r="AE176" s="47"/>
      <c r="AF176" s="45" t="str">
        <f t="shared" si="79"/>
        <v/>
      </c>
      <c r="AG176" s="45" t="str">
        <f t="shared" si="80"/>
        <v/>
      </c>
    </row>
    <row r="177" spans="1:33" s="21" customFormat="1" x14ac:dyDescent="0.25">
      <c r="A177" s="28"/>
      <c r="B177" s="29"/>
      <c r="C177" s="29"/>
      <c r="D177" s="29"/>
      <c r="E177" s="29"/>
      <c r="F177" s="39" t="str">
        <f t="shared" si="71"/>
        <v/>
      </c>
      <c r="G177" s="39" t="str">
        <f t="shared" si="72"/>
        <v/>
      </c>
      <c r="H177" s="29"/>
      <c r="I177" s="29"/>
      <c r="J177" s="39" t="str">
        <f t="shared" si="73"/>
        <v/>
      </c>
      <c r="K177" s="39" t="str">
        <f t="shared" si="74"/>
        <v/>
      </c>
      <c r="L177" s="29"/>
      <c r="M177" s="29"/>
      <c r="N177" s="39" t="str">
        <f t="shared" si="75"/>
        <v/>
      </c>
      <c r="O177" s="39" t="str">
        <f t="shared" si="76"/>
        <v/>
      </c>
      <c r="P177" s="29"/>
      <c r="Q177" s="29"/>
      <c r="R177" s="29"/>
      <c r="S177" s="29"/>
      <c r="T177" s="29"/>
      <c r="U177" s="29"/>
      <c r="V177" s="29"/>
      <c r="W177" s="42" t="str">
        <f t="shared" si="70"/>
        <v/>
      </c>
      <c r="X177" s="15" t="str">
        <f>IF(A177="","",IF(W177="",INDEX(_翻訳マスタ!$B$89:$D$89,1,MATCH(言語切替!$B$3,_翻訳マスタ!$B$1:$D$1,0)),IF(W177&gt;=1,INDEX(_翻訳マスタ!$B$93:$D$93,1,MATCH(言語切替!$B$3,_翻訳マスタ!$B$1:$D$1,0)),IF(W177&gt;=0.8,INDEX(_翻訳マスタ!$B$91:$D$91,1,MATCH(言語切替!$B$3,_翻訳マスタ!$B$1:$D$1,0)),INDEX(_翻訳マスタ!$B$94:$D$94,1,MATCH(言語切替!$B$3,_翻訳マスタ!$B$1:$D$1,0))))))</f>
        <v/>
      </c>
      <c r="Y177" s="30"/>
      <c r="Z177" s="29"/>
      <c r="AA177" s="29"/>
      <c r="AB177" s="39" t="str">
        <f t="shared" si="77"/>
        <v/>
      </c>
      <c r="AC177" s="39" t="str">
        <f t="shared" si="78"/>
        <v/>
      </c>
      <c r="AD177" s="36"/>
      <c r="AE177" s="46"/>
      <c r="AF177" s="44" t="str">
        <f t="shared" si="79"/>
        <v/>
      </c>
      <c r="AG177" s="44" t="str">
        <f t="shared" si="80"/>
        <v/>
      </c>
    </row>
    <row r="178" spans="1:33" s="21" customFormat="1" x14ac:dyDescent="0.25">
      <c r="A178" s="25"/>
      <c r="B178" s="26"/>
      <c r="C178" s="26"/>
      <c r="D178" s="26"/>
      <c r="E178" s="26"/>
      <c r="F178" s="38" t="str">
        <f t="shared" si="71"/>
        <v/>
      </c>
      <c r="G178" s="38" t="str">
        <f t="shared" si="72"/>
        <v/>
      </c>
      <c r="H178" s="26"/>
      <c r="I178" s="26"/>
      <c r="J178" s="38" t="str">
        <f t="shared" si="73"/>
        <v/>
      </c>
      <c r="K178" s="38" t="str">
        <f t="shared" si="74"/>
        <v/>
      </c>
      <c r="L178" s="26"/>
      <c r="M178" s="26"/>
      <c r="N178" s="38" t="str">
        <f t="shared" si="75"/>
        <v/>
      </c>
      <c r="O178" s="38" t="str">
        <f t="shared" si="76"/>
        <v/>
      </c>
      <c r="P178" s="26"/>
      <c r="Q178" s="26"/>
      <c r="R178" s="26"/>
      <c r="S178" s="26"/>
      <c r="T178" s="26"/>
      <c r="U178" s="26"/>
      <c r="V178" s="26"/>
      <c r="W178" s="41" t="str">
        <f t="shared" si="70"/>
        <v/>
      </c>
      <c r="X178" s="12" t="str">
        <f>IF(A178="","",IF(W178="",INDEX(_翻訳マスタ!$B$89:$D$89,1,MATCH(言語切替!$B$3,_翻訳マスタ!$B$1:$D$1,0)),IF(W178&gt;=1,INDEX(_翻訳マスタ!$B$93:$D$93,1,MATCH(言語切替!$B$3,_翻訳マスタ!$B$1:$D$1,0)),IF(W178&gt;=0.8,INDEX(_翻訳マスタ!$B$91:$D$91,1,MATCH(言語切替!$B$3,_翻訳マスタ!$B$1:$D$1,0)),INDEX(_翻訳マスタ!$B$94:$D$94,1,MATCH(言語切替!$B$3,_翻訳マスタ!$B$1:$D$1,0))))))</f>
        <v/>
      </c>
      <c r="Y178" s="27"/>
      <c r="Z178" s="26"/>
      <c r="AA178" s="26"/>
      <c r="AB178" s="38" t="str">
        <f t="shared" si="77"/>
        <v/>
      </c>
      <c r="AC178" s="38" t="str">
        <f t="shared" si="78"/>
        <v/>
      </c>
      <c r="AD178" s="35"/>
      <c r="AE178" s="47"/>
      <c r="AF178" s="45" t="str">
        <f t="shared" si="79"/>
        <v/>
      </c>
      <c r="AG178" s="45" t="str">
        <f t="shared" si="80"/>
        <v/>
      </c>
    </row>
    <row r="179" spans="1:33" s="21" customFormat="1" x14ac:dyDescent="0.25">
      <c r="A179" s="28"/>
      <c r="B179" s="29"/>
      <c r="C179" s="29"/>
      <c r="D179" s="29"/>
      <c r="E179" s="29"/>
      <c r="F179" s="39" t="str">
        <f t="shared" si="71"/>
        <v/>
      </c>
      <c r="G179" s="39" t="str">
        <f t="shared" si="72"/>
        <v/>
      </c>
      <c r="H179" s="29"/>
      <c r="I179" s="29"/>
      <c r="J179" s="39" t="str">
        <f t="shared" si="73"/>
        <v/>
      </c>
      <c r="K179" s="39" t="str">
        <f t="shared" si="74"/>
        <v/>
      </c>
      <c r="L179" s="29"/>
      <c r="M179" s="29"/>
      <c r="N179" s="39" t="str">
        <f t="shared" si="75"/>
        <v/>
      </c>
      <c r="O179" s="39" t="str">
        <f t="shared" si="76"/>
        <v/>
      </c>
      <c r="P179" s="29"/>
      <c r="Q179" s="29"/>
      <c r="R179" s="29"/>
      <c r="S179" s="29"/>
      <c r="T179" s="29"/>
      <c r="U179" s="29"/>
      <c r="V179" s="29"/>
      <c r="W179" s="42" t="str">
        <f t="shared" si="70"/>
        <v/>
      </c>
      <c r="X179" s="15" t="str">
        <f>IF(A179="","",IF(W179="",INDEX(_翻訳マスタ!$B$89:$D$89,1,MATCH(言語切替!$B$3,_翻訳マスタ!$B$1:$D$1,0)),IF(W179&gt;=1,INDEX(_翻訳マスタ!$B$93:$D$93,1,MATCH(言語切替!$B$3,_翻訳マスタ!$B$1:$D$1,0)),IF(W179&gt;=0.8,INDEX(_翻訳マスタ!$B$91:$D$91,1,MATCH(言語切替!$B$3,_翻訳マスタ!$B$1:$D$1,0)),INDEX(_翻訳マスタ!$B$94:$D$94,1,MATCH(言語切替!$B$3,_翻訳マスタ!$B$1:$D$1,0))))))</f>
        <v/>
      </c>
      <c r="Y179" s="30"/>
      <c r="Z179" s="29"/>
      <c r="AA179" s="29"/>
      <c r="AB179" s="39" t="str">
        <f t="shared" si="77"/>
        <v/>
      </c>
      <c r="AC179" s="39" t="str">
        <f t="shared" si="78"/>
        <v/>
      </c>
      <c r="AD179" s="36"/>
      <c r="AE179" s="46"/>
      <c r="AF179" s="44" t="str">
        <f t="shared" si="79"/>
        <v/>
      </c>
      <c r="AG179" s="44" t="str">
        <f t="shared" si="80"/>
        <v/>
      </c>
    </row>
    <row r="180" spans="1:33" s="21" customFormat="1" x14ac:dyDescent="0.25">
      <c r="A180" s="25"/>
      <c r="B180" s="26"/>
      <c r="C180" s="26"/>
      <c r="D180" s="26"/>
      <c r="E180" s="26"/>
      <c r="F180" s="38" t="str">
        <f t="shared" si="71"/>
        <v/>
      </c>
      <c r="G180" s="38" t="str">
        <f t="shared" si="72"/>
        <v/>
      </c>
      <c r="H180" s="26"/>
      <c r="I180" s="26"/>
      <c r="J180" s="38" t="str">
        <f t="shared" si="73"/>
        <v/>
      </c>
      <c r="K180" s="38" t="str">
        <f t="shared" si="74"/>
        <v/>
      </c>
      <c r="L180" s="26"/>
      <c r="M180" s="26"/>
      <c r="N180" s="38" t="str">
        <f t="shared" si="75"/>
        <v/>
      </c>
      <c r="O180" s="38" t="str">
        <f t="shared" si="76"/>
        <v/>
      </c>
      <c r="P180" s="26"/>
      <c r="Q180" s="26"/>
      <c r="R180" s="26"/>
      <c r="S180" s="26"/>
      <c r="T180" s="26"/>
      <c r="U180" s="26"/>
      <c r="V180" s="26"/>
      <c r="W180" s="41" t="str">
        <f t="shared" si="70"/>
        <v/>
      </c>
      <c r="X180" s="12" t="str">
        <f>IF(A180="","",IF(W180="",INDEX(_翻訳マスタ!$B$89:$D$89,1,MATCH(言語切替!$B$3,_翻訳マスタ!$B$1:$D$1,0)),IF(W180&gt;=1,INDEX(_翻訳マスタ!$B$93:$D$93,1,MATCH(言語切替!$B$3,_翻訳マスタ!$B$1:$D$1,0)),IF(W180&gt;=0.8,INDEX(_翻訳マスタ!$B$91:$D$91,1,MATCH(言語切替!$B$3,_翻訳マスタ!$B$1:$D$1,0)),INDEX(_翻訳マスタ!$B$94:$D$94,1,MATCH(言語切替!$B$3,_翻訳マスタ!$B$1:$D$1,0))))))</f>
        <v/>
      </c>
      <c r="Y180" s="27"/>
      <c r="Z180" s="26"/>
      <c r="AA180" s="26"/>
      <c r="AB180" s="38" t="str">
        <f t="shared" si="77"/>
        <v/>
      </c>
      <c r="AC180" s="38" t="str">
        <f t="shared" si="78"/>
        <v/>
      </c>
      <c r="AD180" s="35"/>
      <c r="AE180" s="47"/>
      <c r="AF180" s="45" t="str">
        <f t="shared" si="79"/>
        <v/>
      </c>
      <c r="AG180" s="45" t="str">
        <f t="shared" si="80"/>
        <v/>
      </c>
    </row>
    <row r="181" spans="1:33" s="21" customFormat="1" x14ac:dyDescent="0.25">
      <c r="A181" s="28"/>
      <c r="B181" s="29"/>
      <c r="C181" s="29"/>
      <c r="D181" s="29"/>
      <c r="E181" s="29"/>
      <c r="F181" s="39" t="str">
        <f t="shared" si="71"/>
        <v/>
      </c>
      <c r="G181" s="39" t="str">
        <f t="shared" si="72"/>
        <v/>
      </c>
      <c r="H181" s="29"/>
      <c r="I181" s="29"/>
      <c r="J181" s="39" t="str">
        <f t="shared" si="73"/>
        <v/>
      </c>
      <c r="K181" s="39" t="str">
        <f t="shared" si="74"/>
        <v/>
      </c>
      <c r="L181" s="29"/>
      <c r="M181" s="29"/>
      <c r="N181" s="39" t="str">
        <f t="shared" si="75"/>
        <v/>
      </c>
      <c r="O181" s="39" t="str">
        <f t="shared" si="76"/>
        <v/>
      </c>
      <c r="P181" s="29"/>
      <c r="Q181" s="29"/>
      <c r="R181" s="29"/>
      <c r="S181" s="29"/>
      <c r="T181" s="29"/>
      <c r="U181" s="29"/>
      <c r="V181" s="29"/>
      <c r="W181" s="42" t="str">
        <f t="shared" si="70"/>
        <v/>
      </c>
      <c r="X181" s="15" t="str">
        <f>IF(A181="","",IF(W181="",INDEX(_翻訳マスタ!$B$89:$D$89,1,MATCH(言語切替!$B$3,_翻訳マスタ!$B$1:$D$1,0)),IF(W181&gt;=1,INDEX(_翻訳マスタ!$B$93:$D$93,1,MATCH(言語切替!$B$3,_翻訳マスタ!$B$1:$D$1,0)),IF(W181&gt;=0.8,INDEX(_翻訳マスタ!$B$91:$D$91,1,MATCH(言語切替!$B$3,_翻訳マスタ!$B$1:$D$1,0)),INDEX(_翻訳マスタ!$B$94:$D$94,1,MATCH(言語切替!$B$3,_翻訳マスタ!$B$1:$D$1,0))))))</f>
        <v/>
      </c>
      <c r="Y181" s="30"/>
      <c r="Z181" s="29"/>
      <c r="AA181" s="29"/>
      <c r="AB181" s="39" t="str">
        <f t="shared" si="77"/>
        <v/>
      </c>
      <c r="AC181" s="39" t="str">
        <f t="shared" si="78"/>
        <v/>
      </c>
      <c r="AD181" s="36"/>
      <c r="AE181" s="46"/>
      <c r="AF181" s="44" t="str">
        <f t="shared" si="79"/>
        <v/>
      </c>
      <c r="AG181" s="44" t="str">
        <f t="shared" si="80"/>
        <v/>
      </c>
    </row>
    <row r="182" spans="1:33" s="21" customFormat="1" x14ac:dyDescent="0.25">
      <c r="A182" s="25"/>
      <c r="B182" s="26"/>
      <c r="C182" s="26"/>
      <c r="D182" s="26"/>
      <c r="E182" s="26"/>
      <c r="F182" s="38" t="str">
        <f t="shared" si="71"/>
        <v/>
      </c>
      <c r="G182" s="38" t="str">
        <f t="shared" si="72"/>
        <v/>
      </c>
      <c r="H182" s="26"/>
      <c r="I182" s="26"/>
      <c r="J182" s="38" t="str">
        <f t="shared" si="73"/>
        <v/>
      </c>
      <c r="K182" s="38" t="str">
        <f t="shared" si="74"/>
        <v/>
      </c>
      <c r="L182" s="26"/>
      <c r="M182" s="26"/>
      <c r="N182" s="38" t="str">
        <f t="shared" si="75"/>
        <v/>
      </c>
      <c r="O182" s="38" t="str">
        <f t="shared" si="76"/>
        <v/>
      </c>
      <c r="P182" s="26"/>
      <c r="Q182" s="26"/>
      <c r="R182" s="26"/>
      <c r="S182" s="26"/>
      <c r="T182" s="26"/>
      <c r="U182" s="26"/>
      <c r="V182" s="26"/>
      <c r="W182" s="41" t="str">
        <f t="shared" si="70"/>
        <v/>
      </c>
      <c r="X182" s="12" t="str">
        <f>IF(A182="","",IF(W182="",INDEX(_翻訳マスタ!$B$89:$D$89,1,MATCH(言語切替!$B$3,_翻訳マスタ!$B$1:$D$1,0)),IF(W182&gt;=1,INDEX(_翻訳マスタ!$B$93:$D$93,1,MATCH(言語切替!$B$3,_翻訳マスタ!$B$1:$D$1,0)),IF(W182&gt;=0.8,INDEX(_翻訳マスタ!$B$91:$D$91,1,MATCH(言語切替!$B$3,_翻訳マスタ!$B$1:$D$1,0)),INDEX(_翻訳マスタ!$B$94:$D$94,1,MATCH(言語切替!$B$3,_翻訳マスタ!$B$1:$D$1,0))))))</f>
        <v/>
      </c>
      <c r="Y182" s="27"/>
      <c r="Z182" s="26"/>
      <c r="AA182" s="26"/>
      <c r="AB182" s="38" t="str">
        <f t="shared" si="77"/>
        <v/>
      </c>
      <c r="AC182" s="38" t="str">
        <f t="shared" si="78"/>
        <v/>
      </c>
      <c r="AD182" s="35"/>
      <c r="AE182" s="47"/>
      <c r="AF182" s="45" t="str">
        <f t="shared" si="79"/>
        <v/>
      </c>
      <c r="AG182" s="45" t="str">
        <f t="shared" si="80"/>
        <v/>
      </c>
    </row>
    <row r="183" spans="1:33" s="21" customFormat="1" x14ac:dyDescent="0.25">
      <c r="A183" s="28"/>
      <c r="B183" s="29"/>
      <c r="C183" s="29"/>
      <c r="D183" s="29"/>
      <c r="E183" s="29"/>
      <c r="F183" s="39" t="str">
        <f t="shared" si="71"/>
        <v/>
      </c>
      <c r="G183" s="39" t="str">
        <f t="shared" si="72"/>
        <v/>
      </c>
      <c r="H183" s="29"/>
      <c r="I183" s="29"/>
      <c r="J183" s="39" t="str">
        <f t="shared" si="73"/>
        <v/>
      </c>
      <c r="K183" s="39" t="str">
        <f t="shared" si="74"/>
        <v/>
      </c>
      <c r="L183" s="29"/>
      <c r="M183" s="29"/>
      <c r="N183" s="39" t="str">
        <f t="shared" si="75"/>
        <v/>
      </c>
      <c r="O183" s="39" t="str">
        <f t="shared" si="76"/>
        <v/>
      </c>
      <c r="P183" s="29"/>
      <c r="Q183" s="29"/>
      <c r="R183" s="29"/>
      <c r="S183" s="29"/>
      <c r="T183" s="29"/>
      <c r="U183" s="29"/>
      <c r="V183" s="29"/>
      <c r="W183" s="42" t="str">
        <f t="shared" si="70"/>
        <v/>
      </c>
      <c r="X183" s="15" t="str">
        <f>IF(A183="","",IF(W183="",INDEX(_翻訳マスタ!$B$89:$D$89,1,MATCH(言語切替!$B$3,_翻訳マスタ!$B$1:$D$1,0)),IF(W183&gt;=1,INDEX(_翻訳マスタ!$B$93:$D$93,1,MATCH(言語切替!$B$3,_翻訳マスタ!$B$1:$D$1,0)),IF(W183&gt;=0.8,INDEX(_翻訳マスタ!$B$91:$D$91,1,MATCH(言語切替!$B$3,_翻訳マスタ!$B$1:$D$1,0)),INDEX(_翻訳マスタ!$B$94:$D$94,1,MATCH(言語切替!$B$3,_翻訳マスタ!$B$1:$D$1,0))))))</f>
        <v/>
      </c>
      <c r="Y183" s="30"/>
      <c r="Z183" s="29"/>
      <c r="AA183" s="29"/>
      <c r="AB183" s="39" t="str">
        <f t="shared" si="77"/>
        <v/>
      </c>
      <c r="AC183" s="39" t="str">
        <f t="shared" si="78"/>
        <v/>
      </c>
      <c r="AD183" s="36"/>
      <c r="AE183" s="46"/>
      <c r="AF183" s="44" t="str">
        <f t="shared" si="79"/>
        <v/>
      </c>
      <c r="AG183" s="44" t="str">
        <f t="shared" si="80"/>
        <v/>
      </c>
    </row>
    <row r="184" spans="1:33" s="21" customFormat="1" x14ac:dyDescent="0.25">
      <c r="A184" s="25"/>
      <c r="B184" s="26"/>
      <c r="C184" s="26"/>
      <c r="D184" s="26"/>
      <c r="E184" s="26"/>
      <c r="F184" s="38" t="str">
        <f t="shared" si="71"/>
        <v/>
      </c>
      <c r="G184" s="38" t="str">
        <f t="shared" si="72"/>
        <v/>
      </c>
      <c r="H184" s="26"/>
      <c r="I184" s="26"/>
      <c r="J184" s="38" t="str">
        <f t="shared" si="73"/>
        <v/>
      </c>
      <c r="K184" s="38" t="str">
        <f t="shared" si="74"/>
        <v/>
      </c>
      <c r="L184" s="26"/>
      <c r="M184" s="26"/>
      <c r="N184" s="38" t="str">
        <f t="shared" si="75"/>
        <v/>
      </c>
      <c r="O184" s="38" t="str">
        <f t="shared" si="76"/>
        <v/>
      </c>
      <c r="P184" s="26"/>
      <c r="Q184" s="26"/>
      <c r="R184" s="26"/>
      <c r="S184" s="26"/>
      <c r="T184" s="26"/>
      <c r="U184" s="26"/>
      <c r="V184" s="26"/>
      <c r="W184" s="41" t="str">
        <f t="shared" si="70"/>
        <v/>
      </c>
      <c r="X184" s="12" t="str">
        <f>IF(A184="","",IF(W184="",INDEX(_翻訳マスタ!$B$89:$D$89,1,MATCH(言語切替!$B$3,_翻訳マスタ!$B$1:$D$1,0)),IF(W184&gt;=1,INDEX(_翻訳マスタ!$B$93:$D$93,1,MATCH(言語切替!$B$3,_翻訳マスタ!$B$1:$D$1,0)),IF(W184&gt;=0.8,INDEX(_翻訳マスタ!$B$91:$D$91,1,MATCH(言語切替!$B$3,_翻訳マスタ!$B$1:$D$1,0)),INDEX(_翻訳マスタ!$B$94:$D$94,1,MATCH(言語切替!$B$3,_翻訳マスタ!$B$1:$D$1,0))))))</f>
        <v/>
      </c>
      <c r="Y184" s="27"/>
      <c r="Z184" s="26"/>
      <c r="AA184" s="26"/>
      <c r="AB184" s="38" t="str">
        <f t="shared" si="77"/>
        <v/>
      </c>
      <c r="AC184" s="38" t="str">
        <f t="shared" si="78"/>
        <v/>
      </c>
      <c r="AD184" s="35"/>
      <c r="AE184" s="47"/>
      <c r="AF184" s="45" t="str">
        <f t="shared" si="79"/>
        <v/>
      </c>
      <c r="AG184" s="45" t="str">
        <f t="shared" si="80"/>
        <v/>
      </c>
    </row>
    <row r="185" spans="1:33" s="21" customFormat="1" x14ac:dyDescent="0.25">
      <c r="A185" s="28"/>
      <c r="B185" s="29"/>
      <c r="C185" s="29"/>
      <c r="D185" s="29"/>
      <c r="E185" s="29"/>
      <c r="F185" s="39" t="str">
        <f t="shared" si="71"/>
        <v/>
      </c>
      <c r="G185" s="39" t="str">
        <f t="shared" si="72"/>
        <v/>
      </c>
      <c r="H185" s="29"/>
      <c r="I185" s="29"/>
      <c r="J185" s="39" t="str">
        <f t="shared" si="73"/>
        <v/>
      </c>
      <c r="K185" s="39" t="str">
        <f t="shared" si="74"/>
        <v/>
      </c>
      <c r="L185" s="29"/>
      <c r="M185" s="29"/>
      <c r="N185" s="39" t="str">
        <f t="shared" si="75"/>
        <v/>
      </c>
      <c r="O185" s="39" t="str">
        <f t="shared" si="76"/>
        <v/>
      </c>
      <c r="P185" s="29"/>
      <c r="Q185" s="29"/>
      <c r="R185" s="29"/>
      <c r="S185" s="29"/>
      <c r="T185" s="29"/>
      <c r="U185" s="29"/>
      <c r="V185" s="29"/>
      <c r="W185" s="42" t="str">
        <f t="shared" si="70"/>
        <v/>
      </c>
      <c r="X185" s="15" t="str">
        <f>IF(A185="","",IF(W185="",INDEX(_翻訳マスタ!$B$89:$D$89,1,MATCH(言語切替!$B$3,_翻訳マスタ!$B$1:$D$1,0)),IF(W185&gt;=1,INDEX(_翻訳マスタ!$B$93:$D$93,1,MATCH(言語切替!$B$3,_翻訳マスタ!$B$1:$D$1,0)),IF(W185&gt;=0.8,INDEX(_翻訳マスタ!$B$91:$D$91,1,MATCH(言語切替!$B$3,_翻訳マスタ!$B$1:$D$1,0)),INDEX(_翻訳マスタ!$B$94:$D$94,1,MATCH(言語切替!$B$3,_翻訳マスタ!$B$1:$D$1,0))))))</f>
        <v/>
      </c>
      <c r="Y185" s="30"/>
      <c r="Z185" s="29"/>
      <c r="AA185" s="29"/>
      <c r="AB185" s="39" t="str">
        <f t="shared" si="77"/>
        <v/>
      </c>
      <c r="AC185" s="39" t="str">
        <f t="shared" si="78"/>
        <v/>
      </c>
      <c r="AD185" s="36"/>
      <c r="AE185" s="46"/>
      <c r="AF185" s="44" t="str">
        <f t="shared" si="79"/>
        <v/>
      </c>
      <c r="AG185" s="44" t="str">
        <f t="shared" si="80"/>
        <v/>
      </c>
    </row>
    <row r="186" spans="1:33" s="21" customFormat="1" x14ac:dyDescent="0.25">
      <c r="A186" s="25"/>
      <c r="B186" s="26"/>
      <c r="C186" s="26"/>
      <c r="D186" s="26"/>
      <c r="E186" s="26"/>
      <c r="F186" s="38" t="str">
        <f t="shared" si="71"/>
        <v/>
      </c>
      <c r="G186" s="38" t="str">
        <f t="shared" si="72"/>
        <v/>
      </c>
      <c r="H186" s="26"/>
      <c r="I186" s="26"/>
      <c r="J186" s="38" t="str">
        <f t="shared" si="73"/>
        <v/>
      </c>
      <c r="K186" s="38" t="str">
        <f t="shared" si="74"/>
        <v/>
      </c>
      <c r="L186" s="26"/>
      <c r="M186" s="26"/>
      <c r="N186" s="38" t="str">
        <f t="shared" si="75"/>
        <v/>
      </c>
      <c r="O186" s="38" t="str">
        <f t="shared" si="76"/>
        <v/>
      </c>
      <c r="P186" s="26"/>
      <c r="Q186" s="26"/>
      <c r="R186" s="26"/>
      <c r="S186" s="26"/>
      <c r="T186" s="26"/>
      <c r="U186" s="26"/>
      <c r="V186" s="26"/>
      <c r="W186" s="41" t="str">
        <f t="shared" si="70"/>
        <v/>
      </c>
      <c r="X186" s="12" t="str">
        <f>IF(A186="","",IF(W186="",INDEX(_翻訳マスタ!$B$89:$D$89,1,MATCH(言語切替!$B$3,_翻訳マスタ!$B$1:$D$1,0)),IF(W186&gt;=1,INDEX(_翻訳マスタ!$B$93:$D$93,1,MATCH(言語切替!$B$3,_翻訳マスタ!$B$1:$D$1,0)),IF(W186&gt;=0.8,INDEX(_翻訳マスタ!$B$91:$D$91,1,MATCH(言語切替!$B$3,_翻訳マスタ!$B$1:$D$1,0)),INDEX(_翻訳マスタ!$B$94:$D$94,1,MATCH(言語切替!$B$3,_翻訳マスタ!$B$1:$D$1,0))))))</f>
        <v/>
      </c>
      <c r="Y186" s="27"/>
      <c r="Z186" s="26"/>
      <c r="AA186" s="26"/>
      <c r="AB186" s="38" t="str">
        <f t="shared" si="77"/>
        <v/>
      </c>
      <c r="AC186" s="38" t="str">
        <f t="shared" si="78"/>
        <v/>
      </c>
      <c r="AD186" s="35"/>
      <c r="AE186" s="47"/>
      <c r="AF186" s="45" t="str">
        <f t="shared" si="79"/>
        <v/>
      </c>
      <c r="AG186" s="45" t="str">
        <f t="shared" si="80"/>
        <v/>
      </c>
    </row>
    <row r="187" spans="1:33" s="21" customFormat="1" x14ac:dyDescent="0.25">
      <c r="A187" s="28"/>
      <c r="B187" s="29"/>
      <c r="C187" s="29"/>
      <c r="D187" s="29"/>
      <c r="E187" s="29"/>
      <c r="F187" s="39" t="str">
        <f t="shared" si="71"/>
        <v/>
      </c>
      <c r="G187" s="39" t="str">
        <f t="shared" si="72"/>
        <v/>
      </c>
      <c r="H187" s="29"/>
      <c r="I187" s="29"/>
      <c r="J187" s="39" t="str">
        <f t="shared" si="73"/>
        <v/>
      </c>
      <c r="K187" s="39" t="str">
        <f t="shared" si="74"/>
        <v/>
      </c>
      <c r="L187" s="29"/>
      <c r="M187" s="29"/>
      <c r="N187" s="39" t="str">
        <f t="shared" si="75"/>
        <v/>
      </c>
      <c r="O187" s="39" t="str">
        <f t="shared" si="76"/>
        <v/>
      </c>
      <c r="P187" s="29"/>
      <c r="Q187" s="29"/>
      <c r="R187" s="29"/>
      <c r="S187" s="29"/>
      <c r="T187" s="29"/>
      <c r="U187" s="29"/>
      <c r="V187" s="29"/>
      <c r="W187" s="42" t="str">
        <f t="shared" si="70"/>
        <v/>
      </c>
      <c r="X187" s="15" t="str">
        <f>IF(A187="","",IF(W187="",INDEX(_翻訳マスタ!$B$89:$D$89,1,MATCH(言語切替!$B$3,_翻訳マスタ!$B$1:$D$1,0)),IF(W187&gt;=1,INDEX(_翻訳マスタ!$B$93:$D$93,1,MATCH(言語切替!$B$3,_翻訳マスタ!$B$1:$D$1,0)),IF(W187&gt;=0.8,INDEX(_翻訳マスタ!$B$91:$D$91,1,MATCH(言語切替!$B$3,_翻訳マスタ!$B$1:$D$1,0)),INDEX(_翻訳マスタ!$B$94:$D$94,1,MATCH(言語切替!$B$3,_翻訳マスタ!$B$1:$D$1,0))))))</f>
        <v/>
      </c>
      <c r="Y187" s="30"/>
      <c r="Z187" s="29"/>
      <c r="AA187" s="29"/>
      <c r="AB187" s="39" t="str">
        <f t="shared" si="77"/>
        <v/>
      </c>
      <c r="AC187" s="39" t="str">
        <f t="shared" si="78"/>
        <v/>
      </c>
      <c r="AD187" s="36"/>
      <c r="AE187" s="46"/>
      <c r="AF187" s="44" t="str">
        <f t="shared" si="79"/>
        <v/>
      </c>
      <c r="AG187" s="44" t="str">
        <f t="shared" si="80"/>
        <v/>
      </c>
    </row>
    <row r="188" spans="1:33" s="21" customFormat="1" x14ac:dyDescent="0.25">
      <c r="A188" s="25"/>
      <c r="B188" s="26"/>
      <c r="C188" s="26"/>
      <c r="D188" s="26"/>
      <c r="E188" s="26"/>
      <c r="F188" s="38" t="str">
        <f t="shared" si="71"/>
        <v/>
      </c>
      <c r="G188" s="38" t="str">
        <f t="shared" si="72"/>
        <v/>
      </c>
      <c r="H188" s="26"/>
      <c r="I188" s="26"/>
      <c r="J188" s="38" t="str">
        <f t="shared" si="73"/>
        <v/>
      </c>
      <c r="K188" s="38" t="str">
        <f t="shared" si="74"/>
        <v/>
      </c>
      <c r="L188" s="26"/>
      <c r="M188" s="26"/>
      <c r="N188" s="38" t="str">
        <f t="shared" si="75"/>
        <v/>
      </c>
      <c r="O188" s="38" t="str">
        <f t="shared" si="76"/>
        <v/>
      </c>
      <c r="P188" s="26"/>
      <c r="Q188" s="26"/>
      <c r="R188" s="26"/>
      <c r="S188" s="26"/>
      <c r="T188" s="26"/>
      <c r="U188" s="26"/>
      <c r="V188" s="26"/>
      <c r="W188" s="41" t="str">
        <f t="shared" si="70"/>
        <v/>
      </c>
      <c r="X188" s="12" t="str">
        <f>IF(A188="","",IF(W188="",INDEX(_翻訳マスタ!$B$89:$D$89,1,MATCH(言語切替!$B$3,_翻訳マスタ!$B$1:$D$1,0)),IF(W188&gt;=1,INDEX(_翻訳マスタ!$B$93:$D$93,1,MATCH(言語切替!$B$3,_翻訳マスタ!$B$1:$D$1,0)),IF(W188&gt;=0.8,INDEX(_翻訳マスタ!$B$91:$D$91,1,MATCH(言語切替!$B$3,_翻訳マスタ!$B$1:$D$1,0)),INDEX(_翻訳マスタ!$B$94:$D$94,1,MATCH(言語切替!$B$3,_翻訳マスタ!$B$1:$D$1,0))))))</f>
        <v/>
      </c>
      <c r="Y188" s="27"/>
      <c r="Z188" s="26"/>
      <c r="AA188" s="26"/>
      <c r="AB188" s="38" t="str">
        <f t="shared" si="77"/>
        <v/>
      </c>
      <c r="AC188" s="38" t="str">
        <f t="shared" si="78"/>
        <v/>
      </c>
      <c r="AD188" s="35"/>
      <c r="AE188" s="47"/>
      <c r="AF188" s="45" t="str">
        <f t="shared" si="79"/>
        <v/>
      </c>
      <c r="AG188" s="45" t="str">
        <f t="shared" si="80"/>
        <v/>
      </c>
    </row>
    <row r="189" spans="1:33" s="21" customFormat="1" x14ac:dyDescent="0.25">
      <c r="A189" s="28"/>
      <c r="B189" s="29"/>
      <c r="C189" s="29"/>
      <c r="D189" s="29"/>
      <c r="E189" s="29"/>
      <c r="F189" s="39" t="str">
        <f t="shared" si="71"/>
        <v/>
      </c>
      <c r="G189" s="39" t="str">
        <f t="shared" si="72"/>
        <v/>
      </c>
      <c r="H189" s="29"/>
      <c r="I189" s="29"/>
      <c r="J189" s="39" t="str">
        <f t="shared" si="73"/>
        <v/>
      </c>
      <c r="K189" s="39" t="str">
        <f t="shared" si="74"/>
        <v/>
      </c>
      <c r="L189" s="29"/>
      <c r="M189" s="29"/>
      <c r="N189" s="39" t="str">
        <f t="shared" si="75"/>
        <v/>
      </c>
      <c r="O189" s="39" t="str">
        <f t="shared" si="76"/>
        <v/>
      </c>
      <c r="P189" s="29"/>
      <c r="Q189" s="29"/>
      <c r="R189" s="29"/>
      <c r="S189" s="29"/>
      <c r="T189" s="29"/>
      <c r="U189" s="29"/>
      <c r="V189" s="29"/>
      <c r="W189" s="42" t="str">
        <f t="shared" si="70"/>
        <v/>
      </c>
      <c r="X189" s="15" t="str">
        <f>IF(A189="","",IF(W189="",INDEX(_翻訳マスタ!$B$89:$D$89,1,MATCH(言語切替!$B$3,_翻訳マスタ!$B$1:$D$1,0)),IF(W189&gt;=1,INDEX(_翻訳マスタ!$B$93:$D$93,1,MATCH(言語切替!$B$3,_翻訳マスタ!$B$1:$D$1,0)),IF(W189&gt;=0.8,INDEX(_翻訳マスタ!$B$91:$D$91,1,MATCH(言語切替!$B$3,_翻訳マスタ!$B$1:$D$1,0)),INDEX(_翻訳マスタ!$B$94:$D$94,1,MATCH(言語切替!$B$3,_翻訳マスタ!$B$1:$D$1,0))))))</f>
        <v/>
      </c>
      <c r="Y189" s="30"/>
      <c r="Z189" s="29"/>
      <c r="AA189" s="29"/>
      <c r="AB189" s="39" t="str">
        <f t="shared" si="77"/>
        <v/>
      </c>
      <c r="AC189" s="39" t="str">
        <f t="shared" si="78"/>
        <v/>
      </c>
      <c r="AD189" s="36"/>
      <c r="AE189" s="46"/>
      <c r="AF189" s="44" t="str">
        <f t="shared" si="79"/>
        <v/>
      </c>
      <c r="AG189" s="44" t="str">
        <f t="shared" si="80"/>
        <v/>
      </c>
    </row>
    <row r="190" spans="1:33" s="21" customFormat="1" x14ac:dyDescent="0.25">
      <c r="A190" s="25"/>
      <c r="B190" s="26"/>
      <c r="C190" s="26"/>
      <c r="D190" s="26"/>
      <c r="E190" s="26"/>
      <c r="F190" s="38" t="str">
        <f t="shared" si="71"/>
        <v/>
      </c>
      <c r="G190" s="38" t="str">
        <f t="shared" si="72"/>
        <v/>
      </c>
      <c r="H190" s="26"/>
      <c r="I190" s="26"/>
      <c r="J190" s="38" t="str">
        <f t="shared" si="73"/>
        <v/>
      </c>
      <c r="K190" s="38" t="str">
        <f t="shared" si="74"/>
        <v/>
      </c>
      <c r="L190" s="26"/>
      <c r="M190" s="26"/>
      <c r="N190" s="38" t="str">
        <f t="shared" si="75"/>
        <v/>
      </c>
      <c r="O190" s="38" t="str">
        <f t="shared" si="76"/>
        <v/>
      </c>
      <c r="P190" s="26"/>
      <c r="Q190" s="26"/>
      <c r="R190" s="26"/>
      <c r="S190" s="26"/>
      <c r="T190" s="26"/>
      <c r="U190" s="26"/>
      <c r="V190" s="26"/>
      <c r="W190" s="41" t="str">
        <f t="shared" si="70"/>
        <v/>
      </c>
      <c r="X190" s="12" t="str">
        <f>IF(A190="","",IF(W190="",INDEX(_翻訳マスタ!$B$89:$D$89,1,MATCH(言語切替!$B$3,_翻訳マスタ!$B$1:$D$1,0)),IF(W190&gt;=1,INDEX(_翻訳マスタ!$B$93:$D$93,1,MATCH(言語切替!$B$3,_翻訳マスタ!$B$1:$D$1,0)),IF(W190&gt;=0.8,INDEX(_翻訳マスタ!$B$91:$D$91,1,MATCH(言語切替!$B$3,_翻訳マスタ!$B$1:$D$1,0)),INDEX(_翻訳マスタ!$B$94:$D$94,1,MATCH(言語切替!$B$3,_翻訳マスタ!$B$1:$D$1,0))))))</f>
        <v/>
      </c>
      <c r="Y190" s="27"/>
      <c r="Z190" s="26"/>
      <c r="AA190" s="26"/>
      <c r="AB190" s="38" t="str">
        <f t="shared" si="77"/>
        <v/>
      </c>
      <c r="AC190" s="38" t="str">
        <f t="shared" si="78"/>
        <v/>
      </c>
      <c r="AD190" s="35"/>
      <c r="AE190" s="47"/>
      <c r="AF190" s="45" t="str">
        <f t="shared" si="79"/>
        <v/>
      </c>
      <c r="AG190" s="45" t="str">
        <f t="shared" si="80"/>
        <v/>
      </c>
    </row>
    <row r="191" spans="1:33" s="21" customFormat="1" x14ac:dyDescent="0.25">
      <c r="A191" s="28"/>
      <c r="B191" s="29"/>
      <c r="C191" s="29"/>
      <c r="D191" s="29"/>
      <c r="E191" s="29"/>
      <c r="F191" s="39" t="str">
        <f t="shared" si="71"/>
        <v/>
      </c>
      <c r="G191" s="39" t="str">
        <f t="shared" si="72"/>
        <v/>
      </c>
      <c r="H191" s="29"/>
      <c r="I191" s="29"/>
      <c r="J191" s="39" t="str">
        <f t="shared" si="73"/>
        <v/>
      </c>
      <c r="K191" s="39" t="str">
        <f t="shared" si="74"/>
        <v/>
      </c>
      <c r="L191" s="29"/>
      <c r="M191" s="29"/>
      <c r="N191" s="39" t="str">
        <f t="shared" si="75"/>
        <v/>
      </c>
      <c r="O191" s="39" t="str">
        <f t="shared" si="76"/>
        <v/>
      </c>
      <c r="P191" s="29"/>
      <c r="Q191" s="29"/>
      <c r="R191" s="29"/>
      <c r="S191" s="29"/>
      <c r="T191" s="29"/>
      <c r="U191" s="29"/>
      <c r="V191" s="29"/>
      <c r="W191" s="42" t="str">
        <f t="shared" si="70"/>
        <v/>
      </c>
      <c r="X191" s="15" t="str">
        <f>IF(A191="","",IF(W191="",INDEX(_翻訳マスタ!$B$89:$D$89,1,MATCH(言語切替!$B$3,_翻訳マスタ!$B$1:$D$1,0)),IF(W191&gt;=1,INDEX(_翻訳マスタ!$B$93:$D$93,1,MATCH(言語切替!$B$3,_翻訳マスタ!$B$1:$D$1,0)),IF(W191&gt;=0.8,INDEX(_翻訳マスタ!$B$91:$D$91,1,MATCH(言語切替!$B$3,_翻訳マスタ!$B$1:$D$1,0)),INDEX(_翻訳マスタ!$B$94:$D$94,1,MATCH(言語切替!$B$3,_翻訳マスタ!$B$1:$D$1,0))))))</f>
        <v/>
      </c>
      <c r="Y191" s="30"/>
      <c r="Z191" s="29"/>
      <c r="AA191" s="29"/>
      <c r="AB191" s="39" t="str">
        <f t="shared" si="77"/>
        <v/>
      </c>
      <c r="AC191" s="39" t="str">
        <f t="shared" si="78"/>
        <v/>
      </c>
      <c r="AD191" s="36"/>
      <c r="AE191" s="46"/>
      <c r="AF191" s="44" t="str">
        <f t="shared" si="79"/>
        <v/>
      </c>
      <c r="AG191" s="44" t="str">
        <f t="shared" si="80"/>
        <v/>
      </c>
    </row>
    <row r="192" spans="1:33" s="21" customFormat="1" x14ac:dyDescent="0.25">
      <c r="A192" s="25"/>
      <c r="B192" s="26"/>
      <c r="C192" s="26"/>
      <c r="D192" s="26"/>
      <c r="E192" s="26"/>
      <c r="F192" s="38" t="str">
        <f t="shared" si="71"/>
        <v/>
      </c>
      <c r="G192" s="38" t="str">
        <f t="shared" si="72"/>
        <v/>
      </c>
      <c r="H192" s="26"/>
      <c r="I192" s="26"/>
      <c r="J192" s="38" t="str">
        <f t="shared" si="73"/>
        <v/>
      </c>
      <c r="K192" s="38" t="str">
        <f t="shared" si="74"/>
        <v/>
      </c>
      <c r="L192" s="26"/>
      <c r="M192" s="26"/>
      <c r="N192" s="38" t="str">
        <f t="shared" si="75"/>
        <v/>
      </c>
      <c r="O192" s="38" t="str">
        <f t="shared" si="76"/>
        <v/>
      </c>
      <c r="P192" s="26"/>
      <c r="Q192" s="26"/>
      <c r="R192" s="26"/>
      <c r="S192" s="26"/>
      <c r="T192" s="26"/>
      <c r="U192" s="26"/>
      <c r="V192" s="26"/>
      <c r="W192" s="41" t="str">
        <f t="shared" si="70"/>
        <v/>
      </c>
      <c r="X192" s="12" t="str">
        <f>IF(A192="","",IF(W192="",INDEX(_翻訳マスタ!$B$89:$D$89,1,MATCH(言語切替!$B$3,_翻訳マスタ!$B$1:$D$1,0)),IF(W192&gt;=1,INDEX(_翻訳マスタ!$B$93:$D$93,1,MATCH(言語切替!$B$3,_翻訳マスタ!$B$1:$D$1,0)),IF(W192&gt;=0.8,INDEX(_翻訳マスタ!$B$91:$D$91,1,MATCH(言語切替!$B$3,_翻訳マスタ!$B$1:$D$1,0)),INDEX(_翻訳マスタ!$B$94:$D$94,1,MATCH(言語切替!$B$3,_翻訳マスタ!$B$1:$D$1,0))))))</f>
        <v/>
      </c>
      <c r="Y192" s="27"/>
      <c r="Z192" s="26"/>
      <c r="AA192" s="26"/>
      <c r="AB192" s="38" t="str">
        <f t="shared" si="77"/>
        <v/>
      </c>
      <c r="AC192" s="38" t="str">
        <f t="shared" si="78"/>
        <v/>
      </c>
      <c r="AD192" s="35"/>
      <c r="AE192" s="47"/>
      <c r="AF192" s="45" t="str">
        <f t="shared" si="79"/>
        <v/>
      </c>
      <c r="AG192" s="45" t="str">
        <f t="shared" si="80"/>
        <v/>
      </c>
    </row>
    <row r="193" spans="1:33" s="21" customFormat="1" x14ac:dyDescent="0.25">
      <c r="A193" s="28"/>
      <c r="B193" s="29"/>
      <c r="C193" s="29"/>
      <c r="D193" s="29"/>
      <c r="E193" s="29"/>
      <c r="F193" s="39" t="str">
        <f t="shared" si="71"/>
        <v/>
      </c>
      <c r="G193" s="39" t="str">
        <f t="shared" si="72"/>
        <v/>
      </c>
      <c r="H193" s="29"/>
      <c r="I193" s="29"/>
      <c r="J193" s="39" t="str">
        <f t="shared" si="73"/>
        <v/>
      </c>
      <c r="K193" s="39" t="str">
        <f t="shared" si="74"/>
        <v/>
      </c>
      <c r="L193" s="29"/>
      <c r="M193" s="29"/>
      <c r="N193" s="39" t="str">
        <f t="shared" si="75"/>
        <v/>
      </c>
      <c r="O193" s="39" t="str">
        <f t="shared" si="76"/>
        <v/>
      </c>
      <c r="P193" s="29"/>
      <c r="Q193" s="29"/>
      <c r="R193" s="29"/>
      <c r="S193" s="29"/>
      <c r="T193" s="29"/>
      <c r="U193" s="29"/>
      <c r="V193" s="29"/>
      <c r="W193" s="42" t="str">
        <f t="shared" si="70"/>
        <v/>
      </c>
      <c r="X193" s="15" t="str">
        <f>IF(A193="","",IF(W193="",INDEX(_翻訳マスタ!$B$89:$D$89,1,MATCH(言語切替!$B$3,_翻訳マスタ!$B$1:$D$1,0)),IF(W193&gt;=1,INDEX(_翻訳マスタ!$B$93:$D$93,1,MATCH(言語切替!$B$3,_翻訳マスタ!$B$1:$D$1,0)),IF(W193&gt;=0.8,INDEX(_翻訳マスタ!$B$91:$D$91,1,MATCH(言語切替!$B$3,_翻訳マスタ!$B$1:$D$1,0)),INDEX(_翻訳マスタ!$B$94:$D$94,1,MATCH(言語切替!$B$3,_翻訳マスタ!$B$1:$D$1,0))))))</f>
        <v/>
      </c>
      <c r="Y193" s="30"/>
      <c r="Z193" s="29"/>
      <c r="AA193" s="29"/>
      <c r="AB193" s="39" t="str">
        <f t="shared" si="77"/>
        <v/>
      </c>
      <c r="AC193" s="39" t="str">
        <f t="shared" si="78"/>
        <v/>
      </c>
      <c r="AD193" s="36"/>
      <c r="AE193" s="46"/>
      <c r="AF193" s="44" t="str">
        <f t="shared" si="79"/>
        <v/>
      </c>
      <c r="AG193" s="44" t="str">
        <f t="shared" si="80"/>
        <v/>
      </c>
    </row>
    <row r="194" spans="1:33" s="21" customFormat="1" x14ac:dyDescent="0.25">
      <c r="A194" s="25"/>
      <c r="B194" s="26"/>
      <c r="C194" s="26"/>
      <c r="D194" s="26"/>
      <c r="E194" s="26"/>
      <c r="F194" s="38" t="str">
        <f t="shared" si="71"/>
        <v/>
      </c>
      <c r="G194" s="38" t="str">
        <f t="shared" si="72"/>
        <v/>
      </c>
      <c r="H194" s="26"/>
      <c r="I194" s="26"/>
      <c r="J194" s="38" t="str">
        <f t="shared" si="73"/>
        <v/>
      </c>
      <c r="K194" s="38" t="str">
        <f t="shared" si="74"/>
        <v/>
      </c>
      <c r="L194" s="26"/>
      <c r="M194" s="26"/>
      <c r="N194" s="38" t="str">
        <f t="shared" si="75"/>
        <v/>
      </c>
      <c r="O194" s="38" t="str">
        <f t="shared" si="76"/>
        <v/>
      </c>
      <c r="P194" s="26"/>
      <c r="Q194" s="26"/>
      <c r="R194" s="26"/>
      <c r="S194" s="26"/>
      <c r="T194" s="26"/>
      <c r="U194" s="26"/>
      <c r="V194" s="26"/>
      <c r="W194" s="41" t="str">
        <f t="shared" si="70"/>
        <v/>
      </c>
      <c r="X194" s="12" t="str">
        <f>IF(A194="","",IF(W194="",INDEX(_翻訳マスタ!$B$89:$D$89,1,MATCH(言語切替!$B$3,_翻訳マスタ!$B$1:$D$1,0)),IF(W194&gt;=1,INDEX(_翻訳マスタ!$B$93:$D$93,1,MATCH(言語切替!$B$3,_翻訳マスタ!$B$1:$D$1,0)),IF(W194&gt;=0.8,INDEX(_翻訳マスタ!$B$91:$D$91,1,MATCH(言語切替!$B$3,_翻訳マスタ!$B$1:$D$1,0)),INDEX(_翻訳マスタ!$B$94:$D$94,1,MATCH(言語切替!$B$3,_翻訳マスタ!$B$1:$D$1,0))))))</f>
        <v/>
      </c>
      <c r="Y194" s="27"/>
      <c r="Z194" s="26"/>
      <c r="AA194" s="26"/>
      <c r="AB194" s="38" t="str">
        <f t="shared" si="77"/>
        <v/>
      </c>
      <c r="AC194" s="38" t="str">
        <f t="shared" si="78"/>
        <v/>
      </c>
      <c r="AD194" s="35"/>
      <c r="AE194" s="47"/>
      <c r="AF194" s="45" t="str">
        <f t="shared" si="79"/>
        <v/>
      </c>
      <c r="AG194" s="45" t="str">
        <f t="shared" si="80"/>
        <v/>
      </c>
    </row>
    <row r="195" spans="1:33" s="21" customFormat="1" x14ac:dyDescent="0.25">
      <c r="A195" s="28"/>
      <c r="B195" s="29"/>
      <c r="C195" s="29"/>
      <c r="D195" s="29"/>
      <c r="E195" s="29"/>
      <c r="F195" s="39" t="str">
        <f t="shared" si="71"/>
        <v/>
      </c>
      <c r="G195" s="39" t="str">
        <f t="shared" si="72"/>
        <v/>
      </c>
      <c r="H195" s="29"/>
      <c r="I195" s="29"/>
      <c r="J195" s="39" t="str">
        <f t="shared" si="73"/>
        <v/>
      </c>
      <c r="K195" s="39" t="str">
        <f t="shared" si="74"/>
        <v/>
      </c>
      <c r="L195" s="29"/>
      <c r="M195" s="29"/>
      <c r="N195" s="39" t="str">
        <f t="shared" si="75"/>
        <v/>
      </c>
      <c r="O195" s="39" t="str">
        <f t="shared" si="76"/>
        <v/>
      </c>
      <c r="P195" s="29"/>
      <c r="Q195" s="29"/>
      <c r="R195" s="29"/>
      <c r="S195" s="29"/>
      <c r="T195" s="29"/>
      <c r="U195" s="29"/>
      <c r="V195" s="29"/>
      <c r="W195" s="42" t="str">
        <f t="shared" si="70"/>
        <v/>
      </c>
      <c r="X195" s="15" t="str">
        <f>IF(A195="","",IF(W195="",INDEX(_翻訳マスタ!$B$89:$D$89,1,MATCH(言語切替!$B$3,_翻訳マスタ!$B$1:$D$1,0)),IF(W195&gt;=1,INDEX(_翻訳マスタ!$B$93:$D$93,1,MATCH(言語切替!$B$3,_翻訳マスタ!$B$1:$D$1,0)),IF(W195&gt;=0.8,INDEX(_翻訳マスタ!$B$91:$D$91,1,MATCH(言語切替!$B$3,_翻訳マスタ!$B$1:$D$1,0)),INDEX(_翻訳マスタ!$B$94:$D$94,1,MATCH(言語切替!$B$3,_翻訳マスタ!$B$1:$D$1,0))))))</f>
        <v/>
      </c>
      <c r="Y195" s="30"/>
      <c r="Z195" s="29"/>
      <c r="AA195" s="29"/>
      <c r="AB195" s="39" t="str">
        <f t="shared" si="77"/>
        <v/>
      </c>
      <c r="AC195" s="39" t="str">
        <f t="shared" si="78"/>
        <v/>
      </c>
      <c r="AD195" s="36"/>
      <c r="AE195" s="46"/>
      <c r="AF195" s="44" t="str">
        <f t="shared" si="79"/>
        <v/>
      </c>
      <c r="AG195" s="44" t="str">
        <f t="shared" si="80"/>
        <v/>
      </c>
    </row>
    <row r="196" spans="1:33" s="21" customFormat="1" x14ac:dyDescent="0.25">
      <c r="A196" s="25"/>
      <c r="B196" s="26"/>
      <c r="C196" s="26"/>
      <c r="D196" s="26"/>
      <c r="E196" s="26"/>
      <c r="F196" s="38" t="str">
        <f t="shared" si="71"/>
        <v/>
      </c>
      <c r="G196" s="38" t="str">
        <f t="shared" si="72"/>
        <v/>
      </c>
      <c r="H196" s="26"/>
      <c r="I196" s="26"/>
      <c r="J196" s="38" t="str">
        <f t="shared" si="73"/>
        <v/>
      </c>
      <c r="K196" s="38" t="str">
        <f t="shared" si="74"/>
        <v/>
      </c>
      <c r="L196" s="26"/>
      <c r="M196" s="26"/>
      <c r="N196" s="38" t="str">
        <f t="shared" si="75"/>
        <v/>
      </c>
      <c r="O196" s="38" t="str">
        <f t="shared" si="76"/>
        <v/>
      </c>
      <c r="P196" s="26"/>
      <c r="Q196" s="26"/>
      <c r="R196" s="26"/>
      <c r="S196" s="26"/>
      <c r="T196" s="26"/>
      <c r="U196" s="26"/>
      <c r="V196" s="26"/>
      <c r="W196" s="41" t="str">
        <f t="shared" si="70"/>
        <v/>
      </c>
      <c r="X196" s="12" t="str">
        <f>IF(A196="","",IF(W196="",INDEX(_翻訳マスタ!$B$89:$D$89,1,MATCH(言語切替!$B$3,_翻訳マスタ!$B$1:$D$1,0)),IF(W196&gt;=1,INDEX(_翻訳マスタ!$B$93:$D$93,1,MATCH(言語切替!$B$3,_翻訳マスタ!$B$1:$D$1,0)),IF(W196&gt;=0.8,INDEX(_翻訳マスタ!$B$91:$D$91,1,MATCH(言語切替!$B$3,_翻訳マスタ!$B$1:$D$1,0)),INDEX(_翻訳マスタ!$B$94:$D$94,1,MATCH(言語切替!$B$3,_翻訳マスタ!$B$1:$D$1,0))))))</f>
        <v/>
      </c>
      <c r="Y196" s="27"/>
      <c r="Z196" s="26"/>
      <c r="AA196" s="26"/>
      <c r="AB196" s="38" t="str">
        <f t="shared" si="77"/>
        <v/>
      </c>
      <c r="AC196" s="38" t="str">
        <f t="shared" si="78"/>
        <v/>
      </c>
      <c r="AD196" s="35"/>
      <c r="AE196" s="47"/>
      <c r="AF196" s="45" t="str">
        <f t="shared" si="79"/>
        <v/>
      </c>
      <c r="AG196" s="45" t="str">
        <f t="shared" si="80"/>
        <v/>
      </c>
    </row>
    <row r="197" spans="1:33" s="21" customFormat="1" x14ac:dyDescent="0.25">
      <c r="A197" s="28"/>
      <c r="B197" s="29"/>
      <c r="C197" s="29"/>
      <c r="D197" s="29"/>
      <c r="E197" s="29"/>
      <c r="F197" s="39" t="str">
        <f t="shared" si="71"/>
        <v/>
      </c>
      <c r="G197" s="39" t="str">
        <f t="shared" si="72"/>
        <v/>
      </c>
      <c r="H197" s="29"/>
      <c r="I197" s="29"/>
      <c r="J197" s="39" t="str">
        <f t="shared" si="73"/>
        <v/>
      </c>
      <c r="K197" s="39" t="str">
        <f t="shared" si="74"/>
        <v/>
      </c>
      <c r="L197" s="29"/>
      <c r="M197" s="29"/>
      <c r="N197" s="39" t="str">
        <f t="shared" si="75"/>
        <v/>
      </c>
      <c r="O197" s="39" t="str">
        <f t="shared" si="76"/>
        <v/>
      </c>
      <c r="P197" s="29"/>
      <c r="Q197" s="29"/>
      <c r="R197" s="29"/>
      <c r="S197" s="29"/>
      <c r="T197" s="29"/>
      <c r="U197" s="29"/>
      <c r="V197" s="29"/>
      <c r="W197" s="42" t="str">
        <f t="shared" ref="W197:W204" si="81">IF(OR(U197="",V197=""),"",IF(U197=0,"",V197/U197))</f>
        <v/>
      </c>
      <c r="X197" s="15" t="str">
        <f>IF(A197="","",IF(W197="",INDEX(_翻訳マスタ!$B$89:$D$89,1,MATCH(言語切替!$B$3,_翻訳マスタ!$B$1:$D$1,0)),IF(W197&gt;=1,INDEX(_翻訳マスタ!$B$93:$D$93,1,MATCH(言語切替!$B$3,_翻訳マスタ!$B$1:$D$1,0)),IF(W197&gt;=0.8,INDEX(_翻訳マスタ!$B$91:$D$91,1,MATCH(言語切替!$B$3,_翻訳マスタ!$B$1:$D$1,0)),INDEX(_翻訳マスタ!$B$94:$D$94,1,MATCH(言語切替!$B$3,_翻訳マスタ!$B$1:$D$1,0))))))</f>
        <v/>
      </c>
      <c r="Y197" s="30"/>
      <c r="Z197" s="29"/>
      <c r="AA197" s="29"/>
      <c r="AB197" s="39" t="str">
        <f t="shared" si="77"/>
        <v/>
      </c>
      <c r="AC197" s="39" t="str">
        <f t="shared" si="78"/>
        <v/>
      </c>
      <c r="AD197" s="36"/>
      <c r="AE197" s="46"/>
      <c r="AF197" s="44" t="str">
        <f t="shared" si="79"/>
        <v/>
      </c>
      <c r="AG197" s="44" t="str">
        <f t="shared" si="80"/>
        <v/>
      </c>
    </row>
    <row r="198" spans="1:33" s="21" customFormat="1" x14ac:dyDescent="0.25">
      <c r="A198" s="25"/>
      <c r="B198" s="26"/>
      <c r="C198" s="26"/>
      <c r="D198" s="26"/>
      <c r="E198" s="26"/>
      <c r="F198" s="38" t="str">
        <f t="shared" si="71"/>
        <v/>
      </c>
      <c r="G198" s="38" t="str">
        <f t="shared" si="72"/>
        <v/>
      </c>
      <c r="H198" s="26"/>
      <c r="I198" s="26"/>
      <c r="J198" s="38" t="str">
        <f t="shared" si="73"/>
        <v/>
      </c>
      <c r="K198" s="38" t="str">
        <f t="shared" si="74"/>
        <v/>
      </c>
      <c r="L198" s="26"/>
      <c r="M198" s="26"/>
      <c r="N198" s="38" t="str">
        <f t="shared" si="75"/>
        <v/>
      </c>
      <c r="O198" s="38" t="str">
        <f t="shared" si="76"/>
        <v/>
      </c>
      <c r="P198" s="26"/>
      <c r="Q198" s="26"/>
      <c r="R198" s="26"/>
      <c r="S198" s="26"/>
      <c r="T198" s="26"/>
      <c r="U198" s="26"/>
      <c r="V198" s="26"/>
      <c r="W198" s="41" t="str">
        <f t="shared" si="81"/>
        <v/>
      </c>
      <c r="X198" s="12" t="str">
        <f>IF(A198="","",IF(W198="",INDEX(_翻訳マスタ!$B$89:$D$89,1,MATCH(言語切替!$B$3,_翻訳マスタ!$B$1:$D$1,0)),IF(W198&gt;=1,INDEX(_翻訳マスタ!$B$93:$D$93,1,MATCH(言語切替!$B$3,_翻訳マスタ!$B$1:$D$1,0)),IF(W198&gt;=0.8,INDEX(_翻訳マスタ!$B$91:$D$91,1,MATCH(言語切替!$B$3,_翻訳マスタ!$B$1:$D$1,0)),INDEX(_翻訳マスタ!$B$94:$D$94,1,MATCH(言語切替!$B$3,_翻訳マスタ!$B$1:$D$1,0))))))</f>
        <v/>
      </c>
      <c r="Y198" s="27"/>
      <c r="Z198" s="26"/>
      <c r="AA198" s="26"/>
      <c r="AB198" s="38" t="str">
        <f t="shared" si="77"/>
        <v/>
      </c>
      <c r="AC198" s="38" t="str">
        <f t="shared" si="78"/>
        <v/>
      </c>
      <c r="AD198" s="35"/>
      <c r="AE198" s="47"/>
      <c r="AF198" s="45" t="str">
        <f t="shared" si="79"/>
        <v/>
      </c>
      <c r="AG198" s="45" t="str">
        <f t="shared" si="80"/>
        <v/>
      </c>
    </row>
    <row r="199" spans="1:33" s="21" customFormat="1" x14ac:dyDescent="0.25">
      <c r="A199" s="28"/>
      <c r="B199" s="29"/>
      <c r="C199" s="29"/>
      <c r="D199" s="29"/>
      <c r="E199" s="29"/>
      <c r="F199" s="39" t="str">
        <f t="shared" si="71"/>
        <v/>
      </c>
      <c r="G199" s="39" t="str">
        <f t="shared" si="72"/>
        <v/>
      </c>
      <c r="H199" s="29"/>
      <c r="I199" s="29"/>
      <c r="J199" s="39" t="str">
        <f t="shared" si="73"/>
        <v/>
      </c>
      <c r="K199" s="39" t="str">
        <f t="shared" si="74"/>
        <v/>
      </c>
      <c r="L199" s="29"/>
      <c r="M199" s="29"/>
      <c r="N199" s="39" t="str">
        <f t="shared" si="75"/>
        <v/>
      </c>
      <c r="O199" s="39" t="str">
        <f t="shared" si="76"/>
        <v/>
      </c>
      <c r="P199" s="29"/>
      <c r="Q199" s="29"/>
      <c r="R199" s="29"/>
      <c r="S199" s="29"/>
      <c r="T199" s="29"/>
      <c r="U199" s="29"/>
      <c r="V199" s="29"/>
      <c r="W199" s="42" t="str">
        <f t="shared" si="81"/>
        <v/>
      </c>
      <c r="X199" s="15" t="str">
        <f>IF(A199="","",IF(W199="",INDEX(_翻訳マスタ!$B$89:$D$89,1,MATCH(言語切替!$B$3,_翻訳マスタ!$B$1:$D$1,0)),IF(W199&gt;=1,INDEX(_翻訳マスタ!$B$93:$D$93,1,MATCH(言語切替!$B$3,_翻訳マスタ!$B$1:$D$1,0)),IF(W199&gt;=0.8,INDEX(_翻訳マスタ!$B$91:$D$91,1,MATCH(言語切替!$B$3,_翻訳マスタ!$B$1:$D$1,0)),INDEX(_翻訳マスタ!$B$94:$D$94,1,MATCH(言語切替!$B$3,_翻訳マスタ!$B$1:$D$1,0))))))</f>
        <v/>
      </c>
      <c r="Y199" s="30"/>
      <c r="Z199" s="29"/>
      <c r="AA199" s="29"/>
      <c r="AB199" s="39" t="str">
        <f t="shared" si="77"/>
        <v/>
      </c>
      <c r="AC199" s="39" t="str">
        <f t="shared" si="78"/>
        <v/>
      </c>
      <c r="AD199" s="36"/>
      <c r="AE199" s="46"/>
      <c r="AF199" s="44" t="str">
        <f t="shared" si="79"/>
        <v/>
      </c>
      <c r="AG199" s="44" t="str">
        <f t="shared" si="80"/>
        <v/>
      </c>
    </row>
    <row r="200" spans="1:33" s="21" customFormat="1" x14ac:dyDescent="0.25">
      <c r="A200" s="25"/>
      <c r="B200" s="26"/>
      <c r="C200" s="26"/>
      <c r="D200" s="26"/>
      <c r="E200" s="26"/>
      <c r="F200" s="38" t="str">
        <f t="shared" si="71"/>
        <v/>
      </c>
      <c r="G200" s="38" t="str">
        <f t="shared" si="72"/>
        <v/>
      </c>
      <c r="H200" s="26"/>
      <c r="I200" s="26"/>
      <c r="J200" s="38" t="str">
        <f t="shared" si="73"/>
        <v/>
      </c>
      <c r="K200" s="38" t="str">
        <f t="shared" si="74"/>
        <v/>
      </c>
      <c r="L200" s="26"/>
      <c r="M200" s="26"/>
      <c r="N200" s="38" t="str">
        <f t="shared" si="75"/>
        <v/>
      </c>
      <c r="O200" s="38" t="str">
        <f t="shared" si="76"/>
        <v/>
      </c>
      <c r="P200" s="26"/>
      <c r="Q200" s="26"/>
      <c r="R200" s="26"/>
      <c r="S200" s="26"/>
      <c r="T200" s="26"/>
      <c r="U200" s="26"/>
      <c r="V200" s="26"/>
      <c r="W200" s="41" t="str">
        <f t="shared" si="81"/>
        <v/>
      </c>
      <c r="X200" s="12" t="str">
        <f>IF(A200="","",IF(W200="",INDEX(_翻訳マスタ!$B$89:$D$89,1,MATCH(言語切替!$B$3,_翻訳マスタ!$B$1:$D$1,0)),IF(W200&gt;=1,INDEX(_翻訳マスタ!$B$93:$D$93,1,MATCH(言語切替!$B$3,_翻訳マスタ!$B$1:$D$1,0)),IF(W200&gt;=0.8,INDEX(_翻訳マスタ!$B$91:$D$91,1,MATCH(言語切替!$B$3,_翻訳マスタ!$B$1:$D$1,0)),INDEX(_翻訳マスタ!$B$94:$D$94,1,MATCH(言語切替!$B$3,_翻訳マスタ!$B$1:$D$1,0))))))</f>
        <v/>
      </c>
      <c r="Y200" s="27"/>
      <c r="Z200" s="26"/>
      <c r="AA200" s="26"/>
      <c r="AB200" s="38" t="str">
        <f t="shared" si="77"/>
        <v/>
      </c>
      <c r="AC200" s="38" t="str">
        <f t="shared" si="78"/>
        <v/>
      </c>
      <c r="AD200" s="35"/>
      <c r="AE200" s="47"/>
      <c r="AF200" s="45" t="str">
        <f t="shared" si="79"/>
        <v/>
      </c>
      <c r="AG200" s="45" t="str">
        <f t="shared" si="80"/>
        <v/>
      </c>
    </row>
    <row r="201" spans="1:33" s="21" customFormat="1" x14ac:dyDescent="0.25">
      <c r="A201" s="28"/>
      <c r="B201" s="29"/>
      <c r="C201" s="29"/>
      <c r="D201" s="29"/>
      <c r="E201" s="29"/>
      <c r="F201" s="39" t="str">
        <f t="shared" ref="F201:F204" si="82">IF(D201="","",_xlfn.TRANSLATE(D201,"vi","ja"))</f>
        <v/>
      </c>
      <c r="G201" s="39" t="str">
        <f t="shared" si="72"/>
        <v/>
      </c>
      <c r="H201" s="29"/>
      <c r="I201" s="29"/>
      <c r="J201" s="39" t="str">
        <f t="shared" ref="J201:J204" si="83">IF(H201="","",_xlfn.TRANSLATE(H201,"vi","ja"))</f>
        <v/>
      </c>
      <c r="K201" s="39" t="str">
        <f t="shared" si="74"/>
        <v/>
      </c>
      <c r="L201" s="29"/>
      <c r="M201" s="29"/>
      <c r="N201" s="39" t="str">
        <f t="shared" ref="N201:N204" si="84">IF(L201="","",_xlfn.TRANSLATE(L201,"vi","ja"))</f>
        <v/>
      </c>
      <c r="O201" s="39" t="str">
        <f t="shared" si="76"/>
        <v/>
      </c>
      <c r="P201" s="29"/>
      <c r="Q201" s="29"/>
      <c r="R201" s="29"/>
      <c r="S201" s="29"/>
      <c r="T201" s="29"/>
      <c r="U201" s="29"/>
      <c r="V201" s="29"/>
      <c r="W201" s="42" t="str">
        <f t="shared" si="81"/>
        <v/>
      </c>
      <c r="X201" s="15" t="str">
        <f>IF(A201="","",IF(W201="",INDEX(_翻訳マスタ!$B$89:$D$89,1,MATCH(言語切替!$B$3,_翻訳マスタ!$B$1:$D$1,0)),IF(W201&gt;=1,INDEX(_翻訳マスタ!$B$93:$D$93,1,MATCH(言語切替!$B$3,_翻訳マスタ!$B$1:$D$1,0)),IF(W201&gt;=0.8,INDEX(_翻訳マスタ!$B$91:$D$91,1,MATCH(言語切替!$B$3,_翻訳マスタ!$B$1:$D$1,0)),INDEX(_翻訳マスタ!$B$94:$D$94,1,MATCH(言語切替!$B$3,_翻訳マスタ!$B$1:$D$1,0))))))</f>
        <v/>
      </c>
      <c r="Y201" s="30"/>
      <c r="Z201" s="29"/>
      <c r="AA201" s="29"/>
      <c r="AB201" s="39" t="str">
        <f t="shared" ref="AB201:AB204" si="85">IF(Z201="","",_xlfn.TRANSLATE(Z201,"vi","ja"))</f>
        <v/>
      </c>
      <c r="AC201" s="39" t="str">
        <f t="shared" si="78"/>
        <v/>
      </c>
      <c r="AD201" s="36"/>
      <c r="AE201" s="46"/>
      <c r="AF201" s="44" t="str">
        <f t="shared" ref="AF201:AF204" si="86">IF(AD201="","",_xlfn.TRANSLATE(AD201,"vi","ja"))</f>
        <v/>
      </c>
      <c r="AG201" s="44" t="str">
        <f t="shared" si="80"/>
        <v/>
      </c>
    </row>
    <row r="202" spans="1:33" s="21" customFormat="1" x14ac:dyDescent="0.25">
      <c r="A202" s="25"/>
      <c r="B202" s="26"/>
      <c r="C202" s="26"/>
      <c r="D202" s="26"/>
      <c r="E202" s="26"/>
      <c r="F202" s="38" t="str">
        <f t="shared" si="82"/>
        <v/>
      </c>
      <c r="G202" s="38" t="str">
        <f t="shared" si="72"/>
        <v/>
      </c>
      <c r="H202" s="26"/>
      <c r="I202" s="26"/>
      <c r="J202" s="38" t="str">
        <f t="shared" si="83"/>
        <v/>
      </c>
      <c r="K202" s="38" t="str">
        <f t="shared" si="74"/>
        <v/>
      </c>
      <c r="L202" s="26"/>
      <c r="M202" s="26"/>
      <c r="N202" s="38" t="str">
        <f t="shared" si="84"/>
        <v/>
      </c>
      <c r="O202" s="38" t="str">
        <f t="shared" si="76"/>
        <v/>
      </c>
      <c r="P202" s="26"/>
      <c r="Q202" s="26"/>
      <c r="R202" s="26"/>
      <c r="S202" s="26"/>
      <c r="T202" s="26"/>
      <c r="U202" s="26"/>
      <c r="V202" s="26"/>
      <c r="W202" s="41" t="str">
        <f t="shared" si="81"/>
        <v/>
      </c>
      <c r="X202" s="12" t="str">
        <f>IF(A202="","",IF(W202="",INDEX(_翻訳マスタ!$B$89:$D$89,1,MATCH(言語切替!$B$3,_翻訳マスタ!$B$1:$D$1,0)),IF(W202&gt;=1,INDEX(_翻訳マスタ!$B$93:$D$93,1,MATCH(言語切替!$B$3,_翻訳マスタ!$B$1:$D$1,0)),IF(W202&gt;=0.8,INDEX(_翻訳マスタ!$B$91:$D$91,1,MATCH(言語切替!$B$3,_翻訳マスタ!$B$1:$D$1,0)),INDEX(_翻訳マスタ!$B$94:$D$94,1,MATCH(言語切替!$B$3,_翻訳マスタ!$B$1:$D$1,0))))))</f>
        <v/>
      </c>
      <c r="Y202" s="27"/>
      <c r="Z202" s="26"/>
      <c r="AA202" s="26"/>
      <c r="AB202" s="38" t="str">
        <f t="shared" si="85"/>
        <v/>
      </c>
      <c r="AC202" s="38" t="str">
        <f t="shared" si="78"/>
        <v/>
      </c>
      <c r="AD202" s="35"/>
      <c r="AE202" s="47"/>
      <c r="AF202" s="45" t="str">
        <f t="shared" si="86"/>
        <v/>
      </c>
      <c r="AG202" s="45" t="str">
        <f t="shared" si="80"/>
        <v/>
      </c>
    </row>
    <row r="203" spans="1:33" s="21" customFormat="1" x14ac:dyDescent="0.25">
      <c r="A203" s="28"/>
      <c r="B203" s="29"/>
      <c r="C203" s="29"/>
      <c r="D203" s="29"/>
      <c r="E203" s="29"/>
      <c r="F203" s="39" t="str">
        <f t="shared" si="82"/>
        <v/>
      </c>
      <c r="G203" s="39" t="str">
        <f t="shared" si="72"/>
        <v/>
      </c>
      <c r="H203" s="29"/>
      <c r="I203" s="29"/>
      <c r="J203" s="39" t="str">
        <f t="shared" si="83"/>
        <v/>
      </c>
      <c r="K203" s="39" t="str">
        <f t="shared" si="74"/>
        <v/>
      </c>
      <c r="L203" s="29"/>
      <c r="M203" s="29"/>
      <c r="N203" s="39" t="str">
        <f t="shared" si="84"/>
        <v/>
      </c>
      <c r="O203" s="39" t="str">
        <f t="shared" si="76"/>
        <v/>
      </c>
      <c r="P203" s="29"/>
      <c r="Q203" s="29"/>
      <c r="R203" s="29"/>
      <c r="S203" s="29"/>
      <c r="T203" s="29"/>
      <c r="U203" s="29"/>
      <c r="V203" s="29"/>
      <c r="W203" s="42" t="str">
        <f t="shared" si="81"/>
        <v/>
      </c>
      <c r="X203" s="15" t="str">
        <f>IF(A203="","",IF(W203="",INDEX(_翻訳マスタ!$B$89:$D$89,1,MATCH(言語切替!$B$3,_翻訳マスタ!$B$1:$D$1,0)),IF(W203&gt;=1,INDEX(_翻訳マスタ!$B$93:$D$93,1,MATCH(言語切替!$B$3,_翻訳マスタ!$B$1:$D$1,0)),IF(W203&gt;=0.8,INDEX(_翻訳マスタ!$B$91:$D$91,1,MATCH(言語切替!$B$3,_翻訳マスタ!$B$1:$D$1,0)),INDEX(_翻訳マスタ!$B$94:$D$94,1,MATCH(言語切替!$B$3,_翻訳マスタ!$B$1:$D$1,0))))))</f>
        <v/>
      </c>
      <c r="Y203" s="30"/>
      <c r="Z203" s="29"/>
      <c r="AA203" s="29"/>
      <c r="AB203" s="39" t="str">
        <f t="shared" si="85"/>
        <v/>
      </c>
      <c r="AC203" s="39" t="str">
        <f t="shared" si="78"/>
        <v/>
      </c>
      <c r="AD203" s="36"/>
      <c r="AE203" s="46"/>
      <c r="AF203" s="44" t="str">
        <f t="shared" si="86"/>
        <v/>
      </c>
      <c r="AG203" s="44" t="str">
        <f t="shared" si="80"/>
        <v/>
      </c>
    </row>
    <row r="204" spans="1:33" s="21" customFormat="1" x14ac:dyDescent="0.25">
      <c r="A204" s="31"/>
      <c r="B204" s="32"/>
      <c r="C204" s="32"/>
      <c r="D204" s="32"/>
      <c r="E204" s="32"/>
      <c r="F204" s="40" t="str">
        <f t="shared" si="82"/>
        <v/>
      </c>
      <c r="G204" s="40" t="str">
        <f t="shared" si="72"/>
        <v/>
      </c>
      <c r="H204" s="32"/>
      <c r="I204" s="32"/>
      <c r="J204" s="40" t="str">
        <f t="shared" si="83"/>
        <v/>
      </c>
      <c r="K204" s="40" t="str">
        <f t="shared" si="74"/>
        <v/>
      </c>
      <c r="L204" s="32"/>
      <c r="M204" s="32"/>
      <c r="N204" s="40" t="str">
        <f t="shared" si="84"/>
        <v/>
      </c>
      <c r="O204" s="40" t="str">
        <f t="shared" si="76"/>
        <v/>
      </c>
      <c r="P204" s="32"/>
      <c r="Q204" s="32"/>
      <c r="R204" s="32"/>
      <c r="S204" s="32"/>
      <c r="T204" s="32"/>
      <c r="U204" s="32"/>
      <c r="V204" s="32"/>
      <c r="W204" s="43" t="str">
        <f t="shared" si="81"/>
        <v/>
      </c>
      <c r="X204" s="18" t="str">
        <f>IF(A204="","",IF(W204="",INDEX(_翻訳マスタ!$B$89:$D$89,1,MATCH(言語切替!$B$3,_翻訳マスタ!$B$1:$D$1,0)),IF(W204&gt;=1,INDEX(_翻訳マスタ!$B$93:$D$93,1,MATCH(言語切替!$B$3,_翻訳マスタ!$B$1:$D$1,0)),IF(W204&gt;=0.8,INDEX(_翻訳マスタ!$B$91:$D$91,1,MATCH(言語切替!$B$3,_翻訳マスタ!$B$1:$D$1,0)),INDEX(_翻訳マスタ!$B$94:$D$94,1,MATCH(言語切替!$B$3,_翻訳マスタ!$B$1:$D$1,0))))))</f>
        <v/>
      </c>
      <c r="Y204" s="33"/>
      <c r="Z204" s="32"/>
      <c r="AA204" s="32"/>
      <c r="AB204" s="40" t="str">
        <f t="shared" si="85"/>
        <v/>
      </c>
      <c r="AC204" s="40" t="str">
        <f t="shared" si="78"/>
        <v/>
      </c>
      <c r="AD204" s="37"/>
      <c r="AE204" s="47"/>
      <c r="AF204" s="45" t="str">
        <f t="shared" si="86"/>
        <v/>
      </c>
      <c r="AG204" s="45" t="str">
        <f t="shared" si="80"/>
        <v/>
      </c>
    </row>
  </sheetData>
  <sheetProtection formatCells="0" formatColumns="0" formatRows="0" deleteRows="0" sort="0" autoFilter="0"/>
  <autoFilter ref="A4:AD204" xr:uid="{00000000-0001-0000-0600-000000000000}"/>
  <mergeCells count="3">
    <mergeCell ref="A2:W2"/>
    <mergeCell ref="A1:W1"/>
    <mergeCell ref="A3:W3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0000000}">
          <x14:formula1>
            <xm:f>'02_マスタ'!$A$5:$A$14</xm:f>
          </x14:formula1>
          <xm:sqref>B5:B204</xm:sqref>
        </x14:dataValidation>
        <x14:dataValidation type="list" allowBlank="1" xr:uid="{00000000-0002-0000-0600-000001000000}">
          <x14:formula1>
            <xm:f>'02_マスタ'!$K$5:$K$8</xm:f>
          </x14:formula1>
          <xm:sqref>C5:C204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04"/>
  <sheetViews>
    <sheetView showGridLines="0" zoomScale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5" sqref="D5"/>
    </sheetView>
  </sheetViews>
  <sheetFormatPr defaultColWidth="8.75" defaultRowHeight="15.75" x14ac:dyDescent="0.25"/>
  <cols>
    <col min="1" max="1" width="15.5" style="1" customWidth="1"/>
    <col min="2" max="2" width="17.875" style="1" customWidth="1"/>
    <col min="3" max="3" width="18" style="1" customWidth="1"/>
    <col min="4" max="4" width="22" style="1" customWidth="1"/>
    <col min="5" max="8" width="50" style="1" customWidth="1"/>
    <col min="9" max="12" width="36" style="1" customWidth="1"/>
    <col min="13" max="13" width="18" style="1" customWidth="1"/>
    <col min="14" max="17" width="24" style="1" customWidth="1"/>
    <col min="18" max="16384" width="8.75" style="1"/>
  </cols>
  <sheetData>
    <row r="1" spans="1:17" ht="27.95" customHeight="1" x14ac:dyDescent="0.25">
      <c r="A1" s="95" t="str">
        <f>INDEX(_翻訳マスタ!$B$117:$D$247,MATCH("REV_TITLE",_翻訳マスタ!$A$117:$A$247,0),MATCH(言語切替!$B$3,_翻訳マスタ!$B$1:$D$1,0))</f>
        <v>Lịch sử cập nhật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</row>
    <row r="2" spans="1:17" ht="27.95" customHeight="1" x14ac:dyDescent="0.25">
      <c r="A2" s="93" t="str">
        <f>INDEX(_翻訳マスタ!$B$117:$D$247,MATCH("REV_DESC",_翻訳マスタ!$A$117:$A$247,0),MATCH(言語切替!$B$3,_翻訳マスタ!$B$1:$D$1,0))</f>
        <v>Ghi lại các thay đổi quan trọng về quy tắc, dữ liệu danh mục và thay đổi cấu trúc.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</row>
    <row r="3" spans="1:17" s="3" customFormat="1" ht="38.1" customHeight="1" x14ac:dyDescent="0.15">
      <c r="A3" s="126" t="str">
        <f>INDEX(_翻訳マスタ!$B$2:$D$300,MATCH("PARA_HOWTO",_翻訳マスタ!$A$2:$A$300,0),MATCH(言語切替!$B$3,_翻訳マスタ!$B$1:$D$1,0))</f>
        <v>Quy tắc nhập: 【Tiêu đề VÀNG】= Được phép nhập / chọn dữ liệu (Gõ bất kỳ tiếng Việt/Nhật/Trung vào ô [Nhập])
【Tiêu đề XANH DƯƠNG】= Cấm nhập (Tự động tính toán &amp; dịch tự động 3 thứ tiếng).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</row>
    <row r="4" spans="1:17" ht="27.95" customHeight="1" x14ac:dyDescent="0.25">
      <c r="A4" s="48" t="str">
        <f>INDEX(_翻訳マスタ!$B$117:$D$247,MATCH("REV_COL_NO",_翻訳マスタ!$A$117:$A$247,0),MATCH(言語切替!$B$3,_翻訳マスタ!$B$1:$D$1,0))</f>
        <v>Số cập nhật</v>
      </c>
      <c r="B4" s="49" t="str">
        <f>INDEX(_翻訳マスタ!$B$117:$D$247,MATCH("REV_COL_DATE",_翻訳マスタ!$A$117:$A$247,0),MATCH(言語切替!$B$3,_翻訳マスタ!$B$1:$D$1,0))</f>
        <v>Ngày cập nhật</v>
      </c>
      <c r="C4" s="49" t="str">
        <f>INDEX(_翻訳マスタ!$B$117:$D$247,MATCH("REV_COL_AUTHOR",_翻訳マスタ!$A$117:$A$247,0),MATCH(言語切替!$B$3,_翻訳マスタ!$B$1:$D$1,0))</f>
        <v>Người cập nhật</v>
      </c>
      <c r="D4" s="49" t="str">
        <f>INDEX(_翻訳マスタ!$B$117:$D$247,MATCH("REV_COL_TARGET",_翻訳マスタ!$A$117:$A$247,0),MATCH(言語切替!$B$3,_翻訳マスタ!$B$1:$D$1,0))</f>
        <v>Trang tính áp dụng</v>
      </c>
      <c r="E4" s="49" t="str">
        <f>INDEX(_翻訳マスタ!$B$2:$D$300,MATCH("REV_COL_CONTENT",_翻訳マスタ!$A$2:$A$300,0),MATCH(言語切替!$B$3,_翻訳マスタ!$B$1:$D$1,0))&amp;INDEX(_翻訳マスタ!$B$2:$D$300,MATCH("NEW_INPUT_SUFFIX",_翻訳マスタ!$A$2:$A$300,0),MATCH(言語切替!$B$3,_翻訳マスタ!$B$1:$D$1,0))</f>
        <v>Nội dung thay đổi [Nhập: VI/JP/CN]</v>
      </c>
      <c r="F4" s="51" t="str">
        <f>INDEX(_翻訳マスタ!$B$2:$D$300,MATCH("REV_COL_CONTENT",_翻訳マスタ!$A$2:$A$300,0),MATCH(言語切替!$B$3,_翻訳マスタ!$B$1:$D$1,0))&amp;INDEX(_翻訳マスタ!$B$2:$D$300,MATCH("NEW_VI_SUFFIX",_翻訳マスタ!$A$2:$A$300,0),MATCH(言語切替!$B$3,_翻訳マスタ!$B$1:$D$1,0))</f>
        <v>Nội dung thay đổi (VI)</v>
      </c>
      <c r="G4" s="51" t="str">
        <f>INDEX(_翻訳マスタ!$B$2:$D$300,MATCH("REV_COL_CONTENT",_翻訳マスタ!$A$2:$A$300,0),MATCH(言語切替!$B$3,_翻訳マスタ!$B$1:$D$1,0))&amp;INDEX(_翻訳マスタ!$B$2:$D$300,MATCH("NEW_JP_SUFFIX",_翻訳マスタ!$A$2:$A$300,0),MATCH(言語切替!$B$3,_翻訳マスタ!$B$1:$D$1,0))</f>
        <v>Nội dung thay đổi (JP)</v>
      </c>
      <c r="H4" s="51" t="str">
        <f>INDEX(_翻訳マスタ!$B$2:$D$300,MATCH("REV_COL_CONTENT",_翻訳マスタ!$A$2:$A$300,0),MATCH(言語切替!$B$3,_翻訳マスタ!$B$1:$D$1,0))&amp;INDEX(_翻訳マスタ!$B$2:$D$300,MATCH("NEW_CN_SUFFIX",_翻訳マスタ!$A$2:$A$300,0),MATCH(言語切替!$B$3,_翻訳マスタ!$B$1:$D$1,0))</f>
        <v>Nội dung thay đổi (CN)</v>
      </c>
      <c r="I4" s="49" t="str">
        <f>INDEX(_翻訳マスタ!$B$2:$D$300,MATCH("REV_COL_REASON",_翻訳マスタ!$A$2:$A$300,0),MATCH(言語切替!$B$3,_翻訳マスタ!$B$1:$D$1,0))&amp;INDEX(_翻訳マスタ!$B$2:$D$300,MATCH("NEW_INPUT_SUFFIX",_翻訳マスタ!$A$2:$A$300,0),MATCH(言語切替!$B$3,_翻訳マスタ!$B$1:$D$1,0))</f>
        <v>Lý do thay đổi [Nhập: VI/JP/CN]</v>
      </c>
      <c r="J4" s="51" t="str">
        <f>INDEX(_翻訳マスタ!$B$2:$D$300,MATCH("REV_COL_REASON",_翻訳マスタ!$A$2:$A$300,0),MATCH(言語切替!$B$3,_翻訳マスタ!$B$1:$D$1,0))&amp;INDEX(_翻訳マスタ!$B$2:$D$300,MATCH("NEW_VI_SUFFIX",_翻訳マスタ!$A$2:$A$300,0),MATCH(言語切替!$B$3,_翻訳マスタ!$B$1:$D$1,0))</f>
        <v>Lý do thay đổi (VI)</v>
      </c>
      <c r="K4" s="51" t="str">
        <f>INDEX(_翻訳マスタ!$B$2:$D$300,MATCH("REV_COL_REASON",_翻訳マスタ!$A$2:$A$300,0),MATCH(言語切替!$B$3,_翻訳マスタ!$B$1:$D$1,0))&amp;INDEX(_翻訳マスタ!$B$2:$D$300,MATCH("NEW_JP_SUFFIX",_翻訳マスタ!$A$2:$A$300,0),MATCH(言語切替!$B$3,_翻訳マスタ!$B$1:$D$1,0))</f>
        <v>Lý do thay đổi (JP)</v>
      </c>
      <c r="L4" s="51" t="str">
        <f>INDEX(_翻訳マスタ!$B$2:$D$300,MATCH("REV_COL_REASON",_翻訳マスタ!$A$2:$A$300,0),MATCH(言語切替!$B$3,_翻訳マスタ!$B$1:$D$1,0))&amp;INDEX(_翻訳マスタ!$B$2:$D$300,MATCH("NEW_CN_SUFFIX",_翻訳マスタ!$A$2:$A$300,0),MATCH(言語切替!$B$3,_翻訳マスタ!$B$1:$D$1,0))</f>
        <v>Lý do thay đổi (CN)</v>
      </c>
      <c r="M4" s="49" t="str">
        <f>INDEX(_翻訳マスタ!$B$117:$D$247,MATCH("REV_COL_APPROVER",_翻訳マスタ!$A$117:$A$247,0),MATCH(言語切替!$B$3,_翻訳マスタ!$B$1:$D$1,0))</f>
        <v>Người phê duyệt</v>
      </c>
      <c r="N4" s="50" t="str">
        <f>INDEX(_翻訳マスタ!$B$2:$D$300,MATCH("REV_COL_NOTE",_翻訳マスタ!$A$2:$A$300,0),MATCH(言語切替!$B$3,_翻訳マスタ!$B$1:$D$1,0))&amp;INDEX(_翻訳マスタ!$B$2:$D$300,MATCH("NEW_INPUT_SUFFIX",_翻訳マスタ!$A$2:$A$300,0),MATCH(言語切替!$B$3,_翻訳マスタ!$B$1:$D$1,0))</f>
        <v>Ghi chú [Nhập: VI/JP/CN]</v>
      </c>
      <c r="O4" s="53" t="str">
        <f>INDEX(_翻訳マスタ!$B$2:$D$300,MATCH("REV_COL_NOTE",_翻訳マスタ!$A$2:$A$300,0),MATCH(言語切替!$B$3,_翻訳マスタ!$B$1:$D$1,0))&amp;INDEX(_翻訳マスタ!$B$2:$D$300,MATCH("NEW_VI_SUFFIX",_翻訳マスタ!$A$2:$A$300,0),MATCH(言語切替!$B$3,_翻訳マスタ!$B$1:$D$1,0))</f>
        <v>Ghi chú (VI)</v>
      </c>
      <c r="P4" s="53" t="str">
        <f>INDEX(_翻訳マスタ!$B$2:$D$300,MATCH("REV_COL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Q4" s="53" t="str">
        <f>INDEX(_翻訳マスタ!$B$2:$D$300,MATCH("REV_COL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</row>
    <row r="5" spans="1:17" s="21" customFormat="1" ht="31.5" customHeight="1" x14ac:dyDescent="0.25">
      <c r="A5" s="22" t="s">
        <v>222</v>
      </c>
      <c r="B5" s="24">
        <v>46288</v>
      </c>
      <c r="C5" s="23" t="str">
        <f>INDEX(_翻訳マスタ!$B$117:$D$247,MATCH("ROLE_PMO",_翻訳マスタ!$A$117:$A$247,0),MATCH(言語切替!$B$3,_翻訳マスタ!$B$1:$D$1,0))</f>
        <v>Ban điều hành</v>
      </c>
      <c r="D5" s="23" t="str">
        <f>'02_マスタ'!$A$5</f>
        <v>Toàn bộ</v>
      </c>
      <c r="E5" s="23" t="str">
        <f>INDEX(_翻訳マスタ!$D$2:$D$300,MATCH("REV_EX1_CONTENT",_翻訳マスタ!$A$2:$A$300,0))</f>
        <v>Tạo bản dự thảo đầu tiên của công cụ quản lý</v>
      </c>
      <c r="F5" s="52" t="str">
        <f t="shared" ref="F5:F30" si="0">IF(E5="","",_xlfn.TRANSLATE(E5,"","vi"))</f>
        <v>Tạo bản dự thảo đầu tiên của công cụ quản lý</v>
      </c>
      <c r="G5" s="52" t="str">
        <f t="shared" ref="G5:G30" si="1">IF(E5="","",_xlfn.TRANSLATE(E5,"","ja"))</f>
        <v>管理ツールの最初の草案を作成します</v>
      </c>
      <c r="H5" s="52" t="str">
        <f t="shared" ref="H5:H30" si="2">IF(E5="","",_xlfn.TRANSLATE(E5,"","zh-Hans"))</f>
        <v>创建管理工具的初稿</v>
      </c>
      <c r="I5" s="23" t="str">
        <f>INDEX(_翻訳マスタ!$D$2:$D$300,MATCH("REV_EX1_REASON",_翻訳マスタ!$A$2:$A$300,0))</f>
        <v>Cụ thể hóa phương án vận hành trong tài liệu giải trình của ban điều hành</v>
      </c>
      <c r="J5" s="52" t="str">
        <f t="shared" ref="J5:J30" si="3">IF(I5="","",_xlfn.TRANSLATE(I5,"","vi"))</f>
        <v>Cụ thể hóa phương án vận hành trong tài liệu giải trình của ban điều hành</v>
      </c>
      <c r="K5" s="52" t="str">
        <f t="shared" ref="K5:K30" si="4">IF(I5="","",_xlfn.TRANSLATE(I5,"","ja"))</f>
        <v>執行委員会の説明文書で運営計画を具体化してください</v>
      </c>
      <c r="L5" s="52" t="str">
        <f t="shared" ref="L5:L30" si="5">IF(I5="","",_xlfn.TRANSLATE(I5,"","zh-Hans"))</f>
        <v>在执行委员会的说明文件中具体化运营计划</v>
      </c>
      <c r="M5" s="23"/>
      <c r="N5" s="34" t="str">
        <f>INDEX(_翻訳マスタ!$D$2:$D$300,MATCH("COMMON_EXAMPLE",_翻訳マスタ!$A$2:$A$300,0))</f>
        <v>Ví dụ nhập liệu</v>
      </c>
      <c r="O5" s="44" t="str">
        <f t="shared" ref="O5:O30" si="6">IF(N5="","",_xlfn.TRANSLATE(N5,"","vi"))</f>
        <v>Ví dụ nhập liệu</v>
      </c>
      <c r="P5" s="44" t="str">
        <f t="shared" ref="P5:P30" si="7">IF(N5="","",_xlfn.TRANSLATE(N5,"","ja"))</f>
        <v>データ入力の例</v>
      </c>
      <c r="Q5" s="44" t="str">
        <f t="shared" ref="Q5:Q30" si="8">IF(N5="","",_xlfn.TRANSLATE(N5,"","zh-Hans"))</f>
        <v>数据录入示例</v>
      </c>
    </row>
    <row r="6" spans="1:17" s="21" customFormat="1" ht="31.5" customHeight="1" x14ac:dyDescent="0.25">
      <c r="A6" s="25"/>
      <c r="B6" s="27"/>
      <c r="C6" s="26"/>
      <c r="D6" s="26"/>
      <c r="E6" s="26"/>
      <c r="F6" s="38" t="str">
        <f t="shared" si="0"/>
        <v/>
      </c>
      <c r="G6" s="38" t="str">
        <f t="shared" si="1"/>
        <v/>
      </c>
      <c r="H6" s="38" t="str">
        <f t="shared" si="2"/>
        <v/>
      </c>
      <c r="I6" s="26"/>
      <c r="J6" s="38" t="str">
        <f t="shared" si="3"/>
        <v/>
      </c>
      <c r="K6" s="38" t="str">
        <f t="shared" si="4"/>
        <v/>
      </c>
      <c r="L6" s="38" t="str">
        <f t="shared" si="5"/>
        <v/>
      </c>
      <c r="M6" s="26"/>
      <c r="N6" s="35"/>
      <c r="O6" s="45" t="str">
        <f t="shared" si="6"/>
        <v/>
      </c>
      <c r="P6" s="45" t="str">
        <f t="shared" si="7"/>
        <v/>
      </c>
      <c r="Q6" s="45" t="str">
        <f t="shared" si="8"/>
        <v/>
      </c>
    </row>
    <row r="7" spans="1:17" s="21" customFormat="1" ht="31.5" customHeight="1" x14ac:dyDescent="0.25">
      <c r="A7" s="28"/>
      <c r="B7" s="30"/>
      <c r="C7" s="29"/>
      <c r="D7" s="29"/>
      <c r="E7" s="29"/>
      <c r="F7" s="39" t="str">
        <f t="shared" si="0"/>
        <v/>
      </c>
      <c r="G7" s="39" t="str">
        <f t="shared" si="1"/>
        <v/>
      </c>
      <c r="H7" s="39" t="str">
        <f t="shared" si="2"/>
        <v/>
      </c>
      <c r="I7" s="29"/>
      <c r="J7" s="39" t="str">
        <f t="shared" si="3"/>
        <v/>
      </c>
      <c r="K7" s="39" t="str">
        <f t="shared" si="4"/>
        <v/>
      </c>
      <c r="L7" s="39" t="str">
        <f t="shared" si="5"/>
        <v/>
      </c>
      <c r="M7" s="29"/>
      <c r="N7" s="36"/>
      <c r="O7" s="44" t="str">
        <f t="shared" si="6"/>
        <v/>
      </c>
      <c r="P7" s="44" t="str">
        <f t="shared" si="7"/>
        <v/>
      </c>
      <c r="Q7" s="44" t="str">
        <f t="shared" si="8"/>
        <v/>
      </c>
    </row>
    <row r="8" spans="1:17" s="21" customFormat="1" ht="31.5" customHeight="1" x14ac:dyDescent="0.25">
      <c r="A8" s="25"/>
      <c r="B8" s="27"/>
      <c r="C8" s="26"/>
      <c r="D8" s="26"/>
      <c r="E8" s="26"/>
      <c r="F8" s="38" t="str">
        <f t="shared" si="0"/>
        <v/>
      </c>
      <c r="G8" s="38" t="str">
        <f t="shared" si="1"/>
        <v/>
      </c>
      <c r="H8" s="38" t="str">
        <f t="shared" si="2"/>
        <v/>
      </c>
      <c r="I8" s="26"/>
      <c r="J8" s="38" t="str">
        <f t="shared" si="3"/>
        <v/>
      </c>
      <c r="K8" s="38" t="str">
        <f t="shared" si="4"/>
        <v/>
      </c>
      <c r="L8" s="38" t="str">
        <f t="shared" si="5"/>
        <v/>
      </c>
      <c r="M8" s="26"/>
      <c r="N8" s="35"/>
      <c r="O8" s="45" t="str">
        <f t="shared" si="6"/>
        <v/>
      </c>
      <c r="P8" s="45" t="str">
        <f t="shared" si="7"/>
        <v/>
      </c>
      <c r="Q8" s="45" t="str">
        <f t="shared" si="8"/>
        <v/>
      </c>
    </row>
    <row r="9" spans="1:17" s="21" customFormat="1" ht="15" customHeight="1" x14ac:dyDescent="0.25">
      <c r="A9" s="28"/>
      <c r="B9" s="30"/>
      <c r="C9" s="29"/>
      <c r="D9" s="29"/>
      <c r="E9" s="29"/>
      <c r="F9" s="39" t="str">
        <f t="shared" si="0"/>
        <v/>
      </c>
      <c r="G9" s="39" t="str">
        <f t="shared" si="1"/>
        <v/>
      </c>
      <c r="H9" s="39" t="str">
        <f t="shared" si="2"/>
        <v/>
      </c>
      <c r="I9" s="29"/>
      <c r="J9" s="39" t="str">
        <f t="shared" si="3"/>
        <v/>
      </c>
      <c r="K9" s="39" t="str">
        <f t="shared" si="4"/>
        <v/>
      </c>
      <c r="L9" s="39" t="str">
        <f t="shared" si="5"/>
        <v/>
      </c>
      <c r="M9" s="29"/>
      <c r="N9" s="36"/>
      <c r="O9" s="44" t="str">
        <f t="shared" si="6"/>
        <v/>
      </c>
      <c r="P9" s="44" t="str">
        <f t="shared" si="7"/>
        <v/>
      </c>
      <c r="Q9" s="44" t="str">
        <f t="shared" si="8"/>
        <v/>
      </c>
    </row>
    <row r="10" spans="1:17" s="21" customFormat="1" ht="15" customHeight="1" x14ac:dyDescent="0.25">
      <c r="A10" s="25"/>
      <c r="B10" s="27"/>
      <c r="C10" s="26"/>
      <c r="D10" s="26"/>
      <c r="E10" s="26"/>
      <c r="F10" s="38" t="str">
        <f t="shared" si="0"/>
        <v/>
      </c>
      <c r="G10" s="38" t="str">
        <f t="shared" si="1"/>
        <v/>
      </c>
      <c r="H10" s="38" t="str">
        <f t="shared" si="2"/>
        <v/>
      </c>
      <c r="I10" s="26"/>
      <c r="J10" s="38" t="str">
        <f t="shared" si="3"/>
        <v/>
      </c>
      <c r="K10" s="38" t="str">
        <f t="shared" si="4"/>
        <v/>
      </c>
      <c r="L10" s="38" t="str">
        <f t="shared" si="5"/>
        <v/>
      </c>
      <c r="M10" s="26"/>
      <c r="N10" s="35"/>
      <c r="O10" s="45" t="str">
        <f t="shared" si="6"/>
        <v/>
      </c>
      <c r="P10" s="45" t="str">
        <f t="shared" si="7"/>
        <v/>
      </c>
      <c r="Q10" s="45" t="str">
        <f t="shared" si="8"/>
        <v/>
      </c>
    </row>
    <row r="11" spans="1:17" s="21" customFormat="1" ht="15" customHeight="1" x14ac:dyDescent="0.25">
      <c r="A11" s="28"/>
      <c r="B11" s="30"/>
      <c r="C11" s="29"/>
      <c r="D11" s="29"/>
      <c r="E11" s="29"/>
      <c r="F11" s="39" t="str">
        <f t="shared" si="0"/>
        <v/>
      </c>
      <c r="G11" s="39" t="str">
        <f t="shared" si="1"/>
        <v/>
      </c>
      <c r="H11" s="39" t="str">
        <f t="shared" si="2"/>
        <v/>
      </c>
      <c r="I11" s="29"/>
      <c r="J11" s="39" t="str">
        <f t="shared" si="3"/>
        <v/>
      </c>
      <c r="K11" s="39" t="str">
        <f t="shared" si="4"/>
        <v/>
      </c>
      <c r="L11" s="39" t="str">
        <f t="shared" si="5"/>
        <v/>
      </c>
      <c r="M11" s="29"/>
      <c r="N11" s="36"/>
      <c r="O11" s="44" t="str">
        <f t="shared" si="6"/>
        <v/>
      </c>
      <c r="P11" s="44" t="str">
        <f t="shared" si="7"/>
        <v/>
      </c>
      <c r="Q11" s="44" t="str">
        <f t="shared" si="8"/>
        <v/>
      </c>
    </row>
    <row r="12" spans="1:17" s="21" customFormat="1" ht="15" customHeight="1" x14ac:dyDescent="0.25">
      <c r="A12" s="25"/>
      <c r="B12" s="27"/>
      <c r="C12" s="26"/>
      <c r="D12" s="26"/>
      <c r="E12" s="26"/>
      <c r="F12" s="38" t="str">
        <f t="shared" si="0"/>
        <v/>
      </c>
      <c r="G12" s="38" t="str">
        <f t="shared" si="1"/>
        <v/>
      </c>
      <c r="H12" s="38" t="str">
        <f t="shared" si="2"/>
        <v/>
      </c>
      <c r="I12" s="26"/>
      <c r="J12" s="38" t="str">
        <f t="shared" si="3"/>
        <v/>
      </c>
      <c r="K12" s="38" t="str">
        <f t="shared" si="4"/>
        <v/>
      </c>
      <c r="L12" s="38" t="str">
        <f t="shared" si="5"/>
        <v/>
      </c>
      <c r="M12" s="26"/>
      <c r="N12" s="35"/>
      <c r="O12" s="45" t="str">
        <f t="shared" si="6"/>
        <v/>
      </c>
      <c r="P12" s="45" t="str">
        <f t="shared" si="7"/>
        <v/>
      </c>
      <c r="Q12" s="45" t="str">
        <f t="shared" si="8"/>
        <v/>
      </c>
    </row>
    <row r="13" spans="1:17" s="21" customFormat="1" ht="15" customHeight="1" x14ac:dyDescent="0.25">
      <c r="A13" s="28"/>
      <c r="B13" s="30"/>
      <c r="C13" s="29"/>
      <c r="D13" s="29"/>
      <c r="E13" s="29"/>
      <c r="F13" s="39" t="str">
        <f t="shared" si="0"/>
        <v/>
      </c>
      <c r="G13" s="39" t="str">
        <f t="shared" si="1"/>
        <v/>
      </c>
      <c r="H13" s="39" t="str">
        <f t="shared" si="2"/>
        <v/>
      </c>
      <c r="I13" s="29"/>
      <c r="J13" s="39" t="str">
        <f t="shared" si="3"/>
        <v/>
      </c>
      <c r="K13" s="39" t="str">
        <f t="shared" si="4"/>
        <v/>
      </c>
      <c r="L13" s="39" t="str">
        <f t="shared" si="5"/>
        <v/>
      </c>
      <c r="M13" s="29"/>
      <c r="N13" s="36"/>
      <c r="O13" s="44" t="str">
        <f t="shared" si="6"/>
        <v/>
      </c>
      <c r="P13" s="44" t="str">
        <f t="shared" si="7"/>
        <v/>
      </c>
      <c r="Q13" s="44" t="str">
        <f t="shared" si="8"/>
        <v/>
      </c>
    </row>
    <row r="14" spans="1:17" s="21" customFormat="1" ht="15" customHeight="1" x14ac:dyDescent="0.25">
      <c r="A14" s="25"/>
      <c r="B14" s="27"/>
      <c r="C14" s="26"/>
      <c r="D14" s="26"/>
      <c r="E14" s="26"/>
      <c r="F14" s="38" t="str">
        <f t="shared" si="0"/>
        <v/>
      </c>
      <c r="G14" s="38" t="str">
        <f t="shared" si="1"/>
        <v/>
      </c>
      <c r="H14" s="38" t="str">
        <f t="shared" si="2"/>
        <v/>
      </c>
      <c r="I14" s="26"/>
      <c r="J14" s="38" t="str">
        <f t="shared" si="3"/>
        <v/>
      </c>
      <c r="K14" s="38" t="str">
        <f t="shared" si="4"/>
        <v/>
      </c>
      <c r="L14" s="38" t="str">
        <f t="shared" si="5"/>
        <v/>
      </c>
      <c r="M14" s="26"/>
      <c r="N14" s="35"/>
      <c r="O14" s="45" t="str">
        <f t="shared" si="6"/>
        <v/>
      </c>
      <c r="P14" s="45" t="str">
        <f t="shared" si="7"/>
        <v/>
      </c>
      <c r="Q14" s="45" t="str">
        <f t="shared" si="8"/>
        <v/>
      </c>
    </row>
    <row r="15" spans="1:17" s="21" customFormat="1" ht="15" customHeight="1" x14ac:dyDescent="0.25">
      <c r="A15" s="28"/>
      <c r="B15" s="30"/>
      <c r="C15" s="29"/>
      <c r="D15" s="29"/>
      <c r="E15" s="29"/>
      <c r="F15" s="39" t="str">
        <f t="shared" si="0"/>
        <v/>
      </c>
      <c r="G15" s="39" t="str">
        <f t="shared" si="1"/>
        <v/>
      </c>
      <c r="H15" s="39" t="str">
        <f t="shared" si="2"/>
        <v/>
      </c>
      <c r="I15" s="29"/>
      <c r="J15" s="39" t="str">
        <f t="shared" si="3"/>
        <v/>
      </c>
      <c r="K15" s="39" t="str">
        <f t="shared" si="4"/>
        <v/>
      </c>
      <c r="L15" s="39" t="str">
        <f t="shared" si="5"/>
        <v/>
      </c>
      <c r="M15" s="29"/>
      <c r="N15" s="36"/>
      <c r="O15" s="44" t="str">
        <f t="shared" si="6"/>
        <v/>
      </c>
      <c r="P15" s="44" t="str">
        <f t="shared" si="7"/>
        <v/>
      </c>
      <c r="Q15" s="44" t="str">
        <f t="shared" si="8"/>
        <v/>
      </c>
    </row>
    <row r="16" spans="1:17" s="21" customFormat="1" ht="15" customHeight="1" x14ac:dyDescent="0.25">
      <c r="A16" s="25"/>
      <c r="B16" s="27"/>
      <c r="C16" s="26"/>
      <c r="D16" s="26"/>
      <c r="E16" s="26"/>
      <c r="F16" s="38" t="str">
        <f t="shared" si="0"/>
        <v/>
      </c>
      <c r="G16" s="38" t="str">
        <f t="shared" si="1"/>
        <v/>
      </c>
      <c r="H16" s="38" t="str">
        <f t="shared" si="2"/>
        <v/>
      </c>
      <c r="I16" s="26"/>
      <c r="J16" s="38" t="str">
        <f t="shared" si="3"/>
        <v/>
      </c>
      <c r="K16" s="38" t="str">
        <f t="shared" si="4"/>
        <v/>
      </c>
      <c r="L16" s="38" t="str">
        <f t="shared" si="5"/>
        <v/>
      </c>
      <c r="M16" s="26"/>
      <c r="N16" s="35"/>
      <c r="O16" s="45" t="str">
        <f t="shared" si="6"/>
        <v/>
      </c>
      <c r="P16" s="45" t="str">
        <f t="shared" si="7"/>
        <v/>
      </c>
      <c r="Q16" s="45" t="str">
        <f t="shared" si="8"/>
        <v/>
      </c>
    </row>
    <row r="17" spans="1:17" s="21" customFormat="1" ht="15" customHeight="1" x14ac:dyDescent="0.25">
      <c r="A17" s="28"/>
      <c r="B17" s="30"/>
      <c r="C17" s="29"/>
      <c r="D17" s="29"/>
      <c r="E17" s="29"/>
      <c r="F17" s="39" t="str">
        <f t="shared" si="0"/>
        <v/>
      </c>
      <c r="G17" s="39" t="str">
        <f t="shared" si="1"/>
        <v/>
      </c>
      <c r="H17" s="39" t="str">
        <f t="shared" si="2"/>
        <v/>
      </c>
      <c r="I17" s="29"/>
      <c r="J17" s="39" t="str">
        <f t="shared" si="3"/>
        <v/>
      </c>
      <c r="K17" s="39" t="str">
        <f t="shared" si="4"/>
        <v/>
      </c>
      <c r="L17" s="39" t="str">
        <f t="shared" si="5"/>
        <v/>
      </c>
      <c r="M17" s="29"/>
      <c r="N17" s="36"/>
      <c r="O17" s="44" t="str">
        <f t="shared" si="6"/>
        <v/>
      </c>
      <c r="P17" s="44" t="str">
        <f t="shared" si="7"/>
        <v/>
      </c>
      <c r="Q17" s="44" t="str">
        <f t="shared" si="8"/>
        <v/>
      </c>
    </row>
    <row r="18" spans="1:17" s="21" customFormat="1" ht="15" customHeight="1" x14ac:dyDescent="0.25">
      <c r="A18" s="25"/>
      <c r="B18" s="27"/>
      <c r="C18" s="26"/>
      <c r="D18" s="26"/>
      <c r="E18" s="26"/>
      <c r="F18" s="38" t="str">
        <f t="shared" si="0"/>
        <v/>
      </c>
      <c r="G18" s="38" t="str">
        <f t="shared" si="1"/>
        <v/>
      </c>
      <c r="H18" s="38" t="str">
        <f t="shared" si="2"/>
        <v/>
      </c>
      <c r="I18" s="26"/>
      <c r="J18" s="38" t="str">
        <f t="shared" si="3"/>
        <v/>
      </c>
      <c r="K18" s="38" t="str">
        <f t="shared" si="4"/>
        <v/>
      </c>
      <c r="L18" s="38" t="str">
        <f t="shared" si="5"/>
        <v/>
      </c>
      <c r="M18" s="26"/>
      <c r="N18" s="35"/>
      <c r="O18" s="45" t="str">
        <f t="shared" si="6"/>
        <v/>
      </c>
      <c r="P18" s="45" t="str">
        <f t="shared" si="7"/>
        <v/>
      </c>
      <c r="Q18" s="45" t="str">
        <f t="shared" si="8"/>
        <v/>
      </c>
    </row>
    <row r="19" spans="1:17" s="21" customFormat="1" ht="15" customHeight="1" x14ac:dyDescent="0.25">
      <c r="A19" s="28"/>
      <c r="B19" s="30"/>
      <c r="C19" s="29"/>
      <c r="D19" s="29"/>
      <c r="E19" s="29"/>
      <c r="F19" s="39" t="str">
        <f t="shared" si="0"/>
        <v/>
      </c>
      <c r="G19" s="39" t="str">
        <f t="shared" si="1"/>
        <v/>
      </c>
      <c r="H19" s="39" t="str">
        <f t="shared" si="2"/>
        <v/>
      </c>
      <c r="I19" s="29"/>
      <c r="J19" s="39" t="str">
        <f t="shared" si="3"/>
        <v/>
      </c>
      <c r="K19" s="39" t="str">
        <f t="shared" si="4"/>
        <v/>
      </c>
      <c r="L19" s="39" t="str">
        <f t="shared" si="5"/>
        <v/>
      </c>
      <c r="M19" s="29"/>
      <c r="N19" s="36"/>
      <c r="O19" s="44" t="str">
        <f t="shared" si="6"/>
        <v/>
      </c>
      <c r="P19" s="44" t="str">
        <f t="shared" si="7"/>
        <v/>
      </c>
      <c r="Q19" s="44" t="str">
        <f t="shared" si="8"/>
        <v/>
      </c>
    </row>
    <row r="20" spans="1:17" s="21" customFormat="1" ht="15" customHeight="1" x14ac:dyDescent="0.25">
      <c r="A20" s="25"/>
      <c r="B20" s="27"/>
      <c r="C20" s="26"/>
      <c r="D20" s="26"/>
      <c r="E20" s="26"/>
      <c r="F20" s="38" t="str">
        <f t="shared" si="0"/>
        <v/>
      </c>
      <c r="G20" s="38" t="str">
        <f t="shared" si="1"/>
        <v/>
      </c>
      <c r="H20" s="38" t="str">
        <f t="shared" si="2"/>
        <v/>
      </c>
      <c r="I20" s="26"/>
      <c r="J20" s="38" t="str">
        <f t="shared" si="3"/>
        <v/>
      </c>
      <c r="K20" s="38" t="str">
        <f t="shared" si="4"/>
        <v/>
      </c>
      <c r="L20" s="38" t="str">
        <f t="shared" si="5"/>
        <v/>
      </c>
      <c r="M20" s="26"/>
      <c r="N20" s="35"/>
      <c r="O20" s="45" t="str">
        <f t="shared" si="6"/>
        <v/>
      </c>
      <c r="P20" s="45" t="str">
        <f t="shared" si="7"/>
        <v/>
      </c>
      <c r="Q20" s="45" t="str">
        <f t="shared" si="8"/>
        <v/>
      </c>
    </row>
    <row r="21" spans="1:17" s="21" customFormat="1" ht="15" customHeight="1" x14ac:dyDescent="0.25">
      <c r="A21" s="28"/>
      <c r="B21" s="30"/>
      <c r="C21" s="29"/>
      <c r="D21" s="29"/>
      <c r="E21" s="29"/>
      <c r="F21" s="39" t="str">
        <f t="shared" si="0"/>
        <v/>
      </c>
      <c r="G21" s="39" t="str">
        <f t="shared" si="1"/>
        <v/>
      </c>
      <c r="H21" s="39" t="str">
        <f t="shared" si="2"/>
        <v/>
      </c>
      <c r="I21" s="29"/>
      <c r="J21" s="39" t="str">
        <f t="shared" si="3"/>
        <v/>
      </c>
      <c r="K21" s="39" t="str">
        <f t="shared" si="4"/>
        <v/>
      </c>
      <c r="L21" s="39" t="str">
        <f t="shared" si="5"/>
        <v/>
      </c>
      <c r="M21" s="29"/>
      <c r="N21" s="36"/>
      <c r="O21" s="44" t="str">
        <f t="shared" si="6"/>
        <v/>
      </c>
      <c r="P21" s="44" t="str">
        <f t="shared" si="7"/>
        <v/>
      </c>
      <c r="Q21" s="44" t="str">
        <f t="shared" si="8"/>
        <v/>
      </c>
    </row>
    <row r="22" spans="1:17" s="21" customFormat="1" ht="15" customHeight="1" x14ac:dyDescent="0.25">
      <c r="A22" s="25"/>
      <c r="B22" s="27"/>
      <c r="C22" s="26"/>
      <c r="D22" s="26"/>
      <c r="E22" s="26"/>
      <c r="F22" s="38" t="str">
        <f t="shared" si="0"/>
        <v/>
      </c>
      <c r="G22" s="38" t="str">
        <f t="shared" si="1"/>
        <v/>
      </c>
      <c r="H22" s="38" t="str">
        <f t="shared" si="2"/>
        <v/>
      </c>
      <c r="I22" s="26"/>
      <c r="J22" s="38" t="str">
        <f t="shared" si="3"/>
        <v/>
      </c>
      <c r="K22" s="38" t="str">
        <f t="shared" si="4"/>
        <v/>
      </c>
      <c r="L22" s="38" t="str">
        <f t="shared" si="5"/>
        <v/>
      </c>
      <c r="M22" s="26"/>
      <c r="N22" s="35"/>
      <c r="O22" s="45" t="str">
        <f t="shared" si="6"/>
        <v/>
      </c>
      <c r="P22" s="45" t="str">
        <f t="shared" si="7"/>
        <v/>
      </c>
      <c r="Q22" s="45" t="str">
        <f t="shared" si="8"/>
        <v/>
      </c>
    </row>
    <row r="23" spans="1:17" s="21" customFormat="1" ht="15" customHeight="1" x14ac:dyDescent="0.25">
      <c r="A23" s="28"/>
      <c r="B23" s="30"/>
      <c r="C23" s="29"/>
      <c r="D23" s="29"/>
      <c r="E23" s="29"/>
      <c r="F23" s="39" t="str">
        <f t="shared" si="0"/>
        <v/>
      </c>
      <c r="G23" s="39" t="str">
        <f t="shared" si="1"/>
        <v/>
      </c>
      <c r="H23" s="39" t="str">
        <f t="shared" si="2"/>
        <v/>
      </c>
      <c r="I23" s="29"/>
      <c r="J23" s="39" t="str">
        <f t="shared" si="3"/>
        <v/>
      </c>
      <c r="K23" s="39" t="str">
        <f t="shared" si="4"/>
        <v/>
      </c>
      <c r="L23" s="39" t="str">
        <f t="shared" si="5"/>
        <v/>
      </c>
      <c r="M23" s="29"/>
      <c r="N23" s="36"/>
      <c r="O23" s="44" t="str">
        <f t="shared" si="6"/>
        <v/>
      </c>
      <c r="P23" s="44" t="str">
        <f t="shared" si="7"/>
        <v/>
      </c>
      <c r="Q23" s="44" t="str">
        <f t="shared" si="8"/>
        <v/>
      </c>
    </row>
    <row r="24" spans="1:17" s="21" customFormat="1" ht="15" customHeight="1" x14ac:dyDescent="0.25">
      <c r="A24" s="25"/>
      <c r="B24" s="27"/>
      <c r="C24" s="26"/>
      <c r="D24" s="26"/>
      <c r="E24" s="26"/>
      <c r="F24" s="38" t="str">
        <f t="shared" si="0"/>
        <v/>
      </c>
      <c r="G24" s="38" t="str">
        <f t="shared" si="1"/>
        <v/>
      </c>
      <c r="H24" s="38" t="str">
        <f t="shared" si="2"/>
        <v/>
      </c>
      <c r="I24" s="26"/>
      <c r="J24" s="38" t="str">
        <f t="shared" si="3"/>
        <v/>
      </c>
      <c r="K24" s="38" t="str">
        <f t="shared" si="4"/>
        <v/>
      </c>
      <c r="L24" s="38" t="str">
        <f t="shared" si="5"/>
        <v/>
      </c>
      <c r="M24" s="26"/>
      <c r="N24" s="35"/>
      <c r="O24" s="45" t="str">
        <f t="shared" si="6"/>
        <v/>
      </c>
      <c r="P24" s="45" t="str">
        <f t="shared" si="7"/>
        <v/>
      </c>
      <c r="Q24" s="45" t="str">
        <f t="shared" si="8"/>
        <v/>
      </c>
    </row>
    <row r="25" spans="1:17" s="21" customFormat="1" ht="15" customHeight="1" x14ac:dyDescent="0.25">
      <c r="A25" s="28"/>
      <c r="B25" s="30"/>
      <c r="C25" s="29"/>
      <c r="D25" s="29"/>
      <c r="E25" s="29"/>
      <c r="F25" s="39" t="str">
        <f t="shared" si="0"/>
        <v/>
      </c>
      <c r="G25" s="39" t="str">
        <f t="shared" si="1"/>
        <v/>
      </c>
      <c r="H25" s="39" t="str">
        <f t="shared" si="2"/>
        <v/>
      </c>
      <c r="I25" s="29"/>
      <c r="J25" s="39" t="str">
        <f t="shared" si="3"/>
        <v/>
      </c>
      <c r="K25" s="39" t="str">
        <f t="shared" si="4"/>
        <v/>
      </c>
      <c r="L25" s="39" t="str">
        <f t="shared" si="5"/>
        <v/>
      </c>
      <c r="M25" s="29"/>
      <c r="N25" s="36"/>
      <c r="O25" s="44" t="str">
        <f t="shared" si="6"/>
        <v/>
      </c>
      <c r="P25" s="44" t="str">
        <f t="shared" si="7"/>
        <v/>
      </c>
      <c r="Q25" s="44" t="str">
        <f t="shared" si="8"/>
        <v/>
      </c>
    </row>
    <row r="26" spans="1:17" s="21" customFormat="1" ht="15" customHeight="1" x14ac:dyDescent="0.25">
      <c r="A26" s="25"/>
      <c r="B26" s="27"/>
      <c r="C26" s="26"/>
      <c r="D26" s="26"/>
      <c r="E26" s="26"/>
      <c r="F26" s="38" t="str">
        <f t="shared" si="0"/>
        <v/>
      </c>
      <c r="G26" s="38" t="str">
        <f t="shared" si="1"/>
        <v/>
      </c>
      <c r="H26" s="38" t="str">
        <f t="shared" si="2"/>
        <v/>
      </c>
      <c r="I26" s="26"/>
      <c r="J26" s="38" t="str">
        <f t="shared" si="3"/>
        <v/>
      </c>
      <c r="K26" s="38" t="str">
        <f t="shared" si="4"/>
        <v/>
      </c>
      <c r="L26" s="38" t="str">
        <f t="shared" si="5"/>
        <v/>
      </c>
      <c r="M26" s="26"/>
      <c r="N26" s="35"/>
      <c r="O26" s="45" t="str">
        <f t="shared" si="6"/>
        <v/>
      </c>
      <c r="P26" s="45" t="str">
        <f t="shared" si="7"/>
        <v/>
      </c>
      <c r="Q26" s="45" t="str">
        <f t="shared" si="8"/>
        <v/>
      </c>
    </row>
    <row r="27" spans="1:17" s="21" customFormat="1" ht="15" customHeight="1" x14ac:dyDescent="0.25">
      <c r="A27" s="28"/>
      <c r="B27" s="30"/>
      <c r="C27" s="29"/>
      <c r="D27" s="29"/>
      <c r="E27" s="29"/>
      <c r="F27" s="39" t="str">
        <f t="shared" si="0"/>
        <v/>
      </c>
      <c r="G27" s="39" t="str">
        <f t="shared" si="1"/>
        <v/>
      </c>
      <c r="H27" s="39" t="str">
        <f t="shared" si="2"/>
        <v/>
      </c>
      <c r="I27" s="29"/>
      <c r="J27" s="39" t="str">
        <f t="shared" si="3"/>
        <v/>
      </c>
      <c r="K27" s="39" t="str">
        <f t="shared" si="4"/>
        <v/>
      </c>
      <c r="L27" s="39" t="str">
        <f t="shared" si="5"/>
        <v/>
      </c>
      <c r="M27" s="29"/>
      <c r="N27" s="36"/>
      <c r="O27" s="44" t="str">
        <f t="shared" si="6"/>
        <v/>
      </c>
      <c r="P27" s="44" t="str">
        <f t="shared" si="7"/>
        <v/>
      </c>
      <c r="Q27" s="44" t="str">
        <f t="shared" si="8"/>
        <v/>
      </c>
    </row>
    <row r="28" spans="1:17" s="21" customFormat="1" x14ac:dyDescent="0.25">
      <c r="A28" s="25"/>
      <c r="B28" s="27"/>
      <c r="C28" s="26"/>
      <c r="D28" s="26"/>
      <c r="E28" s="26"/>
      <c r="F28" s="38" t="str">
        <f t="shared" si="0"/>
        <v/>
      </c>
      <c r="G28" s="38" t="str">
        <f t="shared" si="1"/>
        <v/>
      </c>
      <c r="H28" s="38" t="str">
        <f t="shared" si="2"/>
        <v/>
      </c>
      <c r="I28" s="26"/>
      <c r="J28" s="38" t="str">
        <f t="shared" si="3"/>
        <v/>
      </c>
      <c r="K28" s="38" t="str">
        <f t="shared" si="4"/>
        <v/>
      </c>
      <c r="L28" s="38" t="str">
        <f t="shared" si="5"/>
        <v/>
      </c>
      <c r="M28" s="26"/>
      <c r="N28" s="35"/>
      <c r="O28" s="45" t="str">
        <f t="shared" si="6"/>
        <v/>
      </c>
      <c r="P28" s="45" t="str">
        <f t="shared" si="7"/>
        <v/>
      </c>
      <c r="Q28" s="45" t="str">
        <f t="shared" si="8"/>
        <v/>
      </c>
    </row>
    <row r="29" spans="1:17" s="21" customFormat="1" ht="15" customHeight="1" x14ac:dyDescent="0.25">
      <c r="A29" s="28"/>
      <c r="B29" s="30"/>
      <c r="C29" s="29"/>
      <c r="D29" s="29"/>
      <c r="E29" s="29"/>
      <c r="F29" s="39" t="str">
        <f t="shared" si="0"/>
        <v/>
      </c>
      <c r="G29" s="39" t="str">
        <f t="shared" si="1"/>
        <v/>
      </c>
      <c r="H29" s="39" t="str">
        <f t="shared" si="2"/>
        <v/>
      </c>
      <c r="I29" s="29"/>
      <c r="J29" s="39" t="str">
        <f t="shared" si="3"/>
        <v/>
      </c>
      <c r="K29" s="39" t="str">
        <f t="shared" si="4"/>
        <v/>
      </c>
      <c r="L29" s="39" t="str">
        <f t="shared" si="5"/>
        <v/>
      </c>
      <c r="M29" s="29"/>
      <c r="N29" s="36"/>
      <c r="O29" s="44" t="str">
        <f t="shared" si="6"/>
        <v/>
      </c>
      <c r="P29" s="44" t="str">
        <f t="shared" si="7"/>
        <v/>
      </c>
      <c r="Q29" s="44" t="str">
        <f t="shared" si="8"/>
        <v/>
      </c>
    </row>
    <row r="30" spans="1:17" s="21" customFormat="1" ht="15" customHeight="1" x14ac:dyDescent="0.25">
      <c r="A30" s="25"/>
      <c r="B30" s="27"/>
      <c r="C30" s="26"/>
      <c r="D30" s="26"/>
      <c r="E30" s="26"/>
      <c r="F30" s="38" t="str">
        <f t="shared" si="0"/>
        <v/>
      </c>
      <c r="G30" s="38" t="str">
        <f t="shared" si="1"/>
        <v/>
      </c>
      <c r="H30" s="38" t="str">
        <f t="shared" si="2"/>
        <v/>
      </c>
      <c r="I30" s="26"/>
      <c r="J30" s="38" t="str">
        <f t="shared" si="3"/>
        <v/>
      </c>
      <c r="K30" s="38" t="str">
        <f t="shared" si="4"/>
        <v/>
      </c>
      <c r="L30" s="38" t="str">
        <f t="shared" si="5"/>
        <v/>
      </c>
      <c r="M30" s="26"/>
      <c r="N30" s="35"/>
      <c r="O30" s="45" t="str">
        <f t="shared" si="6"/>
        <v/>
      </c>
      <c r="P30" s="45" t="str">
        <f t="shared" si="7"/>
        <v/>
      </c>
      <c r="Q30" s="45" t="str">
        <f t="shared" si="8"/>
        <v/>
      </c>
    </row>
    <row r="31" spans="1:17" s="21" customFormat="1" ht="15" customHeight="1" x14ac:dyDescent="0.25">
      <c r="A31" s="28"/>
      <c r="B31" s="30"/>
      <c r="C31" s="29"/>
      <c r="D31" s="29"/>
      <c r="E31" s="29"/>
      <c r="F31" s="39"/>
      <c r="G31" s="39" t="str">
        <f t="shared" ref="G31:G37" si="9">IF(E31="","",_xlfn.TRANSLATE(E31,"vi","ja"))</f>
        <v/>
      </c>
      <c r="H31" s="39" t="str">
        <f t="shared" ref="H31:H37" si="10">IF(E31="","",_xlfn.TRANSLATE(E31,"vi","zh-Hans"))</f>
        <v/>
      </c>
      <c r="I31" s="29"/>
      <c r="J31" s="39"/>
      <c r="K31" s="39" t="str">
        <f t="shared" ref="K31:K37" si="11">IF(I31="","",_xlfn.TRANSLATE(I31,"vi","ja"))</f>
        <v/>
      </c>
      <c r="L31" s="39" t="str">
        <f t="shared" ref="L31:L37" si="12">IF(I31="","",_xlfn.TRANSLATE(I31,"vi","zh-Hans"))</f>
        <v/>
      </c>
      <c r="M31" s="29"/>
      <c r="N31" s="36"/>
      <c r="O31" s="44"/>
      <c r="P31" s="44" t="str">
        <f t="shared" ref="P31:P37" si="13">IF(N31="","",_xlfn.TRANSLATE(N31,"vi","ja"))</f>
        <v/>
      </c>
      <c r="Q31" s="44" t="str">
        <f t="shared" ref="Q31:Q37" si="14">IF(N31="","",_xlfn.TRANSLATE(N31,"vi","zh-Hans"))</f>
        <v/>
      </c>
    </row>
    <row r="32" spans="1:17" s="21" customFormat="1" ht="15" customHeight="1" x14ac:dyDescent="0.25">
      <c r="A32" s="25"/>
      <c r="B32" s="27"/>
      <c r="C32" s="26"/>
      <c r="D32" s="26"/>
      <c r="E32" s="26"/>
      <c r="F32" s="38"/>
      <c r="G32" s="38" t="str">
        <f t="shared" si="9"/>
        <v/>
      </c>
      <c r="H32" s="38" t="str">
        <f t="shared" si="10"/>
        <v/>
      </c>
      <c r="I32" s="26"/>
      <c r="J32" s="38"/>
      <c r="K32" s="38" t="str">
        <f t="shared" si="11"/>
        <v/>
      </c>
      <c r="L32" s="38" t="str">
        <f t="shared" si="12"/>
        <v/>
      </c>
      <c r="M32" s="26"/>
      <c r="N32" s="35"/>
      <c r="O32" s="45"/>
      <c r="P32" s="45" t="str">
        <f t="shared" si="13"/>
        <v/>
      </c>
      <c r="Q32" s="45" t="str">
        <f t="shared" si="14"/>
        <v/>
      </c>
    </row>
    <row r="33" spans="1:17" s="21" customFormat="1" ht="15" customHeight="1" x14ac:dyDescent="0.25">
      <c r="A33" s="28"/>
      <c r="B33" s="30"/>
      <c r="C33" s="29"/>
      <c r="D33" s="29"/>
      <c r="E33" s="29"/>
      <c r="F33" s="39"/>
      <c r="G33" s="39" t="str">
        <f t="shared" si="9"/>
        <v/>
      </c>
      <c r="H33" s="39" t="str">
        <f t="shared" si="10"/>
        <v/>
      </c>
      <c r="I33" s="29"/>
      <c r="J33" s="39"/>
      <c r="K33" s="39" t="str">
        <f t="shared" si="11"/>
        <v/>
      </c>
      <c r="L33" s="39" t="str">
        <f t="shared" si="12"/>
        <v/>
      </c>
      <c r="M33" s="29"/>
      <c r="N33" s="36"/>
      <c r="O33" s="44"/>
      <c r="P33" s="44" t="str">
        <f t="shared" si="13"/>
        <v/>
      </c>
      <c r="Q33" s="44" t="str">
        <f t="shared" si="14"/>
        <v/>
      </c>
    </row>
    <row r="34" spans="1:17" s="21" customFormat="1" ht="15" customHeight="1" x14ac:dyDescent="0.25">
      <c r="A34" s="25"/>
      <c r="B34" s="27"/>
      <c r="C34" s="26"/>
      <c r="D34" s="26"/>
      <c r="E34" s="26"/>
      <c r="F34" s="38"/>
      <c r="G34" s="38" t="str">
        <f t="shared" si="9"/>
        <v/>
      </c>
      <c r="H34" s="38" t="str">
        <f t="shared" si="10"/>
        <v/>
      </c>
      <c r="I34" s="26"/>
      <c r="J34" s="38"/>
      <c r="K34" s="38" t="str">
        <f t="shared" si="11"/>
        <v/>
      </c>
      <c r="L34" s="38" t="str">
        <f t="shared" si="12"/>
        <v/>
      </c>
      <c r="M34" s="26"/>
      <c r="N34" s="35"/>
      <c r="O34" s="45"/>
      <c r="P34" s="45" t="str">
        <f t="shared" si="13"/>
        <v/>
      </c>
      <c r="Q34" s="45" t="str">
        <f t="shared" si="14"/>
        <v/>
      </c>
    </row>
    <row r="35" spans="1:17" s="21" customFormat="1" ht="15" customHeight="1" x14ac:dyDescent="0.25">
      <c r="A35" s="28"/>
      <c r="B35" s="30"/>
      <c r="C35" s="29"/>
      <c r="D35" s="29"/>
      <c r="E35" s="29"/>
      <c r="F35" s="39"/>
      <c r="G35" s="39" t="str">
        <f t="shared" si="9"/>
        <v/>
      </c>
      <c r="H35" s="39" t="str">
        <f t="shared" si="10"/>
        <v/>
      </c>
      <c r="I35" s="29"/>
      <c r="J35" s="39"/>
      <c r="K35" s="39" t="str">
        <f t="shared" si="11"/>
        <v/>
      </c>
      <c r="L35" s="39" t="str">
        <f t="shared" si="12"/>
        <v/>
      </c>
      <c r="M35" s="29"/>
      <c r="N35" s="36"/>
      <c r="O35" s="44"/>
      <c r="P35" s="44" t="str">
        <f t="shared" si="13"/>
        <v/>
      </c>
      <c r="Q35" s="44" t="str">
        <f t="shared" si="14"/>
        <v/>
      </c>
    </row>
    <row r="36" spans="1:17" s="21" customFormat="1" ht="15" customHeight="1" x14ac:dyDescent="0.25">
      <c r="A36" s="25"/>
      <c r="B36" s="27"/>
      <c r="C36" s="26"/>
      <c r="D36" s="26"/>
      <c r="E36" s="26"/>
      <c r="F36" s="38"/>
      <c r="G36" s="38" t="str">
        <f t="shared" si="9"/>
        <v/>
      </c>
      <c r="H36" s="38" t="str">
        <f t="shared" si="10"/>
        <v/>
      </c>
      <c r="I36" s="26"/>
      <c r="J36" s="38"/>
      <c r="K36" s="38" t="str">
        <f t="shared" si="11"/>
        <v/>
      </c>
      <c r="L36" s="38" t="str">
        <f t="shared" si="12"/>
        <v/>
      </c>
      <c r="M36" s="26"/>
      <c r="N36" s="35"/>
      <c r="O36" s="45"/>
      <c r="P36" s="45" t="str">
        <f t="shared" si="13"/>
        <v/>
      </c>
      <c r="Q36" s="45" t="str">
        <f t="shared" si="14"/>
        <v/>
      </c>
    </row>
    <row r="37" spans="1:17" s="21" customFormat="1" ht="15" customHeight="1" x14ac:dyDescent="0.25">
      <c r="A37" s="28"/>
      <c r="B37" s="30"/>
      <c r="C37" s="29"/>
      <c r="D37" s="29"/>
      <c r="E37" s="29"/>
      <c r="F37" s="39"/>
      <c r="G37" s="39" t="str">
        <f t="shared" si="9"/>
        <v/>
      </c>
      <c r="H37" s="39" t="str">
        <f t="shared" si="10"/>
        <v/>
      </c>
      <c r="I37" s="29"/>
      <c r="J37" s="39"/>
      <c r="K37" s="39" t="str">
        <f t="shared" si="11"/>
        <v/>
      </c>
      <c r="L37" s="39" t="str">
        <f t="shared" si="12"/>
        <v/>
      </c>
      <c r="M37" s="29"/>
      <c r="N37" s="36"/>
      <c r="O37" s="44"/>
      <c r="P37" s="44" t="str">
        <f t="shared" si="13"/>
        <v/>
      </c>
      <c r="Q37" s="44" t="str">
        <f t="shared" si="14"/>
        <v/>
      </c>
    </row>
    <row r="38" spans="1:17" s="21" customFormat="1" ht="15" customHeight="1" x14ac:dyDescent="0.25">
      <c r="A38" s="25"/>
      <c r="B38" s="27"/>
      <c r="C38" s="26"/>
      <c r="D38" s="26"/>
      <c r="E38" s="26"/>
      <c r="F38" s="38"/>
      <c r="G38" s="38" t="str">
        <f t="shared" ref="G38:G69" si="15">IF(E38="","",_xlfn.TRANSLATE(E38,"vi","ja"))</f>
        <v/>
      </c>
      <c r="H38" s="38" t="str">
        <f t="shared" ref="H38:H69" si="16">IF(E38="","",_xlfn.TRANSLATE(E38,"vi","zh-Hans"))</f>
        <v/>
      </c>
      <c r="I38" s="26"/>
      <c r="J38" s="38"/>
      <c r="K38" s="38" t="str">
        <f t="shared" ref="K38:K69" si="17">IF(I38="","",_xlfn.TRANSLATE(I38,"vi","ja"))</f>
        <v/>
      </c>
      <c r="L38" s="38" t="str">
        <f t="shared" ref="L38:L69" si="18">IF(I38="","",_xlfn.TRANSLATE(I38,"vi","zh-Hans"))</f>
        <v/>
      </c>
      <c r="M38" s="26"/>
      <c r="N38" s="35"/>
      <c r="O38" s="45"/>
      <c r="P38" s="45" t="str">
        <f t="shared" ref="P38:P69" si="19">IF(N38="","",_xlfn.TRANSLATE(N38,"vi","ja"))</f>
        <v/>
      </c>
      <c r="Q38" s="45" t="str">
        <f t="shared" ref="Q38:Q69" si="20">IF(N38="","",_xlfn.TRANSLATE(N38,"vi","zh-Hans"))</f>
        <v/>
      </c>
    </row>
    <row r="39" spans="1:17" s="21" customFormat="1" ht="15" customHeight="1" x14ac:dyDescent="0.25">
      <c r="A39" s="28"/>
      <c r="B39" s="30"/>
      <c r="C39" s="29"/>
      <c r="D39" s="29"/>
      <c r="E39" s="29"/>
      <c r="F39" s="39"/>
      <c r="G39" s="39" t="str">
        <f t="shared" si="15"/>
        <v/>
      </c>
      <c r="H39" s="39" t="str">
        <f t="shared" si="16"/>
        <v/>
      </c>
      <c r="I39" s="29"/>
      <c r="J39" s="39"/>
      <c r="K39" s="39" t="str">
        <f t="shared" si="17"/>
        <v/>
      </c>
      <c r="L39" s="39" t="str">
        <f t="shared" si="18"/>
        <v/>
      </c>
      <c r="M39" s="29"/>
      <c r="N39" s="36"/>
      <c r="O39" s="44"/>
      <c r="P39" s="44" t="str">
        <f t="shared" si="19"/>
        <v/>
      </c>
      <c r="Q39" s="44" t="str">
        <f t="shared" si="20"/>
        <v/>
      </c>
    </row>
    <row r="40" spans="1:17" s="21" customFormat="1" ht="15" customHeight="1" x14ac:dyDescent="0.25">
      <c r="A40" s="25"/>
      <c r="B40" s="27"/>
      <c r="C40" s="26"/>
      <c r="D40" s="26"/>
      <c r="E40" s="26"/>
      <c r="F40" s="38"/>
      <c r="G40" s="38" t="str">
        <f t="shared" si="15"/>
        <v/>
      </c>
      <c r="H40" s="38" t="str">
        <f t="shared" si="16"/>
        <v/>
      </c>
      <c r="I40" s="26"/>
      <c r="J40" s="38"/>
      <c r="K40" s="38" t="str">
        <f t="shared" si="17"/>
        <v/>
      </c>
      <c r="L40" s="38" t="str">
        <f t="shared" si="18"/>
        <v/>
      </c>
      <c r="M40" s="26"/>
      <c r="N40" s="35"/>
      <c r="O40" s="45"/>
      <c r="P40" s="45" t="str">
        <f t="shared" si="19"/>
        <v/>
      </c>
      <c r="Q40" s="45" t="str">
        <f t="shared" si="20"/>
        <v/>
      </c>
    </row>
    <row r="41" spans="1:17" s="21" customFormat="1" ht="15" customHeight="1" x14ac:dyDescent="0.25">
      <c r="A41" s="28"/>
      <c r="B41" s="30"/>
      <c r="C41" s="29"/>
      <c r="D41" s="29"/>
      <c r="E41" s="29"/>
      <c r="F41" s="39"/>
      <c r="G41" s="39" t="str">
        <f t="shared" si="15"/>
        <v/>
      </c>
      <c r="H41" s="39" t="str">
        <f t="shared" si="16"/>
        <v/>
      </c>
      <c r="I41" s="29"/>
      <c r="J41" s="39"/>
      <c r="K41" s="39" t="str">
        <f t="shared" si="17"/>
        <v/>
      </c>
      <c r="L41" s="39" t="str">
        <f t="shared" si="18"/>
        <v/>
      </c>
      <c r="M41" s="29"/>
      <c r="N41" s="36"/>
      <c r="O41" s="44"/>
      <c r="P41" s="44" t="str">
        <f t="shared" si="19"/>
        <v/>
      </c>
      <c r="Q41" s="44" t="str">
        <f t="shared" si="20"/>
        <v/>
      </c>
    </row>
    <row r="42" spans="1:17" s="21" customFormat="1" ht="15" customHeight="1" x14ac:dyDescent="0.25">
      <c r="A42" s="25"/>
      <c r="B42" s="27"/>
      <c r="C42" s="26"/>
      <c r="D42" s="26"/>
      <c r="E42" s="26"/>
      <c r="F42" s="38"/>
      <c r="G42" s="38" t="str">
        <f t="shared" si="15"/>
        <v/>
      </c>
      <c r="H42" s="38" t="str">
        <f t="shared" si="16"/>
        <v/>
      </c>
      <c r="I42" s="26"/>
      <c r="J42" s="38"/>
      <c r="K42" s="38" t="str">
        <f t="shared" si="17"/>
        <v/>
      </c>
      <c r="L42" s="38" t="str">
        <f t="shared" si="18"/>
        <v/>
      </c>
      <c r="M42" s="26"/>
      <c r="N42" s="35"/>
      <c r="O42" s="45"/>
      <c r="P42" s="45" t="str">
        <f t="shared" si="19"/>
        <v/>
      </c>
      <c r="Q42" s="45" t="str">
        <f t="shared" si="20"/>
        <v/>
      </c>
    </row>
    <row r="43" spans="1:17" s="21" customFormat="1" ht="15" customHeight="1" x14ac:dyDescent="0.25">
      <c r="A43" s="28"/>
      <c r="B43" s="30"/>
      <c r="C43" s="29"/>
      <c r="D43" s="29"/>
      <c r="E43" s="29"/>
      <c r="F43" s="39"/>
      <c r="G43" s="39" t="str">
        <f t="shared" si="15"/>
        <v/>
      </c>
      <c r="H43" s="39" t="str">
        <f t="shared" si="16"/>
        <v/>
      </c>
      <c r="I43" s="29"/>
      <c r="J43" s="39"/>
      <c r="K43" s="39" t="str">
        <f t="shared" si="17"/>
        <v/>
      </c>
      <c r="L43" s="39" t="str">
        <f t="shared" si="18"/>
        <v/>
      </c>
      <c r="M43" s="29"/>
      <c r="N43" s="36"/>
      <c r="O43" s="44"/>
      <c r="P43" s="44" t="str">
        <f t="shared" si="19"/>
        <v/>
      </c>
      <c r="Q43" s="44" t="str">
        <f t="shared" si="20"/>
        <v/>
      </c>
    </row>
    <row r="44" spans="1:17" s="21" customFormat="1" ht="15" customHeight="1" x14ac:dyDescent="0.25">
      <c r="A44" s="25"/>
      <c r="B44" s="27"/>
      <c r="C44" s="26"/>
      <c r="D44" s="26"/>
      <c r="E44" s="26"/>
      <c r="F44" s="38"/>
      <c r="G44" s="38" t="str">
        <f t="shared" si="15"/>
        <v/>
      </c>
      <c r="H44" s="38" t="str">
        <f t="shared" si="16"/>
        <v/>
      </c>
      <c r="I44" s="26"/>
      <c r="J44" s="38"/>
      <c r="K44" s="38" t="str">
        <f t="shared" si="17"/>
        <v/>
      </c>
      <c r="L44" s="38" t="str">
        <f t="shared" si="18"/>
        <v/>
      </c>
      <c r="M44" s="26"/>
      <c r="N44" s="35"/>
      <c r="O44" s="45"/>
      <c r="P44" s="45" t="str">
        <f t="shared" si="19"/>
        <v/>
      </c>
      <c r="Q44" s="45" t="str">
        <f t="shared" si="20"/>
        <v/>
      </c>
    </row>
    <row r="45" spans="1:17" s="21" customFormat="1" ht="15" customHeight="1" x14ac:dyDescent="0.25">
      <c r="A45" s="28"/>
      <c r="B45" s="30"/>
      <c r="C45" s="29"/>
      <c r="D45" s="29"/>
      <c r="E45" s="29"/>
      <c r="F45" s="39"/>
      <c r="G45" s="39" t="str">
        <f t="shared" si="15"/>
        <v/>
      </c>
      <c r="H45" s="39" t="str">
        <f t="shared" si="16"/>
        <v/>
      </c>
      <c r="I45" s="29"/>
      <c r="J45" s="39"/>
      <c r="K45" s="39" t="str">
        <f t="shared" si="17"/>
        <v/>
      </c>
      <c r="L45" s="39" t="str">
        <f t="shared" si="18"/>
        <v/>
      </c>
      <c r="M45" s="29"/>
      <c r="N45" s="36"/>
      <c r="O45" s="44"/>
      <c r="P45" s="44" t="str">
        <f t="shared" si="19"/>
        <v/>
      </c>
      <c r="Q45" s="44" t="str">
        <f t="shared" si="20"/>
        <v/>
      </c>
    </row>
    <row r="46" spans="1:17" s="21" customFormat="1" ht="15" customHeight="1" x14ac:dyDescent="0.25">
      <c r="A46" s="25"/>
      <c r="B46" s="27"/>
      <c r="C46" s="26"/>
      <c r="D46" s="26"/>
      <c r="E46" s="26"/>
      <c r="F46" s="38"/>
      <c r="G46" s="38" t="str">
        <f t="shared" si="15"/>
        <v/>
      </c>
      <c r="H46" s="38" t="str">
        <f t="shared" si="16"/>
        <v/>
      </c>
      <c r="I46" s="26"/>
      <c r="J46" s="38"/>
      <c r="K46" s="38" t="str">
        <f t="shared" si="17"/>
        <v/>
      </c>
      <c r="L46" s="38" t="str">
        <f t="shared" si="18"/>
        <v/>
      </c>
      <c r="M46" s="26"/>
      <c r="N46" s="35"/>
      <c r="O46" s="45"/>
      <c r="P46" s="45" t="str">
        <f t="shared" si="19"/>
        <v/>
      </c>
      <c r="Q46" s="45" t="str">
        <f t="shared" si="20"/>
        <v/>
      </c>
    </row>
    <row r="47" spans="1:17" s="21" customFormat="1" ht="15" customHeight="1" x14ac:dyDescent="0.25">
      <c r="A47" s="28"/>
      <c r="B47" s="30"/>
      <c r="C47" s="29"/>
      <c r="D47" s="29"/>
      <c r="E47" s="29"/>
      <c r="F47" s="39"/>
      <c r="G47" s="39" t="str">
        <f t="shared" si="15"/>
        <v/>
      </c>
      <c r="H47" s="39" t="str">
        <f t="shared" si="16"/>
        <v/>
      </c>
      <c r="I47" s="29"/>
      <c r="J47" s="39"/>
      <c r="K47" s="39" t="str">
        <f t="shared" si="17"/>
        <v/>
      </c>
      <c r="L47" s="39" t="str">
        <f t="shared" si="18"/>
        <v/>
      </c>
      <c r="M47" s="29"/>
      <c r="N47" s="36"/>
      <c r="O47" s="44"/>
      <c r="P47" s="44" t="str">
        <f t="shared" si="19"/>
        <v/>
      </c>
      <c r="Q47" s="44" t="str">
        <f t="shared" si="20"/>
        <v/>
      </c>
    </row>
    <row r="48" spans="1:17" s="21" customFormat="1" ht="15" customHeight="1" x14ac:dyDescent="0.25">
      <c r="A48" s="25"/>
      <c r="B48" s="27"/>
      <c r="C48" s="26"/>
      <c r="D48" s="26"/>
      <c r="E48" s="26"/>
      <c r="F48" s="38"/>
      <c r="G48" s="38" t="str">
        <f t="shared" si="15"/>
        <v/>
      </c>
      <c r="H48" s="38" t="str">
        <f t="shared" si="16"/>
        <v/>
      </c>
      <c r="I48" s="26"/>
      <c r="J48" s="38"/>
      <c r="K48" s="38" t="str">
        <f t="shared" si="17"/>
        <v/>
      </c>
      <c r="L48" s="38" t="str">
        <f t="shared" si="18"/>
        <v/>
      </c>
      <c r="M48" s="26"/>
      <c r="N48" s="35"/>
      <c r="O48" s="45"/>
      <c r="P48" s="45" t="str">
        <f t="shared" si="19"/>
        <v/>
      </c>
      <c r="Q48" s="45" t="str">
        <f t="shared" si="20"/>
        <v/>
      </c>
    </row>
    <row r="49" spans="1:17" s="21" customFormat="1" ht="15" customHeight="1" x14ac:dyDescent="0.25">
      <c r="A49" s="28"/>
      <c r="B49" s="30"/>
      <c r="C49" s="29"/>
      <c r="D49" s="29"/>
      <c r="E49" s="29"/>
      <c r="F49" s="39"/>
      <c r="G49" s="39" t="str">
        <f t="shared" si="15"/>
        <v/>
      </c>
      <c r="H49" s="39" t="str">
        <f t="shared" si="16"/>
        <v/>
      </c>
      <c r="I49" s="29"/>
      <c r="J49" s="39"/>
      <c r="K49" s="39" t="str">
        <f t="shared" si="17"/>
        <v/>
      </c>
      <c r="L49" s="39" t="str">
        <f t="shared" si="18"/>
        <v/>
      </c>
      <c r="M49" s="29"/>
      <c r="N49" s="36"/>
      <c r="O49" s="44"/>
      <c r="P49" s="44" t="str">
        <f t="shared" si="19"/>
        <v/>
      </c>
      <c r="Q49" s="44" t="str">
        <f t="shared" si="20"/>
        <v/>
      </c>
    </row>
    <row r="50" spans="1:17" s="21" customFormat="1" ht="15" customHeight="1" x14ac:dyDescent="0.25">
      <c r="A50" s="25"/>
      <c r="B50" s="27"/>
      <c r="C50" s="26"/>
      <c r="D50" s="26"/>
      <c r="E50" s="26"/>
      <c r="F50" s="38"/>
      <c r="G50" s="38" t="str">
        <f t="shared" si="15"/>
        <v/>
      </c>
      <c r="H50" s="38" t="str">
        <f t="shared" si="16"/>
        <v/>
      </c>
      <c r="I50" s="26"/>
      <c r="J50" s="38"/>
      <c r="K50" s="38" t="str">
        <f t="shared" si="17"/>
        <v/>
      </c>
      <c r="L50" s="38" t="str">
        <f t="shared" si="18"/>
        <v/>
      </c>
      <c r="M50" s="26"/>
      <c r="N50" s="35"/>
      <c r="O50" s="45"/>
      <c r="P50" s="45" t="str">
        <f t="shared" si="19"/>
        <v/>
      </c>
      <c r="Q50" s="45" t="str">
        <f t="shared" si="20"/>
        <v/>
      </c>
    </row>
    <row r="51" spans="1:17" s="21" customFormat="1" ht="15" customHeight="1" x14ac:dyDescent="0.25">
      <c r="A51" s="28"/>
      <c r="B51" s="30"/>
      <c r="C51" s="29"/>
      <c r="D51" s="29"/>
      <c r="E51" s="29"/>
      <c r="F51" s="39"/>
      <c r="G51" s="39" t="str">
        <f t="shared" si="15"/>
        <v/>
      </c>
      <c r="H51" s="39" t="str">
        <f t="shared" si="16"/>
        <v/>
      </c>
      <c r="I51" s="29"/>
      <c r="J51" s="39"/>
      <c r="K51" s="39" t="str">
        <f t="shared" si="17"/>
        <v/>
      </c>
      <c r="L51" s="39" t="str">
        <f t="shared" si="18"/>
        <v/>
      </c>
      <c r="M51" s="29"/>
      <c r="N51" s="36"/>
      <c r="O51" s="44"/>
      <c r="P51" s="44" t="str">
        <f t="shared" si="19"/>
        <v/>
      </c>
      <c r="Q51" s="44" t="str">
        <f t="shared" si="20"/>
        <v/>
      </c>
    </row>
    <row r="52" spans="1:17" s="21" customFormat="1" ht="15" customHeight="1" x14ac:dyDescent="0.25">
      <c r="A52" s="25"/>
      <c r="B52" s="27"/>
      <c r="C52" s="26"/>
      <c r="D52" s="26"/>
      <c r="E52" s="26"/>
      <c r="F52" s="38"/>
      <c r="G52" s="38" t="str">
        <f t="shared" si="15"/>
        <v/>
      </c>
      <c r="H52" s="38" t="str">
        <f t="shared" si="16"/>
        <v/>
      </c>
      <c r="I52" s="26"/>
      <c r="J52" s="38"/>
      <c r="K52" s="38" t="str">
        <f t="shared" si="17"/>
        <v/>
      </c>
      <c r="L52" s="38" t="str">
        <f t="shared" si="18"/>
        <v/>
      </c>
      <c r="M52" s="26"/>
      <c r="N52" s="35"/>
      <c r="O52" s="45"/>
      <c r="P52" s="45" t="str">
        <f t="shared" si="19"/>
        <v/>
      </c>
      <c r="Q52" s="45" t="str">
        <f t="shared" si="20"/>
        <v/>
      </c>
    </row>
    <row r="53" spans="1:17" s="21" customFormat="1" ht="15" customHeight="1" x14ac:dyDescent="0.25">
      <c r="A53" s="28"/>
      <c r="B53" s="30"/>
      <c r="C53" s="29"/>
      <c r="D53" s="29"/>
      <c r="E53" s="29"/>
      <c r="F53" s="39"/>
      <c r="G53" s="39" t="str">
        <f t="shared" si="15"/>
        <v/>
      </c>
      <c r="H53" s="39" t="str">
        <f t="shared" si="16"/>
        <v/>
      </c>
      <c r="I53" s="29"/>
      <c r="J53" s="39"/>
      <c r="K53" s="39" t="str">
        <f t="shared" si="17"/>
        <v/>
      </c>
      <c r="L53" s="39" t="str">
        <f t="shared" si="18"/>
        <v/>
      </c>
      <c r="M53" s="29"/>
      <c r="N53" s="36"/>
      <c r="O53" s="44"/>
      <c r="P53" s="44" t="str">
        <f t="shared" si="19"/>
        <v/>
      </c>
      <c r="Q53" s="44" t="str">
        <f t="shared" si="20"/>
        <v/>
      </c>
    </row>
    <row r="54" spans="1:17" s="21" customFormat="1" ht="15" customHeight="1" x14ac:dyDescent="0.25">
      <c r="A54" s="25"/>
      <c r="B54" s="27"/>
      <c r="C54" s="26"/>
      <c r="D54" s="26"/>
      <c r="E54" s="26"/>
      <c r="F54" s="38"/>
      <c r="G54" s="38" t="str">
        <f t="shared" si="15"/>
        <v/>
      </c>
      <c r="H54" s="38" t="str">
        <f t="shared" si="16"/>
        <v/>
      </c>
      <c r="I54" s="26"/>
      <c r="J54" s="38"/>
      <c r="K54" s="38" t="str">
        <f t="shared" si="17"/>
        <v/>
      </c>
      <c r="L54" s="38" t="str">
        <f t="shared" si="18"/>
        <v/>
      </c>
      <c r="M54" s="26"/>
      <c r="N54" s="35"/>
      <c r="O54" s="45"/>
      <c r="P54" s="45" t="str">
        <f t="shared" si="19"/>
        <v/>
      </c>
      <c r="Q54" s="45" t="str">
        <f t="shared" si="20"/>
        <v/>
      </c>
    </row>
    <row r="55" spans="1:17" s="21" customFormat="1" ht="15" customHeight="1" x14ac:dyDescent="0.25">
      <c r="A55" s="28"/>
      <c r="B55" s="30"/>
      <c r="C55" s="29"/>
      <c r="D55" s="29"/>
      <c r="E55" s="29"/>
      <c r="F55" s="39"/>
      <c r="G55" s="39" t="str">
        <f t="shared" si="15"/>
        <v/>
      </c>
      <c r="H55" s="39" t="str">
        <f t="shared" si="16"/>
        <v/>
      </c>
      <c r="I55" s="29"/>
      <c r="J55" s="39"/>
      <c r="K55" s="39" t="str">
        <f t="shared" si="17"/>
        <v/>
      </c>
      <c r="L55" s="39" t="str">
        <f t="shared" si="18"/>
        <v/>
      </c>
      <c r="M55" s="29"/>
      <c r="N55" s="36"/>
      <c r="O55" s="44"/>
      <c r="P55" s="44" t="str">
        <f t="shared" si="19"/>
        <v/>
      </c>
      <c r="Q55" s="44" t="str">
        <f t="shared" si="20"/>
        <v/>
      </c>
    </row>
    <row r="56" spans="1:17" s="21" customFormat="1" ht="15" customHeight="1" x14ac:dyDescent="0.25">
      <c r="A56" s="25"/>
      <c r="B56" s="27"/>
      <c r="C56" s="26"/>
      <c r="D56" s="26"/>
      <c r="E56" s="26"/>
      <c r="F56" s="38"/>
      <c r="G56" s="38" t="str">
        <f t="shared" si="15"/>
        <v/>
      </c>
      <c r="H56" s="38" t="str">
        <f t="shared" si="16"/>
        <v/>
      </c>
      <c r="I56" s="26"/>
      <c r="J56" s="38"/>
      <c r="K56" s="38" t="str">
        <f t="shared" si="17"/>
        <v/>
      </c>
      <c r="L56" s="38" t="str">
        <f t="shared" si="18"/>
        <v/>
      </c>
      <c r="M56" s="26"/>
      <c r="N56" s="35"/>
      <c r="O56" s="45"/>
      <c r="P56" s="45" t="str">
        <f t="shared" si="19"/>
        <v/>
      </c>
      <c r="Q56" s="45" t="str">
        <f t="shared" si="20"/>
        <v/>
      </c>
    </row>
    <row r="57" spans="1:17" s="21" customFormat="1" ht="15" customHeight="1" x14ac:dyDescent="0.25">
      <c r="A57" s="28"/>
      <c r="B57" s="30"/>
      <c r="C57" s="29"/>
      <c r="D57" s="29"/>
      <c r="E57" s="29"/>
      <c r="F57" s="39"/>
      <c r="G57" s="39" t="str">
        <f t="shared" si="15"/>
        <v/>
      </c>
      <c r="H57" s="39" t="str">
        <f t="shared" si="16"/>
        <v/>
      </c>
      <c r="I57" s="29"/>
      <c r="J57" s="39"/>
      <c r="K57" s="39" t="str">
        <f t="shared" si="17"/>
        <v/>
      </c>
      <c r="L57" s="39" t="str">
        <f t="shared" si="18"/>
        <v/>
      </c>
      <c r="M57" s="29"/>
      <c r="N57" s="36"/>
      <c r="O57" s="44"/>
      <c r="P57" s="44" t="str">
        <f t="shared" si="19"/>
        <v/>
      </c>
      <c r="Q57" s="44" t="str">
        <f t="shared" si="20"/>
        <v/>
      </c>
    </row>
    <row r="58" spans="1:17" s="21" customFormat="1" ht="15" customHeight="1" x14ac:dyDescent="0.25">
      <c r="A58" s="25"/>
      <c r="B58" s="27"/>
      <c r="C58" s="26"/>
      <c r="D58" s="26"/>
      <c r="E58" s="26"/>
      <c r="F58" s="38"/>
      <c r="G58" s="38" t="str">
        <f t="shared" si="15"/>
        <v/>
      </c>
      <c r="H58" s="38" t="str">
        <f t="shared" si="16"/>
        <v/>
      </c>
      <c r="I58" s="26"/>
      <c r="J58" s="38"/>
      <c r="K58" s="38" t="str">
        <f t="shared" si="17"/>
        <v/>
      </c>
      <c r="L58" s="38" t="str">
        <f t="shared" si="18"/>
        <v/>
      </c>
      <c r="M58" s="26"/>
      <c r="N58" s="35"/>
      <c r="O58" s="45"/>
      <c r="P58" s="45" t="str">
        <f t="shared" si="19"/>
        <v/>
      </c>
      <c r="Q58" s="45" t="str">
        <f t="shared" si="20"/>
        <v/>
      </c>
    </row>
    <row r="59" spans="1:17" s="21" customFormat="1" ht="15" customHeight="1" x14ac:dyDescent="0.25">
      <c r="A59" s="28"/>
      <c r="B59" s="30"/>
      <c r="C59" s="29"/>
      <c r="D59" s="29"/>
      <c r="E59" s="29"/>
      <c r="F59" s="39"/>
      <c r="G59" s="39" t="str">
        <f t="shared" si="15"/>
        <v/>
      </c>
      <c r="H59" s="39" t="str">
        <f t="shared" si="16"/>
        <v/>
      </c>
      <c r="I59" s="29"/>
      <c r="J59" s="39"/>
      <c r="K59" s="39" t="str">
        <f t="shared" si="17"/>
        <v/>
      </c>
      <c r="L59" s="39" t="str">
        <f t="shared" si="18"/>
        <v/>
      </c>
      <c r="M59" s="29"/>
      <c r="N59" s="36"/>
      <c r="O59" s="44"/>
      <c r="P59" s="44" t="str">
        <f t="shared" si="19"/>
        <v/>
      </c>
      <c r="Q59" s="44" t="str">
        <f t="shared" si="20"/>
        <v/>
      </c>
    </row>
    <row r="60" spans="1:17" s="21" customFormat="1" ht="15" customHeight="1" x14ac:dyDescent="0.25">
      <c r="A60" s="25"/>
      <c r="B60" s="27"/>
      <c r="C60" s="26"/>
      <c r="D60" s="26"/>
      <c r="E60" s="26"/>
      <c r="F60" s="38"/>
      <c r="G60" s="38" t="str">
        <f t="shared" si="15"/>
        <v/>
      </c>
      <c r="H60" s="38" t="str">
        <f t="shared" si="16"/>
        <v/>
      </c>
      <c r="I60" s="26"/>
      <c r="J60" s="38"/>
      <c r="K60" s="38" t="str">
        <f t="shared" si="17"/>
        <v/>
      </c>
      <c r="L60" s="38" t="str">
        <f t="shared" si="18"/>
        <v/>
      </c>
      <c r="M60" s="26"/>
      <c r="N60" s="35"/>
      <c r="O60" s="45"/>
      <c r="P60" s="45" t="str">
        <f t="shared" si="19"/>
        <v/>
      </c>
      <c r="Q60" s="45" t="str">
        <f t="shared" si="20"/>
        <v/>
      </c>
    </row>
    <row r="61" spans="1:17" s="21" customFormat="1" ht="15" customHeight="1" x14ac:dyDescent="0.25">
      <c r="A61" s="28"/>
      <c r="B61" s="30"/>
      <c r="C61" s="29"/>
      <c r="D61" s="29"/>
      <c r="E61" s="29"/>
      <c r="F61" s="39"/>
      <c r="G61" s="39" t="str">
        <f t="shared" si="15"/>
        <v/>
      </c>
      <c r="H61" s="39" t="str">
        <f t="shared" si="16"/>
        <v/>
      </c>
      <c r="I61" s="29"/>
      <c r="J61" s="39"/>
      <c r="K61" s="39" t="str">
        <f t="shared" si="17"/>
        <v/>
      </c>
      <c r="L61" s="39" t="str">
        <f t="shared" si="18"/>
        <v/>
      </c>
      <c r="M61" s="29"/>
      <c r="N61" s="36"/>
      <c r="O61" s="44"/>
      <c r="P61" s="44" t="str">
        <f t="shared" si="19"/>
        <v/>
      </c>
      <c r="Q61" s="44" t="str">
        <f t="shared" si="20"/>
        <v/>
      </c>
    </row>
    <row r="62" spans="1:17" s="21" customFormat="1" ht="15" customHeight="1" x14ac:dyDescent="0.25">
      <c r="A62" s="25"/>
      <c r="B62" s="27"/>
      <c r="C62" s="26"/>
      <c r="D62" s="26"/>
      <c r="E62" s="26"/>
      <c r="F62" s="38"/>
      <c r="G62" s="38" t="str">
        <f t="shared" si="15"/>
        <v/>
      </c>
      <c r="H62" s="38" t="str">
        <f t="shared" si="16"/>
        <v/>
      </c>
      <c r="I62" s="26"/>
      <c r="J62" s="38"/>
      <c r="K62" s="38" t="str">
        <f t="shared" si="17"/>
        <v/>
      </c>
      <c r="L62" s="38" t="str">
        <f t="shared" si="18"/>
        <v/>
      </c>
      <c r="M62" s="26"/>
      <c r="N62" s="35"/>
      <c r="O62" s="45"/>
      <c r="P62" s="45" t="str">
        <f t="shared" si="19"/>
        <v/>
      </c>
      <c r="Q62" s="45" t="str">
        <f t="shared" si="20"/>
        <v/>
      </c>
    </row>
    <row r="63" spans="1:17" s="21" customFormat="1" ht="15" customHeight="1" x14ac:dyDescent="0.25">
      <c r="A63" s="28"/>
      <c r="B63" s="30"/>
      <c r="C63" s="29"/>
      <c r="D63" s="29"/>
      <c r="E63" s="29"/>
      <c r="F63" s="39"/>
      <c r="G63" s="39" t="str">
        <f t="shared" si="15"/>
        <v/>
      </c>
      <c r="H63" s="39" t="str">
        <f t="shared" si="16"/>
        <v/>
      </c>
      <c r="I63" s="29"/>
      <c r="J63" s="39"/>
      <c r="K63" s="39" t="str">
        <f t="shared" si="17"/>
        <v/>
      </c>
      <c r="L63" s="39" t="str">
        <f t="shared" si="18"/>
        <v/>
      </c>
      <c r="M63" s="29"/>
      <c r="N63" s="36"/>
      <c r="O63" s="44"/>
      <c r="P63" s="44" t="str">
        <f t="shared" si="19"/>
        <v/>
      </c>
      <c r="Q63" s="44" t="str">
        <f t="shared" si="20"/>
        <v/>
      </c>
    </row>
    <row r="64" spans="1:17" s="21" customFormat="1" ht="15" customHeight="1" x14ac:dyDescent="0.25">
      <c r="A64" s="25"/>
      <c r="B64" s="27"/>
      <c r="C64" s="26"/>
      <c r="D64" s="26"/>
      <c r="E64" s="26"/>
      <c r="F64" s="38"/>
      <c r="G64" s="38" t="str">
        <f t="shared" si="15"/>
        <v/>
      </c>
      <c r="H64" s="38" t="str">
        <f t="shared" si="16"/>
        <v/>
      </c>
      <c r="I64" s="26"/>
      <c r="J64" s="38"/>
      <c r="K64" s="38" t="str">
        <f t="shared" si="17"/>
        <v/>
      </c>
      <c r="L64" s="38" t="str">
        <f t="shared" si="18"/>
        <v/>
      </c>
      <c r="M64" s="26"/>
      <c r="N64" s="35"/>
      <c r="O64" s="45"/>
      <c r="P64" s="45" t="str">
        <f t="shared" si="19"/>
        <v/>
      </c>
      <c r="Q64" s="45" t="str">
        <f t="shared" si="20"/>
        <v/>
      </c>
    </row>
    <row r="65" spans="1:17" s="21" customFormat="1" ht="15" customHeight="1" x14ac:dyDescent="0.25">
      <c r="A65" s="28"/>
      <c r="B65" s="30"/>
      <c r="C65" s="29"/>
      <c r="D65" s="29"/>
      <c r="E65" s="29"/>
      <c r="F65" s="39"/>
      <c r="G65" s="39" t="str">
        <f t="shared" si="15"/>
        <v/>
      </c>
      <c r="H65" s="39" t="str">
        <f t="shared" si="16"/>
        <v/>
      </c>
      <c r="I65" s="29"/>
      <c r="J65" s="39"/>
      <c r="K65" s="39" t="str">
        <f t="shared" si="17"/>
        <v/>
      </c>
      <c r="L65" s="39" t="str">
        <f t="shared" si="18"/>
        <v/>
      </c>
      <c r="M65" s="29"/>
      <c r="N65" s="36"/>
      <c r="O65" s="44"/>
      <c r="P65" s="44" t="str">
        <f t="shared" si="19"/>
        <v/>
      </c>
      <c r="Q65" s="44" t="str">
        <f t="shared" si="20"/>
        <v/>
      </c>
    </row>
    <row r="66" spans="1:17" s="21" customFormat="1" x14ac:dyDescent="0.25">
      <c r="A66" s="25"/>
      <c r="B66" s="27"/>
      <c r="C66" s="26"/>
      <c r="D66" s="26"/>
      <c r="E66" s="26"/>
      <c r="F66" s="38"/>
      <c r="G66" s="38" t="str">
        <f t="shared" si="15"/>
        <v/>
      </c>
      <c r="H66" s="38" t="str">
        <f t="shared" si="16"/>
        <v/>
      </c>
      <c r="I66" s="26"/>
      <c r="J66" s="38"/>
      <c r="K66" s="38" t="str">
        <f t="shared" si="17"/>
        <v/>
      </c>
      <c r="L66" s="38" t="str">
        <f t="shared" si="18"/>
        <v/>
      </c>
      <c r="M66" s="26"/>
      <c r="N66" s="35"/>
      <c r="O66" s="45"/>
      <c r="P66" s="45" t="str">
        <f t="shared" si="19"/>
        <v/>
      </c>
      <c r="Q66" s="45" t="str">
        <f t="shared" si="20"/>
        <v/>
      </c>
    </row>
    <row r="67" spans="1:17" s="21" customFormat="1" x14ac:dyDescent="0.25">
      <c r="A67" s="28"/>
      <c r="B67" s="30"/>
      <c r="C67" s="29"/>
      <c r="D67" s="29"/>
      <c r="E67" s="29"/>
      <c r="F67" s="39"/>
      <c r="G67" s="39" t="str">
        <f t="shared" si="15"/>
        <v/>
      </c>
      <c r="H67" s="39" t="str">
        <f t="shared" si="16"/>
        <v/>
      </c>
      <c r="I67" s="29"/>
      <c r="J67" s="39"/>
      <c r="K67" s="39" t="str">
        <f t="shared" si="17"/>
        <v/>
      </c>
      <c r="L67" s="39" t="str">
        <f t="shared" si="18"/>
        <v/>
      </c>
      <c r="M67" s="29"/>
      <c r="N67" s="36"/>
      <c r="O67" s="44"/>
      <c r="P67" s="44" t="str">
        <f t="shared" si="19"/>
        <v/>
      </c>
      <c r="Q67" s="44" t="str">
        <f t="shared" si="20"/>
        <v/>
      </c>
    </row>
    <row r="68" spans="1:17" s="21" customFormat="1" x14ac:dyDescent="0.25">
      <c r="A68" s="25"/>
      <c r="B68" s="27"/>
      <c r="C68" s="26"/>
      <c r="D68" s="26"/>
      <c r="E68" s="26"/>
      <c r="F68" s="38"/>
      <c r="G68" s="38" t="str">
        <f t="shared" si="15"/>
        <v/>
      </c>
      <c r="H68" s="38" t="str">
        <f t="shared" si="16"/>
        <v/>
      </c>
      <c r="I68" s="26"/>
      <c r="J68" s="38"/>
      <c r="K68" s="38" t="str">
        <f t="shared" si="17"/>
        <v/>
      </c>
      <c r="L68" s="38" t="str">
        <f t="shared" si="18"/>
        <v/>
      </c>
      <c r="M68" s="26"/>
      <c r="N68" s="35"/>
      <c r="O68" s="45"/>
      <c r="P68" s="45" t="str">
        <f t="shared" si="19"/>
        <v/>
      </c>
      <c r="Q68" s="45" t="str">
        <f t="shared" si="20"/>
        <v/>
      </c>
    </row>
    <row r="69" spans="1:17" s="21" customFormat="1" x14ac:dyDescent="0.25">
      <c r="A69" s="28"/>
      <c r="B69" s="30"/>
      <c r="C69" s="29"/>
      <c r="D69" s="29"/>
      <c r="E69" s="29"/>
      <c r="F69" s="39"/>
      <c r="G69" s="39" t="str">
        <f t="shared" si="15"/>
        <v/>
      </c>
      <c r="H69" s="39" t="str">
        <f t="shared" si="16"/>
        <v/>
      </c>
      <c r="I69" s="29"/>
      <c r="J69" s="39"/>
      <c r="K69" s="39" t="str">
        <f t="shared" si="17"/>
        <v/>
      </c>
      <c r="L69" s="39" t="str">
        <f t="shared" si="18"/>
        <v/>
      </c>
      <c r="M69" s="29"/>
      <c r="N69" s="36"/>
      <c r="O69" s="44"/>
      <c r="P69" s="44" t="str">
        <f t="shared" si="19"/>
        <v/>
      </c>
      <c r="Q69" s="44" t="str">
        <f t="shared" si="20"/>
        <v/>
      </c>
    </row>
    <row r="70" spans="1:17" s="21" customFormat="1" x14ac:dyDescent="0.25">
      <c r="A70" s="25"/>
      <c r="B70" s="27"/>
      <c r="C70" s="26"/>
      <c r="D70" s="26"/>
      <c r="E70" s="26"/>
      <c r="F70" s="38"/>
      <c r="G70" s="38" t="str">
        <f t="shared" ref="G70:G101" si="21">IF(E70="","",_xlfn.TRANSLATE(E70,"vi","ja"))</f>
        <v/>
      </c>
      <c r="H70" s="38" t="str">
        <f t="shared" ref="H70:H104" si="22">IF(E70="","",_xlfn.TRANSLATE(E70,"vi","zh-Hans"))</f>
        <v/>
      </c>
      <c r="I70" s="26"/>
      <c r="J70" s="38"/>
      <c r="K70" s="38" t="str">
        <f t="shared" ref="K70:K101" si="23">IF(I70="","",_xlfn.TRANSLATE(I70,"vi","ja"))</f>
        <v/>
      </c>
      <c r="L70" s="38" t="str">
        <f t="shared" ref="L70:L104" si="24">IF(I70="","",_xlfn.TRANSLATE(I70,"vi","zh-Hans"))</f>
        <v/>
      </c>
      <c r="M70" s="26"/>
      <c r="N70" s="35"/>
      <c r="O70" s="45"/>
      <c r="P70" s="45" t="str">
        <f t="shared" ref="P70:P101" si="25">IF(N70="","",_xlfn.TRANSLATE(N70,"vi","ja"))</f>
        <v/>
      </c>
      <c r="Q70" s="45" t="str">
        <f t="shared" ref="Q70:Q104" si="26">IF(N70="","",_xlfn.TRANSLATE(N70,"vi","zh-Hans"))</f>
        <v/>
      </c>
    </row>
    <row r="71" spans="1:17" s="21" customFormat="1" x14ac:dyDescent="0.25">
      <c r="A71" s="28"/>
      <c r="B71" s="30"/>
      <c r="C71" s="29"/>
      <c r="D71" s="29"/>
      <c r="E71" s="29"/>
      <c r="F71" s="39"/>
      <c r="G71" s="39" t="str">
        <f t="shared" si="21"/>
        <v/>
      </c>
      <c r="H71" s="39" t="str">
        <f t="shared" si="22"/>
        <v/>
      </c>
      <c r="I71" s="29"/>
      <c r="J71" s="39"/>
      <c r="K71" s="39" t="str">
        <f t="shared" si="23"/>
        <v/>
      </c>
      <c r="L71" s="39" t="str">
        <f t="shared" si="24"/>
        <v/>
      </c>
      <c r="M71" s="29"/>
      <c r="N71" s="36"/>
      <c r="O71" s="44"/>
      <c r="P71" s="44" t="str">
        <f t="shared" si="25"/>
        <v/>
      </c>
      <c r="Q71" s="44" t="str">
        <f t="shared" si="26"/>
        <v/>
      </c>
    </row>
    <row r="72" spans="1:17" s="21" customFormat="1" x14ac:dyDescent="0.25">
      <c r="A72" s="25"/>
      <c r="B72" s="27"/>
      <c r="C72" s="26"/>
      <c r="D72" s="26"/>
      <c r="E72" s="26"/>
      <c r="F72" s="38"/>
      <c r="G72" s="38" t="str">
        <f t="shared" si="21"/>
        <v/>
      </c>
      <c r="H72" s="38" t="str">
        <f t="shared" si="22"/>
        <v/>
      </c>
      <c r="I72" s="26"/>
      <c r="J72" s="38"/>
      <c r="K72" s="38" t="str">
        <f t="shared" si="23"/>
        <v/>
      </c>
      <c r="L72" s="38" t="str">
        <f t="shared" si="24"/>
        <v/>
      </c>
      <c r="M72" s="26"/>
      <c r="N72" s="35"/>
      <c r="O72" s="45"/>
      <c r="P72" s="45" t="str">
        <f t="shared" si="25"/>
        <v/>
      </c>
      <c r="Q72" s="45" t="str">
        <f t="shared" si="26"/>
        <v/>
      </c>
    </row>
    <row r="73" spans="1:17" s="21" customFormat="1" x14ac:dyDescent="0.25">
      <c r="A73" s="28"/>
      <c r="B73" s="30"/>
      <c r="C73" s="29"/>
      <c r="D73" s="29"/>
      <c r="E73" s="29"/>
      <c r="F73" s="39"/>
      <c r="G73" s="39" t="str">
        <f t="shared" si="21"/>
        <v/>
      </c>
      <c r="H73" s="39" t="str">
        <f t="shared" si="22"/>
        <v/>
      </c>
      <c r="I73" s="29"/>
      <c r="J73" s="39"/>
      <c r="K73" s="39" t="str">
        <f t="shared" si="23"/>
        <v/>
      </c>
      <c r="L73" s="39" t="str">
        <f t="shared" si="24"/>
        <v/>
      </c>
      <c r="M73" s="29"/>
      <c r="N73" s="36"/>
      <c r="O73" s="44"/>
      <c r="P73" s="44" t="str">
        <f t="shared" si="25"/>
        <v/>
      </c>
      <c r="Q73" s="44" t="str">
        <f t="shared" si="26"/>
        <v/>
      </c>
    </row>
    <row r="74" spans="1:17" s="21" customFormat="1" x14ac:dyDescent="0.25">
      <c r="A74" s="25"/>
      <c r="B74" s="27"/>
      <c r="C74" s="26"/>
      <c r="D74" s="26"/>
      <c r="E74" s="26"/>
      <c r="F74" s="38"/>
      <c r="G74" s="38" t="str">
        <f t="shared" si="21"/>
        <v/>
      </c>
      <c r="H74" s="38" t="str">
        <f t="shared" si="22"/>
        <v/>
      </c>
      <c r="I74" s="26"/>
      <c r="J74" s="38"/>
      <c r="K74" s="38" t="str">
        <f t="shared" si="23"/>
        <v/>
      </c>
      <c r="L74" s="38" t="str">
        <f t="shared" si="24"/>
        <v/>
      </c>
      <c r="M74" s="26"/>
      <c r="N74" s="35"/>
      <c r="O74" s="45"/>
      <c r="P74" s="45" t="str">
        <f t="shared" si="25"/>
        <v/>
      </c>
      <c r="Q74" s="45" t="str">
        <f t="shared" si="26"/>
        <v/>
      </c>
    </row>
    <row r="75" spans="1:17" s="21" customFormat="1" x14ac:dyDescent="0.25">
      <c r="A75" s="28"/>
      <c r="B75" s="30"/>
      <c r="C75" s="29"/>
      <c r="D75" s="29"/>
      <c r="E75" s="29"/>
      <c r="F75" s="39"/>
      <c r="G75" s="39" t="str">
        <f t="shared" si="21"/>
        <v/>
      </c>
      <c r="H75" s="39" t="str">
        <f t="shared" si="22"/>
        <v/>
      </c>
      <c r="I75" s="29"/>
      <c r="J75" s="39"/>
      <c r="K75" s="39" t="str">
        <f t="shared" si="23"/>
        <v/>
      </c>
      <c r="L75" s="39" t="str">
        <f t="shared" si="24"/>
        <v/>
      </c>
      <c r="M75" s="29"/>
      <c r="N75" s="36"/>
      <c r="O75" s="44"/>
      <c r="P75" s="44" t="str">
        <f t="shared" si="25"/>
        <v/>
      </c>
      <c r="Q75" s="44" t="str">
        <f t="shared" si="26"/>
        <v/>
      </c>
    </row>
    <row r="76" spans="1:17" s="21" customFormat="1" x14ac:dyDescent="0.25">
      <c r="A76" s="25"/>
      <c r="B76" s="27"/>
      <c r="C76" s="26"/>
      <c r="D76" s="26"/>
      <c r="E76" s="26"/>
      <c r="F76" s="38"/>
      <c r="G76" s="38" t="str">
        <f t="shared" si="21"/>
        <v/>
      </c>
      <c r="H76" s="38" t="str">
        <f t="shared" si="22"/>
        <v/>
      </c>
      <c r="I76" s="26"/>
      <c r="J76" s="38"/>
      <c r="K76" s="38" t="str">
        <f t="shared" si="23"/>
        <v/>
      </c>
      <c r="L76" s="38" t="str">
        <f t="shared" si="24"/>
        <v/>
      </c>
      <c r="M76" s="26"/>
      <c r="N76" s="35"/>
      <c r="O76" s="45"/>
      <c r="P76" s="45" t="str">
        <f t="shared" si="25"/>
        <v/>
      </c>
      <c r="Q76" s="45" t="str">
        <f t="shared" si="26"/>
        <v/>
      </c>
    </row>
    <row r="77" spans="1:17" s="21" customFormat="1" x14ac:dyDescent="0.25">
      <c r="A77" s="28"/>
      <c r="B77" s="30"/>
      <c r="C77" s="29"/>
      <c r="D77" s="29"/>
      <c r="E77" s="29"/>
      <c r="F77" s="39"/>
      <c r="G77" s="39" t="str">
        <f t="shared" si="21"/>
        <v/>
      </c>
      <c r="H77" s="39" t="str">
        <f t="shared" si="22"/>
        <v/>
      </c>
      <c r="I77" s="29"/>
      <c r="J77" s="39"/>
      <c r="K77" s="39" t="str">
        <f t="shared" si="23"/>
        <v/>
      </c>
      <c r="L77" s="39" t="str">
        <f t="shared" si="24"/>
        <v/>
      </c>
      <c r="M77" s="29"/>
      <c r="N77" s="36"/>
      <c r="O77" s="44"/>
      <c r="P77" s="44" t="str">
        <f t="shared" si="25"/>
        <v/>
      </c>
      <c r="Q77" s="44" t="str">
        <f t="shared" si="26"/>
        <v/>
      </c>
    </row>
    <row r="78" spans="1:17" s="21" customFormat="1" x14ac:dyDescent="0.25">
      <c r="A78" s="25"/>
      <c r="B78" s="27"/>
      <c r="C78" s="26"/>
      <c r="D78" s="26"/>
      <c r="E78" s="26"/>
      <c r="F78" s="38"/>
      <c r="G78" s="38" t="str">
        <f t="shared" si="21"/>
        <v/>
      </c>
      <c r="H78" s="38" t="str">
        <f t="shared" si="22"/>
        <v/>
      </c>
      <c r="I78" s="26"/>
      <c r="J78" s="38"/>
      <c r="K78" s="38" t="str">
        <f t="shared" si="23"/>
        <v/>
      </c>
      <c r="L78" s="38" t="str">
        <f t="shared" si="24"/>
        <v/>
      </c>
      <c r="M78" s="26"/>
      <c r="N78" s="35"/>
      <c r="O78" s="45"/>
      <c r="P78" s="45" t="str">
        <f t="shared" si="25"/>
        <v/>
      </c>
      <c r="Q78" s="45" t="str">
        <f t="shared" si="26"/>
        <v/>
      </c>
    </row>
    <row r="79" spans="1:17" s="21" customFormat="1" x14ac:dyDescent="0.25">
      <c r="A79" s="28"/>
      <c r="B79" s="30"/>
      <c r="C79" s="29"/>
      <c r="D79" s="29"/>
      <c r="E79" s="29"/>
      <c r="F79" s="39"/>
      <c r="G79" s="39" t="str">
        <f t="shared" si="21"/>
        <v/>
      </c>
      <c r="H79" s="39" t="str">
        <f t="shared" si="22"/>
        <v/>
      </c>
      <c r="I79" s="29"/>
      <c r="J79" s="39"/>
      <c r="K79" s="39" t="str">
        <f t="shared" si="23"/>
        <v/>
      </c>
      <c r="L79" s="39" t="str">
        <f t="shared" si="24"/>
        <v/>
      </c>
      <c r="M79" s="29"/>
      <c r="N79" s="36"/>
      <c r="O79" s="44"/>
      <c r="P79" s="44" t="str">
        <f t="shared" si="25"/>
        <v/>
      </c>
      <c r="Q79" s="44" t="str">
        <f t="shared" si="26"/>
        <v/>
      </c>
    </row>
    <row r="80" spans="1:17" s="21" customFormat="1" x14ac:dyDescent="0.25">
      <c r="A80" s="25"/>
      <c r="B80" s="27"/>
      <c r="C80" s="26"/>
      <c r="D80" s="26"/>
      <c r="E80" s="26"/>
      <c r="F80" s="38"/>
      <c r="G80" s="38" t="str">
        <f t="shared" si="21"/>
        <v/>
      </c>
      <c r="H80" s="38" t="str">
        <f t="shared" si="22"/>
        <v/>
      </c>
      <c r="I80" s="26"/>
      <c r="J80" s="38"/>
      <c r="K80" s="38" t="str">
        <f t="shared" si="23"/>
        <v/>
      </c>
      <c r="L80" s="38" t="str">
        <f t="shared" si="24"/>
        <v/>
      </c>
      <c r="M80" s="26"/>
      <c r="N80" s="35"/>
      <c r="O80" s="45"/>
      <c r="P80" s="45" t="str">
        <f t="shared" si="25"/>
        <v/>
      </c>
      <c r="Q80" s="45" t="str">
        <f t="shared" si="26"/>
        <v/>
      </c>
    </row>
    <row r="81" spans="1:17" s="21" customFormat="1" x14ac:dyDescent="0.25">
      <c r="A81" s="28"/>
      <c r="B81" s="30"/>
      <c r="C81" s="29"/>
      <c r="D81" s="29"/>
      <c r="E81" s="29"/>
      <c r="F81" s="39"/>
      <c r="G81" s="39" t="str">
        <f t="shared" si="21"/>
        <v/>
      </c>
      <c r="H81" s="39" t="str">
        <f t="shared" si="22"/>
        <v/>
      </c>
      <c r="I81" s="29"/>
      <c r="J81" s="39"/>
      <c r="K81" s="39" t="str">
        <f t="shared" si="23"/>
        <v/>
      </c>
      <c r="L81" s="39" t="str">
        <f t="shared" si="24"/>
        <v/>
      </c>
      <c r="M81" s="29"/>
      <c r="N81" s="36"/>
      <c r="O81" s="44"/>
      <c r="P81" s="44" t="str">
        <f t="shared" si="25"/>
        <v/>
      </c>
      <c r="Q81" s="44" t="str">
        <f t="shared" si="26"/>
        <v/>
      </c>
    </row>
    <row r="82" spans="1:17" s="21" customFormat="1" x14ac:dyDescent="0.25">
      <c r="A82" s="25"/>
      <c r="B82" s="27"/>
      <c r="C82" s="26"/>
      <c r="D82" s="26"/>
      <c r="E82" s="26"/>
      <c r="F82" s="38"/>
      <c r="G82" s="38" t="str">
        <f t="shared" si="21"/>
        <v/>
      </c>
      <c r="H82" s="38" t="str">
        <f t="shared" si="22"/>
        <v/>
      </c>
      <c r="I82" s="26"/>
      <c r="J82" s="38"/>
      <c r="K82" s="38" t="str">
        <f t="shared" si="23"/>
        <v/>
      </c>
      <c r="L82" s="38" t="str">
        <f t="shared" si="24"/>
        <v/>
      </c>
      <c r="M82" s="26"/>
      <c r="N82" s="35"/>
      <c r="O82" s="45"/>
      <c r="P82" s="45" t="str">
        <f t="shared" si="25"/>
        <v/>
      </c>
      <c r="Q82" s="45" t="str">
        <f t="shared" si="26"/>
        <v/>
      </c>
    </row>
    <row r="83" spans="1:17" s="21" customFormat="1" x14ac:dyDescent="0.25">
      <c r="A83" s="28"/>
      <c r="B83" s="30"/>
      <c r="C83" s="29"/>
      <c r="D83" s="29"/>
      <c r="E83" s="29"/>
      <c r="F83" s="39"/>
      <c r="G83" s="39" t="str">
        <f t="shared" si="21"/>
        <v/>
      </c>
      <c r="H83" s="39" t="str">
        <f t="shared" si="22"/>
        <v/>
      </c>
      <c r="I83" s="29"/>
      <c r="J83" s="39"/>
      <c r="K83" s="39" t="str">
        <f t="shared" si="23"/>
        <v/>
      </c>
      <c r="L83" s="39" t="str">
        <f t="shared" si="24"/>
        <v/>
      </c>
      <c r="M83" s="29"/>
      <c r="N83" s="36"/>
      <c r="O83" s="44"/>
      <c r="P83" s="44" t="str">
        <f t="shared" si="25"/>
        <v/>
      </c>
      <c r="Q83" s="44" t="str">
        <f t="shared" si="26"/>
        <v/>
      </c>
    </row>
    <row r="84" spans="1:17" s="21" customFormat="1" x14ac:dyDescent="0.25">
      <c r="A84" s="25"/>
      <c r="B84" s="27"/>
      <c r="C84" s="26"/>
      <c r="D84" s="26"/>
      <c r="E84" s="26"/>
      <c r="F84" s="38"/>
      <c r="G84" s="38" t="str">
        <f t="shared" si="21"/>
        <v/>
      </c>
      <c r="H84" s="38" t="str">
        <f t="shared" si="22"/>
        <v/>
      </c>
      <c r="I84" s="26"/>
      <c r="J84" s="38"/>
      <c r="K84" s="38" t="str">
        <f t="shared" si="23"/>
        <v/>
      </c>
      <c r="L84" s="38" t="str">
        <f t="shared" si="24"/>
        <v/>
      </c>
      <c r="M84" s="26"/>
      <c r="N84" s="35"/>
      <c r="O84" s="45"/>
      <c r="P84" s="45" t="str">
        <f t="shared" si="25"/>
        <v/>
      </c>
      <c r="Q84" s="45" t="str">
        <f t="shared" si="26"/>
        <v/>
      </c>
    </row>
    <row r="85" spans="1:17" s="21" customFormat="1" x14ac:dyDescent="0.25">
      <c r="A85" s="28"/>
      <c r="B85" s="30"/>
      <c r="C85" s="29"/>
      <c r="D85" s="29"/>
      <c r="E85" s="29"/>
      <c r="F85" s="39"/>
      <c r="G85" s="39" t="str">
        <f t="shared" si="21"/>
        <v/>
      </c>
      <c r="H85" s="39" t="str">
        <f t="shared" si="22"/>
        <v/>
      </c>
      <c r="I85" s="29"/>
      <c r="J85" s="39"/>
      <c r="K85" s="39" t="str">
        <f t="shared" si="23"/>
        <v/>
      </c>
      <c r="L85" s="39" t="str">
        <f t="shared" si="24"/>
        <v/>
      </c>
      <c r="M85" s="29"/>
      <c r="N85" s="36"/>
      <c r="O85" s="44"/>
      <c r="P85" s="44" t="str">
        <f t="shared" si="25"/>
        <v/>
      </c>
      <c r="Q85" s="44" t="str">
        <f t="shared" si="26"/>
        <v/>
      </c>
    </row>
    <row r="86" spans="1:17" s="21" customFormat="1" x14ac:dyDescent="0.25">
      <c r="A86" s="25"/>
      <c r="B86" s="27"/>
      <c r="C86" s="26"/>
      <c r="D86" s="26"/>
      <c r="E86" s="26"/>
      <c r="F86" s="38"/>
      <c r="G86" s="38" t="str">
        <f t="shared" si="21"/>
        <v/>
      </c>
      <c r="H86" s="38" t="str">
        <f t="shared" si="22"/>
        <v/>
      </c>
      <c r="I86" s="26"/>
      <c r="J86" s="38"/>
      <c r="K86" s="38" t="str">
        <f t="shared" si="23"/>
        <v/>
      </c>
      <c r="L86" s="38" t="str">
        <f t="shared" si="24"/>
        <v/>
      </c>
      <c r="M86" s="26"/>
      <c r="N86" s="35"/>
      <c r="O86" s="45"/>
      <c r="P86" s="45" t="str">
        <f t="shared" si="25"/>
        <v/>
      </c>
      <c r="Q86" s="45" t="str">
        <f t="shared" si="26"/>
        <v/>
      </c>
    </row>
    <row r="87" spans="1:17" s="21" customFormat="1" x14ac:dyDescent="0.25">
      <c r="A87" s="28"/>
      <c r="B87" s="30"/>
      <c r="C87" s="29"/>
      <c r="D87" s="29"/>
      <c r="E87" s="29"/>
      <c r="F87" s="39"/>
      <c r="G87" s="39" t="str">
        <f t="shared" si="21"/>
        <v/>
      </c>
      <c r="H87" s="39" t="str">
        <f t="shared" si="22"/>
        <v/>
      </c>
      <c r="I87" s="29"/>
      <c r="J87" s="39"/>
      <c r="K87" s="39" t="str">
        <f t="shared" si="23"/>
        <v/>
      </c>
      <c r="L87" s="39" t="str">
        <f t="shared" si="24"/>
        <v/>
      </c>
      <c r="M87" s="29"/>
      <c r="N87" s="36"/>
      <c r="O87" s="44"/>
      <c r="P87" s="44" t="str">
        <f t="shared" si="25"/>
        <v/>
      </c>
      <c r="Q87" s="44" t="str">
        <f t="shared" si="26"/>
        <v/>
      </c>
    </row>
    <row r="88" spans="1:17" s="21" customFormat="1" x14ac:dyDescent="0.25">
      <c r="A88" s="25"/>
      <c r="B88" s="27"/>
      <c r="C88" s="26"/>
      <c r="D88" s="26"/>
      <c r="E88" s="26"/>
      <c r="F88" s="38"/>
      <c r="G88" s="38" t="str">
        <f t="shared" si="21"/>
        <v/>
      </c>
      <c r="H88" s="38" t="str">
        <f t="shared" si="22"/>
        <v/>
      </c>
      <c r="I88" s="26"/>
      <c r="J88" s="38"/>
      <c r="K88" s="38" t="str">
        <f t="shared" si="23"/>
        <v/>
      </c>
      <c r="L88" s="38" t="str">
        <f t="shared" si="24"/>
        <v/>
      </c>
      <c r="M88" s="26"/>
      <c r="N88" s="35"/>
      <c r="O88" s="45"/>
      <c r="P88" s="45" t="str">
        <f t="shared" si="25"/>
        <v/>
      </c>
      <c r="Q88" s="45" t="str">
        <f t="shared" si="26"/>
        <v/>
      </c>
    </row>
    <row r="89" spans="1:17" s="21" customFormat="1" x14ac:dyDescent="0.25">
      <c r="A89" s="28"/>
      <c r="B89" s="30"/>
      <c r="C89" s="29"/>
      <c r="D89" s="29"/>
      <c r="E89" s="29"/>
      <c r="F89" s="39"/>
      <c r="G89" s="39" t="str">
        <f t="shared" si="21"/>
        <v/>
      </c>
      <c r="H89" s="39" t="str">
        <f t="shared" si="22"/>
        <v/>
      </c>
      <c r="I89" s="29"/>
      <c r="J89" s="39"/>
      <c r="K89" s="39" t="str">
        <f t="shared" si="23"/>
        <v/>
      </c>
      <c r="L89" s="39" t="str">
        <f t="shared" si="24"/>
        <v/>
      </c>
      <c r="M89" s="29"/>
      <c r="N89" s="36"/>
      <c r="O89" s="44"/>
      <c r="P89" s="44" t="str">
        <f t="shared" si="25"/>
        <v/>
      </c>
      <c r="Q89" s="44" t="str">
        <f t="shared" si="26"/>
        <v/>
      </c>
    </row>
    <row r="90" spans="1:17" s="21" customFormat="1" x14ac:dyDescent="0.25">
      <c r="A90" s="25"/>
      <c r="B90" s="27"/>
      <c r="C90" s="26"/>
      <c r="D90" s="26"/>
      <c r="E90" s="26"/>
      <c r="F90" s="38"/>
      <c r="G90" s="38" t="str">
        <f t="shared" si="21"/>
        <v/>
      </c>
      <c r="H90" s="38" t="str">
        <f t="shared" si="22"/>
        <v/>
      </c>
      <c r="I90" s="26"/>
      <c r="J90" s="38"/>
      <c r="K90" s="38" t="str">
        <f t="shared" si="23"/>
        <v/>
      </c>
      <c r="L90" s="38" t="str">
        <f t="shared" si="24"/>
        <v/>
      </c>
      <c r="M90" s="26"/>
      <c r="N90" s="35"/>
      <c r="O90" s="45"/>
      <c r="P90" s="45" t="str">
        <f t="shared" si="25"/>
        <v/>
      </c>
      <c r="Q90" s="45" t="str">
        <f t="shared" si="26"/>
        <v/>
      </c>
    </row>
    <row r="91" spans="1:17" s="21" customFormat="1" x14ac:dyDescent="0.25">
      <c r="A91" s="28"/>
      <c r="B91" s="30"/>
      <c r="C91" s="29"/>
      <c r="D91" s="29"/>
      <c r="E91" s="29"/>
      <c r="F91" s="39"/>
      <c r="G91" s="39" t="str">
        <f t="shared" si="21"/>
        <v/>
      </c>
      <c r="H91" s="39" t="str">
        <f t="shared" si="22"/>
        <v/>
      </c>
      <c r="I91" s="29"/>
      <c r="J91" s="39"/>
      <c r="K91" s="39" t="str">
        <f t="shared" si="23"/>
        <v/>
      </c>
      <c r="L91" s="39" t="str">
        <f t="shared" si="24"/>
        <v/>
      </c>
      <c r="M91" s="29"/>
      <c r="N91" s="36"/>
      <c r="O91" s="44"/>
      <c r="P91" s="44" t="str">
        <f t="shared" si="25"/>
        <v/>
      </c>
      <c r="Q91" s="44" t="str">
        <f t="shared" si="26"/>
        <v/>
      </c>
    </row>
    <row r="92" spans="1:17" s="21" customFormat="1" x14ac:dyDescent="0.25">
      <c r="A92" s="25"/>
      <c r="B92" s="27"/>
      <c r="C92" s="26"/>
      <c r="D92" s="26"/>
      <c r="E92" s="26"/>
      <c r="F92" s="38"/>
      <c r="G92" s="38" t="str">
        <f t="shared" si="21"/>
        <v/>
      </c>
      <c r="H92" s="38" t="str">
        <f t="shared" si="22"/>
        <v/>
      </c>
      <c r="I92" s="26"/>
      <c r="J92" s="38"/>
      <c r="K92" s="38" t="str">
        <f t="shared" si="23"/>
        <v/>
      </c>
      <c r="L92" s="38" t="str">
        <f t="shared" si="24"/>
        <v/>
      </c>
      <c r="M92" s="26"/>
      <c r="N92" s="35"/>
      <c r="O92" s="45"/>
      <c r="P92" s="45" t="str">
        <f t="shared" si="25"/>
        <v/>
      </c>
      <c r="Q92" s="45" t="str">
        <f t="shared" si="26"/>
        <v/>
      </c>
    </row>
    <row r="93" spans="1:17" s="21" customFormat="1" x14ac:dyDescent="0.25">
      <c r="A93" s="28"/>
      <c r="B93" s="30"/>
      <c r="C93" s="29"/>
      <c r="D93" s="29"/>
      <c r="E93" s="29"/>
      <c r="F93" s="39"/>
      <c r="G93" s="39" t="str">
        <f t="shared" si="21"/>
        <v/>
      </c>
      <c r="H93" s="39" t="str">
        <f t="shared" si="22"/>
        <v/>
      </c>
      <c r="I93" s="29"/>
      <c r="J93" s="39"/>
      <c r="K93" s="39" t="str">
        <f t="shared" si="23"/>
        <v/>
      </c>
      <c r="L93" s="39" t="str">
        <f t="shared" si="24"/>
        <v/>
      </c>
      <c r="M93" s="29"/>
      <c r="N93" s="36"/>
      <c r="O93" s="44"/>
      <c r="P93" s="44" t="str">
        <f t="shared" si="25"/>
        <v/>
      </c>
      <c r="Q93" s="44" t="str">
        <f t="shared" si="26"/>
        <v/>
      </c>
    </row>
    <row r="94" spans="1:17" s="21" customFormat="1" x14ac:dyDescent="0.25">
      <c r="A94" s="25"/>
      <c r="B94" s="27"/>
      <c r="C94" s="26"/>
      <c r="D94" s="26"/>
      <c r="E94" s="26"/>
      <c r="F94" s="38"/>
      <c r="G94" s="38" t="str">
        <f t="shared" si="21"/>
        <v/>
      </c>
      <c r="H94" s="38" t="str">
        <f t="shared" si="22"/>
        <v/>
      </c>
      <c r="I94" s="26"/>
      <c r="J94" s="38"/>
      <c r="K94" s="38" t="str">
        <f t="shared" si="23"/>
        <v/>
      </c>
      <c r="L94" s="38" t="str">
        <f t="shared" si="24"/>
        <v/>
      </c>
      <c r="M94" s="26"/>
      <c r="N94" s="35"/>
      <c r="O94" s="45"/>
      <c r="P94" s="45" t="str">
        <f t="shared" si="25"/>
        <v/>
      </c>
      <c r="Q94" s="45" t="str">
        <f t="shared" si="26"/>
        <v/>
      </c>
    </row>
    <row r="95" spans="1:17" s="21" customFormat="1" x14ac:dyDescent="0.25">
      <c r="A95" s="28"/>
      <c r="B95" s="30"/>
      <c r="C95" s="29"/>
      <c r="D95" s="29"/>
      <c r="E95" s="29"/>
      <c r="F95" s="39"/>
      <c r="G95" s="39" t="str">
        <f t="shared" si="21"/>
        <v/>
      </c>
      <c r="H95" s="39" t="str">
        <f t="shared" si="22"/>
        <v/>
      </c>
      <c r="I95" s="29"/>
      <c r="J95" s="39"/>
      <c r="K95" s="39" t="str">
        <f t="shared" si="23"/>
        <v/>
      </c>
      <c r="L95" s="39" t="str">
        <f t="shared" si="24"/>
        <v/>
      </c>
      <c r="M95" s="29"/>
      <c r="N95" s="36"/>
      <c r="O95" s="44"/>
      <c r="P95" s="44" t="str">
        <f t="shared" si="25"/>
        <v/>
      </c>
      <c r="Q95" s="44" t="str">
        <f t="shared" si="26"/>
        <v/>
      </c>
    </row>
    <row r="96" spans="1:17" s="21" customFormat="1" x14ac:dyDescent="0.25">
      <c r="A96" s="25"/>
      <c r="B96" s="27"/>
      <c r="C96" s="26"/>
      <c r="D96" s="26"/>
      <c r="E96" s="26"/>
      <c r="F96" s="38"/>
      <c r="G96" s="38" t="str">
        <f t="shared" si="21"/>
        <v/>
      </c>
      <c r="H96" s="38" t="str">
        <f t="shared" si="22"/>
        <v/>
      </c>
      <c r="I96" s="26"/>
      <c r="J96" s="38"/>
      <c r="K96" s="38" t="str">
        <f t="shared" si="23"/>
        <v/>
      </c>
      <c r="L96" s="38" t="str">
        <f t="shared" si="24"/>
        <v/>
      </c>
      <c r="M96" s="26"/>
      <c r="N96" s="35"/>
      <c r="O96" s="45"/>
      <c r="P96" s="45" t="str">
        <f t="shared" si="25"/>
        <v/>
      </c>
      <c r="Q96" s="45" t="str">
        <f t="shared" si="26"/>
        <v/>
      </c>
    </row>
    <row r="97" spans="1:17" s="21" customFormat="1" x14ac:dyDescent="0.25">
      <c r="A97" s="28"/>
      <c r="B97" s="30"/>
      <c r="C97" s="29"/>
      <c r="D97" s="29"/>
      <c r="E97" s="29"/>
      <c r="F97" s="39"/>
      <c r="G97" s="39" t="str">
        <f t="shared" si="21"/>
        <v/>
      </c>
      <c r="H97" s="39" t="str">
        <f t="shared" si="22"/>
        <v/>
      </c>
      <c r="I97" s="29"/>
      <c r="J97" s="39"/>
      <c r="K97" s="39" t="str">
        <f t="shared" si="23"/>
        <v/>
      </c>
      <c r="L97" s="39" t="str">
        <f t="shared" si="24"/>
        <v/>
      </c>
      <c r="M97" s="29"/>
      <c r="N97" s="36"/>
      <c r="O97" s="44"/>
      <c r="P97" s="44" t="str">
        <f t="shared" si="25"/>
        <v/>
      </c>
      <c r="Q97" s="44" t="str">
        <f t="shared" si="26"/>
        <v/>
      </c>
    </row>
    <row r="98" spans="1:17" s="21" customFormat="1" x14ac:dyDescent="0.25">
      <c r="A98" s="25"/>
      <c r="B98" s="27"/>
      <c r="C98" s="26"/>
      <c r="D98" s="26"/>
      <c r="E98" s="26"/>
      <c r="F98" s="38"/>
      <c r="G98" s="38" t="str">
        <f t="shared" si="21"/>
        <v/>
      </c>
      <c r="H98" s="38" t="str">
        <f t="shared" si="22"/>
        <v/>
      </c>
      <c r="I98" s="26"/>
      <c r="J98" s="38"/>
      <c r="K98" s="38" t="str">
        <f t="shared" si="23"/>
        <v/>
      </c>
      <c r="L98" s="38" t="str">
        <f t="shared" si="24"/>
        <v/>
      </c>
      <c r="M98" s="26"/>
      <c r="N98" s="35"/>
      <c r="O98" s="45"/>
      <c r="P98" s="45" t="str">
        <f t="shared" si="25"/>
        <v/>
      </c>
      <c r="Q98" s="45" t="str">
        <f t="shared" si="26"/>
        <v/>
      </c>
    </row>
    <row r="99" spans="1:17" s="21" customFormat="1" x14ac:dyDescent="0.25">
      <c r="A99" s="28"/>
      <c r="B99" s="30"/>
      <c r="C99" s="29"/>
      <c r="D99" s="29"/>
      <c r="E99" s="29"/>
      <c r="F99" s="39"/>
      <c r="G99" s="39" t="str">
        <f t="shared" si="21"/>
        <v/>
      </c>
      <c r="H99" s="39" t="str">
        <f t="shared" si="22"/>
        <v/>
      </c>
      <c r="I99" s="29"/>
      <c r="J99" s="39"/>
      <c r="K99" s="39" t="str">
        <f t="shared" si="23"/>
        <v/>
      </c>
      <c r="L99" s="39" t="str">
        <f t="shared" si="24"/>
        <v/>
      </c>
      <c r="M99" s="29"/>
      <c r="N99" s="36"/>
      <c r="O99" s="44"/>
      <c r="P99" s="44" t="str">
        <f t="shared" si="25"/>
        <v/>
      </c>
      <c r="Q99" s="44" t="str">
        <f t="shared" si="26"/>
        <v/>
      </c>
    </row>
    <row r="100" spans="1:17" s="21" customFormat="1" x14ac:dyDescent="0.25">
      <c r="A100" s="25"/>
      <c r="B100" s="27"/>
      <c r="C100" s="26"/>
      <c r="D100" s="26"/>
      <c r="E100" s="26"/>
      <c r="F100" s="38"/>
      <c r="G100" s="38" t="str">
        <f t="shared" si="21"/>
        <v/>
      </c>
      <c r="H100" s="38" t="str">
        <f t="shared" si="22"/>
        <v/>
      </c>
      <c r="I100" s="26"/>
      <c r="J100" s="38"/>
      <c r="K100" s="38" t="str">
        <f t="shared" si="23"/>
        <v/>
      </c>
      <c r="L100" s="38" t="str">
        <f t="shared" si="24"/>
        <v/>
      </c>
      <c r="M100" s="26"/>
      <c r="N100" s="35"/>
      <c r="O100" s="45"/>
      <c r="P100" s="45" t="str">
        <f t="shared" si="25"/>
        <v/>
      </c>
      <c r="Q100" s="45" t="str">
        <f t="shared" si="26"/>
        <v/>
      </c>
    </row>
    <row r="101" spans="1:17" s="21" customFormat="1" x14ac:dyDescent="0.25">
      <c r="A101" s="28"/>
      <c r="B101" s="30"/>
      <c r="C101" s="29"/>
      <c r="D101" s="29"/>
      <c r="E101" s="29"/>
      <c r="F101" s="29"/>
      <c r="G101" s="39" t="str">
        <f t="shared" si="21"/>
        <v/>
      </c>
      <c r="H101" s="39" t="str">
        <f t="shared" si="22"/>
        <v/>
      </c>
      <c r="I101" s="29"/>
      <c r="J101" s="29"/>
      <c r="K101" s="39" t="str">
        <f t="shared" si="23"/>
        <v/>
      </c>
      <c r="L101" s="39" t="str">
        <f t="shared" si="24"/>
        <v/>
      </c>
      <c r="M101" s="29"/>
      <c r="N101" s="36"/>
      <c r="O101" s="46"/>
      <c r="P101" s="44" t="str">
        <f t="shared" si="25"/>
        <v/>
      </c>
      <c r="Q101" s="44" t="str">
        <f t="shared" si="26"/>
        <v/>
      </c>
    </row>
    <row r="102" spans="1:17" s="21" customFormat="1" x14ac:dyDescent="0.25">
      <c r="A102" s="25"/>
      <c r="B102" s="27"/>
      <c r="C102" s="26"/>
      <c r="D102" s="26"/>
      <c r="E102" s="26"/>
      <c r="F102" s="26"/>
      <c r="G102" s="38" t="str">
        <f t="shared" ref="G102:G104" si="27">IF(E102="","",_xlfn.TRANSLATE(E102,"vi","ja"))</f>
        <v/>
      </c>
      <c r="H102" s="38" t="str">
        <f t="shared" si="22"/>
        <v/>
      </c>
      <c r="I102" s="26"/>
      <c r="J102" s="26"/>
      <c r="K102" s="38" t="str">
        <f t="shared" ref="K102:K104" si="28">IF(I102="","",_xlfn.TRANSLATE(I102,"vi","ja"))</f>
        <v/>
      </c>
      <c r="L102" s="38" t="str">
        <f t="shared" si="24"/>
        <v/>
      </c>
      <c r="M102" s="26"/>
      <c r="N102" s="35"/>
      <c r="O102" s="47"/>
      <c r="P102" s="45" t="str">
        <f t="shared" ref="P102:P104" si="29">IF(N102="","",_xlfn.TRANSLATE(N102,"vi","ja"))</f>
        <v/>
      </c>
      <c r="Q102" s="45" t="str">
        <f t="shared" si="26"/>
        <v/>
      </c>
    </row>
    <row r="103" spans="1:17" s="21" customFormat="1" x14ac:dyDescent="0.25">
      <c r="A103" s="28"/>
      <c r="B103" s="30"/>
      <c r="C103" s="29"/>
      <c r="D103" s="29"/>
      <c r="E103" s="29"/>
      <c r="F103" s="29"/>
      <c r="G103" s="39" t="str">
        <f t="shared" si="27"/>
        <v/>
      </c>
      <c r="H103" s="39" t="str">
        <f t="shared" si="22"/>
        <v/>
      </c>
      <c r="I103" s="29"/>
      <c r="J103" s="29"/>
      <c r="K103" s="39" t="str">
        <f t="shared" si="28"/>
        <v/>
      </c>
      <c r="L103" s="39" t="str">
        <f t="shared" si="24"/>
        <v/>
      </c>
      <c r="M103" s="29"/>
      <c r="N103" s="36"/>
      <c r="O103" s="46"/>
      <c r="P103" s="44" t="str">
        <f t="shared" si="29"/>
        <v/>
      </c>
      <c r="Q103" s="44" t="str">
        <f t="shared" si="26"/>
        <v/>
      </c>
    </row>
    <row r="104" spans="1:17" s="21" customFormat="1" x14ac:dyDescent="0.25">
      <c r="A104" s="31"/>
      <c r="B104" s="33"/>
      <c r="C104" s="32"/>
      <c r="D104" s="32"/>
      <c r="E104" s="32"/>
      <c r="F104" s="32"/>
      <c r="G104" s="40" t="str">
        <f t="shared" si="27"/>
        <v/>
      </c>
      <c r="H104" s="40" t="str">
        <f t="shared" si="22"/>
        <v/>
      </c>
      <c r="I104" s="32"/>
      <c r="J104" s="32"/>
      <c r="K104" s="40" t="str">
        <f t="shared" si="28"/>
        <v/>
      </c>
      <c r="L104" s="40" t="str">
        <f t="shared" si="24"/>
        <v/>
      </c>
      <c r="M104" s="32"/>
      <c r="N104" s="37"/>
      <c r="O104" s="47"/>
      <c r="P104" s="45" t="str">
        <f t="shared" si="29"/>
        <v/>
      </c>
      <c r="Q104" s="45" t="str">
        <f t="shared" si="26"/>
        <v/>
      </c>
    </row>
  </sheetData>
  <sheetProtection formatCells="0" formatColumns="0" formatRows="0" deleteRows="0" sort="0" autoFilter="0"/>
  <autoFilter ref="A4:N104" xr:uid="{00000000-0001-0000-0700-000000000000}"/>
  <mergeCells count="3">
    <mergeCell ref="A2:Q2"/>
    <mergeCell ref="A1:Q1"/>
    <mergeCell ref="A3:Q3"/>
  </mergeCells>
  <phoneticPr fontId="1"/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3CBB-9938-46CE-A1D3-0DCDE5B82A65}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3.5" x14ac:dyDescent="0.15"/>
  <cols>
    <col min="1" max="4" width="20.625" customWidth="1"/>
    <col min="5" max="5" width="60.625" customWidth="1"/>
    <col min="6" max="7" width="20.625" customWidth="1"/>
  </cols>
  <sheetData>
    <row r="1" spans="1:7" ht="27.95" customHeight="1" x14ac:dyDescent="0.15">
      <c r="A1" s="20" t="str">
        <f>INDEX(_翻訳マスタ!$B$2:$D$300,MATCH("GOMI_NO",_翻訳マスタ!$A$2:$A$300,0),MATCH(言語切替!$B$3,_翻訳マスタ!$B$1:$D$1,0))</f>
        <v>Số</v>
      </c>
      <c r="B1" s="20" t="str">
        <f>INDEX(_翻訳マスタ!$B$2:$D$300,MATCH("GOMI_DATE",_翻訳マスタ!$A$2:$A$300,0),MATCH(言語切替!$B$3,_翻訳マスタ!$B$1:$D$1,0))</f>
        <v>Ngày xóa</v>
      </c>
      <c r="C1" s="20" t="str">
        <f>INDEX(_翻訳マスタ!$B$2:$D$300,MATCH("GOMI_SHEET",_翻訳マスタ!$A$2:$A$300,0),MATCH(言語切替!$B$3,_翻訳マスタ!$B$1:$D$1,0))</f>
        <v>Trang tính</v>
      </c>
      <c r="D1" s="20" t="str">
        <f>INDEX(_翻訳マスタ!$B$2:$D$300,MATCH("GOMI_ID",_翻訳マスタ!$A$2:$A$300,0),MATCH(言語切替!$B$3,_翻訳マスタ!$B$1:$D$1,0))</f>
        <v>Mã</v>
      </c>
      <c r="E1" s="20" t="str">
        <f>INDEX(_翻訳マスタ!$B$2:$D$300,MATCH("GOMI_SNAP",_翻訳マスタ!$A$2:$A$300,0),MATCH(言語切替!$B$3,_翻訳マスタ!$B$1:$D$1,0))</f>
        <v>Nội dung snapshot</v>
      </c>
      <c r="F1" s="20" t="str">
        <f>INDEX(_翻訳マスタ!$B$2:$D$300,MATCH("GOMI_BY",_翻訳マスタ!$A$2:$A$300,0),MATCH(言語切替!$B$3,_翻訳マスタ!$B$1:$D$1,0))</f>
        <v>Người xóa</v>
      </c>
      <c r="G1" s="20" t="str">
        <f>INDEX(_翻訳マスタ!$B$2:$D$300,MATCH("GOMI_REASON",_翻訳マスタ!$A$2:$A$300,0),MATCH(言語切替!$B$3,_翻訳マスタ!$B$1:$D$1,0))</f>
        <v>Lý do</v>
      </c>
    </row>
    <row r="2" spans="1:7" ht="31.5" customHeight="1" x14ac:dyDescent="0.15">
      <c r="A2" t="s">
        <v>944</v>
      </c>
      <c r="C2" t="s">
        <v>14</v>
      </c>
      <c r="D2" t="s">
        <v>132</v>
      </c>
      <c r="E2" t="s">
        <v>945</v>
      </c>
      <c r="F2" t="s">
        <v>946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EDF8-B216-4BF5-8A7E-D8BC32863AD2}">
  <dimension ref="A1:E263"/>
  <sheetViews>
    <sheetView topLeftCell="A100" workbookViewId="0">
      <selection activeCell="D116" sqref="D116"/>
    </sheetView>
  </sheetViews>
  <sheetFormatPr defaultRowHeight="13.5" x14ac:dyDescent="0.15"/>
  <cols>
    <col min="2" max="2" width="15.375" customWidth="1"/>
  </cols>
  <sheetData>
    <row r="1" spans="1:4" x14ac:dyDescent="0.15">
      <c r="A1" t="s">
        <v>226</v>
      </c>
      <c r="B1" t="s">
        <v>225</v>
      </c>
      <c r="C1" t="s">
        <v>227</v>
      </c>
      <c r="D1" t="s">
        <v>228</v>
      </c>
    </row>
    <row r="2" spans="1:4" x14ac:dyDescent="0.15">
      <c r="A2" t="s">
        <v>229</v>
      </c>
      <c r="B2" t="s">
        <v>0</v>
      </c>
      <c r="C2" t="s">
        <v>230</v>
      </c>
      <c r="D2" t="s">
        <v>231</v>
      </c>
    </row>
    <row r="3" spans="1:4" x14ac:dyDescent="0.15">
      <c r="A3" t="s">
        <v>232</v>
      </c>
      <c r="B3" t="s">
        <v>1</v>
      </c>
      <c r="C3" t="s">
        <v>233</v>
      </c>
      <c r="D3" t="s">
        <v>234</v>
      </c>
    </row>
    <row r="4" spans="1:4" x14ac:dyDescent="0.15">
      <c r="A4" t="s">
        <v>235</v>
      </c>
      <c r="B4" t="s">
        <v>2</v>
      </c>
      <c r="C4" t="s">
        <v>236</v>
      </c>
      <c r="D4" t="s">
        <v>237</v>
      </c>
    </row>
    <row r="5" spans="1:4" x14ac:dyDescent="0.15">
      <c r="A5" t="s">
        <v>238</v>
      </c>
      <c r="B5" t="s">
        <v>5</v>
      </c>
      <c r="C5" t="s">
        <v>239</v>
      </c>
      <c r="D5" t="s">
        <v>240</v>
      </c>
    </row>
    <row r="6" spans="1:4" x14ac:dyDescent="0.15">
      <c r="A6" t="s">
        <v>241</v>
      </c>
      <c r="B6" t="s">
        <v>8</v>
      </c>
      <c r="C6" t="s">
        <v>242</v>
      </c>
      <c r="D6" t="s">
        <v>243</v>
      </c>
    </row>
    <row r="7" spans="1:4" x14ac:dyDescent="0.15">
      <c r="A7" t="s">
        <v>244</v>
      </c>
      <c r="B7" t="s">
        <v>11</v>
      </c>
      <c r="C7" t="s">
        <v>245</v>
      </c>
      <c r="D7" t="s">
        <v>246</v>
      </c>
    </row>
    <row r="8" spans="1:4" x14ac:dyDescent="0.15">
      <c r="A8" t="s">
        <v>247</v>
      </c>
      <c r="B8" t="s">
        <v>13</v>
      </c>
      <c r="C8" t="s">
        <v>248</v>
      </c>
      <c r="D8" t="s">
        <v>249</v>
      </c>
    </row>
    <row r="9" spans="1:4" x14ac:dyDescent="0.15">
      <c r="A9" t="s">
        <v>250</v>
      </c>
      <c r="B9" t="s">
        <v>3</v>
      </c>
      <c r="C9" t="s">
        <v>251</v>
      </c>
      <c r="D9" t="s">
        <v>252</v>
      </c>
    </row>
    <row r="10" spans="1:4" x14ac:dyDescent="0.15">
      <c r="A10" t="s">
        <v>253</v>
      </c>
      <c r="B10" t="s">
        <v>4</v>
      </c>
      <c r="C10" t="s">
        <v>4</v>
      </c>
      <c r="D10" t="s">
        <v>254</v>
      </c>
    </row>
    <row r="11" spans="1:4" x14ac:dyDescent="0.15">
      <c r="A11" t="s">
        <v>255</v>
      </c>
      <c r="B11" t="s">
        <v>7</v>
      </c>
      <c r="C11" t="s">
        <v>256</v>
      </c>
      <c r="D11" t="s">
        <v>257</v>
      </c>
    </row>
    <row r="12" spans="1:4" x14ac:dyDescent="0.15">
      <c r="A12" t="s">
        <v>258</v>
      </c>
      <c r="B12" t="s">
        <v>10</v>
      </c>
      <c r="C12" t="s">
        <v>259</v>
      </c>
      <c r="D12" t="s">
        <v>260</v>
      </c>
    </row>
    <row r="13" spans="1:4" x14ac:dyDescent="0.15">
      <c r="A13" t="s">
        <v>261</v>
      </c>
      <c r="B13" t="s">
        <v>12</v>
      </c>
      <c r="C13" t="s">
        <v>262</v>
      </c>
      <c r="D13" t="s">
        <v>263</v>
      </c>
    </row>
    <row r="14" spans="1:4" x14ac:dyDescent="0.15">
      <c r="A14" t="s">
        <v>264</v>
      </c>
      <c r="B14" t="s">
        <v>15</v>
      </c>
      <c r="C14" t="s">
        <v>265</v>
      </c>
      <c r="D14" t="s">
        <v>266</v>
      </c>
    </row>
    <row r="15" spans="1:4" x14ac:dyDescent="0.15">
      <c r="A15" t="s">
        <v>267</v>
      </c>
      <c r="B15" t="s">
        <v>17</v>
      </c>
      <c r="C15" t="s">
        <v>268</v>
      </c>
      <c r="D15" t="s">
        <v>269</v>
      </c>
    </row>
    <row r="16" spans="1:4" x14ac:dyDescent="0.15">
      <c r="A16" t="s">
        <v>270</v>
      </c>
      <c r="B16" t="s">
        <v>20</v>
      </c>
      <c r="C16" t="s">
        <v>271</v>
      </c>
      <c r="D16" t="s">
        <v>272</v>
      </c>
    </row>
    <row r="17" spans="1:4" x14ac:dyDescent="0.15">
      <c r="A17" t="s">
        <v>273</v>
      </c>
      <c r="B17" t="s">
        <v>23</v>
      </c>
      <c r="C17" t="s">
        <v>274</v>
      </c>
      <c r="D17" t="s">
        <v>275</v>
      </c>
    </row>
    <row r="18" spans="1:4" x14ac:dyDescent="0.15">
      <c r="A18" t="s">
        <v>276</v>
      </c>
      <c r="B18" t="s">
        <v>18</v>
      </c>
      <c r="C18" t="s">
        <v>277</v>
      </c>
      <c r="D18" t="s">
        <v>278</v>
      </c>
    </row>
    <row r="19" spans="1:4" x14ac:dyDescent="0.15">
      <c r="A19" t="s">
        <v>279</v>
      </c>
      <c r="B19" t="s">
        <v>21</v>
      </c>
      <c r="C19" t="s">
        <v>280</v>
      </c>
      <c r="D19" t="s">
        <v>281</v>
      </c>
    </row>
    <row r="20" spans="1:4" x14ac:dyDescent="0.15">
      <c r="A20" t="s">
        <v>282</v>
      </c>
      <c r="B20" t="s">
        <v>24</v>
      </c>
      <c r="C20" t="s">
        <v>283</v>
      </c>
      <c r="D20" t="s">
        <v>284</v>
      </c>
    </row>
    <row r="21" spans="1:4" x14ac:dyDescent="0.15">
      <c r="A21" t="s">
        <v>285</v>
      </c>
      <c r="B21" t="s">
        <v>25</v>
      </c>
      <c r="C21" t="s">
        <v>286</v>
      </c>
      <c r="D21" t="s">
        <v>287</v>
      </c>
    </row>
    <row r="22" spans="1:4" x14ac:dyDescent="0.15">
      <c r="A22" t="s">
        <v>288</v>
      </c>
      <c r="B22" t="s">
        <v>26</v>
      </c>
      <c r="C22" t="s">
        <v>289</v>
      </c>
      <c r="D22" t="s">
        <v>290</v>
      </c>
    </row>
    <row r="23" spans="1:4" x14ac:dyDescent="0.15">
      <c r="A23" t="s">
        <v>291</v>
      </c>
      <c r="B23" t="s">
        <v>27</v>
      </c>
      <c r="C23" t="s">
        <v>292</v>
      </c>
      <c r="D23" t="s">
        <v>293</v>
      </c>
    </row>
    <row r="24" spans="1:4" x14ac:dyDescent="0.15">
      <c r="A24" t="s">
        <v>294</v>
      </c>
      <c r="B24" t="s">
        <v>28</v>
      </c>
      <c r="C24" t="s">
        <v>295</v>
      </c>
      <c r="D24" t="s">
        <v>296</v>
      </c>
    </row>
    <row r="25" spans="1:4" x14ac:dyDescent="0.15">
      <c r="A25" t="s">
        <v>297</v>
      </c>
      <c r="B25" t="s">
        <v>29</v>
      </c>
      <c r="C25" t="s">
        <v>298</v>
      </c>
      <c r="D25" t="s">
        <v>299</v>
      </c>
    </row>
    <row r="26" spans="1:4" x14ac:dyDescent="0.15">
      <c r="A26" t="s">
        <v>300</v>
      </c>
      <c r="B26" t="s">
        <v>30</v>
      </c>
      <c r="C26" t="s">
        <v>301</v>
      </c>
      <c r="D26" t="s">
        <v>302</v>
      </c>
    </row>
    <row r="27" spans="1:4" x14ac:dyDescent="0.15">
      <c r="A27" t="s">
        <v>303</v>
      </c>
      <c r="B27" t="s">
        <v>31</v>
      </c>
      <c r="C27" t="s">
        <v>304</v>
      </c>
      <c r="D27" t="s">
        <v>305</v>
      </c>
    </row>
    <row r="28" spans="1:4" x14ac:dyDescent="0.15">
      <c r="A28" t="s">
        <v>306</v>
      </c>
      <c r="B28" t="s">
        <v>32</v>
      </c>
      <c r="C28" t="s">
        <v>307</v>
      </c>
      <c r="D28" t="s">
        <v>308</v>
      </c>
    </row>
    <row r="29" spans="1:4" x14ac:dyDescent="0.15">
      <c r="A29" t="s">
        <v>309</v>
      </c>
      <c r="B29" t="s">
        <v>33</v>
      </c>
      <c r="C29" t="s">
        <v>310</v>
      </c>
      <c r="D29" t="s">
        <v>311</v>
      </c>
    </row>
    <row r="30" spans="1:4" x14ac:dyDescent="0.15">
      <c r="A30" t="s">
        <v>312</v>
      </c>
      <c r="B30" t="s">
        <v>34</v>
      </c>
      <c r="C30" t="s">
        <v>313</v>
      </c>
      <c r="D30" t="s">
        <v>314</v>
      </c>
    </row>
    <row r="31" spans="1:4" x14ac:dyDescent="0.15">
      <c r="A31" t="s">
        <v>315</v>
      </c>
      <c r="B31" t="s">
        <v>35</v>
      </c>
      <c r="C31" t="s">
        <v>316</v>
      </c>
      <c r="D31" t="s">
        <v>317</v>
      </c>
    </row>
    <row r="32" spans="1:4" x14ac:dyDescent="0.15">
      <c r="A32" t="s">
        <v>318</v>
      </c>
      <c r="B32" t="s">
        <v>36</v>
      </c>
      <c r="C32" t="s">
        <v>319</v>
      </c>
      <c r="D32" t="s">
        <v>320</v>
      </c>
    </row>
    <row r="33" spans="1:5" x14ac:dyDescent="0.15">
      <c r="A33" t="s">
        <v>339</v>
      </c>
      <c r="B33" t="s">
        <v>37</v>
      </c>
      <c r="C33" t="s">
        <v>340</v>
      </c>
      <c r="D33" t="s">
        <v>341</v>
      </c>
      <c r="E33" t="str">
        <f>INDEX(B33:D33,1,MATCH(言語切替!$B$3,$B$1:$D$1,0))</f>
        <v>Tổng quan</v>
      </c>
    </row>
    <row r="34" spans="1:5" x14ac:dyDescent="0.15">
      <c r="A34" t="s">
        <v>342</v>
      </c>
      <c r="B34" t="s">
        <v>38</v>
      </c>
      <c r="C34" t="s">
        <v>343</v>
      </c>
      <c r="D34" t="s">
        <v>344</v>
      </c>
      <c r="E34" t="str">
        <f>INDEX(B34:D34,1,MATCH(言語切替!$B$3,$B$1:$D$1,0))</f>
        <v>Dùng cho ban điều hành và cuộc họp trưởng WG hàng tuần. Không cần nhập liệu; thông tin WBS, Vấn đề/ToDo và KPI được tự động tổng hợp.</v>
      </c>
    </row>
    <row r="35" spans="1:5" x14ac:dyDescent="0.15">
      <c r="A35" t="s">
        <v>345</v>
      </c>
      <c r="B35" t="s">
        <v>39</v>
      </c>
      <c r="C35" t="s">
        <v>346</v>
      </c>
      <c r="D35" t="s">
        <v>347</v>
      </c>
      <c r="E35" t="str">
        <f>INDEX(B35:D35,1,MATCH(言語切替!$B$3,$B$1:$D$1,0))</f>
        <v>WBS chưa hoàn thành</v>
      </c>
    </row>
    <row r="36" spans="1:5" x14ac:dyDescent="0.15">
      <c r="A36" t="s">
        <v>348</v>
      </c>
      <c r="B36" t="s">
        <v>40</v>
      </c>
      <c r="C36" t="s">
        <v>349</v>
      </c>
      <c r="D36" t="s">
        <v>350</v>
      </c>
      <c r="E36" t="str">
        <f>INDEX(B36:D36,1,MATCH(言語切替!$B$3,$B$1:$D$1,0))</f>
        <v>WBS chậm tiến độ</v>
      </c>
    </row>
    <row r="37" spans="1:5" x14ac:dyDescent="0.15">
      <c r="A37" t="s">
        <v>351</v>
      </c>
      <c r="B37" t="s">
        <v>41</v>
      </c>
      <c r="C37" t="s">
        <v>352</v>
      </c>
      <c r="D37" t="s">
        <v>353</v>
      </c>
      <c r="E37" t="str">
        <f>INDEX(B37:D37,1,MATCH(言語切替!$B$3,$B$1:$D$1,0))</f>
        <v>Vấn đề/ToDo chưa hoàn thành</v>
      </c>
    </row>
    <row r="38" spans="1:5" x14ac:dyDescent="0.15">
      <c r="A38" t="s">
        <v>354</v>
      </c>
      <c r="B38" t="s">
        <v>42</v>
      </c>
      <c r="C38" t="s">
        <v>355</v>
      </c>
      <c r="D38" t="s">
        <v>356</v>
      </c>
      <c r="E38" t="str">
        <f>INDEX(B38:D38,1,MATCH(言語切替!$B$3,$B$1:$D$1,0))</f>
        <v>High / Quá hạn</v>
      </c>
    </row>
    <row r="39" spans="1:5" x14ac:dyDescent="0.15">
      <c r="A39" t="s">
        <v>357</v>
      </c>
      <c r="B39" t="s">
        <v>43</v>
      </c>
      <c r="C39" t="s">
        <v>358</v>
      </c>
      <c r="D39" t="s">
        <v>359</v>
      </c>
      <c r="E39" t="str">
        <f>INDEX(B39:D39,1,MATCH(言語切替!$B$3,$B$1:$D$1,0))</f>
        <v>KPI chưa đạt</v>
      </c>
    </row>
    <row r="40" spans="1:5" x14ac:dyDescent="0.15">
      <c r="A40" t="s">
        <v>360</v>
      </c>
      <c r="B40" t="s">
        <v>44</v>
      </c>
      <c r="C40" t="s">
        <v>44</v>
      </c>
      <c r="D40" t="s">
        <v>44</v>
      </c>
      <c r="E40" t="str">
        <f>INDEX(B40:D40,1,MATCH(言語切替!$B$3,$B$1:$D$1,0))</f>
        <v>WG</v>
      </c>
    </row>
    <row r="41" spans="1:5" x14ac:dyDescent="0.15">
      <c r="A41" t="s">
        <v>361</v>
      </c>
      <c r="B41" t="s">
        <v>45</v>
      </c>
      <c r="C41" t="s">
        <v>362</v>
      </c>
      <c r="D41" t="s">
        <v>363</v>
      </c>
      <c r="E41" t="str">
        <f>INDEX(B41:D41,1,MATCH(言語切替!$B$3,$B$1:$D$1,0))</f>
        <v>Vấn đề chưa hoàn thành</v>
      </c>
    </row>
    <row r="42" spans="1:5" x14ac:dyDescent="0.15">
      <c r="A42" t="s">
        <v>364</v>
      </c>
      <c r="B42" t="s">
        <v>46</v>
      </c>
      <c r="C42" t="s">
        <v>365</v>
      </c>
      <c r="D42" t="s">
        <v>366</v>
      </c>
      <c r="E42" t="str">
        <f>INDEX(B42:D42,1,MATCH(言語切替!$B$3,$B$1:$D$1,0))</f>
        <v>High/Quá hạn</v>
      </c>
    </row>
    <row r="43" spans="1:5" x14ac:dyDescent="0.15">
      <c r="A43" t="s">
        <v>367</v>
      </c>
      <c r="B43" t="s">
        <v>47</v>
      </c>
      <c r="C43" t="s">
        <v>368</v>
      </c>
      <c r="D43" t="s">
        <v>369</v>
      </c>
      <c r="E43" t="str">
        <f>INDEX(B43:D43,1,MATCH(言語切替!$B$3,$B$1:$D$1,0))</f>
        <v>Chờ quyết định/WG khác</v>
      </c>
    </row>
    <row r="44" spans="1:5" x14ac:dyDescent="0.15">
      <c r="A44" t="s">
        <v>370</v>
      </c>
      <c r="B44" t="s">
        <v>371</v>
      </c>
      <c r="C44" t="s">
        <v>372</v>
      </c>
      <c r="D44" t="s">
        <v>373</v>
      </c>
      <c r="E44" t="str">
        <f>INDEX(B44:D44,1,MATCH(言語切替!$B$3,$B$1:$D$1,0))</f>
        <v>Vấn đề chưa hoàn thành theo WG</v>
      </c>
    </row>
    <row r="45" spans="1:5" x14ac:dyDescent="0.15">
      <c r="A45" t="s">
        <v>374</v>
      </c>
      <c r="B45" t="s">
        <v>375</v>
      </c>
      <c r="C45" t="s">
        <v>376</v>
      </c>
      <c r="D45" t="s">
        <v>377</v>
      </c>
      <c r="E45" t="str">
        <f>INDEX(B45:D45,1,MATCH(言語切替!$B$3,$B$1:$D$1,0))</f>
        <v>Số lượng</v>
      </c>
    </row>
    <row r="46" spans="1:5" x14ac:dyDescent="0.15">
      <c r="A46" t="s">
        <v>378</v>
      </c>
      <c r="B46" t="s">
        <v>48</v>
      </c>
      <c r="C46" t="s">
        <v>379</v>
      </c>
      <c r="D46" t="s">
        <v>905</v>
      </c>
    </row>
    <row r="47" spans="1:5" x14ac:dyDescent="0.15">
      <c r="A47" t="s">
        <v>383</v>
      </c>
      <c r="B47" t="s">
        <v>51</v>
      </c>
      <c r="C47" t="s">
        <v>384</v>
      </c>
      <c r="D47" t="s">
        <v>385</v>
      </c>
    </row>
    <row r="48" spans="1:5" x14ac:dyDescent="0.15">
      <c r="A48" t="s">
        <v>386</v>
      </c>
      <c r="B48" t="s">
        <v>52</v>
      </c>
      <c r="C48" t="s">
        <v>387</v>
      </c>
      <c r="D48" t="s">
        <v>388</v>
      </c>
    </row>
    <row r="49" spans="1:4" x14ac:dyDescent="0.15">
      <c r="A49" t="s">
        <v>389</v>
      </c>
      <c r="B49" t="s">
        <v>44</v>
      </c>
      <c r="C49" t="s">
        <v>44</v>
      </c>
      <c r="D49" t="s">
        <v>44</v>
      </c>
    </row>
    <row r="50" spans="1:4" x14ac:dyDescent="0.15">
      <c r="A50" t="s">
        <v>390</v>
      </c>
      <c r="B50" t="s">
        <v>53</v>
      </c>
      <c r="C50" t="s">
        <v>391</v>
      </c>
      <c r="D50" t="s">
        <v>392</v>
      </c>
    </row>
    <row r="51" spans="1:4" x14ac:dyDescent="0.15">
      <c r="A51" t="s">
        <v>393</v>
      </c>
      <c r="B51" t="s">
        <v>54</v>
      </c>
      <c r="C51" t="s">
        <v>394</v>
      </c>
      <c r="D51" t="s">
        <v>395</v>
      </c>
    </row>
    <row r="52" spans="1:4" x14ac:dyDescent="0.15">
      <c r="A52" t="s">
        <v>396</v>
      </c>
      <c r="B52" t="s">
        <v>55</v>
      </c>
      <c r="C52" t="s">
        <v>397</v>
      </c>
      <c r="D52" t="s">
        <v>398</v>
      </c>
    </row>
    <row r="53" spans="1:4" x14ac:dyDescent="0.15">
      <c r="A53" t="s">
        <v>399</v>
      </c>
      <c r="B53" t="s">
        <v>56</v>
      </c>
      <c r="C53" t="s">
        <v>400</v>
      </c>
      <c r="D53" t="s">
        <v>401</v>
      </c>
    </row>
    <row r="54" spans="1:4" x14ac:dyDescent="0.15">
      <c r="A54" t="s">
        <v>402</v>
      </c>
      <c r="B54" t="s">
        <v>57</v>
      </c>
      <c r="C54" t="s">
        <v>403</v>
      </c>
      <c r="D54" t="s">
        <v>404</v>
      </c>
    </row>
    <row r="55" spans="1:4" x14ac:dyDescent="0.15">
      <c r="A55" t="s">
        <v>405</v>
      </c>
      <c r="B55" t="s">
        <v>58</v>
      </c>
      <c r="C55" t="s">
        <v>58</v>
      </c>
      <c r="D55" t="s">
        <v>406</v>
      </c>
    </row>
    <row r="56" spans="1:4" x14ac:dyDescent="0.15">
      <c r="A56" t="s">
        <v>407</v>
      </c>
      <c r="B56" t="s">
        <v>48</v>
      </c>
      <c r="C56" t="s">
        <v>379</v>
      </c>
      <c r="D56" t="s">
        <v>544</v>
      </c>
    </row>
    <row r="57" spans="1:4" x14ac:dyDescent="0.15">
      <c r="A57" t="s">
        <v>408</v>
      </c>
      <c r="B57" t="s">
        <v>322</v>
      </c>
      <c r="C57" t="s">
        <v>322</v>
      </c>
      <c r="D57" t="s">
        <v>322</v>
      </c>
    </row>
    <row r="58" spans="1:4" x14ac:dyDescent="0.15">
      <c r="A58" t="s">
        <v>409</v>
      </c>
      <c r="B58" t="s">
        <v>324</v>
      </c>
      <c r="C58" t="s">
        <v>324</v>
      </c>
      <c r="D58" t="s">
        <v>324</v>
      </c>
    </row>
    <row r="59" spans="1:4" x14ac:dyDescent="0.15">
      <c r="A59" t="s">
        <v>410</v>
      </c>
      <c r="B59" t="s">
        <v>326</v>
      </c>
      <c r="C59" t="s">
        <v>326</v>
      </c>
      <c r="D59" t="s">
        <v>326</v>
      </c>
    </row>
    <row r="60" spans="1:4" x14ac:dyDescent="0.15">
      <c r="A60" t="s">
        <v>411</v>
      </c>
      <c r="B60" t="s">
        <v>328</v>
      </c>
      <c r="C60" t="s">
        <v>328</v>
      </c>
      <c r="D60" t="s">
        <v>328</v>
      </c>
    </row>
    <row r="61" spans="1:4" x14ac:dyDescent="0.15">
      <c r="A61" t="s">
        <v>412</v>
      </c>
      <c r="B61" t="s">
        <v>330</v>
      </c>
      <c r="C61" t="s">
        <v>330</v>
      </c>
      <c r="D61" t="s">
        <v>330</v>
      </c>
    </row>
    <row r="62" spans="1:4" x14ac:dyDescent="0.15">
      <c r="A62" t="s">
        <v>413</v>
      </c>
      <c r="B62" t="s">
        <v>332</v>
      </c>
      <c r="C62" t="s">
        <v>332</v>
      </c>
      <c r="D62" t="s">
        <v>332</v>
      </c>
    </row>
    <row r="63" spans="1:4" x14ac:dyDescent="0.15">
      <c r="A63" t="s">
        <v>414</v>
      </c>
      <c r="B63" t="s">
        <v>334</v>
      </c>
      <c r="C63" t="s">
        <v>334</v>
      </c>
      <c r="D63" t="s">
        <v>334</v>
      </c>
    </row>
    <row r="64" spans="1:4" x14ac:dyDescent="0.15">
      <c r="A64" t="s">
        <v>415</v>
      </c>
      <c r="B64" t="s">
        <v>136</v>
      </c>
      <c r="C64" t="s">
        <v>136</v>
      </c>
      <c r="D64" t="s">
        <v>136</v>
      </c>
    </row>
    <row r="65" spans="1:4" x14ac:dyDescent="0.15">
      <c r="A65" t="s">
        <v>416</v>
      </c>
      <c r="B65" t="s">
        <v>337</v>
      </c>
      <c r="C65" t="s">
        <v>337</v>
      </c>
      <c r="D65" t="s">
        <v>337</v>
      </c>
    </row>
    <row r="66" spans="1:4" x14ac:dyDescent="0.15">
      <c r="A66" t="s">
        <v>417</v>
      </c>
      <c r="B66" t="s">
        <v>59</v>
      </c>
      <c r="C66" t="s">
        <v>59</v>
      </c>
      <c r="D66" t="s">
        <v>418</v>
      </c>
    </row>
    <row r="67" spans="1:4" x14ac:dyDescent="0.15">
      <c r="A67" t="s">
        <v>419</v>
      </c>
      <c r="B67" t="s">
        <v>65</v>
      </c>
      <c r="C67" t="s">
        <v>65</v>
      </c>
      <c r="D67" t="s">
        <v>65</v>
      </c>
    </row>
    <row r="68" spans="1:4" x14ac:dyDescent="0.15">
      <c r="A68" t="s">
        <v>420</v>
      </c>
      <c r="B68" t="s">
        <v>71</v>
      </c>
      <c r="C68" t="s">
        <v>71</v>
      </c>
      <c r="D68" t="s">
        <v>71</v>
      </c>
    </row>
    <row r="69" spans="1:4" x14ac:dyDescent="0.15">
      <c r="A69" t="s">
        <v>421</v>
      </c>
      <c r="B69" t="s">
        <v>77</v>
      </c>
      <c r="C69" t="s">
        <v>77</v>
      </c>
      <c r="D69" t="s">
        <v>77</v>
      </c>
    </row>
    <row r="70" spans="1:4" x14ac:dyDescent="0.15">
      <c r="A70" t="s">
        <v>422</v>
      </c>
      <c r="B70" t="s">
        <v>60</v>
      </c>
      <c r="C70" t="s">
        <v>423</v>
      </c>
      <c r="D70" t="s">
        <v>424</v>
      </c>
    </row>
    <row r="71" spans="1:4" x14ac:dyDescent="0.15">
      <c r="A71" t="s">
        <v>425</v>
      </c>
      <c r="B71" t="s">
        <v>66</v>
      </c>
      <c r="C71" t="s">
        <v>426</v>
      </c>
      <c r="D71" t="s">
        <v>427</v>
      </c>
    </row>
    <row r="72" spans="1:4" x14ac:dyDescent="0.15">
      <c r="A72" t="s">
        <v>428</v>
      </c>
      <c r="B72" t="s">
        <v>72</v>
      </c>
      <c r="C72" t="s">
        <v>429</v>
      </c>
      <c r="D72" t="s">
        <v>430</v>
      </c>
    </row>
    <row r="73" spans="1:4" x14ac:dyDescent="0.15">
      <c r="A73" t="s">
        <v>431</v>
      </c>
      <c r="B73" t="s">
        <v>78</v>
      </c>
      <c r="C73" t="s">
        <v>432</v>
      </c>
      <c r="D73" t="s">
        <v>433</v>
      </c>
    </row>
    <row r="74" spans="1:4" x14ac:dyDescent="0.15">
      <c r="A74" t="s">
        <v>434</v>
      </c>
      <c r="B74" t="s">
        <v>82</v>
      </c>
      <c r="C74" t="s">
        <v>435</v>
      </c>
      <c r="D74" t="s">
        <v>436</v>
      </c>
    </row>
    <row r="75" spans="1:4" x14ac:dyDescent="0.15">
      <c r="A75" t="s">
        <v>437</v>
      </c>
      <c r="B75" t="s">
        <v>84</v>
      </c>
      <c r="C75" t="s">
        <v>438</v>
      </c>
      <c r="D75" t="s">
        <v>439</v>
      </c>
    </row>
    <row r="76" spans="1:4" x14ac:dyDescent="0.15">
      <c r="A76" t="s">
        <v>440</v>
      </c>
      <c r="B76" t="s">
        <v>86</v>
      </c>
      <c r="C76" t="s">
        <v>441</v>
      </c>
      <c r="D76" t="s">
        <v>442</v>
      </c>
    </row>
    <row r="77" spans="1:4" x14ac:dyDescent="0.15">
      <c r="A77" t="s">
        <v>443</v>
      </c>
      <c r="B77" t="s">
        <v>87</v>
      </c>
      <c r="C77" t="s">
        <v>444</v>
      </c>
      <c r="D77" t="s">
        <v>445</v>
      </c>
    </row>
    <row r="78" spans="1:4" x14ac:dyDescent="0.15">
      <c r="A78" t="s">
        <v>446</v>
      </c>
      <c r="B78" t="s">
        <v>61</v>
      </c>
      <c r="C78" t="s">
        <v>61</v>
      </c>
      <c r="D78" t="s">
        <v>61</v>
      </c>
    </row>
    <row r="79" spans="1:4" x14ac:dyDescent="0.15">
      <c r="A79" t="s">
        <v>447</v>
      </c>
      <c r="B79" t="s">
        <v>67</v>
      </c>
      <c r="C79" t="s">
        <v>67</v>
      </c>
      <c r="D79" t="s">
        <v>67</v>
      </c>
    </row>
    <row r="80" spans="1:4" x14ac:dyDescent="0.15">
      <c r="A80" t="s">
        <v>448</v>
      </c>
      <c r="B80" t="s">
        <v>73</v>
      </c>
      <c r="C80" t="s">
        <v>73</v>
      </c>
      <c r="D80" t="s">
        <v>73</v>
      </c>
    </row>
    <row r="81" spans="1:4" x14ac:dyDescent="0.15">
      <c r="A81" t="s">
        <v>449</v>
      </c>
      <c r="B81" t="s">
        <v>62</v>
      </c>
      <c r="C81" t="s">
        <v>450</v>
      </c>
      <c r="D81" t="s">
        <v>451</v>
      </c>
    </row>
    <row r="82" spans="1:4" x14ac:dyDescent="0.15">
      <c r="A82" t="s">
        <v>452</v>
      </c>
      <c r="B82" t="s">
        <v>68</v>
      </c>
      <c r="C82" t="s">
        <v>68</v>
      </c>
      <c r="D82" t="s">
        <v>68</v>
      </c>
    </row>
    <row r="83" spans="1:4" x14ac:dyDescent="0.15">
      <c r="A83" t="s">
        <v>453</v>
      </c>
      <c r="B83" t="s">
        <v>74</v>
      </c>
      <c r="C83" t="s">
        <v>454</v>
      </c>
      <c r="D83" t="s">
        <v>455</v>
      </c>
    </row>
    <row r="84" spans="1:4" x14ac:dyDescent="0.15">
      <c r="A84" t="s">
        <v>456</v>
      </c>
      <c r="B84" t="s">
        <v>79</v>
      </c>
      <c r="C84" t="s">
        <v>457</v>
      </c>
      <c r="D84" t="s">
        <v>458</v>
      </c>
    </row>
    <row r="85" spans="1:4" x14ac:dyDescent="0.15">
      <c r="A85" t="s">
        <v>459</v>
      </c>
      <c r="B85" t="s">
        <v>63</v>
      </c>
      <c r="C85" t="s">
        <v>460</v>
      </c>
      <c r="D85" t="s">
        <v>461</v>
      </c>
    </row>
    <row r="86" spans="1:4" x14ac:dyDescent="0.15">
      <c r="A86" t="s">
        <v>462</v>
      </c>
      <c r="B86" t="s">
        <v>69</v>
      </c>
      <c r="C86" t="s">
        <v>463</v>
      </c>
      <c r="D86" t="s">
        <v>464</v>
      </c>
    </row>
    <row r="87" spans="1:4" x14ac:dyDescent="0.15">
      <c r="A87" t="s">
        <v>465</v>
      </c>
      <c r="B87" t="s">
        <v>75</v>
      </c>
      <c r="C87" t="s">
        <v>466</v>
      </c>
      <c r="D87" t="s">
        <v>467</v>
      </c>
    </row>
    <row r="88" spans="1:4" x14ac:dyDescent="0.15">
      <c r="A88" t="s">
        <v>468</v>
      </c>
      <c r="B88" t="s">
        <v>80</v>
      </c>
      <c r="C88" t="s">
        <v>469</v>
      </c>
      <c r="D88" t="s">
        <v>470</v>
      </c>
    </row>
    <row r="89" spans="1:4" x14ac:dyDescent="0.15">
      <c r="A89" t="s">
        <v>471</v>
      </c>
      <c r="B89" t="s">
        <v>64</v>
      </c>
      <c r="C89" t="s">
        <v>472</v>
      </c>
      <c r="D89" t="s">
        <v>473</v>
      </c>
    </row>
    <row r="90" spans="1:4" x14ac:dyDescent="0.15">
      <c r="A90" t="s">
        <v>474</v>
      </c>
      <c r="B90" t="s">
        <v>70</v>
      </c>
      <c r="C90" t="s">
        <v>475</v>
      </c>
      <c r="D90" t="s">
        <v>476</v>
      </c>
    </row>
    <row r="91" spans="1:4" x14ac:dyDescent="0.15">
      <c r="A91" t="s">
        <v>477</v>
      </c>
      <c r="B91" t="s">
        <v>76</v>
      </c>
      <c r="C91" t="s">
        <v>76</v>
      </c>
      <c r="D91" t="s">
        <v>478</v>
      </c>
    </row>
    <row r="92" spans="1:4" x14ac:dyDescent="0.15">
      <c r="A92" t="s">
        <v>479</v>
      </c>
      <c r="B92" t="s">
        <v>81</v>
      </c>
      <c r="C92" t="s">
        <v>480</v>
      </c>
      <c r="D92" t="s">
        <v>481</v>
      </c>
    </row>
    <row r="93" spans="1:4" x14ac:dyDescent="0.15">
      <c r="A93" t="s">
        <v>482</v>
      </c>
      <c r="B93" t="s">
        <v>83</v>
      </c>
      <c r="C93" t="s">
        <v>483</v>
      </c>
      <c r="D93" t="s">
        <v>484</v>
      </c>
    </row>
    <row r="94" spans="1:4" x14ac:dyDescent="0.15">
      <c r="A94" t="s">
        <v>485</v>
      </c>
      <c r="B94" t="s">
        <v>85</v>
      </c>
      <c r="C94" t="s">
        <v>486</v>
      </c>
      <c r="D94" t="s">
        <v>487</v>
      </c>
    </row>
    <row r="95" spans="1:4" x14ac:dyDescent="0.15">
      <c r="A95" t="s">
        <v>488</v>
      </c>
      <c r="B95" t="s">
        <v>88</v>
      </c>
      <c r="C95" t="s">
        <v>489</v>
      </c>
      <c r="D95" t="s">
        <v>490</v>
      </c>
    </row>
    <row r="96" spans="1:4" x14ac:dyDescent="0.15">
      <c r="A96" t="s">
        <v>491</v>
      </c>
      <c r="B96" t="s">
        <v>380</v>
      </c>
      <c r="C96" t="s">
        <v>492</v>
      </c>
      <c r="D96" t="s">
        <v>493</v>
      </c>
    </row>
    <row r="97" spans="1:4" x14ac:dyDescent="0.15">
      <c r="A97" t="s">
        <v>494</v>
      </c>
      <c r="B97" t="s">
        <v>381</v>
      </c>
      <c r="C97" t="s">
        <v>495</v>
      </c>
      <c r="D97" t="s">
        <v>496</v>
      </c>
    </row>
    <row r="98" spans="1:4" x14ac:dyDescent="0.15">
      <c r="A98" t="s">
        <v>497</v>
      </c>
      <c r="B98" t="s">
        <v>382</v>
      </c>
      <c r="C98" t="s">
        <v>498</v>
      </c>
      <c r="D98" t="s">
        <v>499</v>
      </c>
    </row>
    <row r="99" spans="1:4" x14ac:dyDescent="0.15">
      <c r="A99" t="s">
        <v>500</v>
      </c>
      <c r="B99" t="s">
        <v>89</v>
      </c>
      <c r="C99" t="s">
        <v>501</v>
      </c>
      <c r="D99" t="s">
        <v>502</v>
      </c>
    </row>
    <row r="100" spans="1:4" x14ac:dyDescent="0.15">
      <c r="A100" t="s">
        <v>503</v>
      </c>
      <c r="B100" t="s">
        <v>90</v>
      </c>
      <c r="C100" t="s">
        <v>504</v>
      </c>
      <c r="D100" t="s">
        <v>505</v>
      </c>
    </row>
    <row r="101" spans="1:4" x14ac:dyDescent="0.15">
      <c r="A101" t="s">
        <v>506</v>
      </c>
      <c r="B101" t="s">
        <v>91</v>
      </c>
      <c r="C101" t="s">
        <v>91</v>
      </c>
      <c r="D101" t="s">
        <v>91</v>
      </c>
    </row>
    <row r="102" spans="1:4" x14ac:dyDescent="0.15">
      <c r="A102" t="s">
        <v>507</v>
      </c>
      <c r="B102" t="s">
        <v>44</v>
      </c>
      <c r="C102" t="s">
        <v>44</v>
      </c>
      <c r="D102" t="s">
        <v>44</v>
      </c>
    </row>
    <row r="103" spans="1:4" x14ac:dyDescent="0.15">
      <c r="A103" t="s">
        <v>508</v>
      </c>
      <c r="B103" t="s">
        <v>53</v>
      </c>
      <c r="C103" t="s">
        <v>391</v>
      </c>
      <c r="D103" t="s">
        <v>971</v>
      </c>
    </row>
    <row r="104" spans="1:4" x14ac:dyDescent="0.15">
      <c r="A104" t="s">
        <v>509</v>
      </c>
      <c r="B104" t="s">
        <v>92</v>
      </c>
      <c r="C104" t="s">
        <v>510</v>
      </c>
      <c r="D104" t="s">
        <v>972</v>
      </c>
    </row>
    <row r="105" spans="1:4" x14ac:dyDescent="0.15">
      <c r="A105" t="s">
        <v>511</v>
      </c>
      <c r="B105" t="s">
        <v>973</v>
      </c>
      <c r="C105" t="s">
        <v>974</v>
      </c>
      <c r="D105" t="s">
        <v>975</v>
      </c>
    </row>
    <row r="106" spans="1:4" x14ac:dyDescent="0.15">
      <c r="A106" t="s">
        <v>512</v>
      </c>
      <c r="B106" t="s">
        <v>93</v>
      </c>
      <c r="C106" t="s">
        <v>513</v>
      </c>
      <c r="D106" t="s">
        <v>514</v>
      </c>
    </row>
    <row r="107" spans="1:4" x14ac:dyDescent="0.15">
      <c r="A107" t="s">
        <v>515</v>
      </c>
      <c r="B107" t="s">
        <v>94</v>
      </c>
      <c r="C107" t="s">
        <v>516</v>
      </c>
      <c r="D107" t="s">
        <v>517</v>
      </c>
    </row>
    <row r="108" spans="1:4" x14ac:dyDescent="0.15">
      <c r="A108" t="s">
        <v>518</v>
      </c>
      <c r="B108" t="s">
        <v>95</v>
      </c>
      <c r="C108" t="s">
        <v>519</v>
      </c>
      <c r="D108" t="s">
        <v>520</v>
      </c>
    </row>
    <row r="109" spans="1:4" x14ac:dyDescent="0.15">
      <c r="A109" t="s">
        <v>521</v>
      </c>
      <c r="B109" t="s">
        <v>96</v>
      </c>
      <c r="C109" t="s">
        <v>522</v>
      </c>
      <c r="D109" t="s">
        <v>523</v>
      </c>
    </row>
    <row r="110" spans="1:4" x14ac:dyDescent="0.15">
      <c r="A110" t="s">
        <v>524</v>
      </c>
      <c r="B110" t="s">
        <v>97</v>
      </c>
      <c r="C110" t="s">
        <v>525</v>
      </c>
      <c r="D110" t="s">
        <v>526</v>
      </c>
    </row>
    <row r="111" spans="1:4" x14ac:dyDescent="0.15">
      <c r="A111" t="s">
        <v>527</v>
      </c>
      <c r="B111" t="s">
        <v>98</v>
      </c>
      <c r="C111" t="s">
        <v>528</v>
      </c>
      <c r="D111" t="s">
        <v>529</v>
      </c>
    </row>
    <row r="112" spans="1:4" x14ac:dyDescent="0.15">
      <c r="A112" t="s">
        <v>530</v>
      </c>
      <c r="B112" t="s">
        <v>54</v>
      </c>
      <c r="C112" t="s">
        <v>394</v>
      </c>
      <c r="D112" t="s">
        <v>395</v>
      </c>
    </row>
    <row r="113" spans="1:4" x14ac:dyDescent="0.15">
      <c r="A113" t="s">
        <v>531</v>
      </c>
      <c r="B113" t="s">
        <v>99</v>
      </c>
      <c r="C113" t="s">
        <v>532</v>
      </c>
      <c r="D113" t="s">
        <v>533</v>
      </c>
    </row>
    <row r="114" spans="1:4" x14ac:dyDescent="0.15">
      <c r="A114" t="s">
        <v>534</v>
      </c>
      <c r="B114" t="s">
        <v>100</v>
      </c>
      <c r="C114" t="s">
        <v>535</v>
      </c>
      <c r="D114" t="s">
        <v>536</v>
      </c>
    </row>
    <row r="115" spans="1:4" x14ac:dyDescent="0.15">
      <c r="A115" t="s">
        <v>537</v>
      </c>
      <c r="B115" t="s">
        <v>101</v>
      </c>
      <c r="C115" t="s">
        <v>538</v>
      </c>
      <c r="D115" t="s">
        <v>976</v>
      </c>
    </row>
    <row r="116" spans="1:4" x14ac:dyDescent="0.15">
      <c r="A116" t="s">
        <v>540</v>
      </c>
      <c r="B116" t="s">
        <v>102</v>
      </c>
      <c r="C116" t="s">
        <v>541</v>
      </c>
      <c r="D116" t="s">
        <v>542</v>
      </c>
    </row>
    <row r="117" spans="1:4" x14ac:dyDescent="0.15">
      <c r="A117" t="s">
        <v>545</v>
      </c>
      <c r="B117" t="s">
        <v>546</v>
      </c>
      <c r="C117" t="s">
        <v>547</v>
      </c>
      <c r="D117" t="s">
        <v>548</v>
      </c>
    </row>
    <row r="118" spans="1:4" x14ac:dyDescent="0.15">
      <c r="A118" t="s">
        <v>549</v>
      </c>
      <c r="B118" t="s">
        <v>550</v>
      </c>
      <c r="C118" t="s">
        <v>551</v>
      </c>
      <c r="D118" t="s">
        <v>552</v>
      </c>
    </row>
    <row r="119" spans="1:4" x14ac:dyDescent="0.15">
      <c r="A119" t="s">
        <v>553</v>
      </c>
      <c r="B119" t="s">
        <v>554</v>
      </c>
      <c r="C119" t="s">
        <v>555</v>
      </c>
      <c r="D119" t="s">
        <v>556</v>
      </c>
    </row>
    <row r="120" spans="1:4" x14ac:dyDescent="0.15">
      <c r="A120" t="s">
        <v>557</v>
      </c>
      <c r="B120" t="s">
        <v>106</v>
      </c>
      <c r="C120" t="s">
        <v>558</v>
      </c>
      <c r="D120" t="s">
        <v>559</v>
      </c>
    </row>
    <row r="121" spans="1:4" x14ac:dyDescent="0.15">
      <c r="A121" t="s">
        <v>560</v>
      </c>
      <c r="B121" t="s">
        <v>168</v>
      </c>
      <c r="C121" t="s">
        <v>561</v>
      </c>
      <c r="D121" t="s">
        <v>562</v>
      </c>
    </row>
    <row r="122" spans="1:4" x14ac:dyDescent="0.15">
      <c r="A122" t="s">
        <v>563</v>
      </c>
      <c r="B122" t="s">
        <v>105</v>
      </c>
      <c r="C122" t="s">
        <v>564</v>
      </c>
      <c r="D122" t="s">
        <v>565</v>
      </c>
    </row>
    <row r="123" spans="1:4" x14ac:dyDescent="0.15">
      <c r="A123" t="s">
        <v>566</v>
      </c>
      <c r="B123" t="s">
        <v>109</v>
      </c>
      <c r="C123" t="s">
        <v>109</v>
      </c>
      <c r="D123" t="s">
        <v>567</v>
      </c>
    </row>
    <row r="124" spans="1:4" x14ac:dyDescent="0.15">
      <c r="A124" t="s">
        <v>568</v>
      </c>
      <c r="B124" t="s">
        <v>167</v>
      </c>
      <c r="C124" t="s">
        <v>167</v>
      </c>
      <c r="D124" t="s">
        <v>569</v>
      </c>
    </row>
    <row r="125" spans="1:4" x14ac:dyDescent="0.15">
      <c r="A125" t="s">
        <v>570</v>
      </c>
      <c r="B125" t="s">
        <v>145</v>
      </c>
      <c r="C125" t="s">
        <v>571</v>
      </c>
      <c r="D125" t="s">
        <v>572</v>
      </c>
    </row>
    <row r="126" spans="1:4" x14ac:dyDescent="0.15">
      <c r="A126" t="s">
        <v>573</v>
      </c>
      <c r="B126" t="s">
        <v>574</v>
      </c>
      <c r="C126" t="s">
        <v>575</v>
      </c>
      <c r="D126" t="s">
        <v>576</v>
      </c>
    </row>
    <row r="127" spans="1:4" x14ac:dyDescent="0.15">
      <c r="A127" t="s">
        <v>577</v>
      </c>
      <c r="B127" t="s">
        <v>103</v>
      </c>
      <c r="C127" t="s">
        <v>578</v>
      </c>
      <c r="D127" t="s">
        <v>579</v>
      </c>
    </row>
    <row r="128" spans="1:4" x14ac:dyDescent="0.15">
      <c r="A128" t="s">
        <v>580</v>
      </c>
      <c r="B128" t="s">
        <v>107</v>
      </c>
      <c r="C128" t="s">
        <v>581</v>
      </c>
      <c r="D128" t="s">
        <v>582</v>
      </c>
    </row>
    <row r="129" spans="1:4" x14ac:dyDescent="0.15">
      <c r="A129" t="s">
        <v>583</v>
      </c>
      <c r="B129" t="s">
        <v>110</v>
      </c>
      <c r="C129" t="s">
        <v>584</v>
      </c>
      <c r="D129" t="s">
        <v>585</v>
      </c>
    </row>
    <row r="130" spans="1:4" x14ac:dyDescent="0.15">
      <c r="A130" t="s">
        <v>586</v>
      </c>
      <c r="B130" t="s">
        <v>104</v>
      </c>
      <c r="C130" t="s">
        <v>587</v>
      </c>
      <c r="D130" t="s">
        <v>588</v>
      </c>
    </row>
    <row r="131" spans="1:4" x14ac:dyDescent="0.15">
      <c r="A131" t="s">
        <v>589</v>
      </c>
      <c r="B131" t="s">
        <v>108</v>
      </c>
      <c r="C131" t="s">
        <v>590</v>
      </c>
      <c r="D131" t="s">
        <v>591</v>
      </c>
    </row>
    <row r="132" spans="1:4" x14ac:dyDescent="0.15">
      <c r="A132" t="s">
        <v>592</v>
      </c>
      <c r="B132" t="s">
        <v>111</v>
      </c>
      <c r="C132" t="s">
        <v>593</v>
      </c>
      <c r="D132" t="s">
        <v>594</v>
      </c>
    </row>
    <row r="133" spans="1:4" x14ac:dyDescent="0.15">
      <c r="A133" t="s">
        <v>595</v>
      </c>
      <c r="B133" t="s">
        <v>112</v>
      </c>
      <c r="C133" t="s">
        <v>596</v>
      </c>
      <c r="D133" t="s">
        <v>597</v>
      </c>
    </row>
    <row r="134" spans="1:4" x14ac:dyDescent="0.15">
      <c r="A134" t="s">
        <v>598</v>
      </c>
      <c r="B134" t="s">
        <v>113</v>
      </c>
      <c r="C134" t="s">
        <v>599</v>
      </c>
      <c r="D134" t="s">
        <v>600</v>
      </c>
    </row>
    <row r="135" spans="1:4" x14ac:dyDescent="0.15">
      <c r="A135" t="s">
        <v>601</v>
      </c>
      <c r="B135" t="s">
        <v>114</v>
      </c>
      <c r="C135" t="s">
        <v>114</v>
      </c>
      <c r="D135" t="s">
        <v>114</v>
      </c>
    </row>
    <row r="136" spans="1:4" x14ac:dyDescent="0.15">
      <c r="A136" t="s">
        <v>602</v>
      </c>
      <c r="B136" t="s">
        <v>56</v>
      </c>
      <c r="C136" t="s">
        <v>603</v>
      </c>
      <c r="D136" t="s">
        <v>401</v>
      </c>
    </row>
    <row r="137" spans="1:4" x14ac:dyDescent="0.15">
      <c r="A137" t="s">
        <v>604</v>
      </c>
      <c r="B137" t="s">
        <v>44</v>
      </c>
      <c r="C137" t="s">
        <v>44</v>
      </c>
      <c r="D137" t="s">
        <v>44</v>
      </c>
    </row>
    <row r="138" spans="1:4" x14ac:dyDescent="0.15">
      <c r="A138" t="s">
        <v>605</v>
      </c>
      <c r="B138" t="s">
        <v>53</v>
      </c>
      <c r="C138" t="s">
        <v>391</v>
      </c>
      <c r="D138" t="s">
        <v>392</v>
      </c>
    </row>
    <row r="139" spans="1:4" x14ac:dyDescent="0.15">
      <c r="A139" t="s">
        <v>606</v>
      </c>
      <c r="B139" t="s">
        <v>115</v>
      </c>
      <c r="C139" t="s">
        <v>607</v>
      </c>
      <c r="D139" t="s">
        <v>608</v>
      </c>
    </row>
    <row r="140" spans="1:4" x14ac:dyDescent="0.15">
      <c r="A140" t="s">
        <v>609</v>
      </c>
      <c r="B140" t="s">
        <v>116</v>
      </c>
      <c r="C140" t="s">
        <v>610</v>
      </c>
      <c r="D140" t="s">
        <v>611</v>
      </c>
    </row>
    <row r="141" spans="1:4" x14ac:dyDescent="0.15">
      <c r="A141" t="s">
        <v>612</v>
      </c>
      <c r="B141" t="s">
        <v>117</v>
      </c>
      <c r="C141" t="s">
        <v>613</v>
      </c>
      <c r="D141" t="s">
        <v>614</v>
      </c>
    </row>
    <row r="142" spans="1:4" x14ac:dyDescent="0.15">
      <c r="A142" t="s">
        <v>615</v>
      </c>
      <c r="B142" t="s">
        <v>118</v>
      </c>
      <c r="C142" t="s">
        <v>513</v>
      </c>
      <c r="D142" t="s">
        <v>616</v>
      </c>
    </row>
    <row r="143" spans="1:4" x14ac:dyDescent="0.15">
      <c r="A143" t="s">
        <v>617</v>
      </c>
      <c r="B143" t="s">
        <v>119</v>
      </c>
      <c r="C143" t="s">
        <v>618</v>
      </c>
      <c r="D143" t="s">
        <v>619</v>
      </c>
    </row>
    <row r="144" spans="1:4" x14ac:dyDescent="0.15">
      <c r="A144" t="s">
        <v>620</v>
      </c>
      <c r="B144" t="s">
        <v>120</v>
      </c>
      <c r="C144" t="s">
        <v>621</v>
      </c>
      <c r="D144" t="s">
        <v>622</v>
      </c>
    </row>
    <row r="145" spans="1:4" x14ac:dyDescent="0.15">
      <c r="A145" t="s">
        <v>623</v>
      </c>
      <c r="B145" t="s">
        <v>121</v>
      </c>
      <c r="C145" t="s">
        <v>624</v>
      </c>
      <c r="D145" t="s">
        <v>625</v>
      </c>
    </row>
    <row r="146" spans="1:4" x14ac:dyDescent="0.15">
      <c r="A146" t="s">
        <v>626</v>
      </c>
      <c r="B146" t="s">
        <v>55</v>
      </c>
      <c r="C146" t="s">
        <v>397</v>
      </c>
      <c r="D146" t="s">
        <v>398</v>
      </c>
    </row>
    <row r="147" spans="1:4" x14ac:dyDescent="0.15">
      <c r="A147" t="s">
        <v>627</v>
      </c>
      <c r="B147" t="s">
        <v>54</v>
      </c>
      <c r="C147" t="s">
        <v>394</v>
      </c>
      <c r="D147" t="s">
        <v>395</v>
      </c>
    </row>
    <row r="148" spans="1:4" x14ac:dyDescent="0.15">
      <c r="A148" t="s">
        <v>628</v>
      </c>
      <c r="B148" t="s">
        <v>122</v>
      </c>
      <c r="C148" t="s">
        <v>629</v>
      </c>
      <c r="D148" t="s">
        <v>630</v>
      </c>
    </row>
    <row r="149" spans="1:4" x14ac:dyDescent="0.15">
      <c r="A149" t="s">
        <v>631</v>
      </c>
      <c r="B149" t="s">
        <v>123</v>
      </c>
      <c r="C149" t="s">
        <v>632</v>
      </c>
      <c r="D149" t="s">
        <v>633</v>
      </c>
    </row>
    <row r="150" spans="1:4" x14ac:dyDescent="0.15">
      <c r="A150" t="s">
        <v>634</v>
      </c>
      <c r="B150" t="s">
        <v>124</v>
      </c>
      <c r="C150" t="s">
        <v>635</v>
      </c>
      <c r="D150" t="s">
        <v>636</v>
      </c>
    </row>
    <row r="151" spans="1:4" x14ac:dyDescent="0.15">
      <c r="A151" t="s">
        <v>637</v>
      </c>
      <c r="B151" t="s">
        <v>101</v>
      </c>
      <c r="C151" t="s">
        <v>538</v>
      </c>
      <c r="D151" t="s">
        <v>539</v>
      </c>
    </row>
    <row r="152" spans="1:4" x14ac:dyDescent="0.15">
      <c r="A152" t="s">
        <v>638</v>
      </c>
      <c r="B152" t="s">
        <v>99</v>
      </c>
      <c r="C152" t="s">
        <v>532</v>
      </c>
      <c r="D152" t="s">
        <v>533</v>
      </c>
    </row>
    <row r="153" spans="1:4" x14ac:dyDescent="0.15">
      <c r="A153" t="s">
        <v>639</v>
      </c>
      <c r="B153" t="s">
        <v>125</v>
      </c>
      <c r="C153" t="s">
        <v>640</v>
      </c>
      <c r="D153" t="s">
        <v>641</v>
      </c>
    </row>
    <row r="154" spans="1:4" x14ac:dyDescent="0.15">
      <c r="A154" t="s">
        <v>642</v>
      </c>
      <c r="B154" t="s">
        <v>126</v>
      </c>
      <c r="C154" t="s">
        <v>643</v>
      </c>
      <c r="D154" t="s">
        <v>644</v>
      </c>
    </row>
    <row r="155" spans="1:4" x14ac:dyDescent="0.15">
      <c r="A155" t="s">
        <v>645</v>
      </c>
      <c r="B155" t="s">
        <v>128</v>
      </c>
      <c r="C155" t="s">
        <v>646</v>
      </c>
      <c r="D155" t="s">
        <v>647</v>
      </c>
    </row>
    <row r="156" spans="1:4" x14ac:dyDescent="0.15">
      <c r="A156" t="s">
        <v>648</v>
      </c>
      <c r="B156" t="s">
        <v>129</v>
      </c>
      <c r="C156" t="s">
        <v>649</v>
      </c>
      <c r="D156" t="s">
        <v>650</v>
      </c>
    </row>
    <row r="157" spans="1:4" x14ac:dyDescent="0.15">
      <c r="A157" t="s">
        <v>651</v>
      </c>
      <c r="B157" t="s">
        <v>130</v>
      </c>
      <c r="C157" t="s">
        <v>652</v>
      </c>
      <c r="D157" t="s">
        <v>653</v>
      </c>
    </row>
    <row r="158" spans="1:4" x14ac:dyDescent="0.15">
      <c r="A158" t="s">
        <v>654</v>
      </c>
      <c r="B158" t="s">
        <v>131</v>
      </c>
      <c r="C158" t="s">
        <v>655</v>
      </c>
      <c r="D158" t="s">
        <v>656</v>
      </c>
    </row>
    <row r="159" spans="1:4" x14ac:dyDescent="0.15">
      <c r="A159" t="s">
        <v>657</v>
      </c>
      <c r="B159" t="s">
        <v>133</v>
      </c>
      <c r="C159" t="s">
        <v>658</v>
      </c>
      <c r="D159" t="s">
        <v>659</v>
      </c>
    </row>
    <row r="160" spans="1:4" x14ac:dyDescent="0.15">
      <c r="A160" t="s">
        <v>660</v>
      </c>
      <c r="B160" t="s">
        <v>134</v>
      </c>
      <c r="C160" t="s">
        <v>661</v>
      </c>
      <c r="D160" t="s">
        <v>662</v>
      </c>
    </row>
    <row r="161" spans="1:4" x14ac:dyDescent="0.15">
      <c r="A161" t="s">
        <v>663</v>
      </c>
      <c r="B161" t="s">
        <v>135</v>
      </c>
      <c r="C161" t="s">
        <v>664</v>
      </c>
      <c r="D161" t="s">
        <v>665</v>
      </c>
    </row>
    <row r="162" spans="1:4" x14ac:dyDescent="0.15">
      <c r="A162" t="s">
        <v>666</v>
      </c>
      <c r="B162" t="s">
        <v>50</v>
      </c>
      <c r="C162" t="s">
        <v>667</v>
      </c>
      <c r="D162" t="s">
        <v>668</v>
      </c>
    </row>
    <row r="163" spans="1:4" x14ac:dyDescent="0.15">
      <c r="A163" t="s">
        <v>669</v>
      </c>
      <c r="B163" t="s">
        <v>137</v>
      </c>
      <c r="C163" t="s">
        <v>670</v>
      </c>
      <c r="D163" t="s">
        <v>671</v>
      </c>
    </row>
    <row r="164" spans="1:4" x14ac:dyDescent="0.15">
      <c r="A164" t="s">
        <v>672</v>
      </c>
      <c r="B164" t="s">
        <v>138</v>
      </c>
      <c r="C164" t="s">
        <v>673</v>
      </c>
      <c r="D164" t="s">
        <v>674</v>
      </c>
    </row>
    <row r="165" spans="1:4" x14ac:dyDescent="0.15">
      <c r="A165" t="s">
        <v>675</v>
      </c>
      <c r="B165" t="s">
        <v>139</v>
      </c>
      <c r="C165" t="s">
        <v>676</v>
      </c>
      <c r="D165" t="s">
        <v>677</v>
      </c>
    </row>
    <row r="166" spans="1:4" x14ac:dyDescent="0.15">
      <c r="A166" t="s">
        <v>678</v>
      </c>
      <c r="B166" t="s">
        <v>140</v>
      </c>
      <c r="C166" t="s">
        <v>679</v>
      </c>
      <c r="D166" t="s">
        <v>680</v>
      </c>
    </row>
    <row r="167" spans="1:4" x14ac:dyDescent="0.15">
      <c r="A167" t="s">
        <v>681</v>
      </c>
      <c r="B167" t="s">
        <v>141</v>
      </c>
      <c r="C167" t="s">
        <v>682</v>
      </c>
      <c r="D167" t="s">
        <v>683</v>
      </c>
    </row>
    <row r="168" spans="1:4" x14ac:dyDescent="0.15">
      <c r="A168" t="s">
        <v>684</v>
      </c>
      <c r="B168" t="s">
        <v>142</v>
      </c>
      <c r="C168" t="s">
        <v>685</v>
      </c>
      <c r="D168" t="s">
        <v>686</v>
      </c>
    </row>
    <row r="169" spans="1:4" x14ac:dyDescent="0.15">
      <c r="A169" t="s">
        <v>687</v>
      </c>
      <c r="B169" t="s">
        <v>143</v>
      </c>
      <c r="C169" t="s">
        <v>688</v>
      </c>
      <c r="D169" t="s">
        <v>689</v>
      </c>
    </row>
    <row r="170" spans="1:4" x14ac:dyDescent="0.15">
      <c r="A170" t="s">
        <v>690</v>
      </c>
      <c r="B170" t="s">
        <v>144</v>
      </c>
      <c r="C170" t="s">
        <v>691</v>
      </c>
      <c r="D170" t="s">
        <v>692</v>
      </c>
    </row>
    <row r="171" spans="1:4" x14ac:dyDescent="0.15">
      <c r="A171" t="s">
        <v>693</v>
      </c>
      <c r="B171" t="s">
        <v>49</v>
      </c>
      <c r="C171" t="s">
        <v>694</v>
      </c>
      <c r="D171" t="s">
        <v>695</v>
      </c>
    </row>
    <row r="172" spans="1:4" x14ac:dyDescent="0.15">
      <c r="A172" t="s">
        <v>696</v>
      </c>
      <c r="B172" t="s">
        <v>146</v>
      </c>
      <c r="C172" t="s">
        <v>697</v>
      </c>
      <c r="D172" t="s">
        <v>698</v>
      </c>
    </row>
    <row r="173" spans="1:4" x14ac:dyDescent="0.15">
      <c r="A173" t="s">
        <v>699</v>
      </c>
      <c r="B173" t="s">
        <v>147</v>
      </c>
      <c r="C173" t="s">
        <v>700</v>
      </c>
      <c r="D173" t="s">
        <v>701</v>
      </c>
    </row>
    <row r="174" spans="1:4" x14ac:dyDescent="0.15">
      <c r="A174" t="s">
        <v>702</v>
      </c>
      <c r="B174" t="s">
        <v>148</v>
      </c>
      <c r="C174" t="s">
        <v>703</v>
      </c>
      <c r="D174" t="s">
        <v>704</v>
      </c>
    </row>
    <row r="175" spans="1:4" x14ac:dyDescent="0.15">
      <c r="A175" t="s">
        <v>705</v>
      </c>
      <c r="B175" t="s">
        <v>149</v>
      </c>
      <c r="C175" t="s">
        <v>706</v>
      </c>
      <c r="D175" t="s">
        <v>707</v>
      </c>
    </row>
    <row r="176" spans="1:4" x14ac:dyDescent="0.15">
      <c r="A176" t="s">
        <v>708</v>
      </c>
      <c r="B176" t="s">
        <v>150</v>
      </c>
      <c r="C176" t="s">
        <v>709</v>
      </c>
      <c r="D176" t="s">
        <v>710</v>
      </c>
    </row>
    <row r="177" spans="1:4" x14ac:dyDescent="0.15">
      <c r="A177" t="s">
        <v>711</v>
      </c>
      <c r="B177" t="s">
        <v>151</v>
      </c>
      <c r="C177" t="s">
        <v>712</v>
      </c>
      <c r="D177" t="s">
        <v>713</v>
      </c>
    </row>
    <row r="178" spans="1:4" x14ac:dyDescent="0.15">
      <c r="A178" t="s">
        <v>714</v>
      </c>
      <c r="B178" t="s">
        <v>115</v>
      </c>
      <c r="C178" t="s">
        <v>607</v>
      </c>
      <c r="D178" t="s">
        <v>608</v>
      </c>
    </row>
    <row r="179" spans="1:4" x14ac:dyDescent="0.15">
      <c r="A179" t="s">
        <v>715</v>
      </c>
      <c r="B179" t="s">
        <v>152</v>
      </c>
      <c r="C179" t="s">
        <v>716</v>
      </c>
      <c r="D179" t="s">
        <v>717</v>
      </c>
    </row>
    <row r="180" spans="1:4" x14ac:dyDescent="0.15">
      <c r="A180" t="s">
        <v>718</v>
      </c>
      <c r="B180" t="s">
        <v>153</v>
      </c>
      <c r="C180" t="s">
        <v>719</v>
      </c>
      <c r="D180" t="s">
        <v>720</v>
      </c>
    </row>
    <row r="181" spans="1:4" x14ac:dyDescent="0.15">
      <c r="A181" t="s">
        <v>721</v>
      </c>
      <c r="B181" t="s">
        <v>154</v>
      </c>
      <c r="C181" t="s">
        <v>722</v>
      </c>
      <c r="D181" t="s">
        <v>723</v>
      </c>
    </row>
    <row r="182" spans="1:4" x14ac:dyDescent="0.15">
      <c r="A182" t="s">
        <v>724</v>
      </c>
      <c r="B182" t="s">
        <v>155</v>
      </c>
      <c r="C182" t="s">
        <v>725</v>
      </c>
      <c r="D182" t="s">
        <v>726</v>
      </c>
    </row>
    <row r="183" spans="1:4" x14ac:dyDescent="0.15">
      <c r="A183" t="s">
        <v>727</v>
      </c>
      <c r="B183" t="s">
        <v>156</v>
      </c>
      <c r="C183" t="s">
        <v>728</v>
      </c>
      <c r="D183" t="s">
        <v>729</v>
      </c>
    </row>
    <row r="184" spans="1:4" x14ac:dyDescent="0.15">
      <c r="A184" t="s">
        <v>730</v>
      </c>
      <c r="B184" t="s">
        <v>157</v>
      </c>
      <c r="C184" t="s">
        <v>731</v>
      </c>
      <c r="D184" t="s">
        <v>732</v>
      </c>
    </row>
    <row r="185" spans="1:4" x14ac:dyDescent="0.15">
      <c r="A185" t="s">
        <v>733</v>
      </c>
      <c r="B185" t="s">
        <v>158</v>
      </c>
      <c r="C185" t="s">
        <v>734</v>
      </c>
      <c r="D185" t="s">
        <v>735</v>
      </c>
    </row>
    <row r="186" spans="1:4" x14ac:dyDescent="0.15">
      <c r="A186" t="s">
        <v>736</v>
      </c>
      <c r="B186" t="s">
        <v>159</v>
      </c>
      <c r="C186" t="s">
        <v>737</v>
      </c>
      <c r="D186" t="s">
        <v>738</v>
      </c>
    </row>
    <row r="187" spans="1:4" x14ac:dyDescent="0.15">
      <c r="A187" t="s">
        <v>739</v>
      </c>
      <c r="B187" t="s">
        <v>160</v>
      </c>
      <c r="C187" t="s">
        <v>740</v>
      </c>
      <c r="D187" t="s">
        <v>741</v>
      </c>
    </row>
    <row r="188" spans="1:4" x14ac:dyDescent="0.15">
      <c r="A188" t="s">
        <v>742</v>
      </c>
      <c r="B188" t="s">
        <v>161</v>
      </c>
      <c r="C188" t="s">
        <v>743</v>
      </c>
      <c r="D188" t="s">
        <v>744</v>
      </c>
    </row>
    <row r="189" spans="1:4" x14ac:dyDescent="0.15">
      <c r="A189" t="s">
        <v>745</v>
      </c>
      <c r="B189" t="s">
        <v>102</v>
      </c>
      <c r="C189" t="s">
        <v>541</v>
      </c>
      <c r="D189" t="s">
        <v>542</v>
      </c>
    </row>
    <row r="190" spans="1:4" x14ac:dyDescent="0.15">
      <c r="A190" t="s">
        <v>746</v>
      </c>
      <c r="B190" t="s">
        <v>163</v>
      </c>
      <c r="C190" t="s">
        <v>747</v>
      </c>
      <c r="D190" t="s">
        <v>748</v>
      </c>
    </row>
    <row r="191" spans="1:4" x14ac:dyDescent="0.15">
      <c r="A191" t="s">
        <v>749</v>
      </c>
      <c r="B191" t="s">
        <v>164</v>
      </c>
      <c r="C191" t="s">
        <v>750</v>
      </c>
      <c r="D191" t="s">
        <v>751</v>
      </c>
    </row>
    <row r="192" spans="1:4" x14ac:dyDescent="0.15">
      <c r="A192" t="s">
        <v>752</v>
      </c>
      <c r="B192" t="s">
        <v>165</v>
      </c>
      <c r="C192" t="s">
        <v>753</v>
      </c>
      <c r="D192" t="s">
        <v>754</v>
      </c>
    </row>
    <row r="193" spans="1:4" x14ac:dyDescent="0.15">
      <c r="A193" t="s">
        <v>755</v>
      </c>
      <c r="B193" t="s">
        <v>166</v>
      </c>
      <c r="C193" t="s">
        <v>756</v>
      </c>
      <c r="D193" t="s">
        <v>757</v>
      </c>
    </row>
    <row r="194" spans="1:4" x14ac:dyDescent="0.15">
      <c r="A194" t="s">
        <v>758</v>
      </c>
      <c r="B194" t="s">
        <v>169</v>
      </c>
      <c r="C194" t="s">
        <v>169</v>
      </c>
      <c r="D194" t="s">
        <v>759</v>
      </c>
    </row>
    <row r="195" spans="1:4" x14ac:dyDescent="0.15">
      <c r="A195" t="s">
        <v>760</v>
      </c>
      <c r="B195" t="s">
        <v>170</v>
      </c>
      <c r="C195" t="s">
        <v>761</v>
      </c>
      <c r="D195" t="s">
        <v>762</v>
      </c>
    </row>
    <row r="196" spans="1:4" x14ac:dyDescent="0.15">
      <c r="A196" t="s">
        <v>763</v>
      </c>
      <c r="B196" t="s">
        <v>171</v>
      </c>
      <c r="C196" t="s">
        <v>171</v>
      </c>
      <c r="D196" t="s">
        <v>764</v>
      </c>
    </row>
    <row r="197" spans="1:4" x14ac:dyDescent="0.15">
      <c r="A197" t="s">
        <v>765</v>
      </c>
      <c r="B197" t="s">
        <v>44</v>
      </c>
      <c r="C197" t="s">
        <v>44</v>
      </c>
      <c r="D197" t="s">
        <v>44</v>
      </c>
    </row>
    <row r="198" spans="1:4" x14ac:dyDescent="0.15">
      <c r="A198" t="s">
        <v>766</v>
      </c>
      <c r="B198" t="s">
        <v>172</v>
      </c>
      <c r="C198" t="s">
        <v>767</v>
      </c>
      <c r="D198" t="s">
        <v>768</v>
      </c>
    </row>
    <row r="199" spans="1:4" x14ac:dyDescent="0.15">
      <c r="A199" t="s">
        <v>769</v>
      </c>
      <c r="B199" t="s">
        <v>173</v>
      </c>
      <c r="C199" t="s">
        <v>770</v>
      </c>
      <c r="D199" t="s">
        <v>771</v>
      </c>
    </row>
    <row r="200" spans="1:4" x14ac:dyDescent="0.15">
      <c r="A200" t="s">
        <v>772</v>
      </c>
      <c r="B200" t="s">
        <v>174</v>
      </c>
      <c r="C200" t="s">
        <v>174</v>
      </c>
      <c r="D200" t="s">
        <v>773</v>
      </c>
    </row>
    <row r="201" spans="1:4" x14ac:dyDescent="0.15">
      <c r="A201" t="s">
        <v>774</v>
      </c>
      <c r="B201" t="s">
        <v>175</v>
      </c>
      <c r="C201" t="s">
        <v>775</v>
      </c>
      <c r="D201" t="s">
        <v>776</v>
      </c>
    </row>
    <row r="202" spans="1:4" x14ac:dyDescent="0.15">
      <c r="A202" t="s">
        <v>777</v>
      </c>
      <c r="B202" t="s">
        <v>176</v>
      </c>
      <c r="C202" t="s">
        <v>778</v>
      </c>
      <c r="D202" t="s">
        <v>779</v>
      </c>
    </row>
    <row r="203" spans="1:4" x14ac:dyDescent="0.15">
      <c r="A203" t="s">
        <v>780</v>
      </c>
      <c r="B203" t="s">
        <v>177</v>
      </c>
      <c r="C203" t="s">
        <v>781</v>
      </c>
      <c r="D203" t="s">
        <v>782</v>
      </c>
    </row>
    <row r="204" spans="1:4" x14ac:dyDescent="0.15">
      <c r="A204" t="s">
        <v>783</v>
      </c>
      <c r="B204" t="s">
        <v>178</v>
      </c>
      <c r="C204" t="s">
        <v>784</v>
      </c>
      <c r="D204" t="s">
        <v>785</v>
      </c>
    </row>
    <row r="205" spans="1:4" x14ac:dyDescent="0.15">
      <c r="A205" t="s">
        <v>786</v>
      </c>
      <c r="B205" t="s">
        <v>118</v>
      </c>
      <c r="C205" t="s">
        <v>513</v>
      </c>
      <c r="D205" t="s">
        <v>616</v>
      </c>
    </row>
    <row r="206" spans="1:4" x14ac:dyDescent="0.15">
      <c r="A206" t="s">
        <v>787</v>
      </c>
      <c r="B206" t="s">
        <v>179</v>
      </c>
      <c r="C206" t="s">
        <v>788</v>
      </c>
      <c r="D206" t="s">
        <v>789</v>
      </c>
    </row>
    <row r="207" spans="1:4" x14ac:dyDescent="0.15">
      <c r="A207" t="s">
        <v>790</v>
      </c>
      <c r="B207" t="s">
        <v>180</v>
      </c>
      <c r="C207" t="s">
        <v>791</v>
      </c>
      <c r="D207" t="s">
        <v>792</v>
      </c>
    </row>
    <row r="208" spans="1:4" x14ac:dyDescent="0.15">
      <c r="A208" t="s">
        <v>793</v>
      </c>
      <c r="B208" t="s">
        <v>181</v>
      </c>
      <c r="C208" t="s">
        <v>794</v>
      </c>
      <c r="D208" t="s">
        <v>795</v>
      </c>
    </row>
    <row r="209" spans="1:4" x14ac:dyDescent="0.15">
      <c r="A209" t="s">
        <v>796</v>
      </c>
      <c r="B209" t="s">
        <v>182</v>
      </c>
      <c r="C209" t="s">
        <v>797</v>
      </c>
      <c r="D209" t="s">
        <v>798</v>
      </c>
    </row>
    <row r="210" spans="1:4" x14ac:dyDescent="0.15">
      <c r="A210" t="s">
        <v>799</v>
      </c>
      <c r="B210" t="s">
        <v>58</v>
      </c>
      <c r="C210" t="s">
        <v>58</v>
      </c>
      <c r="D210" t="s">
        <v>406</v>
      </c>
    </row>
    <row r="211" spans="1:4" x14ac:dyDescent="0.15">
      <c r="A211" t="s">
        <v>800</v>
      </c>
      <c r="B211" t="s">
        <v>183</v>
      </c>
      <c r="C211" t="s">
        <v>801</v>
      </c>
      <c r="D211" t="s">
        <v>802</v>
      </c>
    </row>
    <row r="212" spans="1:4" x14ac:dyDescent="0.15">
      <c r="A212" t="s">
        <v>803</v>
      </c>
      <c r="B212" t="s">
        <v>117</v>
      </c>
      <c r="C212" t="s">
        <v>613</v>
      </c>
      <c r="D212" t="s">
        <v>614</v>
      </c>
    </row>
    <row r="213" spans="1:4" x14ac:dyDescent="0.15">
      <c r="A213" t="s">
        <v>804</v>
      </c>
      <c r="B213" t="s">
        <v>102</v>
      </c>
      <c r="C213" t="s">
        <v>541</v>
      </c>
      <c r="D213" t="s">
        <v>542</v>
      </c>
    </row>
    <row r="214" spans="1:4" x14ac:dyDescent="0.15">
      <c r="A214" t="s">
        <v>805</v>
      </c>
      <c r="B214" t="s">
        <v>202</v>
      </c>
      <c r="C214" t="s">
        <v>806</v>
      </c>
      <c r="D214" t="s">
        <v>807</v>
      </c>
    </row>
    <row r="215" spans="1:4" x14ac:dyDescent="0.15">
      <c r="A215" t="s">
        <v>808</v>
      </c>
      <c r="B215" t="s">
        <v>209</v>
      </c>
      <c r="C215" t="s">
        <v>809</v>
      </c>
      <c r="D215" t="s">
        <v>810</v>
      </c>
    </row>
    <row r="216" spans="1:4" x14ac:dyDescent="0.15">
      <c r="A216" t="s">
        <v>811</v>
      </c>
      <c r="B216" t="s">
        <v>189</v>
      </c>
      <c r="C216" t="s">
        <v>812</v>
      </c>
      <c r="D216" t="s">
        <v>813</v>
      </c>
    </row>
    <row r="217" spans="1:4" x14ac:dyDescent="0.15">
      <c r="A217" t="s">
        <v>814</v>
      </c>
      <c r="B217" t="s">
        <v>210</v>
      </c>
      <c r="C217" t="s">
        <v>815</v>
      </c>
      <c r="D217" t="s">
        <v>816</v>
      </c>
    </row>
    <row r="218" spans="1:4" x14ac:dyDescent="0.15">
      <c r="A218" t="s">
        <v>817</v>
      </c>
      <c r="B218" t="s">
        <v>203</v>
      </c>
      <c r="C218" t="s">
        <v>818</v>
      </c>
      <c r="D218" t="s">
        <v>819</v>
      </c>
    </row>
    <row r="219" spans="1:4" x14ac:dyDescent="0.15">
      <c r="A219" t="s">
        <v>820</v>
      </c>
      <c r="B219" t="s">
        <v>211</v>
      </c>
      <c r="C219" t="s">
        <v>821</v>
      </c>
      <c r="D219" t="s">
        <v>822</v>
      </c>
    </row>
    <row r="220" spans="1:4" x14ac:dyDescent="0.15">
      <c r="A220" t="s">
        <v>823</v>
      </c>
      <c r="B220" t="s">
        <v>185</v>
      </c>
      <c r="C220" t="s">
        <v>824</v>
      </c>
      <c r="D220" t="s">
        <v>825</v>
      </c>
    </row>
    <row r="221" spans="1:4" x14ac:dyDescent="0.15">
      <c r="A221" t="s">
        <v>826</v>
      </c>
      <c r="B221" t="s">
        <v>186</v>
      </c>
      <c r="C221" t="s">
        <v>827</v>
      </c>
      <c r="D221" t="s">
        <v>828</v>
      </c>
    </row>
    <row r="222" spans="1:4" x14ac:dyDescent="0.15">
      <c r="A222" t="s">
        <v>829</v>
      </c>
      <c r="B222" t="s">
        <v>187</v>
      </c>
      <c r="C222" t="s">
        <v>830</v>
      </c>
      <c r="D222" t="s">
        <v>831</v>
      </c>
    </row>
    <row r="223" spans="1:4" x14ac:dyDescent="0.15">
      <c r="A223" t="s">
        <v>832</v>
      </c>
      <c r="B223" t="s">
        <v>191</v>
      </c>
      <c r="C223" t="s">
        <v>833</v>
      </c>
      <c r="D223" t="s">
        <v>834</v>
      </c>
    </row>
    <row r="224" spans="1:4" x14ac:dyDescent="0.15">
      <c r="A224" t="s">
        <v>835</v>
      </c>
      <c r="B224" t="s">
        <v>193</v>
      </c>
      <c r="C224" t="s">
        <v>836</v>
      </c>
      <c r="D224" t="s">
        <v>837</v>
      </c>
    </row>
    <row r="225" spans="1:4" x14ac:dyDescent="0.15">
      <c r="A225" t="s">
        <v>838</v>
      </c>
      <c r="B225" t="s">
        <v>194</v>
      </c>
      <c r="C225" t="s">
        <v>839</v>
      </c>
      <c r="D225" t="s">
        <v>840</v>
      </c>
    </row>
    <row r="226" spans="1:4" x14ac:dyDescent="0.15">
      <c r="A226" t="s">
        <v>841</v>
      </c>
      <c r="B226" t="s">
        <v>195</v>
      </c>
      <c r="C226" t="s">
        <v>842</v>
      </c>
      <c r="D226" t="s">
        <v>843</v>
      </c>
    </row>
    <row r="227" spans="1:4" x14ac:dyDescent="0.15">
      <c r="A227" t="s">
        <v>844</v>
      </c>
      <c r="B227" t="s">
        <v>197</v>
      </c>
      <c r="C227" t="s">
        <v>845</v>
      </c>
      <c r="D227" t="s">
        <v>846</v>
      </c>
    </row>
    <row r="228" spans="1:4" x14ac:dyDescent="0.15">
      <c r="A228" t="s">
        <v>847</v>
      </c>
      <c r="B228" t="s">
        <v>199</v>
      </c>
      <c r="C228" t="s">
        <v>848</v>
      </c>
      <c r="D228" t="s">
        <v>849</v>
      </c>
    </row>
    <row r="229" spans="1:4" x14ac:dyDescent="0.15">
      <c r="A229" t="s">
        <v>850</v>
      </c>
      <c r="B229" t="s">
        <v>200</v>
      </c>
      <c r="C229" t="s">
        <v>851</v>
      </c>
      <c r="D229" t="s">
        <v>852</v>
      </c>
    </row>
    <row r="230" spans="1:4" x14ac:dyDescent="0.15">
      <c r="A230" t="s">
        <v>853</v>
      </c>
      <c r="B230" t="s">
        <v>201</v>
      </c>
      <c r="C230" t="s">
        <v>854</v>
      </c>
      <c r="D230" t="s">
        <v>855</v>
      </c>
    </row>
    <row r="231" spans="1:4" x14ac:dyDescent="0.15">
      <c r="A231" t="s">
        <v>856</v>
      </c>
      <c r="B231" t="s">
        <v>204</v>
      </c>
      <c r="C231" t="s">
        <v>857</v>
      </c>
      <c r="D231" t="s">
        <v>858</v>
      </c>
    </row>
    <row r="232" spans="1:4" x14ac:dyDescent="0.15">
      <c r="A232" t="s">
        <v>859</v>
      </c>
      <c r="B232" t="s">
        <v>206</v>
      </c>
      <c r="C232" t="s">
        <v>860</v>
      </c>
      <c r="D232" t="s">
        <v>861</v>
      </c>
    </row>
    <row r="233" spans="1:4" x14ac:dyDescent="0.15">
      <c r="A233" t="s">
        <v>862</v>
      </c>
      <c r="B233" t="s">
        <v>207</v>
      </c>
      <c r="C233" t="s">
        <v>863</v>
      </c>
      <c r="D233" t="s">
        <v>864</v>
      </c>
    </row>
    <row r="234" spans="1:4" x14ac:dyDescent="0.15">
      <c r="A234" t="s">
        <v>865</v>
      </c>
      <c r="B234" t="s">
        <v>208</v>
      </c>
      <c r="C234" t="s">
        <v>866</v>
      </c>
      <c r="D234" t="s">
        <v>867</v>
      </c>
    </row>
    <row r="235" spans="1:4" x14ac:dyDescent="0.15">
      <c r="A235" t="s">
        <v>868</v>
      </c>
      <c r="B235" t="s">
        <v>212</v>
      </c>
      <c r="C235" t="s">
        <v>869</v>
      </c>
      <c r="D235" t="s">
        <v>870</v>
      </c>
    </row>
    <row r="236" spans="1:4" x14ac:dyDescent="0.15">
      <c r="A236" t="s">
        <v>871</v>
      </c>
      <c r="B236" t="s">
        <v>213</v>
      </c>
      <c r="C236" t="s">
        <v>872</v>
      </c>
      <c r="D236" t="s">
        <v>873</v>
      </c>
    </row>
    <row r="237" spans="1:4" x14ac:dyDescent="0.15">
      <c r="A237" t="s">
        <v>874</v>
      </c>
      <c r="B237" t="s">
        <v>214</v>
      </c>
      <c r="C237" t="s">
        <v>875</v>
      </c>
      <c r="D237" t="s">
        <v>876</v>
      </c>
    </row>
    <row r="238" spans="1:4" x14ac:dyDescent="0.15">
      <c r="A238" t="s">
        <v>877</v>
      </c>
      <c r="B238" t="s">
        <v>215</v>
      </c>
      <c r="C238" t="s">
        <v>878</v>
      </c>
      <c r="D238" t="s">
        <v>879</v>
      </c>
    </row>
    <row r="239" spans="1:4" x14ac:dyDescent="0.15">
      <c r="A239" t="s">
        <v>880</v>
      </c>
      <c r="B239" t="s">
        <v>216</v>
      </c>
      <c r="C239" t="s">
        <v>881</v>
      </c>
      <c r="D239" t="s">
        <v>882</v>
      </c>
    </row>
    <row r="240" spans="1:4" x14ac:dyDescent="0.15">
      <c r="A240" t="s">
        <v>883</v>
      </c>
      <c r="B240" t="s">
        <v>217</v>
      </c>
      <c r="C240" t="s">
        <v>884</v>
      </c>
      <c r="D240" t="s">
        <v>885</v>
      </c>
    </row>
    <row r="241" spans="1:4" x14ac:dyDescent="0.15">
      <c r="A241" t="s">
        <v>886</v>
      </c>
      <c r="B241" t="s">
        <v>218</v>
      </c>
      <c r="C241" t="s">
        <v>887</v>
      </c>
      <c r="D241" t="s">
        <v>888</v>
      </c>
    </row>
    <row r="242" spans="1:4" x14ac:dyDescent="0.15">
      <c r="A242" t="s">
        <v>889</v>
      </c>
      <c r="B242" t="s">
        <v>219</v>
      </c>
      <c r="C242" t="s">
        <v>890</v>
      </c>
      <c r="D242" t="s">
        <v>891</v>
      </c>
    </row>
    <row r="243" spans="1:4" x14ac:dyDescent="0.15">
      <c r="A243" t="s">
        <v>892</v>
      </c>
      <c r="B243" t="s">
        <v>220</v>
      </c>
      <c r="C243" t="s">
        <v>893</v>
      </c>
      <c r="D243" t="s">
        <v>894</v>
      </c>
    </row>
    <row r="244" spans="1:4" x14ac:dyDescent="0.15">
      <c r="A244" t="s">
        <v>895</v>
      </c>
      <c r="B244" t="s">
        <v>221</v>
      </c>
      <c r="C244" t="s">
        <v>896</v>
      </c>
      <c r="D244" t="s">
        <v>897</v>
      </c>
    </row>
    <row r="245" spans="1:4" x14ac:dyDescent="0.15">
      <c r="A245" t="s">
        <v>898</v>
      </c>
      <c r="B245" t="s">
        <v>102</v>
      </c>
      <c r="C245" t="s">
        <v>541</v>
      </c>
      <c r="D245" t="s">
        <v>542</v>
      </c>
    </row>
    <row r="246" spans="1:4" x14ac:dyDescent="0.15">
      <c r="A246" t="s">
        <v>899</v>
      </c>
      <c r="B246" t="s">
        <v>223</v>
      </c>
      <c r="C246" t="s">
        <v>900</v>
      </c>
      <c r="D246" t="s">
        <v>901</v>
      </c>
    </row>
    <row r="247" spans="1:4" x14ac:dyDescent="0.15">
      <c r="A247" t="s">
        <v>902</v>
      </c>
      <c r="B247" t="s">
        <v>224</v>
      </c>
      <c r="C247" t="s">
        <v>903</v>
      </c>
      <c r="D247" t="s">
        <v>904</v>
      </c>
    </row>
    <row r="248" spans="1:4" x14ac:dyDescent="0.15">
      <c r="A248" t="s">
        <v>906</v>
      </c>
      <c r="B248" t="s">
        <v>907</v>
      </c>
      <c r="C248" t="s">
        <v>908</v>
      </c>
      <c r="D248" t="s">
        <v>947</v>
      </c>
    </row>
    <row r="249" spans="1:4" x14ac:dyDescent="0.15">
      <c r="A249" t="s">
        <v>958</v>
      </c>
      <c r="B249" t="s">
        <v>959</v>
      </c>
      <c r="C249" t="s">
        <v>960</v>
      </c>
      <c r="D249" t="s">
        <v>961</v>
      </c>
    </row>
    <row r="250" spans="1:4" ht="310.5" x14ac:dyDescent="0.15">
      <c r="A250" t="s">
        <v>962</v>
      </c>
      <c r="B250" s="55" t="s">
        <v>967</v>
      </c>
      <c r="C250" s="55" t="s">
        <v>968</v>
      </c>
      <c r="D250" s="55" t="s">
        <v>969</v>
      </c>
    </row>
    <row r="251" spans="1:4" x14ac:dyDescent="0.15">
      <c r="A251" t="s">
        <v>909</v>
      </c>
      <c r="B251" t="s">
        <v>910</v>
      </c>
      <c r="C251" t="s">
        <v>910</v>
      </c>
      <c r="D251" t="s">
        <v>910</v>
      </c>
    </row>
    <row r="252" spans="1:4" x14ac:dyDescent="0.15">
      <c r="A252" t="s">
        <v>911</v>
      </c>
      <c r="B252" t="s">
        <v>912</v>
      </c>
      <c r="C252" t="s">
        <v>912</v>
      </c>
      <c r="D252" t="s">
        <v>912</v>
      </c>
    </row>
    <row r="253" spans="1:4" x14ac:dyDescent="0.15">
      <c r="A253" t="s">
        <v>913</v>
      </c>
      <c r="B253" t="s">
        <v>914</v>
      </c>
      <c r="C253" t="s">
        <v>914</v>
      </c>
      <c r="D253" t="s">
        <v>914</v>
      </c>
    </row>
    <row r="254" spans="1:4" x14ac:dyDescent="0.15">
      <c r="A254" t="s">
        <v>915</v>
      </c>
      <c r="B254" t="s">
        <v>916</v>
      </c>
      <c r="C254" t="s">
        <v>917</v>
      </c>
      <c r="D254" t="s">
        <v>948</v>
      </c>
    </row>
    <row r="255" spans="1:4" x14ac:dyDescent="0.15">
      <c r="A255" t="s">
        <v>918</v>
      </c>
      <c r="B255" t="s">
        <v>919</v>
      </c>
      <c r="C255" t="s">
        <v>920</v>
      </c>
      <c r="D255" t="s">
        <v>949</v>
      </c>
    </row>
    <row r="256" spans="1:4" x14ac:dyDescent="0.15">
      <c r="A256" t="s">
        <v>921</v>
      </c>
      <c r="B256" t="s">
        <v>922</v>
      </c>
      <c r="C256" t="s">
        <v>923</v>
      </c>
      <c r="D256" t="s">
        <v>950</v>
      </c>
    </row>
    <row r="257" spans="1:4" x14ac:dyDescent="0.15">
      <c r="A257" t="s">
        <v>924</v>
      </c>
      <c r="B257" t="s">
        <v>925</v>
      </c>
      <c r="C257" t="s">
        <v>926</v>
      </c>
      <c r="D257" t="s">
        <v>951</v>
      </c>
    </row>
    <row r="258" spans="1:4" x14ac:dyDescent="0.15">
      <c r="A258" t="s">
        <v>927</v>
      </c>
      <c r="B258" t="s">
        <v>218</v>
      </c>
      <c r="C258" t="s">
        <v>887</v>
      </c>
      <c r="D258" t="s">
        <v>952</v>
      </c>
    </row>
    <row r="259" spans="1:4" x14ac:dyDescent="0.15">
      <c r="A259" t="s">
        <v>928</v>
      </c>
      <c r="B259" t="s">
        <v>929</v>
      </c>
      <c r="C259" t="s">
        <v>930</v>
      </c>
      <c r="D259" t="s">
        <v>953</v>
      </c>
    </row>
    <row r="260" spans="1:4" x14ac:dyDescent="0.15">
      <c r="A260" t="s">
        <v>931</v>
      </c>
      <c r="B260" t="s">
        <v>932</v>
      </c>
      <c r="C260" t="s">
        <v>933</v>
      </c>
      <c r="D260" t="s">
        <v>954</v>
      </c>
    </row>
    <row r="261" spans="1:4" x14ac:dyDescent="0.15">
      <c r="A261" t="s">
        <v>934</v>
      </c>
      <c r="B261" t="s">
        <v>935</v>
      </c>
      <c r="C261" t="s">
        <v>936</v>
      </c>
      <c r="D261" t="s">
        <v>955</v>
      </c>
    </row>
    <row r="262" spans="1:4" x14ac:dyDescent="0.15">
      <c r="A262" t="s">
        <v>937</v>
      </c>
      <c r="B262" t="s">
        <v>938</v>
      </c>
      <c r="C262" t="s">
        <v>939</v>
      </c>
      <c r="D262" t="s">
        <v>956</v>
      </c>
    </row>
    <row r="263" spans="1:4" x14ac:dyDescent="0.15">
      <c r="A263" t="s">
        <v>963</v>
      </c>
      <c r="B263" t="s">
        <v>964</v>
      </c>
      <c r="C263" t="s">
        <v>965</v>
      </c>
      <c r="D263" t="s">
        <v>966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言語切替</vt:lpstr>
      <vt:lpstr>00_運用ルール</vt:lpstr>
      <vt:lpstr>01_全体サマリー</vt:lpstr>
      <vt:lpstr>02_マスタ</vt:lpstr>
      <vt:lpstr>03_WBS</vt:lpstr>
      <vt:lpstr>04_課題ToDo</vt:lpstr>
      <vt:lpstr>05_決定事項</vt:lpstr>
      <vt:lpstr>06_KPI</vt:lpstr>
      <vt:lpstr>07_更新履歴</vt:lpstr>
      <vt:lpstr>_ゴミ箱_Backup</vt:lpstr>
      <vt:lpstr>_翻訳マスタ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Hanazaki，Hitoshi(花﨑準)</dc:creator>
  <cp:keywords/>
  <dc:description/>
  <cp:lastModifiedBy>Bùi Đức Vinh(Bui Duc Vinh)</cp:lastModifiedBy>
  <cp:revision/>
  <dcterms:created xsi:type="dcterms:W3CDTF">2026-09-23T04:48:13Z</dcterms:created>
  <dcterms:modified xsi:type="dcterms:W3CDTF">2026-10-09T09:44:00Z</dcterms:modified>
  <cp:category/>
  <cp:contentStatus/>
</cp:coreProperties>
</file>