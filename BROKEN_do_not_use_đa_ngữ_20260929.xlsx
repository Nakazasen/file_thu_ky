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andbox\file_thu_ky\"/>
    </mc:Choice>
  </mc:AlternateContent>
  <xr:revisionPtr revIDLastSave="0" documentId="13_ncr:1_{0061148C-8D71-49CE-B725-DF8795E397BD}" xr6:coauthVersionLast="47" xr6:coauthVersionMax="47" xr10:uidLastSave="{00000000-0000-0000-0000-000000000000}"/>
  <bookViews>
    <workbookView xWindow="-120" yWindow="-120" windowWidth="20730" windowHeight="11040" tabRatio="713" firstSheet="3" activeTab="9" xr2:uid="{00000000-000D-0000-FFFF-FFFF00000000}"/>
  </bookViews>
  <sheets>
    <sheet name="言語切替" sheetId="10" r:id="rId1"/>
    <sheet name="00_運用ルール" sheetId="1" r:id="rId2"/>
    <sheet name="01_全体サマリー" sheetId="2" r:id="rId3"/>
    <sheet name="02_マスタ" sheetId="3" r:id="rId4"/>
    <sheet name="03_WBS" sheetId="4" r:id="rId5"/>
    <sheet name="04_課題ToDo" sheetId="5" r:id="rId6"/>
    <sheet name="05_決定事項" sheetId="6" r:id="rId7"/>
    <sheet name="06_KPI" sheetId="7" r:id="rId8"/>
    <sheet name="07_更新履歴" sheetId="8" r:id="rId9"/>
    <sheet name="_ゴミ箱_Backup" sheetId="11" r:id="rId10"/>
  </sheets>
  <externalReferences>
    <externalReference r:id="rId11"/>
  </externalReferences>
  <definedNames>
    <definedName name="_xlnm._FilterDatabase" localSheetId="2" hidden="1">'01_全体サマリー'!$A$9:$G$19</definedName>
    <definedName name="_xlnm._FilterDatabase" localSheetId="4" hidden="1">'03_WBS'!$A$4:$P$204</definedName>
    <definedName name="_xlnm._FilterDatabase" localSheetId="5" hidden="1">'04_課題ToDo'!$A$4:$T$304</definedName>
    <definedName name="_xlnm._FilterDatabase" localSheetId="6" hidden="1">'05_決定事項'!$A$4:$O$204</definedName>
    <definedName name="_xlnm._FilterDatabase" localSheetId="7" hidden="1">'06_KPI'!$A$4:$R$204</definedName>
    <definedName name="_xlnm._FilterDatabase" localSheetId="8" hidden="1">'07_更新履歴'!$A$4:$H$104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8" l="1"/>
  <c r="A3" i="7"/>
  <c r="A3" i="6"/>
  <c r="A3" i="5"/>
  <c r="A3" i="4"/>
  <c r="G1" i="11"/>
  <c r="F1" i="11"/>
  <c r="E1" i="11"/>
  <c r="D1" i="11"/>
  <c r="C1" i="11"/>
  <c r="B1" i="11"/>
  <c r="A1" i="11"/>
  <c r="A31" i="1"/>
  <c r="A30" i="1"/>
  <c r="A29" i="1"/>
  <c r="A28" i="1"/>
  <c r="A27" i="1"/>
  <c r="Q104" i="8"/>
  <c r="Q103" i="8"/>
  <c r="Q102" i="8"/>
  <c r="Q101" i="8"/>
  <c r="Q100" i="8"/>
  <c r="Q99" i="8"/>
  <c r="Q98" i="8"/>
  <c r="Q97" i="8"/>
  <c r="Q96" i="8"/>
  <c r="Q95" i="8"/>
  <c r="Q94" i="8"/>
  <c r="Q93" i="8"/>
  <c r="Q92" i="8"/>
  <c r="Q91" i="8"/>
  <c r="Q90" i="8"/>
  <c r="Q89" i="8"/>
  <c r="Q88" i="8"/>
  <c r="Q87" i="8"/>
  <c r="Q86" i="8"/>
  <c r="Q85" i="8"/>
  <c r="Q84" i="8"/>
  <c r="Q83" i="8"/>
  <c r="Q82" i="8"/>
  <c r="Q81" i="8"/>
  <c r="Q80" i="8"/>
  <c r="Q79" i="8"/>
  <c r="Q78" i="8"/>
  <c r="Q77" i="8"/>
  <c r="Q76" i="8"/>
  <c r="Q75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6" i="8"/>
  <c r="Q55" i="8"/>
  <c r="Q54" i="8"/>
  <c r="Q53" i="8"/>
  <c r="Q52" i="8"/>
  <c r="Q51" i="8"/>
  <c r="Q50" i="8"/>
  <c r="Q49" i="8"/>
  <c r="Q48" i="8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4" i="8"/>
  <c r="P104" i="8"/>
  <c r="P103" i="8"/>
  <c r="P102" i="8"/>
  <c r="P101" i="8"/>
  <c r="P100" i="8"/>
  <c r="P99" i="8"/>
  <c r="P98" i="8"/>
  <c r="P97" i="8"/>
  <c r="P96" i="8"/>
  <c r="P95" i="8"/>
  <c r="P94" i="8"/>
  <c r="P93" i="8"/>
  <c r="P92" i="8"/>
  <c r="P91" i="8"/>
  <c r="P90" i="8"/>
  <c r="P89" i="8"/>
  <c r="P88" i="8"/>
  <c r="P87" i="8"/>
  <c r="P86" i="8"/>
  <c r="P85" i="8"/>
  <c r="P84" i="8"/>
  <c r="P83" i="8"/>
  <c r="P82" i="8"/>
  <c r="P81" i="8"/>
  <c r="P80" i="8"/>
  <c r="P79" i="8"/>
  <c r="P78" i="8"/>
  <c r="P77" i="8"/>
  <c r="P76" i="8"/>
  <c r="P75" i="8"/>
  <c r="P74" i="8"/>
  <c r="P73" i="8"/>
  <c r="P72" i="8"/>
  <c r="P71" i="8"/>
  <c r="P70" i="8"/>
  <c r="P69" i="8"/>
  <c r="P68" i="8"/>
  <c r="P67" i="8"/>
  <c r="P66" i="8"/>
  <c r="P65" i="8"/>
  <c r="P64" i="8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4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4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4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4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4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4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4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4" i="8"/>
  <c r="AG204" i="7"/>
  <c r="AG203" i="7"/>
  <c r="AG202" i="7"/>
  <c r="AG201" i="7"/>
  <c r="AG200" i="7"/>
  <c r="AG199" i="7"/>
  <c r="AG198" i="7"/>
  <c r="AG197" i="7"/>
  <c r="AG196" i="7"/>
  <c r="AG195" i="7"/>
  <c r="AG194" i="7"/>
  <c r="AG193" i="7"/>
  <c r="AG192" i="7"/>
  <c r="AG191" i="7"/>
  <c r="AG190" i="7"/>
  <c r="AG189" i="7"/>
  <c r="AG188" i="7"/>
  <c r="AG187" i="7"/>
  <c r="AG186" i="7"/>
  <c r="AG185" i="7"/>
  <c r="AG184" i="7"/>
  <c r="AG183" i="7"/>
  <c r="AG182" i="7"/>
  <c r="AG181" i="7"/>
  <c r="AG180" i="7"/>
  <c r="AG179" i="7"/>
  <c r="AG178" i="7"/>
  <c r="AG177" i="7"/>
  <c r="AG176" i="7"/>
  <c r="AG175" i="7"/>
  <c r="AG174" i="7"/>
  <c r="AG173" i="7"/>
  <c r="AG172" i="7"/>
  <c r="AG171" i="7"/>
  <c r="AG170" i="7"/>
  <c r="AG169" i="7"/>
  <c r="AG168" i="7"/>
  <c r="AG167" i="7"/>
  <c r="AG166" i="7"/>
  <c r="AG165" i="7"/>
  <c r="AG164" i="7"/>
  <c r="AG163" i="7"/>
  <c r="AG162" i="7"/>
  <c r="AG161" i="7"/>
  <c r="AG160" i="7"/>
  <c r="AG159" i="7"/>
  <c r="AG158" i="7"/>
  <c r="AG157" i="7"/>
  <c r="AG156" i="7"/>
  <c r="AG155" i="7"/>
  <c r="AG154" i="7"/>
  <c r="AG153" i="7"/>
  <c r="AG152" i="7"/>
  <c r="AG151" i="7"/>
  <c r="AG150" i="7"/>
  <c r="AG149" i="7"/>
  <c r="AG148" i="7"/>
  <c r="AG147" i="7"/>
  <c r="AG146" i="7"/>
  <c r="AG145" i="7"/>
  <c r="AG144" i="7"/>
  <c r="AG143" i="7"/>
  <c r="AG142" i="7"/>
  <c r="AG141" i="7"/>
  <c r="AG140" i="7"/>
  <c r="AG139" i="7"/>
  <c r="AG138" i="7"/>
  <c r="AG137" i="7"/>
  <c r="AG136" i="7"/>
  <c r="AG135" i="7"/>
  <c r="AG134" i="7"/>
  <c r="AG133" i="7"/>
  <c r="AG132" i="7"/>
  <c r="AG131" i="7"/>
  <c r="AG130" i="7"/>
  <c r="AG129" i="7"/>
  <c r="AG128" i="7"/>
  <c r="AG127" i="7"/>
  <c r="AG126" i="7"/>
  <c r="AG125" i="7"/>
  <c r="AG124" i="7"/>
  <c r="AG123" i="7"/>
  <c r="AG122" i="7"/>
  <c r="AG121" i="7"/>
  <c r="AG120" i="7"/>
  <c r="AG119" i="7"/>
  <c r="AG118" i="7"/>
  <c r="AG117" i="7"/>
  <c r="AG116" i="7"/>
  <c r="AG115" i="7"/>
  <c r="AG114" i="7"/>
  <c r="AG113" i="7"/>
  <c r="AG112" i="7"/>
  <c r="AG111" i="7"/>
  <c r="AG110" i="7"/>
  <c r="AG109" i="7"/>
  <c r="AG108" i="7"/>
  <c r="AG107" i="7"/>
  <c r="AG106" i="7"/>
  <c r="AG105" i="7"/>
  <c r="AG104" i="7"/>
  <c r="AG103" i="7"/>
  <c r="AG102" i="7"/>
  <c r="AG101" i="7"/>
  <c r="AG100" i="7"/>
  <c r="AG99" i="7"/>
  <c r="AG98" i="7"/>
  <c r="AG97" i="7"/>
  <c r="AG96" i="7"/>
  <c r="AG95" i="7"/>
  <c r="AG94" i="7"/>
  <c r="AG93" i="7"/>
  <c r="AG92" i="7"/>
  <c r="AG91" i="7"/>
  <c r="AG90" i="7"/>
  <c r="AG89" i="7"/>
  <c r="AG88" i="7"/>
  <c r="AG87" i="7"/>
  <c r="AG86" i="7"/>
  <c r="AG85" i="7"/>
  <c r="AG84" i="7"/>
  <c r="AG83" i="7"/>
  <c r="AG82" i="7"/>
  <c r="AG81" i="7"/>
  <c r="AG80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62" i="7"/>
  <c r="AG61" i="7"/>
  <c r="AG60" i="7"/>
  <c r="AG59" i="7"/>
  <c r="AG58" i="7"/>
  <c r="AG57" i="7"/>
  <c r="AG56" i="7"/>
  <c r="AG55" i="7"/>
  <c r="AG54" i="7"/>
  <c r="AG53" i="7"/>
  <c r="AG52" i="7"/>
  <c r="AG51" i="7"/>
  <c r="AG50" i="7"/>
  <c r="AG49" i="7"/>
  <c r="AG48" i="7"/>
  <c r="AG47" i="7"/>
  <c r="AG46" i="7"/>
  <c r="AG45" i="7"/>
  <c r="AG44" i="7"/>
  <c r="AG43" i="7"/>
  <c r="AG42" i="7"/>
  <c r="AG41" i="7"/>
  <c r="AG40" i="7"/>
  <c r="AG39" i="7"/>
  <c r="AG38" i="7"/>
  <c r="AG37" i="7"/>
  <c r="AG36" i="7"/>
  <c r="AG35" i="7"/>
  <c r="AG34" i="7"/>
  <c r="AG33" i="7"/>
  <c r="AG32" i="7"/>
  <c r="AG31" i="7"/>
  <c r="AG30" i="7"/>
  <c r="AG29" i="7"/>
  <c r="AG28" i="7"/>
  <c r="AG27" i="7"/>
  <c r="AG26" i="7"/>
  <c r="AG25" i="7"/>
  <c r="AG24" i="7"/>
  <c r="AG23" i="7"/>
  <c r="AG22" i="7"/>
  <c r="AG21" i="7"/>
  <c r="AG20" i="7"/>
  <c r="AG19" i="7"/>
  <c r="AG18" i="7"/>
  <c r="AG17" i="7"/>
  <c r="AG16" i="7"/>
  <c r="AG15" i="7"/>
  <c r="AG14" i="7"/>
  <c r="AG13" i="7"/>
  <c r="AG12" i="7"/>
  <c r="AG11" i="7"/>
  <c r="AG10" i="7"/>
  <c r="AG9" i="7"/>
  <c r="AG4" i="7"/>
  <c r="AF204" i="7"/>
  <c r="AF203" i="7"/>
  <c r="AF202" i="7"/>
  <c r="AF201" i="7"/>
  <c r="AF200" i="7"/>
  <c r="AF199" i="7"/>
  <c r="AF198" i="7"/>
  <c r="AF197" i="7"/>
  <c r="AF196" i="7"/>
  <c r="AF195" i="7"/>
  <c r="AF194" i="7"/>
  <c r="AF193" i="7"/>
  <c r="AF192" i="7"/>
  <c r="AF191" i="7"/>
  <c r="AF190" i="7"/>
  <c r="AF189" i="7"/>
  <c r="AF188" i="7"/>
  <c r="AF187" i="7"/>
  <c r="AF186" i="7"/>
  <c r="AF185" i="7"/>
  <c r="AF184" i="7"/>
  <c r="AF183" i="7"/>
  <c r="AF182" i="7"/>
  <c r="AF181" i="7"/>
  <c r="AF180" i="7"/>
  <c r="AF179" i="7"/>
  <c r="AF178" i="7"/>
  <c r="AF177" i="7"/>
  <c r="AF176" i="7"/>
  <c r="AF175" i="7"/>
  <c r="AF174" i="7"/>
  <c r="AF173" i="7"/>
  <c r="AF172" i="7"/>
  <c r="AF171" i="7"/>
  <c r="AF170" i="7"/>
  <c r="AF169" i="7"/>
  <c r="AF168" i="7"/>
  <c r="AF167" i="7"/>
  <c r="AF166" i="7"/>
  <c r="AF165" i="7"/>
  <c r="AF164" i="7"/>
  <c r="AF163" i="7"/>
  <c r="AF162" i="7"/>
  <c r="AF161" i="7"/>
  <c r="AF160" i="7"/>
  <c r="AF159" i="7"/>
  <c r="AF158" i="7"/>
  <c r="AF157" i="7"/>
  <c r="AF156" i="7"/>
  <c r="AF155" i="7"/>
  <c r="AF154" i="7"/>
  <c r="AF153" i="7"/>
  <c r="AF152" i="7"/>
  <c r="AF151" i="7"/>
  <c r="AF150" i="7"/>
  <c r="AF149" i="7"/>
  <c r="AF148" i="7"/>
  <c r="AF147" i="7"/>
  <c r="AF146" i="7"/>
  <c r="AF145" i="7"/>
  <c r="AF144" i="7"/>
  <c r="AF143" i="7"/>
  <c r="AF142" i="7"/>
  <c r="AF141" i="7"/>
  <c r="AF140" i="7"/>
  <c r="AF139" i="7"/>
  <c r="AF138" i="7"/>
  <c r="AF137" i="7"/>
  <c r="AF136" i="7"/>
  <c r="AF135" i="7"/>
  <c r="AF134" i="7"/>
  <c r="AF133" i="7"/>
  <c r="AF132" i="7"/>
  <c r="AF131" i="7"/>
  <c r="AF130" i="7"/>
  <c r="AF129" i="7"/>
  <c r="AF128" i="7"/>
  <c r="AF127" i="7"/>
  <c r="AF126" i="7"/>
  <c r="AF125" i="7"/>
  <c r="AF124" i="7"/>
  <c r="AF123" i="7"/>
  <c r="AF122" i="7"/>
  <c r="AF121" i="7"/>
  <c r="AF120" i="7"/>
  <c r="AF119" i="7"/>
  <c r="AF118" i="7"/>
  <c r="AF117" i="7"/>
  <c r="AF116" i="7"/>
  <c r="AF115" i="7"/>
  <c r="AF114" i="7"/>
  <c r="AF113" i="7"/>
  <c r="AF112" i="7"/>
  <c r="AF111" i="7"/>
  <c r="AF110" i="7"/>
  <c r="AF109" i="7"/>
  <c r="AF108" i="7"/>
  <c r="AF107" i="7"/>
  <c r="AF106" i="7"/>
  <c r="AF105" i="7"/>
  <c r="AF104" i="7"/>
  <c r="AF103" i="7"/>
  <c r="AF102" i="7"/>
  <c r="AF101" i="7"/>
  <c r="AF100" i="7"/>
  <c r="AF99" i="7"/>
  <c r="AF98" i="7"/>
  <c r="AF97" i="7"/>
  <c r="AF96" i="7"/>
  <c r="AF95" i="7"/>
  <c r="AF94" i="7"/>
  <c r="AF93" i="7"/>
  <c r="AF92" i="7"/>
  <c r="AF91" i="7"/>
  <c r="AF90" i="7"/>
  <c r="AF89" i="7"/>
  <c r="AF88" i="7"/>
  <c r="AF87" i="7"/>
  <c r="AF86" i="7"/>
  <c r="AF85" i="7"/>
  <c r="AF84" i="7"/>
  <c r="AF83" i="7"/>
  <c r="AF82" i="7"/>
  <c r="AF81" i="7"/>
  <c r="AF80" i="7"/>
  <c r="AF79" i="7"/>
  <c r="AF78" i="7"/>
  <c r="AF77" i="7"/>
  <c r="AF76" i="7"/>
  <c r="AF75" i="7"/>
  <c r="AF74" i="7"/>
  <c r="AF73" i="7"/>
  <c r="AF72" i="7"/>
  <c r="AF71" i="7"/>
  <c r="AF70" i="7"/>
  <c r="AF69" i="7"/>
  <c r="AF68" i="7"/>
  <c r="AF67" i="7"/>
  <c r="AF66" i="7"/>
  <c r="AF65" i="7"/>
  <c r="AF64" i="7"/>
  <c r="AF63" i="7"/>
  <c r="AF62" i="7"/>
  <c r="AF61" i="7"/>
  <c r="AF60" i="7"/>
  <c r="AF59" i="7"/>
  <c r="AF58" i="7"/>
  <c r="AF57" i="7"/>
  <c r="AF56" i="7"/>
  <c r="AF55" i="7"/>
  <c r="AF54" i="7"/>
  <c r="AF53" i="7"/>
  <c r="AF52" i="7"/>
  <c r="AF51" i="7"/>
  <c r="AF50" i="7"/>
  <c r="AF49" i="7"/>
  <c r="AF48" i="7"/>
  <c r="AF47" i="7"/>
  <c r="AF46" i="7"/>
  <c r="AF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4" i="7"/>
  <c r="AE204" i="7"/>
  <c r="AE203" i="7"/>
  <c r="AE202" i="7"/>
  <c r="AE201" i="7"/>
  <c r="AE200" i="7"/>
  <c r="AE199" i="7"/>
  <c r="AE198" i="7"/>
  <c r="AE197" i="7"/>
  <c r="AE196" i="7"/>
  <c r="AE195" i="7"/>
  <c r="AE194" i="7"/>
  <c r="AE193" i="7"/>
  <c r="AE192" i="7"/>
  <c r="AE191" i="7"/>
  <c r="AE190" i="7"/>
  <c r="AE189" i="7"/>
  <c r="AE188" i="7"/>
  <c r="AE187" i="7"/>
  <c r="AE186" i="7"/>
  <c r="AE185" i="7"/>
  <c r="AE184" i="7"/>
  <c r="AE183" i="7"/>
  <c r="AE182" i="7"/>
  <c r="AE181" i="7"/>
  <c r="AE180" i="7"/>
  <c r="AE179" i="7"/>
  <c r="AE178" i="7"/>
  <c r="AE177" i="7"/>
  <c r="AE176" i="7"/>
  <c r="AE175" i="7"/>
  <c r="AE174" i="7"/>
  <c r="AE173" i="7"/>
  <c r="AE172" i="7"/>
  <c r="AE171" i="7"/>
  <c r="AE170" i="7"/>
  <c r="AE169" i="7"/>
  <c r="AE168" i="7"/>
  <c r="AE167" i="7"/>
  <c r="AE166" i="7"/>
  <c r="AE165" i="7"/>
  <c r="AE164" i="7"/>
  <c r="AE163" i="7"/>
  <c r="AE162" i="7"/>
  <c r="AE161" i="7"/>
  <c r="AE160" i="7"/>
  <c r="AE159" i="7"/>
  <c r="AE158" i="7"/>
  <c r="AE157" i="7"/>
  <c r="AE156" i="7"/>
  <c r="AE155" i="7"/>
  <c r="AE154" i="7"/>
  <c r="AE153" i="7"/>
  <c r="AE152" i="7"/>
  <c r="AE151" i="7"/>
  <c r="AE150" i="7"/>
  <c r="AE149" i="7"/>
  <c r="AE148" i="7"/>
  <c r="AE147" i="7"/>
  <c r="AE146" i="7"/>
  <c r="AE145" i="7"/>
  <c r="AE144" i="7"/>
  <c r="AE143" i="7"/>
  <c r="AE142" i="7"/>
  <c r="AE141" i="7"/>
  <c r="AE140" i="7"/>
  <c r="AE139" i="7"/>
  <c r="AE138" i="7"/>
  <c r="AE137" i="7"/>
  <c r="AE136" i="7"/>
  <c r="AE135" i="7"/>
  <c r="AE134" i="7"/>
  <c r="AE133" i="7"/>
  <c r="AE132" i="7"/>
  <c r="AE131" i="7"/>
  <c r="AE130" i="7"/>
  <c r="AE129" i="7"/>
  <c r="AE128" i="7"/>
  <c r="AE127" i="7"/>
  <c r="AE126" i="7"/>
  <c r="AE125" i="7"/>
  <c r="AE124" i="7"/>
  <c r="AE123" i="7"/>
  <c r="AE122" i="7"/>
  <c r="AE121" i="7"/>
  <c r="AE120" i="7"/>
  <c r="AE119" i="7"/>
  <c r="AE118" i="7"/>
  <c r="AE117" i="7"/>
  <c r="AE116" i="7"/>
  <c r="AE115" i="7"/>
  <c r="AE114" i="7"/>
  <c r="AE113" i="7"/>
  <c r="AE112" i="7"/>
  <c r="AE111" i="7"/>
  <c r="AE110" i="7"/>
  <c r="AE109" i="7"/>
  <c r="AE108" i="7"/>
  <c r="AE107" i="7"/>
  <c r="AE106" i="7"/>
  <c r="AE105" i="7"/>
  <c r="AE104" i="7"/>
  <c r="AE103" i="7"/>
  <c r="AE102" i="7"/>
  <c r="AE101" i="7"/>
  <c r="AE100" i="7"/>
  <c r="AE99" i="7"/>
  <c r="AE98" i="7"/>
  <c r="AE97" i="7"/>
  <c r="AE96" i="7"/>
  <c r="AE95" i="7"/>
  <c r="AE94" i="7"/>
  <c r="AE93" i="7"/>
  <c r="AE92" i="7"/>
  <c r="AE91" i="7"/>
  <c r="AE90" i="7"/>
  <c r="AE89" i="7"/>
  <c r="AE88" i="7"/>
  <c r="AE87" i="7"/>
  <c r="AE86" i="7"/>
  <c r="AE85" i="7"/>
  <c r="AE84" i="7"/>
  <c r="AE83" i="7"/>
  <c r="AE82" i="7"/>
  <c r="AE81" i="7"/>
  <c r="AE80" i="7"/>
  <c r="AE79" i="7"/>
  <c r="AE78" i="7"/>
  <c r="AE77" i="7"/>
  <c r="AE76" i="7"/>
  <c r="AE75" i="7"/>
  <c r="AE74" i="7"/>
  <c r="AE73" i="7"/>
  <c r="AE72" i="7"/>
  <c r="AE71" i="7"/>
  <c r="AE70" i="7"/>
  <c r="AE69" i="7"/>
  <c r="AE68" i="7"/>
  <c r="AE67" i="7"/>
  <c r="AE66" i="7"/>
  <c r="AE65" i="7"/>
  <c r="AE64" i="7"/>
  <c r="AE63" i="7"/>
  <c r="AE62" i="7"/>
  <c r="AE61" i="7"/>
  <c r="AE60" i="7"/>
  <c r="AE59" i="7"/>
  <c r="AE58" i="7"/>
  <c r="AE57" i="7"/>
  <c r="AE56" i="7"/>
  <c r="AE55" i="7"/>
  <c r="AE54" i="7"/>
  <c r="AE53" i="7"/>
  <c r="AE52" i="7"/>
  <c r="AE51" i="7"/>
  <c r="AE50" i="7"/>
  <c r="AE49" i="7"/>
  <c r="AE48" i="7"/>
  <c r="AE47" i="7"/>
  <c r="AE46" i="7"/>
  <c r="AE45" i="7"/>
  <c r="AE44" i="7"/>
  <c r="AE43" i="7"/>
  <c r="AE42" i="7"/>
  <c r="AE41" i="7"/>
  <c r="AE40" i="7"/>
  <c r="AE39" i="7"/>
  <c r="AE38" i="7"/>
  <c r="AE37" i="7"/>
  <c r="AE36" i="7"/>
  <c r="AE35" i="7"/>
  <c r="AE34" i="7"/>
  <c r="AE33" i="7"/>
  <c r="AE32" i="7"/>
  <c r="AE31" i="7"/>
  <c r="AE30" i="7"/>
  <c r="AE29" i="7"/>
  <c r="AE28" i="7"/>
  <c r="AE27" i="7"/>
  <c r="AE26" i="7"/>
  <c r="AE25" i="7"/>
  <c r="AE24" i="7"/>
  <c r="AE23" i="7"/>
  <c r="AE22" i="7"/>
  <c r="AE21" i="7"/>
  <c r="AE20" i="7"/>
  <c r="AE19" i="7"/>
  <c r="AE18" i="7"/>
  <c r="AE17" i="7"/>
  <c r="AE16" i="7"/>
  <c r="AE15" i="7"/>
  <c r="AE14" i="7"/>
  <c r="AE13" i="7"/>
  <c r="AE12" i="7"/>
  <c r="AE11" i="7"/>
  <c r="AE10" i="7"/>
  <c r="AE9" i="7"/>
  <c r="AE4" i="7"/>
  <c r="AD22" i="7"/>
  <c r="AD21" i="7"/>
  <c r="AD20" i="7"/>
  <c r="AD19" i="7"/>
  <c r="AD18" i="7"/>
  <c r="AD17" i="7"/>
  <c r="AD16" i="7"/>
  <c r="AD15" i="7"/>
  <c r="AD14" i="7"/>
  <c r="AD13" i="7"/>
  <c r="AD12" i="7"/>
  <c r="AD11" i="7"/>
  <c r="AD10" i="7"/>
  <c r="AD9" i="7"/>
  <c r="AD4" i="7"/>
  <c r="AC204" i="7"/>
  <c r="AC203" i="7"/>
  <c r="AC202" i="7"/>
  <c r="AC201" i="7"/>
  <c r="AC200" i="7"/>
  <c r="AC199" i="7"/>
  <c r="AC198" i="7"/>
  <c r="AC197" i="7"/>
  <c r="AC196" i="7"/>
  <c r="AC195" i="7"/>
  <c r="AC194" i="7"/>
  <c r="AC193" i="7"/>
  <c r="AC192" i="7"/>
  <c r="AC191" i="7"/>
  <c r="AC190" i="7"/>
  <c r="AC189" i="7"/>
  <c r="AC188" i="7"/>
  <c r="AC187" i="7"/>
  <c r="AC186" i="7"/>
  <c r="AC185" i="7"/>
  <c r="AC184" i="7"/>
  <c r="AC183" i="7"/>
  <c r="AC182" i="7"/>
  <c r="AC181" i="7"/>
  <c r="AC180" i="7"/>
  <c r="AC179" i="7"/>
  <c r="AC178" i="7"/>
  <c r="AC177" i="7"/>
  <c r="AC176" i="7"/>
  <c r="AC175" i="7"/>
  <c r="AC174" i="7"/>
  <c r="AC173" i="7"/>
  <c r="AC172" i="7"/>
  <c r="AC171" i="7"/>
  <c r="AC170" i="7"/>
  <c r="AC169" i="7"/>
  <c r="AC168" i="7"/>
  <c r="AC167" i="7"/>
  <c r="AC166" i="7"/>
  <c r="AC165" i="7"/>
  <c r="AC164" i="7"/>
  <c r="AC163" i="7"/>
  <c r="AC162" i="7"/>
  <c r="AC161" i="7"/>
  <c r="AC160" i="7"/>
  <c r="AC159" i="7"/>
  <c r="AC158" i="7"/>
  <c r="AC157" i="7"/>
  <c r="AC156" i="7"/>
  <c r="AC155" i="7"/>
  <c r="AC154" i="7"/>
  <c r="AC153" i="7"/>
  <c r="AC152" i="7"/>
  <c r="AC151" i="7"/>
  <c r="AC150" i="7"/>
  <c r="AC149" i="7"/>
  <c r="AC148" i="7"/>
  <c r="AC147" i="7"/>
  <c r="AC146" i="7"/>
  <c r="AC145" i="7"/>
  <c r="AC144" i="7"/>
  <c r="AC143" i="7"/>
  <c r="AC142" i="7"/>
  <c r="AC141" i="7"/>
  <c r="AC140" i="7"/>
  <c r="AC139" i="7"/>
  <c r="AC138" i="7"/>
  <c r="AC137" i="7"/>
  <c r="AC136" i="7"/>
  <c r="AC135" i="7"/>
  <c r="AC134" i="7"/>
  <c r="AC133" i="7"/>
  <c r="AC132" i="7"/>
  <c r="AC131" i="7"/>
  <c r="AC130" i="7"/>
  <c r="AC129" i="7"/>
  <c r="AC128" i="7"/>
  <c r="AC127" i="7"/>
  <c r="AC126" i="7"/>
  <c r="AC125" i="7"/>
  <c r="AC124" i="7"/>
  <c r="AC123" i="7"/>
  <c r="AC122" i="7"/>
  <c r="AC121" i="7"/>
  <c r="AC120" i="7"/>
  <c r="AC119" i="7"/>
  <c r="AC118" i="7"/>
  <c r="AC117" i="7"/>
  <c r="AC116" i="7"/>
  <c r="AC115" i="7"/>
  <c r="AC114" i="7"/>
  <c r="AC113" i="7"/>
  <c r="AC112" i="7"/>
  <c r="AC111" i="7"/>
  <c r="AC110" i="7"/>
  <c r="AC109" i="7"/>
  <c r="AC108" i="7"/>
  <c r="AC107" i="7"/>
  <c r="AC106" i="7"/>
  <c r="AC105" i="7"/>
  <c r="AC104" i="7"/>
  <c r="AC103" i="7"/>
  <c r="AC102" i="7"/>
  <c r="AC101" i="7"/>
  <c r="AC100" i="7"/>
  <c r="AC99" i="7"/>
  <c r="AC98" i="7"/>
  <c r="AC97" i="7"/>
  <c r="AC96" i="7"/>
  <c r="AC95" i="7"/>
  <c r="AC94" i="7"/>
  <c r="AC93" i="7"/>
  <c r="AC92" i="7"/>
  <c r="AC91" i="7"/>
  <c r="AC90" i="7"/>
  <c r="AC89" i="7"/>
  <c r="AC88" i="7"/>
  <c r="AC87" i="7"/>
  <c r="AC86" i="7"/>
  <c r="AC85" i="7"/>
  <c r="AC84" i="7"/>
  <c r="AC83" i="7"/>
  <c r="AC82" i="7"/>
  <c r="AC81" i="7"/>
  <c r="AC80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62" i="7"/>
  <c r="AC61" i="7"/>
  <c r="AC60" i="7"/>
  <c r="AC59" i="7"/>
  <c r="AC58" i="7"/>
  <c r="AC57" i="7"/>
  <c r="AC56" i="7"/>
  <c r="AC55" i="7"/>
  <c r="AC54" i="7"/>
  <c r="AC53" i="7"/>
  <c r="AC52" i="7"/>
  <c r="AC51" i="7"/>
  <c r="AC50" i="7"/>
  <c r="AC49" i="7"/>
  <c r="AC48" i="7"/>
  <c r="AC47" i="7"/>
  <c r="AC46" i="7"/>
  <c r="AC45" i="7"/>
  <c r="AC44" i="7"/>
  <c r="AC43" i="7"/>
  <c r="AC42" i="7"/>
  <c r="AC41" i="7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AC9" i="7"/>
  <c r="AC4" i="7"/>
  <c r="AB204" i="7"/>
  <c r="AB203" i="7"/>
  <c r="AB202" i="7"/>
  <c r="AB201" i="7"/>
  <c r="AB200" i="7"/>
  <c r="AB199" i="7"/>
  <c r="AB198" i="7"/>
  <c r="AB197" i="7"/>
  <c r="AB196" i="7"/>
  <c r="AB195" i="7"/>
  <c r="AB194" i="7"/>
  <c r="AB193" i="7"/>
  <c r="AB192" i="7"/>
  <c r="AB191" i="7"/>
  <c r="AB190" i="7"/>
  <c r="AB189" i="7"/>
  <c r="AB188" i="7"/>
  <c r="AB187" i="7"/>
  <c r="AB186" i="7"/>
  <c r="AB185" i="7"/>
  <c r="AB184" i="7"/>
  <c r="AB183" i="7"/>
  <c r="AB182" i="7"/>
  <c r="AB181" i="7"/>
  <c r="AB180" i="7"/>
  <c r="AB179" i="7"/>
  <c r="AB178" i="7"/>
  <c r="AB177" i="7"/>
  <c r="AB176" i="7"/>
  <c r="AB175" i="7"/>
  <c r="AB174" i="7"/>
  <c r="AB173" i="7"/>
  <c r="AB172" i="7"/>
  <c r="AB171" i="7"/>
  <c r="AB170" i="7"/>
  <c r="AB169" i="7"/>
  <c r="AB168" i="7"/>
  <c r="AB167" i="7"/>
  <c r="AB166" i="7"/>
  <c r="AB165" i="7"/>
  <c r="AB164" i="7"/>
  <c r="AB163" i="7"/>
  <c r="AB162" i="7"/>
  <c r="AB161" i="7"/>
  <c r="AB160" i="7"/>
  <c r="AB159" i="7"/>
  <c r="AB158" i="7"/>
  <c r="AB157" i="7"/>
  <c r="AB156" i="7"/>
  <c r="AB155" i="7"/>
  <c r="AB154" i="7"/>
  <c r="AB153" i="7"/>
  <c r="AB152" i="7"/>
  <c r="AB151" i="7"/>
  <c r="AB150" i="7"/>
  <c r="AB149" i="7"/>
  <c r="AB148" i="7"/>
  <c r="AB147" i="7"/>
  <c r="AB146" i="7"/>
  <c r="AB145" i="7"/>
  <c r="AB144" i="7"/>
  <c r="AB143" i="7"/>
  <c r="AB142" i="7"/>
  <c r="AB141" i="7"/>
  <c r="AB140" i="7"/>
  <c r="AB139" i="7"/>
  <c r="AB138" i="7"/>
  <c r="AB137" i="7"/>
  <c r="AB136" i="7"/>
  <c r="AB135" i="7"/>
  <c r="AB134" i="7"/>
  <c r="AB133" i="7"/>
  <c r="AB132" i="7"/>
  <c r="AB131" i="7"/>
  <c r="AB130" i="7"/>
  <c r="AB129" i="7"/>
  <c r="AB128" i="7"/>
  <c r="AB127" i="7"/>
  <c r="AB126" i="7"/>
  <c r="AB125" i="7"/>
  <c r="AB124" i="7"/>
  <c r="AB123" i="7"/>
  <c r="AB122" i="7"/>
  <c r="AB121" i="7"/>
  <c r="AB120" i="7"/>
  <c r="AB119" i="7"/>
  <c r="AB118" i="7"/>
  <c r="AB117" i="7"/>
  <c r="AB116" i="7"/>
  <c r="AB115" i="7"/>
  <c r="AB114" i="7"/>
  <c r="AB113" i="7"/>
  <c r="AB112" i="7"/>
  <c r="AB111" i="7"/>
  <c r="AB110" i="7"/>
  <c r="AB109" i="7"/>
  <c r="AB108" i="7"/>
  <c r="AB107" i="7"/>
  <c r="AB106" i="7"/>
  <c r="AB105" i="7"/>
  <c r="AB104" i="7"/>
  <c r="AB103" i="7"/>
  <c r="AB102" i="7"/>
  <c r="AB101" i="7"/>
  <c r="AB100" i="7"/>
  <c r="AB99" i="7"/>
  <c r="AB98" i="7"/>
  <c r="AB97" i="7"/>
  <c r="AB96" i="7"/>
  <c r="AB95" i="7"/>
  <c r="AB94" i="7"/>
  <c r="AB93" i="7"/>
  <c r="AB92" i="7"/>
  <c r="AB91" i="7"/>
  <c r="AB90" i="7"/>
  <c r="AB89" i="7"/>
  <c r="AB88" i="7"/>
  <c r="AB87" i="7"/>
  <c r="AB86" i="7"/>
  <c r="AB85" i="7"/>
  <c r="AB84" i="7"/>
  <c r="AB83" i="7"/>
  <c r="AB82" i="7"/>
  <c r="AB81" i="7"/>
  <c r="AB80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62" i="7"/>
  <c r="AB61" i="7"/>
  <c r="AB60" i="7"/>
  <c r="AB59" i="7"/>
  <c r="AB58" i="7"/>
  <c r="AB57" i="7"/>
  <c r="AB56" i="7"/>
  <c r="AB55" i="7"/>
  <c r="AB54" i="7"/>
  <c r="AB53" i="7"/>
  <c r="AB52" i="7"/>
  <c r="AB51" i="7"/>
  <c r="AB50" i="7"/>
  <c r="AB49" i="7"/>
  <c r="AB48" i="7"/>
  <c r="AB47" i="7"/>
  <c r="AB46" i="7"/>
  <c r="AB45" i="7"/>
  <c r="AB44" i="7"/>
  <c r="AB43" i="7"/>
  <c r="AB42" i="7"/>
  <c r="AB41" i="7"/>
  <c r="AB40" i="7"/>
  <c r="AB39" i="7"/>
  <c r="AB38" i="7"/>
  <c r="AB37" i="7"/>
  <c r="AB36" i="7"/>
  <c r="AB35" i="7"/>
  <c r="AB34" i="7"/>
  <c r="AB33" i="7"/>
  <c r="AB32" i="7"/>
  <c r="AB31" i="7"/>
  <c r="AB30" i="7"/>
  <c r="AB29" i="7"/>
  <c r="AB28" i="7"/>
  <c r="AB27" i="7"/>
  <c r="AB26" i="7"/>
  <c r="AB25" i="7"/>
  <c r="AB24" i="7"/>
  <c r="AB23" i="7"/>
  <c r="AB22" i="7"/>
  <c r="AB21" i="7"/>
  <c r="AB20" i="7"/>
  <c r="AB19" i="7"/>
  <c r="AB18" i="7"/>
  <c r="AB17" i="7"/>
  <c r="AB16" i="7"/>
  <c r="AB15" i="7"/>
  <c r="AB14" i="7"/>
  <c r="AB13" i="7"/>
  <c r="AB12" i="7"/>
  <c r="AB11" i="7"/>
  <c r="AB10" i="7"/>
  <c r="AB9" i="7"/>
  <c r="AA204" i="7"/>
  <c r="AA203" i="7"/>
  <c r="AA202" i="7"/>
  <c r="AA201" i="7"/>
  <c r="AA200" i="7"/>
  <c r="AA199" i="7"/>
  <c r="AA198" i="7"/>
  <c r="AA197" i="7"/>
  <c r="AA196" i="7"/>
  <c r="AA195" i="7"/>
  <c r="AA194" i="7"/>
  <c r="AA193" i="7"/>
  <c r="AA192" i="7"/>
  <c r="AA191" i="7"/>
  <c r="AA190" i="7"/>
  <c r="AA189" i="7"/>
  <c r="AA188" i="7"/>
  <c r="AA187" i="7"/>
  <c r="AA186" i="7"/>
  <c r="AA185" i="7"/>
  <c r="AA184" i="7"/>
  <c r="AA183" i="7"/>
  <c r="AA182" i="7"/>
  <c r="AA181" i="7"/>
  <c r="AA180" i="7"/>
  <c r="AA179" i="7"/>
  <c r="AA178" i="7"/>
  <c r="AA177" i="7"/>
  <c r="AA176" i="7"/>
  <c r="AA175" i="7"/>
  <c r="AA174" i="7"/>
  <c r="AA173" i="7"/>
  <c r="AA172" i="7"/>
  <c r="AA171" i="7"/>
  <c r="AA170" i="7"/>
  <c r="AA169" i="7"/>
  <c r="AA168" i="7"/>
  <c r="AA167" i="7"/>
  <c r="AA166" i="7"/>
  <c r="AA165" i="7"/>
  <c r="AA164" i="7"/>
  <c r="AA163" i="7"/>
  <c r="AA162" i="7"/>
  <c r="AA161" i="7"/>
  <c r="AA160" i="7"/>
  <c r="AA159" i="7"/>
  <c r="AA158" i="7"/>
  <c r="AA157" i="7"/>
  <c r="AA156" i="7"/>
  <c r="AA155" i="7"/>
  <c r="AA154" i="7"/>
  <c r="AA153" i="7"/>
  <c r="AA152" i="7"/>
  <c r="AA151" i="7"/>
  <c r="AA150" i="7"/>
  <c r="AA149" i="7"/>
  <c r="AA148" i="7"/>
  <c r="AA147" i="7"/>
  <c r="AA146" i="7"/>
  <c r="AA145" i="7"/>
  <c r="AA144" i="7"/>
  <c r="AA143" i="7"/>
  <c r="AA142" i="7"/>
  <c r="AA141" i="7"/>
  <c r="AA140" i="7"/>
  <c r="AA139" i="7"/>
  <c r="AA138" i="7"/>
  <c r="AA137" i="7"/>
  <c r="AA136" i="7"/>
  <c r="AA135" i="7"/>
  <c r="AA134" i="7"/>
  <c r="AA133" i="7"/>
  <c r="AA132" i="7"/>
  <c r="AA131" i="7"/>
  <c r="AA130" i="7"/>
  <c r="AA129" i="7"/>
  <c r="AA128" i="7"/>
  <c r="AA127" i="7"/>
  <c r="AA126" i="7"/>
  <c r="AA125" i="7"/>
  <c r="AA124" i="7"/>
  <c r="AA123" i="7"/>
  <c r="AA122" i="7"/>
  <c r="AA121" i="7"/>
  <c r="AA120" i="7"/>
  <c r="AA119" i="7"/>
  <c r="AA118" i="7"/>
  <c r="AA117" i="7"/>
  <c r="AA116" i="7"/>
  <c r="AA115" i="7"/>
  <c r="AA114" i="7"/>
  <c r="AA113" i="7"/>
  <c r="AA112" i="7"/>
  <c r="AA111" i="7"/>
  <c r="AA110" i="7"/>
  <c r="AA109" i="7"/>
  <c r="AA108" i="7"/>
  <c r="AA107" i="7"/>
  <c r="AA106" i="7"/>
  <c r="AA105" i="7"/>
  <c r="AA104" i="7"/>
  <c r="AA103" i="7"/>
  <c r="AA102" i="7"/>
  <c r="AA101" i="7"/>
  <c r="AA100" i="7"/>
  <c r="AA99" i="7"/>
  <c r="AA98" i="7"/>
  <c r="AA97" i="7"/>
  <c r="AA96" i="7"/>
  <c r="AA95" i="7"/>
  <c r="AA94" i="7"/>
  <c r="AA93" i="7"/>
  <c r="AA92" i="7"/>
  <c r="AA91" i="7"/>
  <c r="AA90" i="7"/>
  <c r="AA89" i="7"/>
  <c r="AA88" i="7"/>
  <c r="AA87" i="7"/>
  <c r="AA86" i="7"/>
  <c r="AA85" i="7"/>
  <c r="AA84" i="7"/>
  <c r="AA83" i="7"/>
  <c r="AA82" i="7"/>
  <c r="AA81" i="7"/>
  <c r="AA80" i="7"/>
  <c r="AA79" i="7"/>
  <c r="AA78" i="7"/>
  <c r="AA77" i="7"/>
  <c r="AA76" i="7"/>
  <c r="AA75" i="7"/>
  <c r="AA74" i="7"/>
  <c r="AA73" i="7"/>
  <c r="AA72" i="7"/>
  <c r="AA71" i="7"/>
  <c r="AA70" i="7"/>
  <c r="AA69" i="7"/>
  <c r="AA68" i="7"/>
  <c r="AA67" i="7"/>
  <c r="AA66" i="7"/>
  <c r="AA65" i="7"/>
  <c r="AA64" i="7"/>
  <c r="AA63" i="7"/>
  <c r="AA62" i="7"/>
  <c r="AA61" i="7"/>
  <c r="AA60" i="7"/>
  <c r="AA59" i="7"/>
  <c r="AA58" i="7"/>
  <c r="AA57" i="7"/>
  <c r="AA56" i="7"/>
  <c r="AA55" i="7"/>
  <c r="AA54" i="7"/>
  <c r="AA53" i="7"/>
  <c r="A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4" i="7"/>
  <c r="Z20" i="7"/>
  <c r="Z19" i="7"/>
  <c r="Z18" i="7"/>
  <c r="Z17" i="7"/>
  <c r="Z16" i="7"/>
  <c r="Z15" i="7"/>
  <c r="Z14" i="7"/>
  <c r="Z13" i="7"/>
  <c r="Z12" i="7"/>
  <c r="Z11" i="7"/>
  <c r="Z10" i="7"/>
  <c r="Z9" i="7"/>
  <c r="Z4" i="7"/>
  <c r="Y204" i="7"/>
  <c r="Y203" i="7"/>
  <c r="Y202" i="7"/>
  <c r="Y201" i="7"/>
  <c r="Y200" i="7"/>
  <c r="Y199" i="7"/>
  <c r="Y198" i="7"/>
  <c r="Y197" i="7"/>
  <c r="Y196" i="7"/>
  <c r="Y195" i="7"/>
  <c r="Y194" i="7"/>
  <c r="Y193" i="7"/>
  <c r="Y192" i="7"/>
  <c r="Y191" i="7"/>
  <c r="Y190" i="7"/>
  <c r="Y189" i="7"/>
  <c r="Y188" i="7"/>
  <c r="Y187" i="7"/>
  <c r="Y186" i="7"/>
  <c r="Y185" i="7"/>
  <c r="Y184" i="7"/>
  <c r="Y183" i="7"/>
  <c r="Y182" i="7"/>
  <c r="Y181" i="7"/>
  <c r="Y180" i="7"/>
  <c r="Y179" i="7"/>
  <c r="Y178" i="7"/>
  <c r="Y177" i="7"/>
  <c r="Y176" i="7"/>
  <c r="Y175" i="7"/>
  <c r="Y174" i="7"/>
  <c r="Y173" i="7"/>
  <c r="Y172" i="7"/>
  <c r="Y171" i="7"/>
  <c r="Y170" i="7"/>
  <c r="Y169" i="7"/>
  <c r="Y168" i="7"/>
  <c r="Y167" i="7"/>
  <c r="Y166" i="7"/>
  <c r="Y165" i="7"/>
  <c r="Y164" i="7"/>
  <c r="Y163" i="7"/>
  <c r="Y162" i="7"/>
  <c r="Y161" i="7"/>
  <c r="Y160" i="7"/>
  <c r="Y159" i="7"/>
  <c r="Y158" i="7"/>
  <c r="Y157" i="7"/>
  <c r="Y156" i="7"/>
  <c r="Y155" i="7"/>
  <c r="Y154" i="7"/>
  <c r="Y153" i="7"/>
  <c r="Y152" i="7"/>
  <c r="Y151" i="7"/>
  <c r="Y150" i="7"/>
  <c r="Y149" i="7"/>
  <c r="Y148" i="7"/>
  <c r="Y147" i="7"/>
  <c r="Y146" i="7"/>
  <c r="Y145" i="7"/>
  <c r="Y144" i="7"/>
  <c r="Y143" i="7"/>
  <c r="Y142" i="7"/>
  <c r="Y141" i="7"/>
  <c r="Y140" i="7"/>
  <c r="Y139" i="7"/>
  <c r="Y138" i="7"/>
  <c r="Y137" i="7"/>
  <c r="Y136" i="7"/>
  <c r="Y135" i="7"/>
  <c r="Y134" i="7"/>
  <c r="Y133" i="7"/>
  <c r="Y132" i="7"/>
  <c r="Y131" i="7"/>
  <c r="Y130" i="7"/>
  <c r="Y129" i="7"/>
  <c r="Y128" i="7"/>
  <c r="Y127" i="7"/>
  <c r="Y126" i="7"/>
  <c r="Y125" i="7"/>
  <c r="Y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9" i="7"/>
  <c r="Y108" i="7"/>
  <c r="Y107" i="7"/>
  <c r="Y106" i="7"/>
  <c r="Y105" i="7"/>
  <c r="Y104" i="7"/>
  <c r="Y103" i="7"/>
  <c r="Y102" i="7"/>
  <c r="Y101" i="7"/>
  <c r="Y100" i="7"/>
  <c r="Y99" i="7"/>
  <c r="Y98" i="7"/>
  <c r="Y97" i="7"/>
  <c r="Y96" i="7"/>
  <c r="Y95" i="7"/>
  <c r="Y94" i="7"/>
  <c r="Y93" i="7"/>
  <c r="Y92" i="7"/>
  <c r="Y91" i="7"/>
  <c r="Y90" i="7"/>
  <c r="Y89" i="7"/>
  <c r="Y88" i="7"/>
  <c r="Y87" i="7"/>
  <c r="Y86" i="7"/>
  <c r="Y85" i="7"/>
  <c r="Y84" i="7"/>
  <c r="Y83" i="7"/>
  <c r="Y82" i="7"/>
  <c r="Y81" i="7"/>
  <c r="Y80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3" i="7"/>
  <c r="Y62" i="7"/>
  <c r="Y61" i="7"/>
  <c r="Y60" i="7"/>
  <c r="Y59" i="7"/>
  <c r="Y58" i="7"/>
  <c r="Y57" i="7"/>
  <c r="Y56" i="7"/>
  <c r="Y55" i="7"/>
  <c r="Y54" i="7"/>
  <c r="Y53" i="7"/>
  <c r="Y52" i="7"/>
  <c r="Y51" i="7"/>
  <c r="Y50" i="7"/>
  <c r="Y49" i="7"/>
  <c r="Y48" i="7"/>
  <c r="Y47" i="7"/>
  <c r="Y46" i="7"/>
  <c r="Y45" i="7"/>
  <c r="Y44" i="7"/>
  <c r="Y43" i="7"/>
  <c r="Y42" i="7"/>
  <c r="Y41" i="7"/>
  <c r="Y40" i="7"/>
  <c r="Y39" i="7"/>
  <c r="Y38" i="7"/>
  <c r="Y37" i="7"/>
  <c r="Y36" i="7"/>
  <c r="Y35" i="7"/>
  <c r="Y34" i="7"/>
  <c r="Y33" i="7"/>
  <c r="Y32" i="7"/>
  <c r="Y31" i="7"/>
  <c r="Y30" i="7"/>
  <c r="Y29" i="7"/>
  <c r="Y28" i="7"/>
  <c r="Y27" i="7"/>
  <c r="Y26" i="7"/>
  <c r="Y25" i="7"/>
  <c r="Y24" i="7"/>
  <c r="Y23" i="7"/>
  <c r="Y22" i="7"/>
  <c r="Y21" i="7"/>
  <c r="Y20" i="7"/>
  <c r="Y19" i="7"/>
  <c r="Y18" i="7"/>
  <c r="Y17" i="7"/>
  <c r="Y16" i="7"/>
  <c r="Y15" i="7"/>
  <c r="Y14" i="7"/>
  <c r="Y13" i="7"/>
  <c r="Y12" i="7"/>
  <c r="Y11" i="7"/>
  <c r="Y10" i="7"/>
  <c r="Y9" i="7"/>
  <c r="Y4" i="7"/>
  <c r="X18" i="7"/>
  <c r="X17" i="7"/>
  <c r="X16" i="7"/>
  <c r="X15" i="7"/>
  <c r="X14" i="7"/>
  <c r="X13" i="7"/>
  <c r="X12" i="7"/>
  <c r="X11" i="7"/>
  <c r="X10" i="7"/>
  <c r="X9" i="7"/>
  <c r="X4" i="7"/>
  <c r="W204" i="7"/>
  <c r="W203" i="7"/>
  <c r="W202" i="7"/>
  <c r="W201" i="7"/>
  <c r="W200" i="7"/>
  <c r="W199" i="7"/>
  <c r="W198" i="7"/>
  <c r="W197" i="7"/>
  <c r="W196" i="7"/>
  <c r="W195" i="7"/>
  <c r="W194" i="7"/>
  <c r="W193" i="7"/>
  <c r="W192" i="7"/>
  <c r="W191" i="7"/>
  <c r="W190" i="7"/>
  <c r="W189" i="7"/>
  <c r="W188" i="7"/>
  <c r="W187" i="7"/>
  <c r="W186" i="7"/>
  <c r="W185" i="7"/>
  <c r="W184" i="7"/>
  <c r="W183" i="7"/>
  <c r="W182" i="7"/>
  <c r="W181" i="7"/>
  <c r="W180" i="7"/>
  <c r="W179" i="7"/>
  <c r="W178" i="7"/>
  <c r="W177" i="7"/>
  <c r="W176" i="7"/>
  <c r="W175" i="7"/>
  <c r="W174" i="7"/>
  <c r="W173" i="7"/>
  <c r="W172" i="7"/>
  <c r="W171" i="7"/>
  <c r="W170" i="7"/>
  <c r="W169" i="7"/>
  <c r="W168" i="7"/>
  <c r="W167" i="7"/>
  <c r="W166" i="7"/>
  <c r="W165" i="7"/>
  <c r="W164" i="7"/>
  <c r="W163" i="7"/>
  <c r="W162" i="7"/>
  <c r="W161" i="7"/>
  <c r="W160" i="7"/>
  <c r="W159" i="7"/>
  <c r="W158" i="7"/>
  <c r="W157" i="7"/>
  <c r="W156" i="7"/>
  <c r="W155" i="7"/>
  <c r="W154" i="7"/>
  <c r="W153" i="7"/>
  <c r="W152" i="7"/>
  <c r="W151" i="7"/>
  <c r="W150" i="7"/>
  <c r="W149" i="7"/>
  <c r="W148" i="7"/>
  <c r="W147" i="7"/>
  <c r="W146" i="7"/>
  <c r="W145" i="7"/>
  <c r="W144" i="7"/>
  <c r="W143" i="7"/>
  <c r="W142" i="7"/>
  <c r="W141" i="7"/>
  <c r="W140" i="7"/>
  <c r="W139" i="7"/>
  <c r="W138" i="7"/>
  <c r="W137" i="7"/>
  <c r="W136" i="7"/>
  <c r="W135" i="7"/>
  <c r="W134" i="7"/>
  <c r="W133" i="7"/>
  <c r="W132" i="7"/>
  <c r="W131" i="7"/>
  <c r="W130" i="7"/>
  <c r="W129" i="7"/>
  <c r="W128" i="7"/>
  <c r="W127" i="7"/>
  <c r="W126" i="7"/>
  <c r="W125" i="7"/>
  <c r="W124" i="7"/>
  <c r="W123" i="7"/>
  <c r="W122" i="7"/>
  <c r="W121" i="7"/>
  <c r="W120" i="7"/>
  <c r="W119" i="7"/>
  <c r="W118" i="7"/>
  <c r="W117" i="7"/>
  <c r="W116" i="7"/>
  <c r="W115" i="7"/>
  <c r="W114" i="7"/>
  <c r="W113" i="7"/>
  <c r="W112" i="7"/>
  <c r="W111" i="7"/>
  <c r="W110" i="7"/>
  <c r="W109" i="7"/>
  <c r="W108" i="7"/>
  <c r="W107" i="7"/>
  <c r="W106" i="7"/>
  <c r="W105" i="7"/>
  <c r="W104" i="7"/>
  <c r="W103" i="7"/>
  <c r="W102" i="7"/>
  <c r="W101" i="7"/>
  <c r="W100" i="7"/>
  <c r="W99" i="7"/>
  <c r="W98" i="7"/>
  <c r="W97" i="7"/>
  <c r="W96" i="7"/>
  <c r="W95" i="7"/>
  <c r="W94" i="7"/>
  <c r="W93" i="7"/>
  <c r="W92" i="7"/>
  <c r="W91" i="7"/>
  <c r="W90" i="7"/>
  <c r="W89" i="7"/>
  <c r="W88" i="7"/>
  <c r="W87" i="7"/>
  <c r="W86" i="7"/>
  <c r="W85" i="7"/>
  <c r="W84" i="7"/>
  <c r="W83" i="7"/>
  <c r="W82" i="7"/>
  <c r="W81" i="7"/>
  <c r="W80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62" i="7"/>
  <c r="W61" i="7"/>
  <c r="W60" i="7"/>
  <c r="W59" i="7"/>
  <c r="W58" i="7"/>
  <c r="W57" i="7"/>
  <c r="W56" i="7"/>
  <c r="W55" i="7"/>
  <c r="W54" i="7"/>
  <c r="W53" i="7"/>
  <c r="W52" i="7"/>
  <c r="W51" i="7"/>
  <c r="W50" i="7"/>
  <c r="W49" i="7"/>
  <c r="W48" i="7"/>
  <c r="W47" i="7"/>
  <c r="W46" i="7"/>
  <c r="W45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4" i="7"/>
  <c r="V204" i="7"/>
  <c r="V203" i="7"/>
  <c r="V202" i="7"/>
  <c r="V201" i="7"/>
  <c r="V200" i="7"/>
  <c r="V199" i="7"/>
  <c r="V198" i="7"/>
  <c r="V197" i="7"/>
  <c r="V196" i="7"/>
  <c r="V195" i="7"/>
  <c r="V194" i="7"/>
  <c r="V193" i="7"/>
  <c r="V192" i="7"/>
  <c r="V191" i="7"/>
  <c r="V190" i="7"/>
  <c r="V189" i="7"/>
  <c r="V188" i="7"/>
  <c r="V187" i="7"/>
  <c r="V186" i="7"/>
  <c r="V185" i="7"/>
  <c r="V184" i="7"/>
  <c r="V183" i="7"/>
  <c r="V182" i="7"/>
  <c r="V181" i="7"/>
  <c r="V180" i="7"/>
  <c r="V179" i="7"/>
  <c r="V178" i="7"/>
  <c r="V177" i="7"/>
  <c r="V176" i="7"/>
  <c r="V175" i="7"/>
  <c r="V174" i="7"/>
  <c r="V173" i="7"/>
  <c r="V172" i="7"/>
  <c r="V171" i="7"/>
  <c r="V170" i="7"/>
  <c r="V169" i="7"/>
  <c r="V168" i="7"/>
  <c r="V167" i="7"/>
  <c r="V166" i="7"/>
  <c r="V165" i="7"/>
  <c r="V164" i="7"/>
  <c r="V163" i="7"/>
  <c r="V162" i="7"/>
  <c r="V161" i="7"/>
  <c r="V160" i="7"/>
  <c r="V159" i="7"/>
  <c r="V158" i="7"/>
  <c r="V157" i="7"/>
  <c r="V156" i="7"/>
  <c r="V155" i="7"/>
  <c r="V154" i="7"/>
  <c r="V153" i="7"/>
  <c r="V152" i="7"/>
  <c r="V151" i="7"/>
  <c r="V150" i="7"/>
  <c r="V149" i="7"/>
  <c r="V148" i="7"/>
  <c r="V147" i="7"/>
  <c r="V146" i="7"/>
  <c r="V145" i="7"/>
  <c r="V144" i="7"/>
  <c r="V143" i="7"/>
  <c r="V142" i="7"/>
  <c r="V141" i="7"/>
  <c r="V140" i="7"/>
  <c r="V139" i="7"/>
  <c r="V138" i="7"/>
  <c r="V137" i="7"/>
  <c r="V136" i="7"/>
  <c r="V135" i="7"/>
  <c r="V134" i="7"/>
  <c r="V133" i="7"/>
  <c r="V132" i="7"/>
  <c r="V131" i="7"/>
  <c r="V130" i="7"/>
  <c r="V129" i="7"/>
  <c r="V128" i="7"/>
  <c r="V127" i="7"/>
  <c r="V126" i="7"/>
  <c r="V125" i="7"/>
  <c r="V124" i="7"/>
  <c r="V123" i="7"/>
  <c r="V122" i="7"/>
  <c r="V121" i="7"/>
  <c r="V120" i="7"/>
  <c r="V119" i="7"/>
  <c r="V118" i="7"/>
  <c r="V117" i="7"/>
  <c r="V116" i="7"/>
  <c r="V115" i="7"/>
  <c r="V114" i="7"/>
  <c r="V113" i="7"/>
  <c r="V112" i="7"/>
  <c r="V111" i="7"/>
  <c r="V110" i="7"/>
  <c r="V109" i="7"/>
  <c r="V108" i="7"/>
  <c r="V107" i="7"/>
  <c r="V106" i="7"/>
  <c r="V105" i="7"/>
  <c r="V104" i="7"/>
  <c r="V103" i="7"/>
  <c r="V102" i="7"/>
  <c r="V101" i="7"/>
  <c r="V100" i="7"/>
  <c r="V99" i="7"/>
  <c r="V98" i="7"/>
  <c r="V97" i="7"/>
  <c r="V96" i="7"/>
  <c r="V95" i="7"/>
  <c r="V94" i="7"/>
  <c r="V93" i="7"/>
  <c r="V92" i="7"/>
  <c r="V91" i="7"/>
  <c r="V90" i="7"/>
  <c r="V89" i="7"/>
  <c r="V88" i="7"/>
  <c r="V87" i="7"/>
  <c r="V86" i="7"/>
  <c r="V85" i="7"/>
  <c r="V84" i="7"/>
  <c r="V83" i="7"/>
  <c r="V82" i="7"/>
  <c r="V81" i="7"/>
  <c r="V80" i="7"/>
  <c r="V79" i="7"/>
  <c r="V78" i="7"/>
  <c r="V77" i="7"/>
  <c r="V76" i="7"/>
  <c r="V75" i="7"/>
  <c r="V74" i="7"/>
  <c r="V73" i="7"/>
  <c r="V72" i="7"/>
  <c r="V71" i="7"/>
  <c r="V70" i="7"/>
  <c r="V69" i="7"/>
  <c r="V68" i="7"/>
  <c r="V67" i="7"/>
  <c r="V66" i="7"/>
  <c r="V65" i="7"/>
  <c r="V64" i="7"/>
  <c r="V63" i="7"/>
  <c r="V62" i="7"/>
  <c r="V61" i="7"/>
  <c r="V60" i="7"/>
  <c r="V59" i="7"/>
  <c r="V58" i="7"/>
  <c r="V57" i="7"/>
  <c r="V56" i="7"/>
  <c r="V55" i="7"/>
  <c r="V54" i="7"/>
  <c r="V53" i="7"/>
  <c r="V52" i="7"/>
  <c r="V51" i="7"/>
  <c r="V50" i="7"/>
  <c r="V49" i="7"/>
  <c r="V48" i="7"/>
  <c r="V47" i="7"/>
  <c r="V46" i="7"/>
  <c r="V45" i="7"/>
  <c r="V44" i="7"/>
  <c r="V43" i="7"/>
  <c r="V42" i="7"/>
  <c r="V41" i="7"/>
  <c r="V40" i="7"/>
  <c r="V39" i="7"/>
  <c r="V38" i="7"/>
  <c r="V37" i="7"/>
  <c r="V36" i="7"/>
  <c r="V35" i="7"/>
  <c r="V34" i="7"/>
  <c r="V33" i="7"/>
  <c r="V32" i="7"/>
  <c r="V31" i="7"/>
  <c r="V30" i="7"/>
  <c r="V29" i="7"/>
  <c r="V28" i="7"/>
  <c r="V27" i="7"/>
  <c r="V26" i="7"/>
  <c r="V25" i="7"/>
  <c r="V24" i="7"/>
  <c r="V23" i="7"/>
  <c r="V22" i="7"/>
  <c r="V21" i="7"/>
  <c r="V20" i="7"/>
  <c r="V19" i="7"/>
  <c r="V18" i="7"/>
  <c r="V17" i="7"/>
  <c r="V16" i="7"/>
  <c r="V15" i="7"/>
  <c r="V14" i="7"/>
  <c r="V13" i="7"/>
  <c r="V12" i="7"/>
  <c r="V11" i="7"/>
  <c r="V10" i="7"/>
  <c r="V9" i="7"/>
  <c r="V4" i="7"/>
  <c r="U204" i="7"/>
  <c r="U203" i="7"/>
  <c r="U202" i="7"/>
  <c r="U201" i="7"/>
  <c r="U200" i="7"/>
  <c r="U199" i="7"/>
  <c r="U198" i="7"/>
  <c r="U197" i="7"/>
  <c r="U196" i="7"/>
  <c r="U195" i="7"/>
  <c r="U194" i="7"/>
  <c r="U193" i="7"/>
  <c r="U192" i="7"/>
  <c r="U191" i="7"/>
  <c r="U190" i="7"/>
  <c r="U189" i="7"/>
  <c r="U188" i="7"/>
  <c r="U187" i="7"/>
  <c r="U186" i="7"/>
  <c r="U185" i="7"/>
  <c r="U184" i="7"/>
  <c r="U183" i="7"/>
  <c r="U182" i="7"/>
  <c r="U181" i="7"/>
  <c r="U180" i="7"/>
  <c r="U179" i="7"/>
  <c r="U178" i="7"/>
  <c r="U177" i="7"/>
  <c r="U176" i="7"/>
  <c r="U175" i="7"/>
  <c r="U174" i="7"/>
  <c r="U173" i="7"/>
  <c r="U172" i="7"/>
  <c r="U171" i="7"/>
  <c r="U170" i="7"/>
  <c r="U169" i="7"/>
  <c r="U168" i="7"/>
  <c r="U167" i="7"/>
  <c r="U166" i="7"/>
  <c r="U165" i="7"/>
  <c r="U164" i="7"/>
  <c r="U163" i="7"/>
  <c r="U162" i="7"/>
  <c r="U161" i="7"/>
  <c r="U160" i="7"/>
  <c r="U159" i="7"/>
  <c r="U158" i="7"/>
  <c r="U157" i="7"/>
  <c r="U156" i="7"/>
  <c r="U155" i="7"/>
  <c r="U154" i="7"/>
  <c r="U153" i="7"/>
  <c r="U152" i="7"/>
  <c r="U151" i="7"/>
  <c r="U150" i="7"/>
  <c r="U149" i="7"/>
  <c r="U148" i="7"/>
  <c r="U147" i="7"/>
  <c r="U146" i="7"/>
  <c r="U145" i="7"/>
  <c r="U144" i="7"/>
  <c r="U143" i="7"/>
  <c r="U142" i="7"/>
  <c r="U141" i="7"/>
  <c r="U140" i="7"/>
  <c r="U139" i="7"/>
  <c r="U138" i="7"/>
  <c r="U137" i="7"/>
  <c r="U136" i="7"/>
  <c r="U135" i="7"/>
  <c r="U134" i="7"/>
  <c r="U133" i="7"/>
  <c r="U132" i="7"/>
  <c r="U131" i="7"/>
  <c r="U130" i="7"/>
  <c r="U129" i="7"/>
  <c r="U128" i="7"/>
  <c r="U127" i="7"/>
  <c r="U126" i="7"/>
  <c r="U125" i="7"/>
  <c r="U124" i="7"/>
  <c r="U123" i="7"/>
  <c r="U122" i="7"/>
  <c r="U121" i="7"/>
  <c r="U120" i="7"/>
  <c r="U119" i="7"/>
  <c r="U118" i="7"/>
  <c r="U117" i="7"/>
  <c r="U116" i="7"/>
  <c r="U115" i="7"/>
  <c r="U114" i="7"/>
  <c r="U113" i="7"/>
  <c r="U112" i="7"/>
  <c r="U111" i="7"/>
  <c r="U110" i="7"/>
  <c r="U109" i="7"/>
  <c r="U108" i="7"/>
  <c r="U107" i="7"/>
  <c r="U106" i="7"/>
  <c r="U105" i="7"/>
  <c r="U104" i="7"/>
  <c r="U103" i="7"/>
  <c r="U102" i="7"/>
  <c r="U101" i="7"/>
  <c r="U100" i="7"/>
  <c r="U99" i="7"/>
  <c r="U98" i="7"/>
  <c r="U97" i="7"/>
  <c r="U96" i="7"/>
  <c r="U95" i="7"/>
  <c r="U94" i="7"/>
  <c r="U93" i="7"/>
  <c r="U92" i="7"/>
  <c r="U91" i="7"/>
  <c r="U90" i="7"/>
  <c r="U89" i="7"/>
  <c r="U88" i="7"/>
  <c r="U87" i="7"/>
  <c r="U86" i="7"/>
  <c r="U85" i="7"/>
  <c r="U84" i="7"/>
  <c r="U83" i="7"/>
  <c r="U82" i="7"/>
  <c r="U81" i="7"/>
  <c r="U80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62" i="7"/>
  <c r="U61" i="7"/>
  <c r="U60" i="7"/>
  <c r="U59" i="7"/>
  <c r="U58" i="7"/>
  <c r="U57" i="7"/>
  <c r="U56" i="7"/>
  <c r="U55" i="7"/>
  <c r="U54" i="7"/>
  <c r="U53" i="7"/>
  <c r="U52" i="7"/>
  <c r="U51" i="7"/>
  <c r="U50" i="7"/>
  <c r="U49" i="7"/>
  <c r="U48" i="7"/>
  <c r="U47" i="7"/>
  <c r="U46" i="7"/>
  <c r="U45" i="7"/>
  <c r="U44" i="7"/>
  <c r="U43" i="7"/>
  <c r="U42" i="7"/>
  <c r="U41" i="7"/>
  <c r="U40" i="7"/>
  <c r="U39" i="7"/>
  <c r="U38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4" i="7"/>
  <c r="T204" i="7"/>
  <c r="T203" i="7"/>
  <c r="T202" i="7"/>
  <c r="T201" i="7"/>
  <c r="T200" i="7"/>
  <c r="T199" i="7"/>
  <c r="T198" i="7"/>
  <c r="T197" i="7"/>
  <c r="T196" i="7"/>
  <c r="T195" i="7"/>
  <c r="T194" i="7"/>
  <c r="T193" i="7"/>
  <c r="T192" i="7"/>
  <c r="T191" i="7"/>
  <c r="T190" i="7"/>
  <c r="T189" i="7"/>
  <c r="T188" i="7"/>
  <c r="T187" i="7"/>
  <c r="T186" i="7"/>
  <c r="T185" i="7"/>
  <c r="T184" i="7"/>
  <c r="T183" i="7"/>
  <c r="T182" i="7"/>
  <c r="T181" i="7"/>
  <c r="T180" i="7"/>
  <c r="T179" i="7"/>
  <c r="T178" i="7"/>
  <c r="T177" i="7"/>
  <c r="T176" i="7"/>
  <c r="T175" i="7"/>
  <c r="T174" i="7"/>
  <c r="T173" i="7"/>
  <c r="T172" i="7"/>
  <c r="T171" i="7"/>
  <c r="T170" i="7"/>
  <c r="T169" i="7"/>
  <c r="T168" i="7"/>
  <c r="T167" i="7"/>
  <c r="T166" i="7"/>
  <c r="T165" i="7"/>
  <c r="T164" i="7"/>
  <c r="T163" i="7"/>
  <c r="T162" i="7"/>
  <c r="T161" i="7"/>
  <c r="T160" i="7"/>
  <c r="T159" i="7"/>
  <c r="T158" i="7"/>
  <c r="T157" i="7"/>
  <c r="T156" i="7"/>
  <c r="T155" i="7"/>
  <c r="T154" i="7"/>
  <c r="T153" i="7"/>
  <c r="T152" i="7"/>
  <c r="T151" i="7"/>
  <c r="T150" i="7"/>
  <c r="T149" i="7"/>
  <c r="T148" i="7"/>
  <c r="T147" i="7"/>
  <c r="T146" i="7"/>
  <c r="T145" i="7"/>
  <c r="T144" i="7"/>
  <c r="T143" i="7"/>
  <c r="T142" i="7"/>
  <c r="T141" i="7"/>
  <c r="T140" i="7"/>
  <c r="T139" i="7"/>
  <c r="T138" i="7"/>
  <c r="T137" i="7"/>
  <c r="T136" i="7"/>
  <c r="T135" i="7"/>
  <c r="T134" i="7"/>
  <c r="T133" i="7"/>
  <c r="T132" i="7"/>
  <c r="T131" i="7"/>
  <c r="T130" i="7"/>
  <c r="T129" i="7"/>
  <c r="T128" i="7"/>
  <c r="T127" i="7"/>
  <c r="T126" i="7"/>
  <c r="T125" i="7"/>
  <c r="T124" i="7"/>
  <c r="T123" i="7"/>
  <c r="T122" i="7"/>
  <c r="T121" i="7"/>
  <c r="T120" i="7"/>
  <c r="T119" i="7"/>
  <c r="T118" i="7"/>
  <c r="T117" i="7"/>
  <c r="T116" i="7"/>
  <c r="T115" i="7"/>
  <c r="T114" i="7"/>
  <c r="T113" i="7"/>
  <c r="T112" i="7"/>
  <c r="T111" i="7"/>
  <c r="T110" i="7"/>
  <c r="T109" i="7"/>
  <c r="T108" i="7"/>
  <c r="T107" i="7"/>
  <c r="T106" i="7"/>
  <c r="T105" i="7"/>
  <c r="T104" i="7"/>
  <c r="T103" i="7"/>
  <c r="T102" i="7"/>
  <c r="T101" i="7"/>
  <c r="T100" i="7"/>
  <c r="T99" i="7"/>
  <c r="T98" i="7"/>
  <c r="T97" i="7"/>
  <c r="T96" i="7"/>
  <c r="T95" i="7"/>
  <c r="T94" i="7"/>
  <c r="T93" i="7"/>
  <c r="T92" i="7"/>
  <c r="T91" i="7"/>
  <c r="T90" i="7"/>
  <c r="T89" i="7"/>
  <c r="T88" i="7"/>
  <c r="T87" i="7"/>
  <c r="T86" i="7"/>
  <c r="T85" i="7"/>
  <c r="T84" i="7"/>
  <c r="T83" i="7"/>
  <c r="T82" i="7"/>
  <c r="T81" i="7"/>
  <c r="T80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62" i="7"/>
  <c r="T61" i="7"/>
  <c r="T60" i="7"/>
  <c r="T59" i="7"/>
  <c r="T58" i="7"/>
  <c r="T57" i="7"/>
  <c r="T56" i="7"/>
  <c r="T55" i="7"/>
  <c r="T54" i="7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4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4" i="7"/>
  <c r="AD204" i="6"/>
  <c r="AD203" i="6"/>
  <c r="AD202" i="6"/>
  <c r="AD201" i="6"/>
  <c r="AD200" i="6"/>
  <c r="AD199" i="6"/>
  <c r="AD198" i="6"/>
  <c r="AD197" i="6"/>
  <c r="AD196" i="6"/>
  <c r="AD195" i="6"/>
  <c r="AD194" i="6"/>
  <c r="AD193" i="6"/>
  <c r="AD192" i="6"/>
  <c r="AD191" i="6"/>
  <c r="AD190" i="6"/>
  <c r="AD189" i="6"/>
  <c r="AD188" i="6"/>
  <c r="AD187" i="6"/>
  <c r="AD186" i="6"/>
  <c r="AD185" i="6"/>
  <c r="AD184" i="6"/>
  <c r="AD183" i="6"/>
  <c r="AD182" i="6"/>
  <c r="AD181" i="6"/>
  <c r="AD180" i="6"/>
  <c r="AD179" i="6"/>
  <c r="AD178" i="6"/>
  <c r="AD177" i="6"/>
  <c r="AD176" i="6"/>
  <c r="AD175" i="6"/>
  <c r="AD174" i="6"/>
  <c r="AD173" i="6"/>
  <c r="AD172" i="6"/>
  <c r="AD171" i="6"/>
  <c r="AD170" i="6"/>
  <c r="AD169" i="6"/>
  <c r="AD168" i="6"/>
  <c r="AD167" i="6"/>
  <c r="AD166" i="6"/>
  <c r="AD165" i="6"/>
  <c r="AD164" i="6"/>
  <c r="AD163" i="6"/>
  <c r="AD162" i="6"/>
  <c r="AD161" i="6"/>
  <c r="AD160" i="6"/>
  <c r="AD159" i="6"/>
  <c r="AD158" i="6"/>
  <c r="AD157" i="6"/>
  <c r="AD156" i="6"/>
  <c r="AD155" i="6"/>
  <c r="AD154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7" i="6"/>
  <c r="AD136" i="6"/>
  <c r="AD135" i="6"/>
  <c r="AD134" i="6"/>
  <c r="AD133" i="6"/>
  <c r="AD132" i="6"/>
  <c r="AD131" i="6"/>
  <c r="AD130" i="6"/>
  <c r="AD129" i="6"/>
  <c r="AD128" i="6"/>
  <c r="AD127" i="6"/>
  <c r="AD126" i="6"/>
  <c r="AD125" i="6"/>
  <c r="AD124" i="6"/>
  <c r="AD123" i="6"/>
  <c r="AD122" i="6"/>
  <c r="AD121" i="6"/>
  <c r="AD120" i="6"/>
  <c r="AD119" i="6"/>
  <c r="AD118" i="6"/>
  <c r="AD117" i="6"/>
  <c r="AD116" i="6"/>
  <c r="AD115" i="6"/>
  <c r="AD114" i="6"/>
  <c r="AD113" i="6"/>
  <c r="AD112" i="6"/>
  <c r="AD111" i="6"/>
  <c r="AD110" i="6"/>
  <c r="AD109" i="6"/>
  <c r="AD108" i="6"/>
  <c r="AD107" i="6"/>
  <c r="AD106" i="6"/>
  <c r="AD105" i="6"/>
  <c r="AD104" i="6"/>
  <c r="AD103" i="6"/>
  <c r="AD102" i="6"/>
  <c r="AD101" i="6"/>
  <c r="AD100" i="6"/>
  <c r="AD99" i="6"/>
  <c r="AD98" i="6"/>
  <c r="AD97" i="6"/>
  <c r="AD96" i="6"/>
  <c r="AD95" i="6"/>
  <c r="AD94" i="6"/>
  <c r="AD93" i="6"/>
  <c r="AD92" i="6"/>
  <c r="AD91" i="6"/>
  <c r="AD90" i="6"/>
  <c r="AD89" i="6"/>
  <c r="AD88" i="6"/>
  <c r="AD87" i="6"/>
  <c r="AD86" i="6"/>
  <c r="AD85" i="6"/>
  <c r="AD84" i="6"/>
  <c r="AD83" i="6"/>
  <c r="AD82" i="6"/>
  <c r="AD81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D57" i="6"/>
  <c r="AD56" i="6"/>
  <c r="AD55" i="6"/>
  <c r="AD54" i="6"/>
  <c r="AD53" i="6"/>
  <c r="AD52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AD16" i="6"/>
  <c r="AD15" i="6"/>
  <c r="AD14" i="6"/>
  <c r="AD13" i="6"/>
  <c r="AD12" i="6"/>
  <c r="AD11" i="6"/>
  <c r="AD10" i="6"/>
  <c r="AD9" i="6"/>
  <c r="AD8" i="6"/>
  <c r="AD7" i="6"/>
  <c r="AD6" i="6"/>
  <c r="AC204" i="6"/>
  <c r="AC203" i="6"/>
  <c r="AC202" i="6"/>
  <c r="AC201" i="6"/>
  <c r="AC200" i="6"/>
  <c r="AC199" i="6"/>
  <c r="AC198" i="6"/>
  <c r="AC197" i="6"/>
  <c r="AC196" i="6"/>
  <c r="AC195" i="6"/>
  <c r="AC194" i="6"/>
  <c r="AC193" i="6"/>
  <c r="AC192" i="6"/>
  <c r="AC191" i="6"/>
  <c r="AC190" i="6"/>
  <c r="AC189" i="6"/>
  <c r="AC188" i="6"/>
  <c r="AC187" i="6"/>
  <c r="AC186" i="6"/>
  <c r="AC185" i="6"/>
  <c r="AC184" i="6"/>
  <c r="AC183" i="6"/>
  <c r="AC182" i="6"/>
  <c r="AC181" i="6"/>
  <c r="AC180" i="6"/>
  <c r="AC179" i="6"/>
  <c r="AC178" i="6"/>
  <c r="AC177" i="6"/>
  <c r="AC176" i="6"/>
  <c r="AC175" i="6"/>
  <c r="AC174" i="6"/>
  <c r="AC173" i="6"/>
  <c r="AC172" i="6"/>
  <c r="AC171" i="6"/>
  <c r="AC170" i="6"/>
  <c r="AC169" i="6"/>
  <c r="AC168" i="6"/>
  <c r="AC167" i="6"/>
  <c r="AC166" i="6"/>
  <c r="AC165" i="6"/>
  <c r="AC164" i="6"/>
  <c r="AC163" i="6"/>
  <c r="AC162" i="6"/>
  <c r="AC161" i="6"/>
  <c r="AC160" i="6"/>
  <c r="AC159" i="6"/>
  <c r="AC158" i="6"/>
  <c r="AC157" i="6"/>
  <c r="AC156" i="6"/>
  <c r="AC155" i="6"/>
  <c r="AC154" i="6"/>
  <c r="AC153" i="6"/>
  <c r="AC152" i="6"/>
  <c r="AC151" i="6"/>
  <c r="AC150" i="6"/>
  <c r="AC149" i="6"/>
  <c r="AC148" i="6"/>
  <c r="AC147" i="6"/>
  <c r="AC146" i="6"/>
  <c r="AC145" i="6"/>
  <c r="AC144" i="6"/>
  <c r="AC143" i="6"/>
  <c r="AC142" i="6"/>
  <c r="AC141" i="6"/>
  <c r="AC140" i="6"/>
  <c r="AC139" i="6"/>
  <c r="AC138" i="6"/>
  <c r="AC137" i="6"/>
  <c r="AC136" i="6"/>
  <c r="AC135" i="6"/>
  <c r="AC134" i="6"/>
  <c r="AC133" i="6"/>
  <c r="AC132" i="6"/>
  <c r="AC131" i="6"/>
  <c r="AC130" i="6"/>
  <c r="AC129" i="6"/>
  <c r="AC128" i="6"/>
  <c r="AC127" i="6"/>
  <c r="AC126" i="6"/>
  <c r="AC125" i="6"/>
  <c r="AC124" i="6"/>
  <c r="AC123" i="6"/>
  <c r="AC122" i="6"/>
  <c r="AC121" i="6"/>
  <c r="AC120" i="6"/>
  <c r="AC119" i="6"/>
  <c r="AC118" i="6"/>
  <c r="AC117" i="6"/>
  <c r="AC116" i="6"/>
  <c r="AC115" i="6"/>
  <c r="AC114" i="6"/>
  <c r="AC113" i="6"/>
  <c r="AC112" i="6"/>
  <c r="AC111" i="6"/>
  <c r="AC110" i="6"/>
  <c r="AC109" i="6"/>
  <c r="AC108" i="6"/>
  <c r="AC107" i="6"/>
  <c r="AC106" i="6"/>
  <c r="AC105" i="6"/>
  <c r="AC104" i="6"/>
  <c r="AC103" i="6"/>
  <c r="AC102" i="6"/>
  <c r="AC101" i="6"/>
  <c r="AC100" i="6"/>
  <c r="AC99" i="6"/>
  <c r="AC98" i="6"/>
  <c r="AC97" i="6"/>
  <c r="AC96" i="6"/>
  <c r="AC95" i="6"/>
  <c r="AC94" i="6"/>
  <c r="AC93" i="6"/>
  <c r="AC92" i="6"/>
  <c r="AC91" i="6"/>
  <c r="AC90" i="6"/>
  <c r="AC89" i="6"/>
  <c r="AC88" i="6"/>
  <c r="AC87" i="6"/>
  <c r="AC86" i="6"/>
  <c r="AC85" i="6"/>
  <c r="AC84" i="6"/>
  <c r="AC83" i="6"/>
  <c r="AC82" i="6"/>
  <c r="AC81" i="6"/>
  <c r="AC80" i="6"/>
  <c r="AC79" i="6"/>
  <c r="AC78" i="6"/>
  <c r="AC77" i="6"/>
  <c r="AC76" i="6"/>
  <c r="AC75" i="6"/>
  <c r="AC74" i="6"/>
  <c r="AC73" i="6"/>
  <c r="AC72" i="6"/>
  <c r="AC71" i="6"/>
  <c r="AC70" i="6"/>
  <c r="AC69" i="6"/>
  <c r="AC68" i="6"/>
  <c r="AC67" i="6"/>
  <c r="AC66" i="6"/>
  <c r="AC65" i="6"/>
  <c r="AC64" i="6"/>
  <c r="AC63" i="6"/>
  <c r="AC62" i="6"/>
  <c r="AC61" i="6"/>
  <c r="AC60" i="6"/>
  <c r="AC59" i="6"/>
  <c r="AC58" i="6"/>
  <c r="AC57" i="6"/>
  <c r="AC56" i="6"/>
  <c r="AC55" i="6"/>
  <c r="AC54" i="6"/>
  <c r="AC53" i="6"/>
  <c r="AC52" i="6"/>
  <c r="AC51" i="6"/>
  <c r="AC50" i="6"/>
  <c r="AC49" i="6"/>
  <c r="AC48" i="6"/>
  <c r="AC47" i="6"/>
  <c r="AC46" i="6"/>
  <c r="AC45" i="6"/>
  <c r="AC44" i="6"/>
  <c r="AC43" i="6"/>
  <c r="AC42" i="6"/>
  <c r="AC41" i="6"/>
  <c r="AC40" i="6"/>
  <c r="AC39" i="6"/>
  <c r="AC38" i="6"/>
  <c r="AC37" i="6"/>
  <c r="AC36" i="6"/>
  <c r="AC35" i="6"/>
  <c r="AC34" i="6"/>
  <c r="AC33" i="6"/>
  <c r="AC32" i="6"/>
  <c r="AC31" i="6"/>
  <c r="AC30" i="6"/>
  <c r="AC29" i="6"/>
  <c r="AC28" i="6"/>
  <c r="AC27" i="6"/>
  <c r="AC26" i="6"/>
  <c r="AC25" i="6"/>
  <c r="AC24" i="6"/>
  <c r="AC23" i="6"/>
  <c r="AC22" i="6"/>
  <c r="AC21" i="6"/>
  <c r="AC20" i="6"/>
  <c r="AC19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C6" i="6"/>
  <c r="AB204" i="6"/>
  <c r="AB203" i="6"/>
  <c r="AB202" i="6"/>
  <c r="AB201" i="6"/>
  <c r="AB200" i="6"/>
  <c r="AB199" i="6"/>
  <c r="AB198" i="6"/>
  <c r="AB197" i="6"/>
  <c r="AB196" i="6"/>
  <c r="AB195" i="6"/>
  <c r="AB194" i="6"/>
  <c r="AB193" i="6"/>
  <c r="AB192" i="6"/>
  <c r="AB191" i="6"/>
  <c r="AB190" i="6"/>
  <c r="AB189" i="6"/>
  <c r="AB188" i="6"/>
  <c r="AB187" i="6"/>
  <c r="AB186" i="6"/>
  <c r="AB185" i="6"/>
  <c r="AB184" i="6"/>
  <c r="AB183" i="6"/>
  <c r="AB182" i="6"/>
  <c r="AB181" i="6"/>
  <c r="AB180" i="6"/>
  <c r="AB179" i="6"/>
  <c r="AB178" i="6"/>
  <c r="AB177" i="6"/>
  <c r="AB176" i="6"/>
  <c r="AB175" i="6"/>
  <c r="AB174" i="6"/>
  <c r="AB173" i="6"/>
  <c r="AB172" i="6"/>
  <c r="AB171" i="6"/>
  <c r="AB170" i="6"/>
  <c r="AB169" i="6"/>
  <c r="AB168" i="6"/>
  <c r="AB167" i="6"/>
  <c r="AB166" i="6"/>
  <c r="AB165" i="6"/>
  <c r="AB164" i="6"/>
  <c r="AB163" i="6"/>
  <c r="AB162" i="6"/>
  <c r="AB161" i="6"/>
  <c r="AB160" i="6"/>
  <c r="AB159" i="6"/>
  <c r="AB158" i="6"/>
  <c r="AB157" i="6"/>
  <c r="AB156" i="6"/>
  <c r="AB155" i="6"/>
  <c r="AB154" i="6"/>
  <c r="AB153" i="6"/>
  <c r="AB152" i="6"/>
  <c r="AB151" i="6"/>
  <c r="AB150" i="6"/>
  <c r="AB149" i="6"/>
  <c r="AB148" i="6"/>
  <c r="AB147" i="6"/>
  <c r="AB146" i="6"/>
  <c r="AB145" i="6"/>
  <c r="AB144" i="6"/>
  <c r="AB143" i="6"/>
  <c r="AB142" i="6"/>
  <c r="AB141" i="6"/>
  <c r="AB140" i="6"/>
  <c r="AB139" i="6"/>
  <c r="AB138" i="6"/>
  <c r="AB137" i="6"/>
  <c r="AB136" i="6"/>
  <c r="AB135" i="6"/>
  <c r="AB134" i="6"/>
  <c r="AB133" i="6"/>
  <c r="AB132" i="6"/>
  <c r="AB131" i="6"/>
  <c r="AB130" i="6"/>
  <c r="AB129" i="6"/>
  <c r="AB128" i="6"/>
  <c r="AB127" i="6"/>
  <c r="AB126" i="6"/>
  <c r="AB125" i="6"/>
  <c r="AB124" i="6"/>
  <c r="AB123" i="6"/>
  <c r="AB122" i="6"/>
  <c r="AB121" i="6"/>
  <c r="AB120" i="6"/>
  <c r="AB119" i="6"/>
  <c r="AB118" i="6"/>
  <c r="AB117" i="6"/>
  <c r="AB116" i="6"/>
  <c r="AB115" i="6"/>
  <c r="AB114" i="6"/>
  <c r="AB113" i="6"/>
  <c r="AB112" i="6"/>
  <c r="AB111" i="6"/>
  <c r="AB110" i="6"/>
  <c r="AB109" i="6"/>
  <c r="AB108" i="6"/>
  <c r="AB107" i="6"/>
  <c r="AB106" i="6"/>
  <c r="AB105" i="6"/>
  <c r="AB104" i="6"/>
  <c r="AB103" i="6"/>
  <c r="AB102" i="6"/>
  <c r="AB101" i="6"/>
  <c r="AB100" i="6"/>
  <c r="AB99" i="6"/>
  <c r="AB98" i="6"/>
  <c r="AB97" i="6"/>
  <c r="AB96" i="6"/>
  <c r="AB95" i="6"/>
  <c r="AB94" i="6"/>
  <c r="AB93" i="6"/>
  <c r="AB92" i="6"/>
  <c r="AB91" i="6"/>
  <c r="AB90" i="6"/>
  <c r="AB89" i="6"/>
  <c r="AB88" i="6"/>
  <c r="AB87" i="6"/>
  <c r="AB86" i="6"/>
  <c r="AB85" i="6"/>
  <c r="AB84" i="6"/>
  <c r="AB83" i="6"/>
  <c r="AB82" i="6"/>
  <c r="AB81" i="6"/>
  <c r="AB80" i="6"/>
  <c r="AB79" i="6"/>
  <c r="AB78" i="6"/>
  <c r="AB77" i="6"/>
  <c r="AB76" i="6"/>
  <c r="AB75" i="6"/>
  <c r="AB74" i="6"/>
  <c r="AB73" i="6"/>
  <c r="AB72" i="6"/>
  <c r="AB71" i="6"/>
  <c r="AB70" i="6"/>
  <c r="AB69" i="6"/>
  <c r="AB68" i="6"/>
  <c r="AB67" i="6"/>
  <c r="AB66" i="6"/>
  <c r="AB65" i="6"/>
  <c r="AB64" i="6"/>
  <c r="AB63" i="6"/>
  <c r="AB62" i="6"/>
  <c r="AB61" i="6"/>
  <c r="AB60" i="6"/>
  <c r="AB59" i="6"/>
  <c r="AB58" i="6"/>
  <c r="AB57" i="6"/>
  <c r="AB56" i="6"/>
  <c r="AB55" i="6"/>
  <c r="AB54" i="6"/>
  <c r="AB53" i="6"/>
  <c r="AB52" i="6"/>
  <c r="AB51" i="6"/>
  <c r="AB50" i="6"/>
  <c r="AB49" i="6"/>
  <c r="AB48" i="6"/>
  <c r="AB47" i="6"/>
  <c r="AB46" i="6"/>
  <c r="AB45" i="6"/>
  <c r="AB44" i="6"/>
  <c r="AB43" i="6"/>
  <c r="AB42" i="6"/>
  <c r="AB41" i="6"/>
  <c r="AB40" i="6"/>
  <c r="AB39" i="6"/>
  <c r="AB38" i="6"/>
  <c r="AB37" i="6"/>
  <c r="AB36" i="6"/>
  <c r="AB35" i="6"/>
  <c r="AB34" i="6"/>
  <c r="AB33" i="6"/>
  <c r="AB32" i="6"/>
  <c r="AB31" i="6"/>
  <c r="AB30" i="6"/>
  <c r="AB29" i="6"/>
  <c r="AB28" i="6"/>
  <c r="AB27" i="6"/>
  <c r="AB26" i="6"/>
  <c r="AB25" i="6"/>
  <c r="AB24" i="6"/>
  <c r="AB23" i="6"/>
  <c r="AB22" i="6"/>
  <c r="AB21" i="6"/>
  <c r="AB20" i="6"/>
  <c r="AB19" i="6"/>
  <c r="AB18" i="6"/>
  <c r="AB17" i="6"/>
  <c r="AB16" i="6"/>
  <c r="AB15" i="6"/>
  <c r="AB14" i="6"/>
  <c r="AB13" i="6"/>
  <c r="AB12" i="6"/>
  <c r="AB11" i="6"/>
  <c r="AB10" i="6"/>
  <c r="AB9" i="6"/>
  <c r="AB8" i="6"/>
  <c r="AB7" i="6"/>
  <c r="AB6" i="6"/>
  <c r="AB4" i="6"/>
  <c r="AA204" i="6"/>
  <c r="AA203" i="6"/>
  <c r="AA202" i="6"/>
  <c r="AA201" i="6"/>
  <c r="AA200" i="6"/>
  <c r="AA199" i="6"/>
  <c r="AA198" i="6"/>
  <c r="AA197" i="6"/>
  <c r="AA196" i="6"/>
  <c r="AA195" i="6"/>
  <c r="AA194" i="6"/>
  <c r="AA193" i="6"/>
  <c r="AA192" i="6"/>
  <c r="AA191" i="6"/>
  <c r="AA190" i="6"/>
  <c r="AA189" i="6"/>
  <c r="AA188" i="6"/>
  <c r="AA187" i="6"/>
  <c r="AA186" i="6"/>
  <c r="AA185" i="6"/>
  <c r="AA184" i="6"/>
  <c r="AA183" i="6"/>
  <c r="AA182" i="6"/>
  <c r="AA181" i="6"/>
  <c r="AA180" i="6"/>
  <c r="AA179" i="6"/>
  <c r="AA178" i="6"/>
  <c r="AA177" i="6"/>
  <c r="AA176" i="6"/>
  <c r="AA175" i="6"/>
  <c r="AA174" i="6"/>
  <c r="AA173" i="6"/>
  <c r="AA172" i="6"/>
  <c r="AA171" i="6"/>
  <c r="AA170" i="6"/>
  <c r="AA169" i="6"/>
  <c r="AA168" i="6"/>
  <c r="AA167" i="6"/>
  <c r="AA166" i="6"/>
  <c r="AA165" i="6"/>
  <c r="AA164" i="6"/>
  <c r="AA163" i="6"/>
  <c r="AA162" i="6"/>
  <c r="AA161" i="6"/>
  <c r="AA160" i="6"/>
  <c r="AA159" i="6"/>
  <c r="AA158" i="6"/>
  <c r="AA157" i="6"/>
  <c r="AA156" i="6"/>
  <c r="AA155" i="6"/>
  <c r="AA154" i="6"/>
  <c r="AA153" i="6"/>
  <c r="AA152" i="6"/>
  <c r="AA151" i="6"/>
  <c r="AA150" i="6"/>
  <c r="AA149" i="6"/>
  <c r="AA148" i="6"/>
  <c r="AA147" i="6"/>
  <c r="AA146" i="6"/>
  <c r="AA145" i="6"/>
  <c r="AA144" i="6"/>
  <c r="AA143" i="6"/>
  <c r="AA142" i="6"/>
  <c r="AA141" i="6"/>
  <c r="AA140" i="6"/>
  <c r="AA139" i="6"/>
  <c r="AA138" i="6"/>
  <c r="AA137" i="6"/>
  <c r="AA136" i="6"/>
  <c r="AA135" i="6"/>
  <c r="AA134" i="6"/>
  <c r="AA133" i="6"/>
  <c r="AA132" i="6"/>
  <c r="AA131" i="6"/>
  <c r="AA130" i="6"/>
  <c r="AA129" i="6"/>
  <c r="AA128" i="6"/>
  <c r="AA127" i="6"/>
  <c r="AA126" i="6"/>
  <c r="AA125" i="6"/>
  <c r="AA124" i="6"/>
  <c r="AA123" i="6"/>
  <c r="AA122" i="6"/>
  <c r="AA121" i="6"/>
  <c r="AA120" i="6"/>
  <c r="AA119" i="6"/>
  <c r="AA118" i="6"/>
  <c r="AA117" i="6"/>
  <c r="AA116" i="6"/>
  <c r="AA115" i="6"/>
  <c r="AA114" i="6"/>
  <c r="AA113" i="6"/>
  <c r="AA112" i="6"/>
  <c r="AA111" i="6"/>
  <c r="AA110" i="6"/>
  <c r="AA109" i="6"/>
  <c r="AA108" i="6"/>
  <c r="AA107" i="6"/>
  <c r="AA106" i="6"/>
  <c r="AA105" i="6"/>
  <c r="AA104" i="6"/>
  <c r="AA103" i="6"/>
  <c r="AA102" i="6"/>
  <c r="AA101" i="6"/>
  <c r="AA100" i="6"/>
  <c r="AA99" i="6"/>
  <c r="AA98" i="6"/>
  <c r="AA97" i="6"/>
  <c r="AA96" i="6"/>
  <c r="AA95" i="6"/>
  <c r="AA94" i="6"/>
  <c r="AA93" i="6"/>
  <c r="AA92" i="6"/>
  <c r="AA91" i="6"/>
  <c r="AA90" i="6"/>
  <c r="AA89" i="6"/>
  <c r="AA88" i="6"/>
  <c r="AA87" i="6"/>
  <c r="AA86" i="6"/>
  <c r="AA85" i="6"/>
  <c r="AA84" i="6"/>
  <c r="AA83" i="6"/>
  <c r="AA82" i="6"/>
  <c r="AA81" i="6"/>
  <c r="AA80" i="6"/>
  <c r="AA79" i="6"/>
  <c r="AA78" i="6"/>
  <c r="AA77" i="6"/>
  <c r="AA76" i="6"/>
  <c r="AA75" i="6"/>
  <c r="AA74" i="6"/>
  <c r="AA73" i="6"/>
  <c r="AA72" i="6"/>
  <c r="AA71" i="6"/>
  <c r="AA70" i="6"/>
  <c r="AA69" i="6"/>
  <c r="AA68" i="6"/>
  <c r="AA67" i="6"/>
  <c r="AA66" i="6"/>
  <c r="AA65" i="6"/>
  <c r="AA64" i="6"/>
  <c r="AA63" i="6"/>
  <c r="AA62" i="6"/>
  <c r="AA61" i="6"/>
  <c r="AA60" i="6"/>
  <c r="AA59" i="6"/>
  <c r="AA58" i="6"/>
  <c r="AA57" i="6"/>
  <c r="AA56" i="6"/>
  <c r="AA55" i="6"/>
  <c r="AA54" i="6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AA7" i="6"/>
  <c r="AA6" i="6"/>
  <c r="AA4" i="6"/>
  <c r="Z204" i="6"/>
  <c r="Z203" i="6"/>
  <c r="Z202" i="6"/>
  <c r="Z201" i="6"/>
  <c r="Z200" i="6"/>
  <c r="Z199" i="6"/>
  <c r="Z198" i="6"/>
  <c r="Z197" i="6"/>
  <c r="Z196" i="6"/>
  <c r="Z195" i="6"/>
  <c r="Z194" i="6"/>
  <c r="Z193" i="6"/>
  <c r="Z192" i="6"/>
  <c r="Z191" i="6"/>
  <c r="Z190" i="6"/>
  <c r="Z189" i="6"/>
  <c r="Z188" i="6"/>
  <c r="Z187" i="6"/>
  <c r="Z186" i="6"/>
  <c r="Z185" i="6"/>
  <c r="Z184" i="6"/>
  <c r="Z183" i="6"/>
  <c r="Z182" i="6"/>
  <c r="Z181" i="6"/>
  <c r="Z180" i="6"/>
  <c r="Z179" i="6"/>
  <c r="Z178" i="6"/>
  <c r="Z177" i="6"/>
  <c r="Z176" i="6"/>
  <c r="Z175" i="6"/>
  <c r="Z174" i="6"/>
  <c r="Z173" i="6"/>
  <c r="Z172" i="6"/>
  <c r="Z171" i="6"/>
  <c r="Z170" i="6"/>
  <c r="Z169" i="6"/>
  <c r="Z168" i="6"/>
  <c r="Z167" i="6"/>
  <c r="Z166" i="6"/>
  <c r="Z165" i="6"/>
  <c r="Z164" i="6"/>
  <c r="Z163" i="6"/>
  <c r="Z162" i="6"/>
  <c r="Z161" i="6"/>
  <c r="Z160" i="6"/>
  <c r="Z159" i="6"/>
  <c r="Z158" i="6"/>
  <c r="Z157" i="6"/>
  <c r="Z156" i="6"/>
  <c r="Z155" i="6"/>
  <c r="Z154" i="6"/>
  <c r="Z153" i="6"/>
  <c r="Z152" i="6"/>
  <c r="Z151" i="6"/>
  <c r="Z150" i="6"/>
  <c r="Z149" i="6"/>
  <c r="Z148" i="6"/>
  <c r="Z147" i="6"/>
  <c r="Z146" i="6"/>
  <c r="Z145" i="6"/>
  <c r="Z144" i="6"/>
  <c r="Z143" i="6"/>
  <c r="Z142" i="6"/>
  <c r="Z141" i="6"/>
  <c r="Z140" i="6"/>
  <c r="Z139" i="6"/>
  <c r="Z138" i="6"/>
  <c r="Z137" i="6"/>
  <c r="Z136" i="6"/>
  <c r="Z135" i="6"/>
  <c r="Z134" i="6"/>
  <c r="Z133" i="6"/>
  <c r="Z132" i="6"/>
  <c r="Z131" i="6"/>
  <c r="Z130" i="6"/>
  <c r="Z129" i="6"/>
  <c r="Z128" i="6"/>
  <c r="Z127" i="6"/>
  <c r="Z126" i="6"/>
  <c r="Z125" i="6"/>
  <c r="Z124" i="6"/>
  <c r="Z123" i="6"/>
  <c r="Z122" i="6"/>
  <c r="Z121" i="6"/>
  <c r="Z120" i="6"/>
  <c r="Z119" i="6"/>
  <c r="Z118" i="6"/>
  <c r="Z117" i="6"/>
  <c r="Z116" i="6"/>
  <c r="Z115" i="6"/>
  <c r="Z114" i="6"/>
  <c r="Z113" i="6"/>
  <c r="Z112" i="6"/>
  <c r="Z111" i="6"/>
  <c r="Z110" i="6"/>
  <c r="Z109" i="6"/>
  <c r="Z108" i="6"/>
  <c r="Z107" i="6"/>
  <c r="Z106" i="6"/>
  <c r="Z105" i="6"/>
  <c r="Z104" i="6"/>
  <c r="Z103" i="6"/>
  <c r="Z102" i="6"/>
  <c r="Z101" i="6"/>
  <c r="Z100" i="6"/>
  <c r="Z99" i="6"/>
  <c r="Z98" i="6"/>
  <c r="Z97" i="6"/>
  <c r="Z96" i="6"/>
  <c r="Z95" i="6"/>
  <c r="Z94" i="6"/>
  <c r="Z93" i="6"/>
  <c r="Z92" i="6"/>
  <c r="Z91" i="6"/>
  <c r="Z90" i="6"/>
  <c r="Z89" i="6"/>
  <c r="Z88" i="6"/>
  <c r="Z87" i="6"/>
  <c r="Z86" i="6"/>
  <c r="Z85" i="6"/>
  <c r="Z84" i="6"/>
  <c r="Z83" i="6"/>
  <c r="Z82" i="6"/>
  <c r="Z81" i="6"/>
  <c r="Z80" i="6"/>
  <c r="Z79" i="6"/>
  <c r="Z78" i="6"/>
  <c r="Z77" i="6"/>
  <c r="Z76" i="6"/>
  <c r="Z75" i="6"/>
  <c r="Z74" i="6"/>
  <c r="Z73" i="6"/>
  <c r="Z72" i="6"/>
  <c r="Z71" i="6"/>
  <c r="Z70" i="6"/>
  <c r="Z69" i="6"/>
  <c r="Z68" i="6"/>
  <c r="Z67" i="6"/>
  <c r="Z66" i="6"/>
  <c r="Z65" i="6"/>
  <c r="Z64" i="6"/>
  <c r="Z63" i="6"/>
  <c r="Z62" i="6"/>
  <c r="Z61" i="6"/>
  <c r="Z60" i="6"/>
  <c r="Z59" i="6"/>
  <c r="Z58" i="6"/>
  <c r="Z57" i="6"/>
  <c r="Z56" i="6"/>
  <c r="Z55" i="6"/>
  <c r="Z54" i="6"/>
  <c r="Z53" i="6"/>
  <c r="Z52" i="6"/>
  <c r="Z51" i="6"/>
  <c r="Z50" i="6"/>
  <c r="Z49" i="6"/>
  <c r="Z48" i="6"/>
  <c r="Z47" i="6"/>
  <c r="Z46" i="6"/>
  <c r="Z45" i="6"/>
  <c r="Z44" i="6"/>
  <c r="Z43" i="6"/>
  <c r="Z42" i="6"/>
  <c r="Z41" i="6"/>
  <c r="Z40" i="6"/>
  <c r="Z39" i="6"/>
  <c r="Z38" i="6"/>
  <c r="Z37" i="6"/>
  <c r="Z36" i="6"/>
  <c r="Z35" i="6"/>
  <c r="Z34" i="6"/>
  <c r="Z33" i="6"/>
  <c r="Z32" i="6"/>
  <c r="Z31" i="6"/>
  <c r="Z30" i="6"/>
  <c r="Z29" i="6"/>
  <c r="Z28" i="6"/>
  <c r="Z27" i="6"/>
  <c r="Z26" i="6"/>
  <c r="Z25" i="6"/>
  <c r="Z24" i="6"/>
  <c r="Z23" i="6"/>
  <c r="Z22" i="6"/>
  <c r="Z21" i="6"/>
  <c r="Z20" i="6"/>
  <c r="Z19" i="6"/>
  <c r="Z18" i="6"/>
  <c r="Z17" i="6"/>
  <c r="Z16" i="6"/>
  <c r="Z15" i="6"/>
  <c r="Z14" i="6"/>
  <c r="Z13" i="6"/>
  <c r="Z12" i="6"/>
  <c r="Z11" i="6"/>
  <c r="Z10" i="6"/>
  <c r="Z9" i="6"/>
  <c r="Z8" i="6"/>
  <c r="Z7" i="6"/>
  <c r="Z6" i="6"/>
  <c r="Z4" i="6"/>
  <c r="Y204" i="6"/>
  <c r="Y203" i="6"/>
  <c r="Y202" i="6"/>
  <c r="Y201" i="6"/>
  <c r="Y200" i="6"/>
  <c r="Y199" i="6"/>
  <c r="Y198" i="6"/>
  <c r="Y197" i="6"/>
  <c r="Y196" i="6"/>
  <c r="Y195" i="6"/>
  <c r="Y194" i="6"/>
  <c r="Y193" i="6"/>
  <c r="Y192" i="6"/>
  <c r="Y191" i="6"/>
  <c r="Y190" i="6"/>
  <c r="Y189" i="6"/>
  <c r="Y188" i="6"/>
  <c r="Y187" i="6"/>
  <c r="Y186" i="6"/>
  <c r="Y185" i="6"/>
  <c r="Y184" i="6"/>
  <c r="Y183" i="6"/>
  <c r="Y182" i="6"/>
  <c r="Y181" i="6"/>
  <c r="Y180" i="6"/>
  <c r="Y179" i="6"/>
  <c r="Y178" i="6"/>
  <c r="Y177" i="6"/>
  <c r="Y176" i="6"/>
  <c r="Y175" i="6"/>
  <c r="Y174" i="6"/>
  <c r="Y173" i="6"/>
  <c r="Y172" i="6"/>
  <c r="Y171" i="6"/>
  <c r="Y170" i="6"/>
  <c r="Y169" i="6"/>
  <c r="Y168" i="6"/>
  <c r="Y167" i="6"/>
  <c r="Y166" i="6"/>
  <c r="Y165" i="6"/>
  <c r="Y164" i="6"/>
  <c r="Y163" i="6"/>
  <c r="Y162" i="6"/>
  <c r="Y161" i="6"/>
  <c r="Y160" i="6"/>
  <c r="Y159" i="6"/>
  <c r="Y158" i="6"/>
  <c r="Y157" i="6"/>
  <c r="Y156" i="6"/>
  <c r="Y155" i="6"/>
  <c r="Y154" i="6"/>
  <c r="Y153" i="6"/>
  <c r="Y152" i="6"/>
  <c r="Y151" i="6"/>
  <c r="Y150" i="6"/>
  <c r="Y149" i="6"/>
  <c r="Y148" i="6"/>
  <c r="Y147" i="6"/>
  <c r="Y146" i="6"/>
  <c r="Y145" i="6"/>
  <c r="Y144" i="6"/>
  <c r="Y143" i="6"/>
  <c r="Y142" i="6"/>
  <c r="Y141" i="6"/>
  <c r="Y140" i="6"/>
  <c r="Y139" i="6"/>
  <c r="Y138" i="6"/>
  <c r="Y137" i="6"/>
  <c r="Y136" i="6"/>
  <c r="Y135" i="6"/>
  <c r="Y134" i="6"/>
  <c r="Y133" i="6"/>
  <c r="Y132" i="6"/>
  <c r="Y131" i="6"/>
  <c r="Y130" i="6"/>
  <c r="Y129" i="6"/>
  <c r="Y128" i="6"/>
  <c r="Y127" i="6"/>
  <c r="Y126" i="6"/>
  <c r="Y125" i="6"/>
  <c r="Y124" i="6"/>
  <c r="Y123" i="6"/>
  <c r="Y122" i="6"/>
  <c r="Y121" i="6"/>
  <c r="Y120" i="6"/>
  <c r="Y119" i="6"/>
  <c r="Y118" i="6"/>
  <c r="Y117" i="6"/>
  <c r="Y116" i="6"/>
  <c r="Y115" i="6"/>
  <c r="Y114" i="6"/>
  <c r="Y113" i="6"/>
  <c r="Y112" i="6"/>
  <c r="Y111" i="6"/>
  <c r="Y110" i="6"/>
  <c r="Y109" i="6"/>
  <c r="Y108" i="6"/>
  <c r="Y107" i="6"/>
  <c r="Y106" i="6"/>
  <c r="Y105" i="6"/>
  <c r="Y104" i="6"/>
  <c r="Y103" i="6"/>
  <c r="Y102" i="6"/>
  <c r="Y101" i="6"/>
  <c r="Y100" i="6"/>
  <c r="Y99" i="6"/>
  <c r="Y98" i="6"/>
  <c r="Y97" i="6"/>
  <c r="Y96" i="6"/>
  <c r="Y95" i="6"/>
  <c r="Y94" i="6"/>
  <c r="Y93" i="6"/>
  <c r="Y92" i="6"/>
  <c r="Y91" i="6"/>
  <c r="Y90" i="6"/>
  <c r="Y89" i="6"/>
  <c r="Y88" i="6"/>
  <c r="Y87" i="6"/>
  <c r="Y86" i="6"/>
  <c r="Y85" i="6"/>
  <c r="Y84" i="6"/>
  <c r="Y83" i="6"/>
  <c r="Y82" i="6"/>
  <c r="Y81" i="6"/>
  <c r="Y80" i="6"/>
  <c r="Y79" i="6"/>
  <c r="Y78" i="6"/>
  <c r="Y77" i="6"/>
  <c r="Y76" i="6"/>
  <c r="Y75" i="6"/>
  <c r="Y74" i="6"/>
  <c r="Y73" i="6"/>
  <c r="Y72" i="6"/>
  <c r="Y71" i="6"/>
  <c r="Y70" i="6"/>
  <c r="Y69" i="6"/>
  <c r="Y68" i="6"/>
  <c r="Y67" i="6"/>
  <c r="Y66" i="6"/>
  <c r="Y65" i="6"/>
  <c r="Y64" i="6"/>
  <c r="Y63" i="6"/>
  <c r="Y62" i="6"/>
  <c r="Y61" i="6"/>
  <c r="Y60" i="6"/>
  <c r="Y59" i="6"/>
  <c r="Y58" i="6"/>
  <c r="Y57" i="6"/>
  <c r="Y56" i="6"/>
  <c r="Y55" i="6"/>
  <c r="Y54" i="6"/>
  <c r="Y53" i="6"/>
  <c r="Y52" i="6"/>
  <c r="Y51" i="6"/>
  <c r="Y50" i="6"/>
  <c r="Y49" i="6"/>
  <c r="Y48" i="6"/>
  <c r="Y47" i="6"/>
  <c r="Y46" i="6"/>
  <c r="Y45" i="6"/>
  <c r="Y44" i="6"/>
  <c r="Y43" i="6"/>
  <c r="Y42" i="6"/>
  <c r="Y41" i="6"/>
  <c r="Y40" i="6"/>
  <c r="Y39" i="6"/>
  <c r="Y38" i="6"/>
  <c r="Y37" i="6"/>
  <c r="Y36" i="6"/>
  <c r="Y35" i="6"/>
  <c r="Y34" i="6"/>
  <c r="Y33" i="6"/>
  <c r="Y32" i="6"/>
  <c r="Y31" i="6"/>
  <c r="Y30" i="6"/>
  <c r="Y29" i="6"/>
  <c r="Y28" i="6"/>
  <c r="Y27" i="6"/>
  <c r="Y26" i="6"/>
  <c r="Y25" i="6"/>
  <c r="Y24" i="6"/>
  <c r="Y23" i="6"/>
  <c r="Y22" i="6"/>
  <c r="Y21" i="6"/>
  <c r="Y20" i="6"/>
  <c r="Y19" i="6"/>
  <c r="Y18" i="6"/>
  <c r="Y17" i="6"/>
  <c r="Y16" i="6"/>
  <c r="Y15" i="6"/>
  <c r="Y14" i="6"/>
  <c r="Y13" i="6"/>
  <c r="Y12" i="6"/>
  <c r="Y11" i="6"/>
  <c r="Y10" i="6"/>
  <c r="Y9" i="6"/>
  <c r="Y8" i="6"/>
  <c r="Y7" i="6"/>
  <c r="Y6" i="6"/>
  <c r="Y4" i="6"/>
  <c r="X204" i="6"/>
  <c r="X203" i="6"/>
  <c r="X202" i="6"/>
  <c r="X201" i="6"/>
  <c r="X200" i="6"/>
  <c r="X199" i="6"/>
  <c r="X198" i="6"/>
  <c r="X197" i="6"/>
  <c r="X196" i="6"/>
  <c r="X195" i="6"/>
  <c r="X194" i="6"/>
  <c r="X193" i="6"/>
  <c r="X192" i="6"/>
  <c r="X191" i="6"/>
  <c r="X190" i="6"/>
  <c r="X189" i="6"/>
  <c r="X188" i="6"/>
  <c r="X187" i="6"/>
  <c r="X186" i="6"/>
  <c r="X185" i="6"/>
  <c r="X184" i="6"/>
  <c r="X183" i="6"/>
  <c r="X182" i="6"/>
  <c r="X181" i="6"/>
  <c r="X180" i="6"/>
  <c r="X179" i="6"/>
  <c r="X178" i="6"/>
  <c r="X177" i="6"/>
  <c r="X176" i="6"/>
  <c r="X175" i="6"/>
  <c r="X174" i="6"/>
  <c r="X173" i="6"/>
  <c r="X172" i="6"/>
  <c r="X171" i="6"/>
  <c r="X170" i="6"/>
  <c r="X169" i="6"/>
  <c r="X168" i="6"/>
  <c r="X167" i="6"/>
  <c r="X166" i="6"/>
  <c r="X165" i="6"/>
  <c r="X164" i="6"/>
  <c r="X163" i="6"/>
  <c r="X162" i="6"/>
  <c r="X161" i="6"/>
  <c r="X160" i="6"/>
  <c r="X159" i="6"/>
  <c r="X158" i="6"/>
  <c r="X157" i="6"/>
  <c r="X156" i="6"/>
  <c r="X155" i="6"/>
  <c r="X154" i="6"/>
  <c r="X153" i="6"/>
  <c r="X152" i="6"/>
  <c r="X151" i="6"/>
  <c r="X150" i="6"/>
  <c r="X149" i="6"/>
  <c r="X148" i="6"/>
  <c r="X147" i="6"/>
  <c r="X146" i="6"/>
  <c r="X145" i="6"/>
  <c r="X144" i="6"/>
  <c r="X143" i="6"/>
  <c r="X142" i="6"/>
  <c r="X141" i="6"/>
  <c r="X140" i="6"/>
  <c r="X139" i="6"/>
  <c r="X138" i="6"/>
  <c r="X137" i="6"/>
  <c r="X136" i="6"/>
  <c r="X135" i="6"/>
  <c r="X134" i="6"/>
  <c r="X133" i="6"/>
  <c r="X132" i="6"/>
  <c r="X131" i="6"/>
  <c r="X130" i="6"/>
  <c r="X129" i="6"/>
  <c r="X128" i="6"/>
  <c r="X127" i="6"/>
  <c r="X126" i="6"/>
  <c r="X125" i="6"/>
  <c r="X124" i="6"/>
  <c r="X123" i="6"/>
  <c r="X122" i="6"/>
  <c r="X121" i="6"/>
  <c r="X120" i="6"/>
  <c r="X119" i="6"/>
  <c r="X118" i="6"/>
  <c r="X117" i="6"/>
  <c r="X116" i="6"/>
  <c r="X115" i="6"/>
  <c r="X114" i="6"/>
  <c r="X113" i="6"/>
  <c r="X112" i="6"/>
  <c r="X111" i="6"/>
  <c r="X110" i="6"/>
  <c r="X109" i="6"/>
  <c r="X108" i="6"/>
  <c r="X107" i="6"/>
  <c r="X106" i="6"/>
  <c r="X105" i="6"/>
  <c r="X104" i="6"/>
  <c r="X103" i="6"/>
  <c r="X102" i="6"/>
  <c r="X101" i="6"/>
  <c r="X100" i="6"/>
  <c r="X99" i="6"/>
  <c r="X98" i="6"/>
  <c r="X97" i="6"/>
  <c r="X96" i="6"/>
  <c r="X95" i="6"/>
  <c r="X94" i="6"/>
  <c r="X93" i="6"/>
  <c r="X92" i="6"/>
  <c r="X91" i="6"/>
  <c r="X90" i="6"/>
  <c r="X89" i="6"/>
  <c r="X88" i="6"/>
  <c r="X87" i="6"/>
  <c r="X86" i="6"/>
  <c r="X85" i="6"/>
  <c r="X84" i="6"/>
  <c r="X83" i="6"/>
  <c r="X82" i="6"/>
  <c r="X81" i="6"/>
  <c r="X80" i="6"/>
  <c r="X79" i="6"/>
  <c r="X78" i="6"/>
  <c r="X77" i="6"/>
  <c r="X76" i="6"/>
  <c r="X75" i="6"/>
  <c r="X74" i="6"/>
  <c r="X73" i="6"/>
  <c r="X72" i="6"/>
  <c r="X71" i="6"/>
  <c r="X70" i="6"/>
  <c r="X69" i="6"/>
  <c r="X68" i="6"/>
  <c r="X67" i="6"/>
  <c r="X66" i="6"/>
  <c r="X65" i="6"/>
  <c r="X64" i="6"/>
  <c r="X63" i="6"/>
  <c r="X62" i="6"/>
  <c r="X61" i="6"/>
  <c r="X60" i="6"/>
  <c r="X59" i="6"/>
  <c r="X58" i="6"/>
  <c r="X57" i="6"/>
  <c r="X56" i="6"/>
  <c r="X55" i="6"/>
  <c r="X54" i="6"/>
  <c r="X53" i="6"/>
  <c r="X52" i="6"/>
  <c r="X51" i="6"/>
  <c r="X50" i="6"/>
  <c r="X49" i="6"/>
  <c r="X48" i="6"/>
  <c r="X47" i="6"/>
  <c r="X46" i="6"/>
  <c r="X45" i="6"/>
  <c r="X44" i="6"/>
  <c r="X43" i="6"/>
  <c r="X42" i="6"/>
  <c r="X41" i="6"/>
  <c r="X40" i="6"/>
  <c r="X39" i="6"/>
  <c r="X38" i="6"/>
  <c r="X37" i="6"/>
  <c r="X36" i="6"/>
  <c r="X35" i="6"/>
  <c r="X34" i="6"/>
  <c r="X33" i="6"/>
  <c r="X32" i="6"/>
  <c r="X31" i="6"/>
  <c r="X30" i="6"/>
  <c r="X29" i="6"/>
  <c r="X28" i="6"/>
  <c r="X27" i="6"/>
  <c r="X26" i="6"/>
  <c r="X25" i="6"/>
  <c r="X24" i="6"/>
  <c r="X23" i="6"/>
  <c r="X22" i="6"/>
  <c r="X21" i="6"/>
  <c r="X20" i="6"/>
  <c r="X19" i="6"/>
  <c r="X18" i="6"/>
  <c r="X17" i="6"/>
  <c r="X16" i="6"/>
  <c r="X15" i="6"/>
  <c r="X14" i="6"/>
  <c r="X13" i="6"/>
  <c r="X12" i="6"/>
  <c r="X11" i="6"/>
  <c r="X10" i="6"/>
  <c r="X9" i="6"/>
  <c r="X8" i="6"/>
  <c r="X7" i="6"/>
  <c r="X6" i="6"/>
  <c r="X4" i="6"/>
  <c r="W124" i="6"/>
  <c r="W123" i="6"/>
  <c r="W122" i="6"/>
  <c r="W121" i="6"/>
  <c r="W120" i="6"/>
  <c r="W119" i="6"/>
  <c r="W118" i="6"/>
  <c r="W117" i="6"/>
  <c r="W116" i="6"/>
  <c r="W115" i="6"/>
  <c r="W114" i="6"/>
  <c r="W113" i="6"/>
  <c r="W112" i="6"/>
  <c r="W111" i="6"/>
  <c r="W110" i="6"/>
  <c r="W109" i="6"/>
  <c r="W108" i="6"/>
  <c r="W107" i="6"/>
  <c r="W106" i="6"/>
  <c r="W105" i="6"/>
  <c r="W104" i="6"/>
  <c r="W103" i="6"/>
  <c r="W102" i="6"/>
  <c r="W101" i="6"/>
  <c r="W100" i="6"/>
  <c r="W99" i="6"/>
  <c r="W98" i="6"/>
  <c r="W97" i="6"/>
  <c r="W96" i="6"/>
  <c r="W95" i="6"/>
  <c r="W94" i="6"/>
  <c r="W93" i="6"/>
  <c r="W92" i="6"/>
  <c r="W91" i="6"/>
  <c r="W90" i="6"/>
  <c r="W89" i="6"/>
  <c r="W88" i="6"/>
  <c r="W87" i="6"/>
  <c r="W86" i="6"/>
  <c r="W85" i="6"/>
  <c r="W84" i="6"/>
  <c r="W83" i="6"/>
  <c r="W82" i="6"/>
  <c r="W81" i="6"/>
  <c r="W80" i="6"/>
  <c r="W79" i="6"/>
  <c r="W78" i="6"/>
  <c r="W77" i="6"/>
  <c r="W76" i="6"/>
  <c r="W75" i="6"/>
  <c r="W74" i="6"/>
  <c r="W73" i="6"/>
  <c r="W72" i="6"/>
  <c r="W71" i="6"/>
  <c r="W70" i="6"/>
  <c r="W69" i="6"/>
  <c r="W68" i="6"/>
  <c r="W67" i="6"/>
  <c r="W66" i="6"/>
  <c r="W65" i="6"/>
  <c r="W64" i="6"/>
  <c r="W63" i="6"/>
  <c r="W62" i="6"/>
  <c r="W61" i="6"/>
  <c r="W60" i="6"/>
  <c r="W59" i="6"/>
  <c r="W58" i="6"/>
  <c r="W57" i="6"/>
  <c r="W56" i="6"/>
  <c r="W55" i="6"/>
  <c r="W54" i="6"/>
  <c r="W53" i="6"/>
  <c r="W52" i="6"/>
  <c r="W51" i="6"/>
  <c r="W50" i="6"/>
  <c r="W49" i="6"/>
  <c r="W48" i="6"/>
  <c r="W47" i="6"/>
  <c r="W46" i="6"/>
  <c r="W45" i="6"/>
  <c r="W44" i="6"/>
  <c r="W43" i="6"/>
  <c r="W42" i="6"/>
  <c r="W41" i="6"/>
  <c r="W40" i="6"/>
  <c r="W39" i="6"/>
  <c r="W38" i="6"/>
  <c r="W37" i="6"/>
  <c r="W36" i="6"/>
  <c r="W35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W6" i="6"/>
  <c r="W4" i="6"/>
  <c r="V204" i="6"/>
  <c r="V203" i="6"/>
  <c r="V202" i="6"/>
  <c r="V201" i="6"/>
  <c r="V200" i="6"/>
  <c r="V199" i="6"/>
  <c r="V198" i="6"/>
  <c r="V197" i="6"/>
  <c r="V196" i="6"/>
  <c r="V195" i="6"/>
  <c r="V194" i="6"/>
  <c r="V193" i="6"/>
  <c r="V192" i="6"/>
  <c r="V191" i="6"/>
  <c r="V190" i="6"/>
  <c r="V189" i="6"/>
  <c r="V188" i="6"/>
  <c r="V187" i="6"/>
  <c r="V186" i="6"/>
  <c r="V185" i="6"/>
  <c r="V184" i="6"/>
  <c r="V183" i="6"/>
  <c r="V182" i="6"/>
  <c r="V181" i="6"/>
  <c r="V180" i="6"/>
  <c r="V179" i="6"/>
  <c r="V178" i="6"/>
  <c r="V177" i="6"/>
  <c r="V176" i="6"/>
  <c r="V175" i="6"/>
  <c r="V174" i="6"/>
  <c r="V173" i="6"/>
  <c r="V172" i="6"/>
  <c r="V171" i="6"/>
  <c r="V170" i="6"/>
  <c r="V169" i="6"/>
  <c r="V168" i="6"/>
  <c r="V167" i="6"/>
  <c r="V166" i="6"/>
  <c r="V165" i="6"/>
  <c r="V164" i="6"/>
  <c r="V163" i="6"/>
  <c r="V162" i="6"/>
  <c r="V161" i="6"/>
  <c r="V160" i="6"/>
  <c r="V159" i="6"/>
  <c r="V158" i="6"/>
  <c r="V157" i="6"/>
  <c r="V156" i="6"/>
  <c r="V155" i="6"/>
  <c r="V154" i="6"/>
  <c r="V153" i="6"/>
  <c r="V152" i="6"/>
  <c r="V151" i="6"/>
  <c r="V150" i="6"/>
  <c r="V149" i="6"/>
  <c r="V148" i="6"/>
  <c r="V147" i="6"/>
  <c r="V146" i="6"/>
  <c r="V145" i="6"/>
  <c r="V144" i="6"/>
  <c r="V143" i="6"/>
  <c r="V142" i="6"/>
  <c r="V141" i="6"/>
  <c r="V140" i="6"/>
  <c r="V139" i="6"/>
  <c r="V138" i="6"/>
  <c r="V137" i="6"/>
  <c r="V136" i="6"/>
  <c r="V135" i="6"/>
  <c r="V134" i="6"/>
  <c r="V133" i="6"/>
  <c r="V132" i="6"/>
  <c r="V131" i="6"/>
  <c r="V130" i="6"/>
  <c r="V129" i="6"/>
  <c r="V128" i="6"/>
  <c r="V127" i="6"/>
  <c r="V126" i="6"/>
  <c r="V125" i="6"/>
  <c r="V124" i="6"/>
  <c r="V123" i="6"/>
  <c r="V122" i="6"/>
  <c r="V121" i="6"/>
  <c r="V120" i="6"/>
  <c r="V119" i="6"/>
  <c r="V118" i="6"/>
  <c r="V117" i="6"/>
  <c r="V116" i="6"/>
  <c r="V115" i="6"/>
  <c r="V114" i="6"/>
  <c r="V113" i="6"/>
  <c r="V112" i="6"/>
  <c r="V111" i="6"/>
  <c r="V110" i="6"/>
  <c r="V109" i="6"/>
  <c r="V108" i="6"/>
  <c r="V107" i="6"/>
  <c r="V106" i="6"/>
  <c r="V105" i="6"/>
  <c r="V104" i="6"/>
  <c r="V103" i="6"/>
  <c r="V102" i="6"/>
  <c r="V101" i="6"/>
  <c r="V100" i="6"/>
  <c r="V99" i="6"/>
  <c r="V98" i="6"/>
  <c r="V97" i="6"/>
  <c r="V96" i="6"/>
  <c r="V95" i="6"/>
  <c r="V94" i="6"/>
  <c r="V93" i="6"/>
  <c r="V92" i="6"/>
  <c r="V91" i="6"/>
  <c r="V90" i="6"/>
  <c r="V89" i="6"/>
  <c r="V88" i="6"/>
  <c r="V87" i="6"/>
  <c r="V86" i="6"/>
  <c r="V85" i="6"/>
  <c r="V84" i="6"/>
  <c r="V83" i="6"/>
  <c r="V82" i="6"/>
  <c r="V81" i="6"/>
  <c r="V80" i="6"/>
  <c r="V79" i="6"/>
  <c r="V78" i="6"/>
  <c r="V77" i="6"/>
  <c r="V76" i="6"/>
  <c r="V75" i="6"/>
  <c r="V74" i="6"/>
  <c r="V73" i="6"/>
  <c r="V72" i="6"/>
  <c r="V71" i="6"/>
  <c r="V70" i="6"/>
  <c r="V69" i="6"/>
  <c r="V68" i="6"/>
  <c r="V67" i="6"/>
  <c r="V66" i="6"/>
  <c r="V65" i="6"/>
  <c r="V64" i="6"/>
  <c r="V63" i="6"/>
  <c r="V62" i="6"/>
  <c r="V61" i="6"/>
  <c r="V60" i="6"/>
  <c r="V59" i="6"/>
  <c r="V58" i="6"/>
  <c r="V57" i="6"/>
  <c r="V56" i="6"/>
  <c r="V55" i="6"/>
  <c r="V54" i="6"/>
  <c r="V53" i="6"/>
  <c r="V52" i="6"/>
  <c r="V51" i="6"/>
  <c r="V50" i="6"/>
  <c r="V49" i="6"/>
  <c r="V48" i="6"/>
  <c r="V47" i="6"/>
  <c r="V46" i="6"/>
  <c r="V45" i="6"/>
  <c r="V44" i="6"/>
  <c r="V43" i="6"/>
  <c r="V42" i="6"/>
  <c r="V41" i="6"/>
  <c r="V40" i="6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V4" i="6"/>
  <c r="U204" i="6"/>
  <c r="U203" i="6"/>
  <c r="U202" i="6"/>
  <c r="U201" i="6"/>
  <c r="U200" i="6"/>
  <c r="U199" i="6"/>
  <c r="U198" i="6"/>
  <c r="U197" i="6"/>
  <c r="U196" i="6"/>
  <c r="U195" i="6"/>
  <c r="U194" i="6"/>
  <c r="U193" i="6"/>
  <c r="U192" i="6"/>
  <c r="U191" i="6"/>
  <c r="U190" i="6"/>
  <c r="U189" i="6"/>
  <c r="U188" i="6"/>
  <c r="U187" i="6"/>
  <c r="U186" i="6"/>
  <c r="U185" i="6"/>
  <c r="U184" i="6"/>
  <c r="U183" i="6"/>
  <c r="U182" i="6"/>
  <c r="U181" i="6"/>
  <c r="U180" i="6"/>
  <c r="U179" i="6"/>
  <c r="U178" i="6"/>
  <c r="U177" i="6"/>
  <c r="U176" i="6"/>
  <c r="U175" i="6"/>
  <c r="U174" i="6"/>
  <c r="U173" i="6"/>
  <c r="U172" i="6"/>
  <c r="U171" i="6"/>
  <c r="U170" i="6"/>
  <c r="U169" i="6"/>
  <c r="U168" i="6"/>
  <c r="U167" i="6"/>
  <c r="U166" i="6"/>
  <c r="U165" i="6"/>
  <c r="U164" i="6"/>
  <c r="U163" i="6"/>
  <c r="U162" i="6"/>
  <c r="U161" i="6"/>
  <c r="U160" i="6"/>
  <c r="U159" i="6"/>
  <c r="U158" i="6"/>
  <c r="U157" i="6"/>
  <c r="U156" i="6"/>
  <c r="U155" i="6"/>
  <c r="U154" i="6"/>
  <c r="U153" i="6"/>
  <c r="U152" i="6"/>
  <c r="U151" i="6"/>
  <c r="U150" i="6"/>
  <c r="U149" i="6"/>
  <c r="U148" i="6"/>
  <c r="U147" i="6"/>
  <c r="U146" i="6"/>
  <c r="U145" i="6"/>
  <c r="U144" i="6"/>
  <c r="U143" i="6"/>
  <c r="U142" i="6"/>
  <c r="U141" i="6"/>
  <c r="U140" i="6"/>
  <c r="U139" i="6"/>
  <c r="U138" i="6"/>
  <c r="U137" i="6"/>
  <c r="U136" i="6"/>
  <c r="U135" i="6"/>
  <c r="U134" i="6"/>
  <c r="U133" i="6"/>
  <c r="U132" i="6"/>
  <c r="U131" i="6"/>
  <c r="U130" i="6"/>
  <c r="U129" i="6"/>
  <c r="U128" i="6"/>
  <c r="U127" i="6"/>
  <c r="U126" i="6"/>
  <c r="U125" i="6"/>
  <c r="U124" i="6"/>
  <c r="U123" i="6"/>
  <c r="U122" i="6"/>
  <c r="U121" i="6"/>
  <c r="U120" i="6"/>
  <c r="U119" i="6"/>
  <c r="U118" i="6"/>
  <c r="U117" i="6"/>
  <c r="U116" i="6"/>
  <c r="U115" i="6"/>
  <c r="U114" i="6"/>
  <c r="U113" i="6"/>
  <c r="U112" i="6"/>
  <c r="U111" i="6"/>
  <c r="U110" i="6"/>
  <c r="U109" i="6"/>
  <c r="U108" i="6"/>
  <c r="U107" i="6"/>
  <c r="U106" i="6"/>
  <c r="U105" i="6"/>
  <c r="U104" i="6"/>
  <c r="U103" i="6"/>
  <c r="U102" i="6"/>
  <c r="U101" i="6"/>
  <c r="U100" i="6"/>
  <c r="U99" i="6"/>
  <c r="U98" i="6"/>
  <c r="U97" i="6"/>
  <c r="U96" i="6"/>
  <c r="U95" i="6"/>
  <c r="U94" i="6"/>
  <c r="U93" i="6"/>
  <c r="U92" i="6"/>
  <c r="U91" i="6"/>
  <c r="U90" i="6"/>
  <c r="U89" i="6"/>
  <c r="U88" i="6"/>
  <c r="U87" i="6"/>
  <c r="U86" i="6"/>
  <c r="U85" i="6"/>
  <c r="U84" i="6"/>
  <c r="U83" i="6"/>
  <c r="U82" i="6"/>
  <c r="U81" i="6"/>
  <c r="U80" i="6"/>
  <c r="U79" i="6"/>
  <c r="U78" i="6"/>
  <c r="U77" i="6"/>
  <c r="U76" i="6"/>
  <c r="U75" i="6"/>
  <c r="U74" i="6"/>
  <c r="U73" i="6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T204" i="6"/>
  <c r="T203" i="6"/>
  <c r="T202" i="6"/>
  <c r="T201" i="6"/>
  <c r="T200" i="6"/>
  <c r="T199" i="6"/>
  <c r="T198" i="6"/>
  <c r="T197" i="6"/>
  <c r="T196" i="6"/>
  <c r="T195" i="6"/>
  <c r="T194" i="6"/>
  <c r="T193" i="6"/>
  <c r="T192" i="6"/>
  <c r="T191" i="6"/>
  <c r="T190" i="6"/>
  <c r="T189" i="6"/>
  <c r="T188" i="6"/>
  <c r="T187" i="6"/>
  <c r="T186" i="6"/>
  <c r="T185" i="6"/>
  <c r="T184" i="6"/>
  <c r="T183" i="6"/>
  <c r="T182" i="6"/>
  <c r="T181" i="6"/>
  <c r="T180" i="6"/>
  <c r="T179" i="6"/>
  <c r="T178" i="6"/>
  <c r="T177" i="6"/>
  <c r="T176" i="6"/>
  <c r="T175" i="6"/>
  <c r="T174" i="6"/>
  <c r="T173" i="6"/>
  <c r="T172" i="6"/>
  <c r="T171" i="6"/>
  <c r="T170" i="6"/>
  <c r="T169" i="6"/>
  <c r="T168" i="6"/>
  <c r="T167" i="6"/>
  <c r="T166" i="6"/>
  <c r="T165" i="6"/>
  <c r="T164" i="6"/>
  <c r="T163" i="6"/>
  <c r="T162" i="6"/>
  <c r="T161" i="6"/>
  <c r="T160" i="6"/>
  <c r="T159" i="6"/>
  <c r="T158" i="6"/>
  <c r="T157" i="6"/>
  <c r="T156" i="6"/>
  <c r="T155" i="6"/>
  <c r="T154" i="6"/>
  <c r="T153" i="6"/>
  <c r="T152" i="6"/>
  <c r="T151" i="6"/>
  <c r="T150" i="6"/>
  <c r="T149" i="6"/>
  <c r="T148" i="6"/>
  <c r="T147" i="6"/>
  <c r="T146" i="6"/>
  <c r="T145" i="6"/>
  <c r="T144" i="6"/>
  <c r="T143" i="6"/>
  <c r="T142" i="6"/>
  <c r="T141" i="6"/>
  <c r="T140" i="6"/>
  <c r="T139" i="6"/>
  <c r="T138" i="6"/>
  <c r="T137" i="6"/>
  <c r="T136" i="6"/>
  <c r="T135" i="6"/>
  <c r="T134" i="6"/>
  <c r="T133" i="6"/>
  <c r="T132" i="6"/>
  <c r="T131" i="6"/>
  <c r="T130" i="6"/>
  <c r="T129" i="6"/>
  <c r="T128" i="6"/>
  <c r="T127" i="6"/>
  <c r="T126" i="6"/>
  <c r="T125" i="6"/>
  <c r="T124" i="6"/>
  <c r="T123" i="6"/>
  <c r="T122" i="6"/>
  <c r="T121" i="6"/>
  <c r="T120" i="6"/>
  <c r="T119" i="6"/>
  <c r="T118" i="6"/>
  <c r="T117" i="6"/>
  <c r="T116" i="6"/>
  <c r="T115" i="6"/>
  <c r="T114" i="6"/>
  <c r="T113" i="6"/>
  <c r="T112" i="6"/>
  <c r="T111" i="6"/>
  <c r="T110" i="6"/>
  <c r="T109" i="6"/>
  <c r="T108" i="6"/>
  <c r="T107" i="6"/>
  <c r="T106" i="6"/>
  <c r="T105" i="6"/>
  <c r="T104" i="6"/>
  <c r="T103" i="6"/>
  <c r="T102" i="6"/>
  <c r="T101" i="6"/>
  <c r="T100" i="6"/>
  <c r="T99" i="6"/>
  <c r="T98" i="6"/>
  <c r="T97" i="6"/>
  <c r="T96" i="6"/>
  <c r="T95" i="6"/>
  <c r="T94" i="6"/>
  <c r="T93" i="6"/>
  <c r="T92" i="6"/>
  <c r="T91" i="6"/>
  <c r="T90" i="6"/>
  <c r="T89" i="6"/>
  <c r="T88" i="6"/>
  <c r="T87" i="6"/>
  <c r="T86" i="6"/>
  <c r="T85" i="6"/>
  <c r="T84" i="6"/>
  <c r="T83" i="6"/>
  <c r="T82" i="6"/>
  <c r="T81" i="6"/>
  <c r="T80" i="6"/>
  <c r="T79" i="6"/>
  <c r="T78" i="6"/>
  <c r="T77" i="6"/>
  <c r="T76" i="6"/>
  <c r="T75" i="6"/>
  <c r="T74" i="6"/>
  <c r="T73" i="6"/>
  <c r="T72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4" i="6"/>
  <c r="R204" i="6"/>
  <c r="R203" i="6"/>
  <c r="R202" i="6"/>
  <c r="R201" i="6"/>
  <c r="R200" i="6"/>
  <c r="R199" i="6"/>
  <c r="R198" i="6"/>
  <c r="R197" i="6"/>
  <c r="R196" i="6"/>
  <c r="R195" i="6"/>
  <c r="R194" i="6"/>
  <c r="R193" i="6"/>
  <c r="R192" i="6"/>
  <c r="R191" i="6"/>
  <c r="R190" i="6"/>
  <c r="R189" i="6"/>
  <c r="R188" i="6"/>
  <c r="R187" i="6"/>
  <c r="R186" i="6"/>
  <c r="R185" i="6"/>
  <c r="R184" i="6"/>
  <c r="R183" i="6"/>
  <c r="R182" i="6"/>
  <c r="R181" i="6"/>
  <c r="R180" i="6"/>
  <c r="R179" i="6"/>
  <c r="R178" i="6"/>
  <c r="R177" i="6"/>
  <c r="R176" i="6"/>
  <c r="R175" i="6"/>
  <c r="R174" i="6"/>
  <c r="R173" i="6"/>
  <c r="R172" i="6"/>
  <c r="R171" i="6"/>
  <c r="R170" i="6"/>
  <c r="R169" i="6"/>
  <c r="R168" i="6"/>
  <c r="R167" i="6"/>
  <c r="R166" i="6"/>
  <c r="R165" i="6"/>
  <c r="R164" i="6"/>
  <c r="R163" i="6"/>
  <c r="R162" i="6"/>
  <c r="R161" i="6"/>
  <c r="R160" i="6"/>
  <c r="R159" i="6"/>
  <c r="R158" i="6"/>
  <c r="R157" i="6"/>
  <c r="R156" i="6"/>
  <c r="R155" i="6"/>
  <c r="R154" i="6"/>
  <c r="R153" i="6"/>
  <c r="R152" i="6"/>
  <c r="R151" i="6"/>
  <c r="R150" i="6"/>
  <c r="R149" i="6"/>
  <c r="R148" i="6"/>
  <c r="R147" i="6"/>
  <c r="R146" i="6"/>
  <c r="R145" i="6"/>
  <c r="R144" i="6"/>
  <c r="R143" i="6"/>
  <c r="R142" i="6"/>
  <c r="R141" i="6"/>
  <c r="R140" i="6"/>
  <c r="R139" i="6"/>
  <c r="R138" i="6"/>
  <c r="R137" i="6"/>
  <c r="R136" i="6"/>
  <c r="R135" i="6"/>
  <c r="R134" i="6"/>
  <c r="R133" i="6"/>
  <c r="R132" i="6"/>
  <c r="R131" i="6"/>
  <c r="R130" i="6"/>
  <c r="R129" i="6"/>
  <c r="R128" i="6"/>
  <c r="R127" i="6"/>
  <c r="R126" i="6"/>
  <c r="R125" i="6"/>
  <c r="R124" i="6"/>
  <c r="R123" i="6"/>
  <c r="R122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R109" i="6"/>
  <c r="R108" i="6"/>
  <c r="R107" i="6"/>
  <c r="R106" i="6"/>
  <c r="R105" i="6"/>
  <c r="R104" i="6"/>
  <c r="R103" i="6"/>
  <c r="R102" i="6"/>
  <c r="R101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R85" i="6"/>
  <c r="R84" i="6"/>
  <c r="R83" i="6"/>
  <c r="R82" i="6"/>
  <c r="R81" i="6"/>
  <c r="R80" i="6"/>
  <c r="R79" i="6"/>
  <c r="R78" i="6"/>
  <c r="R77" i="6"/>
  <c r="R76" i="6"/>
  <c r="R75" i="6"/>
  <c r="R74" i="6"/>
  <c r="R73" i="6"/>
  <c r="R72" i="6"/>
  <c r="R71" i="6"/>
  <c r="R70" i="6"/>
  <c r="R69" i="6"/>
  <c r="R68" i="6"/>
  <c r="R67" i="6"/>
  <c r="R66" i="6"/>
  <c r="R65" i="6"/>
  <c r="R64" i="6"/>
  <c r="R63" i="6"/>
  <c r="R62" i="6"/>
  <c r="R61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4" i="6"/>
  <c r="Q204" i="6"/>
  <c r="Q203" i="6"/>
  <c r="Q202" i="6"/>
  <c r="Q201" i="6"/>
  <c r="Q200" i="6"/>
  <c r="Q199" i="6"/>
  <c r="Q198" i="6"/>
  <c r="Q197" i="6"/>
  <c r="Q196" i="6"/>
  <c r="Q195" i="6"/>
  <c r="Q194" i="6"/>
  <c r="Q193" i="6"/>
  <c r="Q192" i="6"/>
  <c r="Q191" i="6"/>
  <c r="Q190" i="6"/>
  <c r="Q189" i="6"/>
  <c r="Q188" i="6"/>
  <c r="Q187" i="6"/>
  <c r="Q186" i="6"/>
  <c r="Q185" i="6"/>
  <c r="Q184" i="6"/>
  <c r="Q183" i="6"/>
  <c r="Q182" i="6"/>
  <c r="Q181" i="6"/>
  <c r="Q180" i="6"/>
  <c r="Q179" i="6"/>
  <c r="Q178" i="6"/>
  <c r="Q177" i="6"/>
  <c r="Q176" i="6"/>
  <c r="Q175" i="6"/>
  <c r="Q174" i="6"/>
  <c r="Q173" i="6"/>
  <c r="Q172" i="6"/>
  <c r="Q171" i="6"/>
  <c r="Q170" i="6"/>
  <c r="Q169" i="6"/>
  <c r="Q168" i="6"/>
  <c r="Q167" i="6"/>
  <c r="Q166" i="6"/>
  <c r="Q165" i="6"/>
  <c r="Q164" i="6"/>
  <c r="Q163" i="6"/>
  <c r="Q162" i="6"/>
  <c r="Q161" i="6"/>
  <c r="Q160" i="6"/>
  <c r="Q159" i="6"/>
  <c r="Q158" i="6"/>
  <c r="Q157" i="6"/>
  <c r="Q156" i="6"/>
  <c r="Q155" i="6"/>
  <c r="Q154" i="6"/>
  <c r="Q153" i="6"/>
  <c r="Q152" i="6"/>
  <c r="Q151" i="6"/>
  <c r="Q150" i="6"/>
  <c r="Q149" i="6"/>
  <c r="Q148" i="6"/>
  <c r="Q147" i="6"/>
  <c r="Q146" i="6"/>
  <c r="Q145" i="6"/>
  <c r="Q144" i="6"/>
  <c r="Q143" i="6"/>
  <c r="Q142" i="6"/>
  <c r="Q141" i="6"/>
  <c r="Q140" i="6"/>
  <c r="Q139" i="6"/>
  <c r="Q138" i="6"/>
  <c r="Q137" i="6"/>
  <c r="Q136" i="6"/>
  <c r="Q135" i="6"/>
  <c r="Q134" i="6"/>
  <c r="Q133" i="6"/>
  <c r="Q132" i="6"/>
  <c r="Q131" i="6"/>
  <c r="Q130" i="6"/>
  <c r="Q129" i="6"/>
  <c r="Q128" i="6"/>
  <c r="Q127" i="6"/>
  <c r="Q126" i="6"/>
  <c r="Q125" i="6"/>
  <c r="Q124" i="6"/>
  <c r="Q123" i="6"/>
  <c r="Q122" i="6"/>
  <c r="Q121" i="6"/>
  <c r="Q120" i="6"/>
  <c r="Q119" i="6"/>
  <c r="Q118" i="6"/>
  <c r="Q117" i="6"/>
  <c r="Q116" i="6"/>
  <c r="Q115" i="6"/>
  <c r="Q114" i="6"/>
  <c r="Q113" i="6"/>
  <c r="Q112" i="6"/>
  <c r="Q111" i="6"/>
  <c r="Q110" i="6"/>
  <c r="Q109" i="6"/>
  <c r="Q108" i="6"/>
  <c r="Q107" i="6"/>
  <c r="Q106" i="6"/>
  <c r="Q105" i="6"/>
  <c r="Q104" i="6"/>
  <c r="Q103" i="6"/>
  <c r="Q102" i="6"/>
  <c r="Q101" i="6"/>
  <c r="Q100" i="6"/>
  <c r="Q99" i="6"/>
  <c r="Q98" i="6"/>
  <c r="Q97" i="6"/>
  <c r="Q96" i="6"/>
  <c r="Q95" i="6"/>
  <c r="Q94" i="6"/>
  <c r="Q93" i="6"/>
  <c r="Q92" i="6"/>
  <c r="Q91" i="6"/>
  <c r="Q90" i="6"/>
  <c r="Q89" i="6"/>
  <c r="Q88" i="6"/>
  <c r="Q87" i="6"/>
  <c r="Q86" i="6"/>
  <c r="Q85" i="6"/>
  <c r="Q84" i="6"/>
  <c r="Q83" i="6"/>
  <c r="Q82" i="6"/>
  <c r="Q81" i="6"/>
  <c r="Q80" i="6"/>
  <c r="Q79" i="6"/>
  <c r="Q78" i="6"/>
  <c r="Q77" i="6"/>
  <c r="Q76" i="6"/>
  <c r="Q75" i="6"/>
  <c r="Q74" i="6"/>
  <c r="Q73" i="6"/>
  <c r="Q72" i="6"/>
  <c r="Q71" i="6"/>
  <c r="Q70" i="6"/>
  <c r="Q69" i="6"/>
  <c r="Q68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4" i="6"/>
  <c r="P204" i="6"/>
  <c r="P203" i="6"/>
  <c r="P202" i="6"/>
  <c r="P201" i="6"/>
  <c r="P200" i="6"/>
  <c r="P199" i="6"/>
  <c r="P198" i="6"/>
  <c r="P197" i="6"/>
  <c r="P196" i="6"/>
  <c r="P195" i="6"/>
  <c r="P194" i="6"/>
  <c r="P193" i="6"/>
  <c r="P192" i="6"/>
  <c r="P191" i="6"/>
  <c r="P190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52" i="6"/>
  <c r="P151" i="6"/>
  <c r="P150" i="6"/>
  <c r="P149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4" i="6"/>
  <c r="AI304" i="5"/>
  <c r="AI303" i="5"/>
  <c r="AI302" i="5"/>
  <c r="AI301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I44" i="5"/>
  <c r="AI43" i="5"/>
  <c r="AI42" i="5"/>
  <c r="AI41" i="5"/>
  <c r="AI40" i="5"/>
  <c r="AI39" i="5"/>
  <c r="AI38" i="5"/>
  <c r="AI37" i="5"/>
  <c r="AI36" i="5"/>
  <c r="AI35" i="5"/>
  <c r="AI34" i="5"/>
  <c r="AI33" i="5"/>
  <c r="AI32" i="5"/>
  <c r="AI31" i="5"/>
  <c r="AI30" i="5"/>
  <c r="AI29" i="5"/>
  <c r="AI28" i="5"/>
  <c r="AI27" i="5"/>
  <c r="AI26" i="5"/>
  <c r="AI25" i="5"/>
  <c r="AI24" i="5"/>
  <c r="AI23" i="5"/>
  <c r="AI22" i="5"/>
  <c r="AI21" i="5"/>
  <c r="AI20" i="5"/>
  <c r="AI19" i="5"/>
  <c r="AI18" i="5"/>
  <c r="AI17" i="5"/>
  <c r="AI16" i="5"/>
  <c r="AI15" i="5"/>
  <c r="AI14" i="5"/>
  <c r="AI13" i="5"/>
  <c r="AI12" i="5"/>
  <c r="AI11" i="5"/>
  <c r="AI10" i="5"/>
  <c r="AI9" i="5"/>
  <c r="AI8" i="5"/>
  <c r="AI7" i="5"/>
  <c r="AI6" i="5"/>
  <c r="AI5" i="5"/>
  <c r="AI4" i="5"/>
  <c r="AH304" i="5"/>
  <c r="AH303" i="5"/>
  <c r="AH302" i="5"/>
  <c r="AH301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H44" i="5"/>
  <c r="AH43" i="5"/>
  <c r="AH42" i="5"/>
  <c r="AH41" i="5"/>
  <c r="AH40" i="5"/>
  <c r="AH39" i="5"/>
  <c r="AH38" i="5"/>
  <c r="AH37" i="5"/>
  <c r="AH36" i="5"/>
  <c r="AH35" i="5"/>
  <c r="AH34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H8" i="5"/>
  <c r="AH7" i="5"/>
  <c r="AH6" i="5"/>
  <c r="AH5" i="5"/>
  <c r="AH4" i="5"/>
  <c r="AG304" i="5"/>
  <c r="AG303" i="5"/>
  <c r="AG302" i="5"/>
  <c r="AG301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AG44" i="5"/>
  <c r="AG43" i="5"/>
  <c r="AG42" i="5"/>
  <c r="AG41" i="5"/>
  <c r="AG40" i="5"/>
  <c r="AG39" i="5"/>
  <c r="AG38" i="5"/>
  <c r="AG37" i="5"/>
  <c r="AG36" i="5"/>
  <c r="AG35" i="5"/>
  <c r="AG34" i="5"/>
  <c r="AG33" i="5"/>
  <c r="AG32" i="5"/>
  <c r="AG31" i="5"/>
  <c r="AG30" i="5"/>
  <c r="AG29" i="5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G8" i="5"/>
  <c r="AG7" i="5"/>
  <c r="AG6" i="5"/>
  <c r="AG5" i="5"/>
  <c r="AF304" i="5"/>
  <c r="AF303" i="5"/>
  <c r="AF302" i="5"/>
  <c r="AF301" i="5"/>
  <c r="AF300" i="5"/>
  <c r="AF299" i="5"/>
  <c r="AF298" i="5"/>
  <c r="AF297" i="5"/>
  <c r="AF296" i="5"/>
  <c r="AF295" i="5"/>
  <c r="AF294" i="5"/>
  <c r="AF293" i="5"/>
  <c r="AF292" i="5"/>
  <c r="AF291" i="5"/>
  <c r="AF290" i="5"/>
  <c r="AF289" i="5"/>
  <c r="AF288" i="5"/>
  <c r="AF287" i="5"/>
  <c r="AF286" i="5"/>
  <c r="AF285" i="5"/>
  <c r="AF284" i="5"/>
  <c r="AF283" i="5"/>
  <c r="AF282" i="5"/>
  <c r="AF281" i="5"/>
  <c r="AF280" i="5"/>
  <c r="AF279" i="5"/>
  <c r="AF278" i="5"/>
  <c r="AF277" i="5"/>
  <c r="AF276" i="5"/>
  <c r="AF275" i="5"/>
  <c r="AF274" i="5"/>
  <c r="AF273" i="5"/>
  <c r="AF272" i="5"/>
  <c r="AF271" i="5"/>
  <c r="AF270" i="5"/>
  <c r="AF269" i="5"/>
  <c r="AF268" i="5"/>
  <c r="AF267" i="5"/>
  <c r="AF266" i="5"/>
  <c r="AF265" i="5"/>
  <c r="AF264" i="5"/>
  <c r="AF263" i="5"/>
  <c r="AF262" i="5"/>
  <c r="AF261" i="5"/>
  <c r="AF260" i="5"/>
  <c r="AF259" i="5"/>
  <c r="AF258" i="5"/>
  <c r="AF257" i="5"/>
  <c r="AF256" i="5"/>
  <c r="AF255" i="5"/>
  <c r="AF254" i="5"/>
  <c r="AF253" i="5"/>
  <c r="AF252" i="5"/>
  <c r="AF251" i="5"/>
  <c r="AF250" i="5"/>
  <c r="AF249" i="5"/>
  <c r="AF248" i="5"/>
  <c r="AF247" i="5"/>
  <c r="AF246" i="5"/>
  <c r="AF245" i="5"/>
  <c r="AF244" i="5"/>
  <c r="AF243" i="5"/>
  <c r="AF242" i="5"/>
  <c r="AF241" i="5"/>
  <c r="AF240" i="5"/>
  <c r="AF239" i="5"/>
  <c r="AF238" i="5"/>
  <c r="AF237" i="5"/>
  <c r="AF236" i="5"/>
  <c r="AF235" i="5"/>
  <c r="AF234" i="5"/>
  <c r="AF233" i="5"/>
  <c r="AF232" i="5"/>
  <c r="AF231" i="5"/>
  <c r="AF230" i="5"/>
  <c r="AF229" i="5"/>
  <c r="AF228" i="5"/>
  <c r="AF227" i="5"/>
  <c r="AF226" i="5"/>
  <c r="AF225" i="5"/>
  <c r="AF224" i="5"/>
  <c r="AF223" i="5"/>
  <c r="AF222" i="5"/>
  <c r="AF221" i="5"/>
  <c r="AF220" i="5"/>
  <c r="AF219" i="5"/>
  <c r="AF218" i="5"/>
  <c r="AF217" i="5"/>
  <c r="AF216" i="5"/>
  <c r="AF215" i="5"/>
  <c r="AF214" i="5"/>
  <c r="AF213" i="5"/>
  <c r="AF212" i="5"/>
  <c r="AF211" i="5"/>
  <c r="AF210" i="5"/>
  <c r="AF209" i="5"/>
  <c r="AF208" i="5"/>
  <c r="AF207" i="5"/>
  <c r="AF206" i="5"/>
  <c r="AF205" i="5"/>
  <c r="AF204" i="5"/>
  <c r="AF203" i="5"/>
  <c r="AF202" i="5"/>
  <c r="AF201" i="5"/>
  <c r="AF200" i="5"/>
  <c r="AF199" i="5"/>
  <c r="AF198" i="5"/>
  <c r="AF197" i="5"/>
  <c r="AF196" i="5"/>
  <c r="AF195" i="5"/>
  <c r="AF194" i="5"/>
  <c r="AF193" i="5"/>
  <c r="AF192" i="5"/>
  <c r="AF191" i="5"/>
  <c r="AF190" i="5"/>
  <c r="AF189" i="5"/>
  <c r="AF188" i="5"/>
  <c r="AF187" i="5"/>
  <c r="AF186" i="5"/>
  <c r="AF185" i="5"/>
  <c r="AF184" i="5"/>
  <c r="AF183" i="5"/>
  <c r="AF182" i="5"/>
  <c r="AF181" i="5"/>
  <c r="AF180" i="5"/>
  <c r="AF179" i="5"/>
  <c r="AF178" i="5"/>
  <c r="AF177" i="5"/>
  <c r="AF176" i="5"/>
  <c r="AF175" i="5"/>
  <c r="AF174" i="5"/>
  <c r="AF173" i="5"/>
  <c r="AF172" i="5"/>
  <c r="AF171" i="5"/>
  <c r="AF170" i="5"/>
  <c r="AF169" i="5"/>
  <c r="AF168" i="5"/>
  <c r="AF167" i="5"/>
  <c r="AF166" i="5"/>
  <c r="AF165" i="5"/>
  <c r="AF164" i="5"/>
  <c r="AF163" i="5"/>
  <c r="AF162" i="5"/>
  <c r="AF161" i="5"/>
  <c r="AF160" i="5"/>
  <c r="AF159" i="5"/>
  <c r="AF158" i="5"/>
  <c r="AF157" i="5"/>
  <c r="AF156" i="5"/>
  <c r="AF155" i="5"/>
  <c r="AF154" i="5"/>
  <c r="AF153" i="5"/>
  <c r="AF152" i="5"/>
  <c r="AF151" i="5"/>
  <c r="AF150" i="5"/>
  <c r="AF149" i="5"/>
  <c r="AF148" i="5"/>
  <c r="AF147" i="5"/>
  <c r="AF146" i="5"/>
  <c r="AF145" i="5"/>
  <c r="AF144" i="5"/>
  <c r="AF143" i="5"/>
  <c r="AF142" i="5"/>
  <c r="AF141" i="5"/>
  <c r="AF140" i="5"/>
  <c r="AF139" i="5"/>
  <c r="AF138" i="5"/>
  <c r="AF137" i="5"/>
  <c r="AF136" i="5"/>
  <c r="AF135" i="5"/>
  <c r="AF134" i="5"/>
  <c r="AF133" i="5"/>
  <c r="AF132" i="5"/>
  <c r="AF131" i="5"/>
  <c r="AF130" i="5"/>
  <c r="AF129" i="5"/>
  <c r="AF128" i="5"/>
  <c r="AF127" i="5"/>
  <c r="AF126" i="5"/>
  <c r="AF125" i="5"/>
  <c r="AF124" i="5"/>
  <c r="AF123" i="5"/>
  <c r="AF122" i="5"/>
  <c r="AF121" i="5"/>
  <c r="AF120" i="5"/>
  <c r="AF119" i="5"/>
  <c r="AF118" i="5"/>
  <c r="AF117" i="5"/>
  <c r="AF116" i="5"/>
  <c r="AF115" i="5"/>
  <c r="AF114" i="5"/>
  <c r="AF113" i="5"/>
  <c r="AF112" i="5"/>
  <c r="AF111" i="5"/>
  <c r="AF110" i="5"/>
  <c r="AF109" i="5"/>
  <c r="AF108" i="5"/>
  <c r="AF107" i="5"/>
  <c r="AF106" i="5"/>
  <c r="AF105" i="5"/>
  <c r="AF104" i="5"/>
  <c r="AF103" i="5"/>
  <c r="AF102" i="5"/>
  <c r="AF101" i="5"/>
  <c r="AF100" i="5"/>
  <c r="AF99" i="5"/>
  <c r="AF98" i="5"/>
  <c r="AF97" i="5"/>
  <c r="AF96" i="5"/>
  <c r="AF95" i="5"/>
  <c r="AF94" i="5"/>
  <c r="AF93" i="5"/>
  <c r="AF92" i="5"/>
  <c r="AF91" i="5"/>
  <c r="AF90" i="5"/>
  <c r="AF89" i="5"/>
  <c r="AF88" i="5"/>
  <c r="AF87" i="5"/>
  <c r="AF86" i="5"/>
  <c r="AF85" i="5"/>
  <c r="AF84" i="5"/>
  <c r="AF83" i="5"/>
  <c r="AF82" i="5"/>
  <c r="AF81" i="5"/>
  <c r="AF80" i="5"/>
  <c r="AF79" i="5"/>
  <c r="AF78" i="5"/>
  <c r="AF77" i="5"/>
  <c r="AF76" i="5"/>
  <c r="AF75" i="5"/>
  <c r="AF74" i="5"/>
  <c r="AF73" i="5"/>
  <c r="AF72" i="5"/>
  <c r="AF71" i="5"/>
  <c r="AF70" i="5"/>
  <c r="AF69" i="5"/>
  <c r="AF68" i="5"/>
  <c r="AF67" i="5"/>
  <c r="AF66" i="5"/>
  <c r="AF65" i="5"/>
  <c r="AF64" i="5"/>
  <c r="AF63" i="5"/>
  <c r="AF62" i="5"/>
  <c r="AF61" i="5"/>
  <c r="AF60" i="5"/>
  <c r="AF59" i="5"/>
  <c r="AF58" i="5"/>
  <c r="AF57" i="5"/>
  <c r="AF56" i="5"/>
  <c r="AF55" i="5"/>
  <c r="AF54" i="5"/>
  <c r="AF53" i="5"/>
  <c r="AF52" i="5"/>
  <c r="AF51" i="5"/>
  <c r="AF50" i="5"/>
  <c r="AF49" i="5"/>
  <c r="AF48" i="5"/>
  <c r="AF47" i="5"/>
  <c r="AF46" i="5"/>
  <c r="AF45" i="5"/>
  <c r="AF44" i="5"/>
  <c r="AF43" i="5"/>
  <c r="AF42" i="5"/>
  <c r="AF41" i="5"/>
  <c r="AF40" i="5"/>
  <c r="AF39" i="5"/>
  <c r="AF38" i="5"/>
  <c r="AF37" i="5"/>
  <c r="AF36" i="5"/>
  <c r="AF35" i="5"/>
  <c r="AF34" i="5"/>
  <c r="AF33" i="5"/>
  <c r="AF32" i="5"/>
  <c r="AF31" i="5"/>
  <c r="AF30" i="5"/>
  <c r="AF29" i="5"/>
  <c r="AF28" i="5"/>
  <c r="AF27" i="5"/>
  <c r="AF26" i="5"/>
  <c r="AF25" i="5"/>
  <c r="AF24" i="5"/>
  <c r="AF23" i="5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4" i="5"/>
  <c r="AE304" i="5"/>
  <c r="AE303" i="5"/>
  <c r="AE302" i="5"/>
  <c r="AE301" i="5"/>
  <c r="AE300" i="5"/>
  <c r="AE299" i="5"/>
  <c r="AE298" i="5"/>
  <c r="AE297" i="5"/>
  <c r="AE296" i="5"/>
  <c r="AE295" i="5"/>
  <c r="AE294" i="5"/>
  <c r="AE293" i="5"/>
  <c r="AE292" i="5"/>
  <c r="AE291" i="5"/>
  <c r="AE290" i="5"/>
  <c r="AE289" i="5"/>
  <c r="AE288" i="5"/>
  <c r="AE287" i="5"/>
  <c r="AE286" i="5"/>
  <c r="AE285" i="5"/>
  <c r="AE284" i="5"/>
  <c r="AE283" i="5"/>
  <c r="AE282" i="5"/>
  <c r="AE281" i="5"/>
  <c r="AE280" i="5"/>
  <c r="AE279" i="5"/>
  <c r="AE278" i="5"/>
  <c r="AE277" i="5"/>
  <c r="AE276" i="5"/>
  <c r="AE275" i="5"/>
  <c r="AE274" i="5"/>
  <c r="AE273" i="5"/>
  <c r="AE272" i="5"/>
  <c r="AE271" i="5"/>
  <c r="AE270" i="5"/>
  <c r="AE269" i="5"/>
  <c r="AE268" i="5"/>
  <c r="AE267" i="5"/>
  <c r="AE266" i="5"/>
  <c r="AE265" i="5"/>
  <c r="AE264" i="5"/>
  <c r="AE263" i="5"/>
  <c r="AE262" i="5"/>
  <c r="AE261" i="5"/>
  <c r="AE260" i="5"/>
  <c r="AE259" i="5"/>
  <c r="AE258" i="5"/>
  <c r="AE257" i="5"/>
  <c r="AE256" i="5"/>
  <c r="AE255" i="5"/>
  <c r="AE254" i="5"/>
  <c r="AE253" i="5"/>
  <c r="AE252" i="5"/>
  <c r="AE251" i="5"/>
  <c r="AE250" i="5"/>
  <c r="AE249" i="5"/>
  <c r="AE248" i="5"/>
  <c r="AE247" i="5"/>
  <c r="AE246" i="5"/>
  <c r="AE245" i="5"/>
  <c r="AE244" i="5"/>
  <c r="AE243" i="5"/>
  <c r="AE242" i="5"/>
  <c r="AE241" i="5"/>
  <c r="AE240" i="5"/>
  <c r="AE239" i="5"/>
  <c r="AE238" i="5"/>
  <c r="AE237" i="5"/>
  <c r="AE236" i="5"/>
  <c r="AE235" i="5"/>
  <c r="AE234" i="5"/>
  <c r="AE233" i="5"/>
  <c r="AE232" i="5"/>
  <c r="AE231" i="5"/>
  <c r="AE230" i="5"/>
  <c r="AE229" i="5"/>
  <c r="AE228" i="5"/>
  <c r="AE227" i="5"/>
  <c r="AE226" i="5"/>
  <c r="AE225" i="5"/>
  <c r="AE224" i="5"/>
  <c r="AE223" i="5"/>
  <c r="AE222" i="5"/>
  <c r="AE221" i="5"/>
  <c r="AE220" i="5"/>
  <c r="AE219" i="5"/>
  <c r="AE218" i="5"/>
  <c r="AE217" i="5"/>
  <c r="AE216" i="5"/>
  <c r="AE215" i="5"/>
  <c r="AE214" i="5"/>
  <c r="AE213" i="5"/>
  <c r="AE212" i="5"/>
  <c r="AE211" i="5"/>
  <c r="AE210" i="5"/>
  <c r="AE209" i="5"/>
  <c r="AE208" i="5"/>
  <c r="AE207" i="5"/>
  <c r="AE206" i="5"/>
  <c r="AE205" i="5"/>
  <c r="AE204" i="5"/>
  <c r="AE203" i="5"/>
  <c r="AE202" i="5"/>
  <c r="AE201" i="5"/>
  <c r="AE200" i="5"/>
  <c r="AE199" i="5"/>
  <c r="AE198" i="5"/>
  <c r="AE197" i="5"/>
  <c r="AE196" i="5"/>
  <c r="AE195" i="5"/>
  <c r="AE194" i="5"/>
  <c r="AE193" i="5"/>
  <c r="AE192" i="5"/>
  <c r="AE191" i="5"/>
  <c r="AE190" i="5"/>
  <c r="AE189" i="5"/>
  <c r="AE188" i="5"/>
  <c r="AE187" i="5"/>
  <c r="AE186" i="5"/>
  <c r="AE185" i="5"/>
  <c r="AE184" i="5"/>
  <c r="AE183" i="5"/>
  <c r="AE182" i="5"/>
  <c r="AE181" i="5"/>
  <c r="AE180" i="5"/>
  <c r="AE179" i="5"/>
  <c r="AE178" i="5"/>
  <c r="AE177" i="5"/>
  <c r="AE176" i="5"/>
  <c r="AE175" i="5"/>
  <c r="AE174" i="5"/>
  <c r="AE173" i="5"/>
  <c r="AE172" i="5"/>
  <c r="AE171" i="5"/>
  <c r="AE170" i="5"/>
  <c r="AE169" i="5"/>
  <c r="AE168" i="5"/>
  <c r="AE167" i="5"/>
  <c r="AE166" i="5"/>
  <c r="AE165" i="5"/>
  <c r="AE164" i="5"/>
  <c r="AE163" i="5"/>
  <c r="AE162" i="5"/>
  <c r="AE161" i="5"/>
  <c r="AE160" i="5"/>
  <c r="AE159" i="5"/>
  <c r="AE158" i="5"/>
  <c r="AE157" i="5"/>
  <c r="AE156" i="5"/>
  <c r="AE155" i="5"/>
  <c r="AE154" i="5"/>
  <c r="AE153" i="5"/>
  <c r="AE152" i="5"/>
  <c r="AE151" i="5"/>
  <c r="AE150" i="5"/>
  <c r="AE149" i="5"/>
  <c r="AE148" i="5"/>
  <c r="AE147" i="5"/>
  <c r="AE146" i="5"/>
  <c r="AE145" i="5"/>
  <c r="AE144" i="5"/>
  <c r="AE143" i="5"/>
  <c r="AE142" i="5"/>
  <c r="AE141" i="5"/>
  <c r="AE140" i="5"/>
  <c r="AE139" i="5"/>
  <c r="AE138" i="5"/>
  <c r="AE137" i="5"/>
  <c r="AE136" i="5"/>
  <c r="AE135" i="5"/>
  <c r="AE134" i="5"/>
  <c r="AE133" i="5"/>
  <c r="AE132" i="5"/>
  <c r="AE131" i="5"/>
  <c r="AE130" i="5"/>
  <c r="AE129" i="5"/>
  <c r="AE128" i="5"/>
  <c r="AE127" i="5"/>
  <c r="AE126" i="5"/>
  <c r="AE125" i="5"/>
  <c r="AE124" i="5"/>
  <c r="AE123" i="5"/>
  <c r="AE122" i="5"/>
  <c r="AE121" i="5"/>
  <c r="AE120" i="5"/>
  <c r="AE119" i="5"/>
  <c r="AE118" i="5"/>
  <c r="AE117" i="5"/>
  <c r="AE116" i="5"/>
  <c r="AE115" i="5"/>
  <c r="AE114" i="5"/>
  <c r="AE113" i="5"/>
  <c r="AE112" i="5"/>
  <c r="AE111" i="5"/>
  <c r="AE110" i="5"/>
  <c r="AE109" i="5"/>
  <c r="AE108" i="5"/>
  <c r="AE107" i="5"/>
  <c r="AE106" i="5"/>
  <c r="AE105" i="5"/>
  <c r="AE104" i="5"/>
  <c r="AE103" i="5"/>
  <c r="AE102" i="5"/>
  <c r="AE101" i="5"/>
  <c r="AE100" i="5"/>
  <c r="AE99" i="5"/>
  <c r="AE98" i="5"/>
  <c r="AE97" i="5"/>
  <c r="AE96" i="5"/>
  <c r="AE95" i="5"/>
  <c r="AE94" i="5"/>
  <c r="AE93" i="5"/>
  <c r="AE92" i="5"/>
  <c r="AE91" i="5"/>
  <c r="AE90" i="5"/>
  <c r="AE89" i="5"/>
  <c r="AE88" i="5"/>
  <c r="AE87" i="5"/>
  <c r="AE86" i="5"/>
  <c r="AE85" i="5"/>
  <c r="AE84" i="5"/>
  <c r="AE83" i="5"/>
  <c r="AE82" i="5"/>
  <c r="AE81" i="5"/>
  <c r="AE80" i="5"/>
  <c r="AE79" i="5"/>
  <c r="AE78" i="5"/>
  <c r="AE77" i="5"/>
  <c r="AE76" i="5"/>
  <c r="AE75" i="5"/>
  <c r="AE74" i="5"/>
  <c r="AE73" i="5"/>
  <c r="AE72" i="5"/>
  <c r="AE71" i="5"/>
  <c r="AE70" i="5"/>
  <c r="AE69" i="5"/>
  <c r="AE68" i="5"/>
  <c r="AE67" i="5"/>
  <c r="AE66" i="5"/>
  <c r="AE65" i="5"/>
  <c r="AE64" i="5"/>
  <c r="AE63" i="5"/>
  <c r="AE62" i="5"/>
  <c r="AE61" i="5"/>
  <c r="AE60" i="5"/>
  <c r="AE59" i="5"/>
  <c r="AE58" i="5"/>
  <c r="AE57" i="5"/>
  <c r="AE56" i="5"/>
  <c r="AE55" i="5"/>
  <c r="AE54" i="5"/>
  <c r="AE53" i="5"/>
  <c r="AE52" i="5"/>
  <c r="AE51" i="5"/>
  <c r="AE50" i="5"/>
  <c r="AE49" i="5"/>
  <c r="AE48" i="5"/>
  <c r="AE47" i="5"/>
  <c r="AE46" i="5"/>
  <c r="AE45" i="5"/>
  <c r="AE44" i="5"/>
  <c r="AE43" i="5"/>
  <c r="AE42" i="5"/>
  <c r="AE41" i="5"/>
  <c r="AE40" i="5"/>
  <c r="AE39" i="5"/>
  <c r="AE38" i="5"/>
  <c r="AE37" i="5"/>
  <c r="AE36" i="5"/>
  <c r="AE35" i="5"/>
  <c r="AE34" i="5"/>
  <c r="AE33" i="5"/>
  <c r="AE32" i="5"/>
  <c r="AE31" i="5"/>
  <c r="AE30" i="5"/>
  <c r="AE29" i="5"/>
  <c r="AE28" i="5"/>
  <c r="AE27" i="5"/>
  <c r="AE26" i="5"/>
  <c r="AE25" i="5"/>
  <c r="AE24" i="5"/>
  <c r="AE23" i="5"/>
  <c r="AE22" i="5"/>
  <c r="AE21" i="5"/>
  <c r="AE20" i="5"/>
  <c r="AE19" i="5"/>
  <c r="AE18" i="5"/>
  <c r="AE17" i="5"/>
  <c r="AE16" i="5"/>
  <c r="AE15" i="5"/>
  <c r="AE14" i="5"/>
  <c r="AE13" i="5"/>
  <c r="AE12" i="5"/>
  <c r="AE11" i="5"/>
  <c r="AE10" i="5"/>
  <c r="AE9" i="5"/>
  <c r="AE4" i="5"/>
  <c r="AD304" i="5"/>
  <c r="AD303" i="5"/>
  <c r="AD302" i="5"/>
  <c r="AD301" i="5"/>
  <c r="AD300" i="5"/>
  <c r="AD299" i="5"/>
  <c r="AD298" i="5"/>
  <c r="AD297" i="5"/>
  <c r="AD296" i="5"/>
  <c r="AD295" i="5"/>
  <c r="AD294" i="5"/>
  <c r="AD293" i="5"/>
  <c r="AD292" i="5"/>
  <c r="AD291" i="5"/>
  <c r="AD290" i="5"/>
  <c r="AD289" i="5"/>
  <c r="AD288" i="5"/>
  <c r="AD287" i="5"/>
  <c r="AD286" i="5"/>
  <c r="AD285" i="5"/>
  <c r="AD284" i="5"/>
  <c r="AD283" i="5"/>
  <c r="AD282" i="5"/>
  <c r="AD281" i="5"/>
  <c r="AD280" i="5"/>
  <c r="AD279" i="5"/>
  <c r="AD278" i="5"/>
  <c r="AD277" i="5"/>
  <c r="AD276" i="5"/>
  <c r="AD275" i="5"/>
  <c r="AD274" i="5"/>
  <c r="AD273" i="5"/>
  <c r="AD272" i="5"/>
  <c r="AD271" i="5"/>
  <c r="AD270" i="5"/>
  <c r="AD269" i="5"/>
  <c r="AD268" i="5"/>
  <c r="AD267" i="5"/>
  <c r="AD266" i="5"/>
  <c r="AD265" i="5"/>
  <c r="AD264" i="5"/>
  <c r="AD263" i="5"/>
  <c r="AD262" i="5"/>
  <c r="AD261" i="5"/>
  <c r="AD260" i="5"/>
  <c r="AD259" i="5"/>
  <c r="AD258" i="5"/>
  <c r="AD257" i="5"/>
  <c r="AD256" i="5"/>
  <c r="AD255" i="5"/>
  <c r="AD254" i="5"/>
  <c r="AD253" i="5"/>
  <c r="AD252" i="5"/>
  <c r="AD251" i="5"/>
  <c r="AD250" i="5"/>
  <c r="AD249" i="5"/>
  <c r="AD248" i="5"/>
  <c r="AD247" i="5"/>
  <c r="AD246" i="5"/>
  <c r="AD245" i="5"/>
  <c r="AD244" i="5"/>
  <c r="AD243" i="5"/>
  <c r="AD242" i="5"/>
  <c r="AD241" i="5"/>
  <c r="AD240" i="5"/>
  <c r="AD239" i="5"/>
  <c r="AD238" i="5"/>
  <c r="AD237" i="5"/>
  <c r="AD236" i="5"/>
  <c r="AD235" i="5"/>
  <c r="AD234" i="5"/>
  <c r="AD233" i="5"/>
  <c r="AD232" i="5"/>
  <c r="AD231" i="5"/>
  <c r="AD230" i="5"/>
  <c r="AD229" i="5"/>
  <c r="AD228" i="5"/>
  <c r="AD227" i="5"/>
  <c r="AD226" i="5"/>
  <c r="AD225" i="5"/>
  <c r="AD224" i="5"/>
  <c r="AD223" i="5"/>
  <c r="AD222" i="5"/>
  <c r="AD221" i="5"/>
  <c r="AD220" i="5"/>
  <c r="AD219" i="5"/>
  <c r="AD218" i="5"/>
  <c r="AD217" i="5"/>
  <c r="AD216" i="5"/>
  <c r="AD215" i="5"/>
  <c r="AD214" i="5"/>
  <c r="AD213" i="5"/>
  <c r="AD212" i="5"/>
  <c r="AD211" i="5"/>
  <c r="AD210" i="5"/>
  <c r="AD209" i="5"/>
  <c r="AD208" i="5"/>
  <c r="AD207" i="5"/>
  <c r="AD206" i="5"/>
  <c r="AD205" i="5"/>
  <c r="AD204" i="5"/>
  <c r="AD203" i="5"/>
  <c r="AD202" i="5"/>
  <c r="AD201" i="5"/>
  <c r="AD200" i="5"/>
  <c r="AD199" i="5"/>
  <c r="AD198" i="5"/>
  <c r="AD197" i="5"/>
  <c r="AD196" i="5"/>
  <c r="AD195" i="5"/>
  <c r="AD194" i="5"/>
  <c r="AD193" i="5"/>
  <c r="AD192" i="5"/>
  <c r="AD191" i="5"/>
  <c r="AD190" i="5"/>
  <c r="AD189" i="5"/>
  <c r="AD188" i="5"/>
  <c r="AD187" i="5"/>
  <c r="AD186" i="5"/>
  <c r="AD185" i="5"/>
  <c r="AD184" i="5"/>
  <c r="AD183" i="5"/>
  <c r="AD182" i="5"/>
  <c r="AD181" i="5"/>
  <c r="AD180" i="5"/>
  <c r="AD179" i="5"/>
  <c r="AD178" i="5"/>
  <c r="AD177" i="5"/>
  <c r="AD176" i="5"/>
  <c r="AD175" i="5"/>
  <c r="AD174" i="5"/>
  <c r="AD173" i="5"/>
  <c r="AD172" i="5"/>
  <c r="AD171" i="5"/>
  <c r="AD170" i="5"/>
  <c r="AD169" i="5"/>
  <c r="AD168" i="5"/>
  <c r="AD167" i="5"/>
  <c r="AD166" i="5"/>
  <c r="AD165" i="5"/>
  <c r="AD164" i="5"/>
  <c r="AD163" i="5"/>
  <c r="AD162" i="5"/>
  <c r="AD161" i="5"/>
  <c r="AD160" i="5"/>
  <c r="AD159" i="5"/>
  <c r="AD158" i="5"/>
  <c r="AD157" i="5"/>
  <c r="AD156" i="5"/>
  <c r="AD155" i="5"/>
  <c r="AD154" i="5"/>
  <c r="AD153" i="5"/>
  <c r="AD152" i="5"/>
  <c r="AD151" i="5"/>
  <c r="AD150" i="5"/>
  <c r="AD149" i="5"/>
  <c r="AD148" i="5"/>
  <c r="AD147" i="5"/>
  <c r="AD146" i="5"/>
  <c r="AD145" i="5"/>
  <c r="AD144" i="5"/>
  <c r="AD143" i="5"/>
  <c r="AD142" i="5"/>
  <c r="AD141" i="5"/>
  <c r="AD140" i="5"/>
  <c r="AD139" i="5"/>
  <c r="AD138" i="5"/>
  <c r="AD137" i="5"/>
  <c r="AD136" i="5"/>
  <c r="AD135" i="5"/>
  <c r="AD134" i="5"/>
  <c r="AD133" i="5"/>
  <c r="AD132" i="5"/>
  <c r="AD131" i="5"/>
  <c r="AD130" i="5"/>
  <c r="AD129" i="5"/>
  <c r="AD128" i="5"/>
  <c r="AD127" i="5"/>
  <c r="AD126" i="5"/>
  <c r="AD125" i="5"/>
  <c r="AD124" i="5"/>
  <c r="AD123" i="5"/>
  <c r="AD122" i="5"/>
  <c r="AD121" i="5"/>
  <c r="AD120" i="5"/>
  <c r="AD119" i="5"/>
  <c r="AD118" i="5"/>
  <c r="AD117" i="5"/>
  <c r="AD116" i="5"/>
  <c r="AD115" i="5"/>
  <c r="AD114" i="5"/>
  <c r="AD113" i="5"/>
  <c r="AD112" i="5"/>
  <c r="AD111" i="5"/>
  <c r="AD110" i="5"/>
  <c r="AD109" i="5"/>
  <c r="AD108" i="5"/>
  <c r="AD107" i="5"/>
  <c r="AD106" i="5"/>
  <c r="AD105" i="5"/>
  <c r="AD104" i="5"/>
  <c r="AD103" i="5"/>
  <c r="AD102" i="5"/>
  <c r="AD101" i="5"/>
  <c r="AD100" i="5"/>
  <c r="AD99" i="5"/>
  <c r="AD98" i="5"/>
  <c r="AD97" i="5"/>
  <c r="AD96" i="5"/>
  <c r="AD95" i="5"/>
  <c r="AD94" i="5"/>
  <c r="AD93" i="5"/>
  <c r="AD92" i="5"/>
  <c r="AD91" i="5"/>
  <c r="AD90" i="5"/>
  <c r="AD89" i="5"/>
  <c r="AD88" i="5"/>
  <c r="AD87" i="5"/>
  <c r="AD86" i="5"/>
  <c r="AD85" i="5"/>
  <c r="AD84" i="5"/>
  <c r="AD83" i="5"/>
  <c r="AD82" i="5"/>
  <c r="AD81" i="5"/>
  <c r="AD80" i="5"/>
  <c r="AD79" i="5"/>
  <c r="AD78" i="5"/>
  <c r="AD77" i="5"/>
  <c r="AD76" i="5"/>
  <c r="AD75" i="5"/>
  <c r="AD74" i="5"/>
  <c r="AD73" i="5"/>
  <c r="AD72" i="5"/>
  <c r="AD71" i="5"/>
  <c r="AD70" i="5"/>
  <c r="AD69" i="5"/>
  <c r="AD68" i="5"/>
  <c r="AD67" i="5"/>
  <c r="AD66" i="5"/>
  <c r="AD65" i="5"/>
  <c r="AD64" i="5"/>
  <c r="AD63" i="5"/>
  <c r="AD62" i="5"/>
  <c r="AD61" i="5"/>
  <c r="AD60" i="5"/>
  <c r="AD59" i="5"/>
  <c r="AD58" i="5"/>
  <c r="AD57" i="5"/>
  <c r="AD56" i="5"/>
  <c r="AD55" i="5"/>
  <c r="AD54" i="5"/>
  <c r="AD53" i="5"/>
  <c r="AD52" i="5"/>
  <c r="AD51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4" i="5"/>
  <c r="AC304" i="5"/>
  <c r="AC303" i="5"/>
  <c r="AC302" i="5"/>
  <c r="AC301" i="5"/>
  <c r="AC300" i="5"/>
  <c r="AC299" i="5"/>
  <c r="AC298" i="5"/>
  <c r="AC297" i="5"/>
  <c r="AC296" i="5"/>
  <c r="AC295" i="5"/>
  <c r="AC294" i="5"/>
  <c r="AC293" i="5"/>
  <c r="AC292" i="5"/>
  <c r="AC291" i="5"/>
  <c r="AC290" i="5"/>
  <c r="AC289" i="5"/>
  <c r="AC288" i="5"/>
  <c r="AC287" i="5"/>
  <c r="AC286" i="5"/>
  <c r="AC285" i="5"/>
  <c r="AC284" i="5"/>
  <c r="AC283" i="5"/>
  <c r="AC282" i="5"/>
  <c r="AC281" i="5"/>
  <c r="AC280" i="5"/>
  <c r="AC279" i="5"/>
  <c r="AC278" i="5"/>
  <c r="AC277" i="5"/>
  <c r="AC276" i="5"/>
  <c r="AC275" i="5"/>
  <c r="AC274" i="5"/>
  <c r="AC273" i="5"/>
  <c r="AC272" i="5"/>
  <c r="AC271" i="5"/>
  <c r="AC270" i="5"/>
  <c r="AC269" i="5"/>
  <c r="AC268" i="5"/>
  <c r="AC267" i="5"/>
  <c r="AC266" i="5"/>
  <c r="AC265" i="5"/>
  <c r="AC264" i="5"/>
  <c r="AC263" i="5"/>
  <c r="AC262" i="5"/>
  <c r="AC261" i="5"/>
  <c r="AC260" i="5"/>
  <c r="AC259" i="5"/>
  <c r="AC258" i="5"/>
  <c r="AC257" i="5"/>
  <c r="AC256" i="5"/>
  <c r="AC255" i="5"/>
  <c r="AC254" i="5"/>
  <c r="AC253" i="5"/>
  <c r="AC252" i="5"/>
  <c r="AC251" i="5"/>
  <c r="AC250" i="5"/>
  <c r="AC249" i="5"/>
  <c r="AC248" i="5"/>
  <c r="AC247" i="5"/>
  <c r="AC246" i="5"/>
  <c r="AC245" i="5"/>
  <c r="AC244" i="5"/>
  <c r="AC243" i="5"/>
  <c r="AC242" i="5"/>
  <c r="AC241" i="5"/>
  <c r="AC240" i="5"/>
  <c r="AC239" i="5"/>
  <c r="AC238" i="5"/>
  <c r="AC237" i="5"/>
  <c r="AC236" i="5"/>
  <c r="AC235" i="5"/>
  <c r="AC234" i="5"/>
  <c r="AC233" i="5"/>
  <c r="AC232" i="5"/>
  <c r="AC231" i="5"/>
  <c r="AC230" i="5"/>
  <c r="AC229" i="5"/>
  <c r="AC228" i="5"/>
  <c r="AC227" i="5"/>
  <c r="AC226" i="5"/>
  <c r="AC225" i="5"/>
  <c r="AC224" i="5"/>
  <c r="AC223" i="5"/>
  <c r="AC222" i="5"/>
  <c r="AC221" i="5"/>
  <c r="AC220" i="5"/>
  <c r="AC219" i="5"/>
  <c r="AC218" i="5"/>
  <c r="AC217" i="5"/>
  <c r="AC216" i="5"/>
  <c r="AC215" i="5"/>
  <c r="AC214" i="5"/>
  <c r="AC213" i="5"/>
  <c r="AC212" i="5"/>
  <c r="AC211" i="5"/>
  <c r="AC210" i="5"/>
  <c r="AC209" i="5"/>
  <c r="AC208" i="5"/>
  <c r="AC207" i="5"/>
  <c r="AC206" i="5"/>
  <c r="AC205" i="5"/>
  <c r="AC204" i="5"/>
  <c r="AC203" i="5"/>
  <c r="AC202" i="5"/>
  <c r="AC201" i="5"/>
  <c r="AC200" i="5"/>
  <c r="AC199" i="5"/>
  <c r="AC198" i="5"/>
  <c r="AC197" i="5"/>
  <c r="AC196" i="5"/>
  <c r="AC195" i="5"/>
  <c r="AC194" i="5"/>
  <c r="AC193" i="5"/>
  <c r="AC192" i="5"/>
  <c r="AC191" i="5"/>
  <c r="AC190" i="5"/>
  <c r="AC189" i="5"/>
  <c r="AC188" i="5"/>
  <c r="AC187" i="5"/>
  <c r="AC186" i="5"/>
  <c r="AC185" i="5"/>
  <c r="AC184" i="5"/>
  <c r="AC183" i="5"/>
  <c r="AC182" i="5"/>
  <c r="AC181" i="5"/>
  <c r="AC180" i="5"/>
  <c r="AC179" i="5"/>
  <c r="AC178" i="5"/>
  <c r="AC177" i="5"/>
  <c r="AC176" i="5"/>
  <c r="AC175" i="5"/>
  <c r="AC174" i="5"/>
  <c r="AC173" i="5"/>
  <c r="AC172" i="5"/>
  <c r="AC171" i="5"/>
  <c r="AC170" i="5"/>
  <c r="AC169" i="5"/>
  <c r="AC168" i="5"/>
  <c r="AC167" i="5"/>
  <c r="AC166" i="5"/>
  <c r="AC165" i="5"/>
  <c r="AC164" i="5"/>
  <c r="AC163" i="5"/>
  <c r="AC162" i="5"/>
  <c r="AC161" i="5"/>
  <c r="AC160" i="5"/>
  <c r="AC159" i="5"/>
  <c r="AC158" i="5"/>
  <c r="AC157" i="5"/>
  <c r="AC156" i="5"/>
  <c r="AC155" i="5"/>
  <c r="AC154" i="5"/>
  <c r="AC153" i="5"/>
  <c r="AC152" i="5"/>
  <c r="AC151" i="5"/>
  <c r="AC150" i="5"/>
  <c r="AC149" i="5"/>
  <c r="AC148" i="5"/>
  <c r="AC147" i="5"/>
  <c r="AC146" i="5"/>
  <c r="AC145" i="5"/>
  <c r="AC144" i="5"/>
  <c r="AC143" i="5"/>
  <c r="AC142" i="5"/>
  <c r="AC141" i="5"/>
  <c r="AC140" i="5"/>
  <c r="AC139" i="5"/>
  <c r="AC138" i="5"/>
  <c r="AC137" i="5"/>
  <c r="AC136" i="5"/>
  <c r="AC135" i="5"/>
  <c r="AC134" i="5"/>
  <c r="AC133" i="5"/>
  <c r="AC132" i="5"/>
  <c r="AC131" i="5"/>
  <c r="AC130" i="5"/>
  <c r="AC129" i="5"/>
  <c r="AC128" i="5"/>
  <c r="AC127" i="5"/>
  <c r="AC126" i="5"/>
  <c r="AC125" i="5"/>
  <c r="AC124" i="5"/>
  <c r="AC123" i="5"/>
  <c r="AC122" i="5"/>
  <c r="AC121" i="5"/>
  <c r="AC120" i="5"/>
  <c r="AC119" i="5"/>
  <c r="AC118" i="5"/>
  <c r="AC117" i="5"/>
  <c r="AC116" i="5"/>
  <c r="AC115" i="5"/>
  <c r="AC114" i="5"/>
  <c r="AC113" i="5"/>
  <c r="AC112" i="5"/>
  <c r="AC111" i="5"/>
  <c r="AC110" i="5"/>
  <c r="AC109" i="5"/>
  <c r="AC108" i="5"/>
  <c r="AC107" i="5"/>
  <c r="AC106" i="5"/>
  <c r="AC105" i="5"/>
  <c r="AC104" i="5"/>
  <c r="AC103" i="5"/>
  <c r="AC102" i="5"/>
  <c r="AC101" i="5"/>
  <c r="AC100" i="5"/>
  <c r="AC99" i="5"/>
  <c r="AC98" i="5"/>
  <c r="AC97" i="5"/>
  <c r="AC96" i="5"/>
  <c r="AC95" i="5"/>
  <c r="AC94" i="5"/>
  <c r="AC93" i="5"/>
  <c r="AC92" i="5"/>
  <c r="AC91" i="5"/>
  <c r="AC90" i="5"/>
  <c r="AC89" i="5"/>
  <c r="AC88" i="5"/>
  <c r="AC87" i="5"/>
  <c r="AC86" i="5"/>
  <c r="AC85" i="5"/>
  <c r="AC84" i="5"/>
  <c r="AC83" i="5"/>
  <c r="AC82" i="5"/>
  <c r="AC81" i="5"/>
  <c r="AC80" i="5"/>
  <c r="AC79" i="5"/>
  <c r="AC78" i="5"/>
  <c r="AC77" i="5"/>
  <c r="AC76" i="5"/>
  <c r="AC75" i="5"/>
  <c r="AC74" i="5"/>
  <c r="AC73" i="5"/>
  <c r="AC72" i="5"/>
  <c r="AC71" i="5"/>
  <c r="AC70" i="5"/>
  <c r="AC69" i="5"/>
  <c r="AC68" i="5"/>
  <c r="AC67" i="5"/>
  <c r="AC66" i="5"/>
  <c r="AC65" i="5"/>
  <c r="AC64" i="5"/>
  <c r="AC63" i="5"/>
  <c r="AC62" i="5"/>
  <c r="AC61" i="5"/>
  <c r="AC60" i="5"/>
  <c r="AC59" i="5"/>
  <c r="AC58" i="5"/>
  <c r="AC57" i="5"/>
  <c r="AC56" i="5"/>
  <c r="AC55" i="5"/>
  <c r="AC54" i="5"/>
  <c r="AC53" i="5"/>
  <c r="AC52" i="5"/>
  <c r="AC51" i="5"/>
  <c r="AC50" i="5"/>
  <c r="AC49" i="5"/>
  <c r="AC48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3" i="5"/>
  <c r="AC32" i="5"/>
  <c r="AC31" i="5"/>
  <c r="AC30" i="5"/>
  <c r="AC29" i="5"/>
  <c r="AC28" i="5"/>
  <c r="AC27" i="5"/>
  <c r="AC26" i="5"/>
  <c r="AC25" i="5"/>
  <c r="AC24" i="5"/>
  <c r="AC23" i="5"/>
  <c r="AC22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4" i="5"/>
  <c r="AB304" i="5"/>
  <c r="AB303" i="5"/>
  <c r="AB302" i="5"/>
  <c r="AB301" i="5"/>
  <c r="AB300" i="5"/>
  <c r="AB299" i="5"/>
  <c r="AB298" i="5"/>
  <c r="AB297" i="5"/>
  <c r="AB296" i="5"/>
  <c r="AB295" i="5"/>
  <c r="AB294" i="5"/>
  <c r="AB293" i="5"/>
  <c r="AB292" i="5"/>
  <c r="AB291" i="5"/>
  <c r="AB290" i="5"/>
  <c r="AB289" i="5"/>
  <c r="AB288" i="5"/>
  <c r="AB287" i="5"/>
  <c r="AB286" i="5"/>
  <c r="AB285" i="5"/>
  <c r="AB284" i="5"/>
  <c r="AB283" i="5"/>
  <c r="AB282" i="5"/>
  <c r="AB281" i="5"/>
  <c r="AB280" i="5"/>
  <c r="AB279" i="5"/>
  <c r="AB278" i="5"/>
  <c r="AB277" i="5"/>
  <c r="AB276" i="5"/>
  <c r="AB275" i="5"/>
  <c r="AB274" i="5"/>
  <c r="AB273" i="5"/>
  <c r="AB272" i="5"/>
  <c r="AB271" i="5"/>
  <c r="AB270" i="5"/>
  <c r="AB269" i="5"/>
  <c r="AB268" i="5"/>
  <c r="AB267" i="5"/>
  <c r="AB266" i="5"/>
  <c r="AB265" i="5"/>
  <c r="AB264" i="5"/>
  <c r="AB263" i="5"/>
  <c r="AB262" i="5"/>
  <c r="AB261" i="5"/>
  <c r="AB260" i="5"/>
  <c r="AB259" i="5"/>
  <c r="AB258" i="5"/>
  <c r="AB257" i="5"/>
  <c r="AB256" i="5"/>
  <c r="AB255" i="5"/>
  <c r="AB254" i="5"/>
  <c r="AB253" i="5"/>
  <c r="AB252" i="5"/>
  <c r="AB251" i="5"/>
  <c r="AB250" i="5"/>
  <c r="AB249" i="5"/>
  <c r="AB248" i="5"/>
  <c r="AB247" i="5"/>
  <c r="AB246" i="5"/>
  <c r="AB245" i="5"/>
  <c r="AB244" i="5"/>
  <c r="AB243" i="5"/>
  <c r="AB242" i="5"/>
  <c r="AB241" i="5"/>
  <c r="AB240" i="5"/>
  <c r="AB239" i="5"/>
  <c r="AB238" i="5"/>
  <c r="AB237" i="5"/>
  <c r="AB236" i="5"/>
  <c r="AB235" i="5"/>
  <c r="AB234" i="5"/>
  <c r="AB233" i="5"/>
  <c r="AB232" i="5"/>
  <c r="AB231" i="5"/>
  <c r="AB230" i="5"/>
  <c r="AB229" i="5"/>
  <c r="AB228" i="5"/>
  <c r="AB227" i="5"/>
  <c r="AB226" i="5"/>
  <c r="AB225" i="5"/>
  <c r="AB224" i="5"/>
  <c r="AB223" i="5"/>
  <c r="AB222" i="5"/>
  <c r="AB221" i="5"/>
  <c r="AB220" i="5"/>
  <c r="AB219" i="5"/>
  <c r="AB218" i="5"/>
  <c r="AB217" i="5"/>
  <c r="AB216" i="5"/>
  <c r="AB215" i="5"/>
  <c r="AB214" i="5"/>
  <c r="AB213" i="5"/>
  <c r="AB212" i="5"/>
  <c r="AB211" i="5"/>
  <c r="AB210" i="5"/>
  <c r="AB209" i="5"/>
  <c r="AB208" i="5"/>
  <c r="AB207" i="5"/>
  <c r="AB206" i="5"/>
  <c r="AB205" i="5"/>
  <c r="AB204" i="5"/>
  <c r="AB203" i="5"/>
  <c r="AB202" i="5"/>
  <c r="AB201" i="5"/>
  <c r="AB200" i="5"/>
  <c r="AB199" i="5"/>
  <c r="AB198" i="5"/>
  <c r="AB197" i="5"/>
  <c r="AB196" i="5"/>
  <c r="AB195" i="5"/>
  <c r="AB194" i="5"/>
  <c r="AB193" i="5"/>
  <c r="AB192" i="5"/>
  <c r="AB191" i="5"/>
  <c r="AB190" i="5"/>
  <c r="AB189" i="5"/>
  <c r="AB188" i="5"/>
  <c r="AB187" i="5"/>
  <c r="AB186" i="5"/>
  <c r="AB185" i="5"/>
  <c r="AB184" i="5"/>
  <c r="AB183" i="5"/>
  <c r="AB182" i="5"/>
  <c r="AB181" i="5"/>
  <c r="AB180" i="5"/>
  <c r="AB179" i="5"/>
  <c r="AB178" i="5"/>
  <c r="AB177" i="5"/>
  <c r="AB176" i="5"/>
  <c r="AB175" i="5"/>
  <c r="AB174" i="5"/>
  <c r="AB173" i="5"/>
  <c r="AB172" i="5"/>
  <c r="AB171" i="5"/>
  <c r="AB170" i="5"/>
  <c r="AB169" i="5"/>
  <c r="AB168" i="5"/>
  <c r="AB167" i="5"/>
  <c r="AB166" i="5"/>
  <c r="AB165" i="5"/>
  <c r="AB164" i="5"/>
  <c r="AB163" i="5"/>
  <c r="AB162" i="5"/>
  <c r="AB161" i="5"/>
  <c r="AB160" i="5"/>
  <c r="AB159" i="5"/>
  <c r="AB158" i="5"/>
  <c r="AB157" i="5"/>
  <c r="AB156" i="5"/>
  <c r="AB155" i="5"/>
  <c r="AB154" i="5"/>
  <c r="AB153" i="5"/>
  <c r="AB152" i="5"/>
  <c r="AB151" i="5"/>
  <c r="AB150" i="5"/>
  <c r="AB149" i="5"/>
  <c r="AB148" i="5"/>
  <c r="AB147" i="5"/>
  <c r="AB146" i="5"/>
  <c r="AB145" i="5"/>
  <c r="AB144" i="5"/>
  <c r="AB143" i="5"/>
  <c r="AB142" i="5"/>
  <c r="AB141" i="5"/>
  <c r="AB140" i="5"/>
  <c r="AB139" i="5"/>
  <c r="AB138" i="5"/>
  <c r="AB137" i="5"/>
  <c r="AB136" i="5"/>
  <c r="AB135" i="5"/>
  <c r="AB134" i="5"/>
  <c r="AB133" i="5"/>
  <c r="AB132" i="5"/>
  <c r="AB131" i="5"/>
  <c r="AB130" i="5"/>
  <c r="AB129" i="5"/>
  <c r="AB128" i="5"/>
  <c r="AB127" i="5"/>
  <c r="AB126" i="5"/>
  <c r="AB125" i="5"/>
  <c r="AB124" i="5"/>
  <c r="AB123" i="5"/>
  <c r="AB122" i="5"/>
  <c r="AB121" i="5"/>
  <c r="AB120" i="5"/>
  <c r="AB119" i="5"/>
  <c r="AB118" i="5"/>
  <c r="AB117" i="5"/>
  <c r="AB116" i="5"/>
  <c r="AB115" i="5"/>
  <c r="AB114" i="5"/>
  <c r="AB113" i="5"/>
  <c r="AB112" i="5"/>
  <c r="AB111" i="5"/>
  <c r="AB110" i="5"/>
  <c r="AB109" i="5"/>
  <c r="AB108" i="5"/>
  <c r="AB107" i="5"/>
  <c r="AB106" i="5"/>
  <c r="AB105" i="5"/>
  <c r="AB104" i="5"/>
  <c r="AB103" i="5"/>
  <c r="AB102" i="5"/>
  <c r="AB101" i="5"/>
  <c r="AB100" i="5"/>
  <c r="AB99" i="5"/>
  <c r="AB98" i="5"/>
  <c r="AB97" i="5"/>
  <c r="AB96" i="5"/>
  <c r="AB95" i="5"/>
  <c r="AB94" i="5"/>
  <c r="AB93" i="5"/>
  <c r="AB92" i="5"/>
  <c r="AB91" i="5"/>
  <c r="AB90" i="5"/>
  <c r="AB89" i="5"/>
  <c r="AB88" i="5"/>
  <c r="AB87" i="5"/>
  <c r="AB86" i="5"/>
  <c r="AB85" i="5"/>
  <c r="AB84" i="5"/>
  <c r="AB83" i="5"/>
  <c r="AB82" i="5"/>
  <c r="AB81" i="5"/>
  <c r="AB80" i="5"/>
  <c r="AB79" i="5"/>
  <c r="AB78" i="5"/>
  <c r="AB77" i="5"/>
  <c r="AB76" i="5"/>
  <c r="AB75" i="5"/>
  <c r="AB74" i="5"/>
  <c r="AB73" i="5"/>
  <c r="AB72" i="5"/>
  <c r="AB71" i="5"/>
  <c r="AB70" i="5"/>
  <c r="AB69" i="5"/>
  <c r="AB68" i="5"/>
  <c r="AB67" i="5"/>
  <c r="AB66" i="5"/>
  <c r="AB65" i="5"/>
  <c r="AB64" i="5"/>
  <c r="AB63" i="5"/>
  <c r="AB62" i="5"/>
  <c r="AB61" i="5"/>
  <c r="AB60" i="5"/>
  <c r="AB59" i="5"/>
  <c r="AB58" i="5"/>
  <c r="AB57" i="5"/>
  <c r="AB56" i="5"/>
  <c r="AB55" i="5"/>
  <c r="AB54" i="5"/>
  <c r="AB53" i="5"/>
  <c r="AB52" i="5"/>
  <c r="AB51" i="5"/>
  <c r="AB50" i="5"/>
  <c r="AB49" i="5"/>
  <c r="AB48" i="5"/>
  <c r="AB47" i="5"/>
  <c r="AB46" i="5"/>
  <c r="AB45" i="5"/>
  <c r="AB44" i="5"/>
  <c r="AB43" i="5"/>
  <c r="AB42" i="5"/>
  <c r="AB41" i="5"/>
  <c r="AB40" i="5"/>
  <c r="AB39" i="5"/>
  <c r="AB38" i="5"/>
  <c r="AB37" i="5"/>
  <c r="AB36" i="5"/>
  <c r="AB35" i="5"/>
  <c r="AB34" i="5"/>
  <c r="AB33" i="5"/>
  <c r="AB32" i="5"/>
  <c r="AB31" i="5"/>
  <c r="AB30" i="5"/>
  <c r="AB29" i="5"/>
  <c r="AB28" i="5"/>
  <c r="AB27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1" i="5"/>
  <c r="AB10" i="5"/>
  <c r="AB9" i="5"/>
  <c r="AA304" i="5"/>
  <c r="AA303" i="5"/>
  <c r="AA302" i="5"/>
  <c r="AA301" i="5"/>
  <c r="AA300" i="5"/>
  <c r="AA299" i="5"/>
  <c r="AA298" i="5"/>
  <c r="AA297" i="5"/>
  <c r="AA296" i="5"/>
  <c r="AA295" i="5"/>
  <c r="AA294" i="5"/>
  <c r="AA293" i="5"/>
  <c r="AA292" i="5"/>
  <c r="AA291" i="5"/>
  <c r="AA290" i="5"/>
  <c r="AA289" i="5"/>
  <c r="AA288" i="5"/>
  <c r="AA287" i="5"/>
  <c r="AA286" i="5"/>
  <c r="AA285" i="5"/>
  <c r="AA284" i="5"/>
  <c r="AA283" i="5"/>
  <c r="AA282" i="5"/>
  <c r="AA281" i="5"/>
  <c r="AA280" i="5"/>
  <c r="AA279" i="5"/>
  <c r="AA278" i="5"/>
  <c r="AA277" i="5"/>
  <c r="AA276" i="5"/>
  <c r="AA275" i="5"/>
  <c r="AA274" i="5"/>
  <c r="AA273" i="5"/>
  <c r="AA272" i="5"/>
  <c r="AA271" i="5"/>
  <c r="AA270" i="5"/>
  <c r="AA269" i="5"/>
  <c r="AA268" i="5"/>
  <c r="AA267" i="5"/>
  <c r="AA266" i="5"/>
  <c r="AA265" i="5"/>
  <c r="AA264" i="5"/>
  <c r="AA263" i="5"/>
  <c r="AA262" i="5"/>
  <c r="AA261" i="5"/>
  <c r="AA260" i="5"/>
  <c r="AA259" i="5"/>
  <c r="AA258" i="5"/>
  <c r="AA257" i="5"/>
  <c r="AA256" i="5"/>
  <c r="AA255" i="5"/>
  <c r="AA254" i="5"/>
  <c r="AA253" i="5"/>
  <c r="AA252" i="5"/>
  <c r="AA251" i="5"/>
  <c r="AA250" i="5"/>
  <c r="AA249" i="5"/>
  <c r="AA248" i="5"/>
  <c r="AA247" i="5"/>
  <c r="AA246" i="5"/>
  <c r="AA245" i="5"/>
  <c r="AA244" i="5"/>
  <c r="AA243" i="5"/>
  <c r="AA242" i="5"/>
  <c r="AA241" i="5"/>
  <c r="AA240" i="5"/>
  <c r="AA239" i="5"/>
  <c r="AA238" i="5"/>
  <c r="AA237" i="5"/>
  <c r="AA236" i="5"/>
  <c r="AA235" i="5"/>
  <c r="AA234" i="5"/>
  <c r="AA233" i="5"/>
  <c r="AA232" i="5"/>
  <c r="AA231" i="5"/>
  <c r="AA230" i="5"/>
  <c r="AA229" i="5"/>
  <c r="AA228" i="5"/>
  <c r="AA227" i="5"/>
  <c r="AA226" i="5"/>
  <c r="AA225" i="5"/>
  <c r="AA224" i="5"/>
  <c r="AA223" i="5"/>
  <c r="AA222" i="5"/>
  <c r="AA221" i="5"/>
  <c r="AA220" i="5"/>
  <c r="AA219" i="5"/>
  <c r="AA218" i="5"/>
  <c r="AA217" i="5"/>
  <c r="AA216" i="5"/>
  <c r="AA215" i="5"/>
  <c r="AA214" i="5"/>
  <c r="AA213" i="5"/>
  <c r="AA212" i="5"/>
  <c r="AA211" i="5"/>
  <c r="AA210" i="5"/>
  <c r="AA209" i="5"/>
  <c r="AA208" i="5"/>
  <c r="AA207" i="5"/>
  <c r="AA206" i="5"/>
  <c r="AA205" i="5"/>
  <c r="AA204" i="5"/>
  <c r="AA203" i="5"/>
  <c r="AA202" i="5"/>
  <c r="AA201" i="5"/>
  <c r="AA200" i="5"/>
  <c r="AA199" i="5"/>
  <c r="AA198" i="5"/>
  <c r="AA197" i="5"/>
  <c r="AA196" i="5"/>
  <c r="AA195" i="5"/>
  <c r="AA194" i="5"/>
  <c r="AA193" i="5"/>
  <c r="AA192" i="5"/>
  <c r="AA191" i="5"/>
  <c r="AA190" i="5"/>
  <c r="AA189" i="5"/>
  <c r="AA188" i="5"/>
  <c r="AA187" i="5"/>
  <c r="AA186" i="5"/>
  <c r="AA185" i="5"/>
  <c r="AA184" i="5"/>
  <c r="AA183" i="5"/>
  <c r="AA182" i="5"/>
  <c r="AA181" i="5"/>
  <c r="AA180" i="5"/>
  <c r="AA179" i="5"/>
  <c r="AA178" i="5"/>
  <c r="AA177" i="5"/>
  <c r="AA176" i="5"/>
  <c r="AA175" i="5"/>
  <c r="AA174" i="5"/>
  <c r="AA173" i="5"/>
  <c r="AA172" i="5"/>
  <c r="AA171" i="5"/>
  <c r="AA170" i="5"/>
  <c r="AA169" i="5"/>
  <c r="AA168" i="5"/>
  <c r="AA167" i="5"/>
  <c r="AA166" i="5"/>
  <c r="AA165" i="5"/>
  <c r="AA164" i="5"/>
  <c r="AA163" i="5"/>
  <c r="AA162" i="5"/>
  <c r="AA161" i="5"/>
  <c r="AA160" i="5"/>
  <c r="AA159" i="5"/>
  <c r="AA158" i="5"/>
  <c r="AA157" i="5"/>
  <c r="AA156" i="5"/>
  <c r="AA155" i="5"/>
  <c r="AA154" i="5"/>
  <c r="AA153" i="5"/>
  <c r="AA152" i="5"/>
  <c r="AA151" i="5"/>
  <c r="AA150" i="5"/>
  <c r="AA149" i="5"/>
  <c r="AA148" i="5"/>
  <c r="AA147" i="5"/>
  <c r="AA146" i="5"/>
  <c r="AA145" i="5"/>
  <c r="AA144" i="5"/>
  <c r="AA143" i="5"/>
  <c r="AA142" i="5"/>
  <c r="AA141" i="5"/>
  <c r="AA140" i="5"/>
  <c r="AA139" i="5"/>
  <c r="AA138" i="5"/>
  <c r="AA137" i="5"/>
  <c r="AA136" i="5"/>
  <c r="AA135" i="5"/>
  <c r="AA134" i="5"/>
  <c r="AA133" i="5"/>
  <c r="AA132" i="5"/>
  <c r="AA131" i="5"/>
  <c r="AA130" i="5"/>
  <c r="AA129" i="5"/>
  <c r="AA128" i="5"/>
  <c r="AA127" i="5"/>
  <c r="AA126" i="5"/>
  <c r="AA125" i="5"/>
  <c r="AA124" i="5"/>
  <c r="AA123" i="5"/>
  <c r="AA122" i="5"/>
  <c r="AA121" i="5"/>
  <c r="AA120" i="5"/>
  <c r="AA119" i="5"/>
  <c r="AA118" i="5"/>
  <c r="AA117" i="5"/>
  <c r="AA116" i="5"/>
  <c r="AA115" i="5"/>
  <c r="AA114" i="5"/>
  <c r="AA113" i="5"/>
  <c r="AA112" i="5"/>
  <c r="AA111" i="5"/>
  <c r="AA110" i="5"/>
  <c r="AA109" i="5"/>
  <c r="AA108" i="5"/>
  <c r="AA107" i="5"/>
  <c r="AA106" i="5"/>
  <c r="AA105" i="5"/>
  <c r="AA104" i="5"/>
  <c r="AA103" i="5"/>
  <c r="AA102" i="5"/>
  <c r="AA101" i="5"/>
  <c r="AA100" i="5"/>
  <c r="AA99" i="5"/>
  <c r="AA98" i="5"/>
  <c r="AA97" i="5"/>
  <c r="AA96" i="5"/>
  <c r="AA95" i="5"/>
  <c r="AA94" i="5"/>
  <c r="AA93" i="5"/>
  <c r="AA92" i="5"/>
  <c r="AA91" i="5"/>
  <c r="AA90" i="5"/>
  <c r="AA89" i="5"/>
  <c r="AA88" i="5"/>
  <c r="AA87" i="5"/>
  <c r="AA86" i="5"/>
  <c r="AA85" i="5"/>
  <c r="AA84" i="5"/>
  <c r="AA83" i="5"/>
  <c r="AA82" i="5"/>
  <c r="AA81" i="5"/>
  <c r="AA80" i="5"/>
  <c r="AA79" i="5"/>
  <c r="AA78" i="5"/>
  <c r="AA77" i="5"/>
  <c r="AA76" i="5"/>
  <c r="AA75" i="5"/>
  <c r="AA74" i="5"/>
  <c r="AA73" i="5"/>
  <c r="AA72" i="5"/>
  <c r="AA71" i="5"/>
  <c r="AA70" i="5"/>
  <c r="AA69" i="5"/>
  <c r="AA68" i="5"/>
  <c r="AA67" i="5"/>
  <c r="AA66" i="5"/>
  <c r="AA65" i="5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25" i="5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Z304" i="5"/>
  <c r="Z303" i="5"/>
  <c r="Z302" i="5"/>
  <c r="Z301" i="5"/>
  <c r="Z300" i="5"/>
  <c r="Z299" i="5"/>
  <c r="Z298" i="5"/>
  <c r="Z297" i="5"/>
  <c r="Z296" i="5"/>
  <c r="Z295" i="5"/>
  <c r="Z294" i="5"/>
  <c r="Z293" i="5"/>
  <c r="Z292" i="5"/>
  <c r="Z291" i="5"/>
  <c r="Z290" i="5"/>
  <c r="Z289" i="5"/>
  <c r="Z288" i="5"/>
  <c r="Z287" i="5"/>
  <c r="Z286" i="5"/>
  <c r="Z285" i="5"/>
  <c r="Z284" i="5"/>
  <c r="Z283" i="5"/>
  <c r="Z282" i="5"/>
  <c r="Z281" i="5"/>
  <c r="Z280" i="5"/>
  <c r="Z279" i="5"/>
  <c r="Z278" i="5"/>
  <c r="Z277" i="5"/>
  <c r="Z276" i="5"/>
  <c r="Z275" i="5"/>
  <c r="Z274" i="5"/>
  <c r="Z273" i="5"/>
  <c r="Z272" i="5"/>
  <c r="Z271" i="5"/>
  <c r="Z270" i="5"/>
  <c r="Z269" i="5"/>
  <c r="Z268" i="5"/>
  <c r="Z267" i="5"/>
  <c r="Z266" i="5"/>
  <c r="Z265" i="5"/>
  <c r="Z264" i="5"/>
  <c r="Z263" i="5"/>
  <c r="Z262" i="5"/>
  <c r="Z261" i="5"/>
  <c r="Z260" i="5"/>
  <c r="Z259" i="5"/>
  <c r="Z258" i="5"/>
  <c r="Z257" i="5"/>
  <c r="Z256" i="5"/>
  <c r="Z255" i="5"/>
  <c r="Z254" i="5"/>
  <c r="Z253" i="5"/>
  <c r="Z252" i="5"/>
  <c r="Z251" i="5"/>
  <c r="Z250" i="5"/>
  <c r="Z249" i="5"/>
  <c r="Z248" i="5"/>
  <c r="Z247" i="5"/>
  <c r="Z246" i="5"/>
  <c r="Z245" i="5"/>
  <c r="Z244" i="5"/>
  <c r="Z243" i="5"/>
  <c r="Z242" i="5"/>
  <c r="Z241" i="5"/>
  <c r="Z240" i="5"/>
  <c r="Z239" i="5"/>
  <c r="Z238" i="5"/>
  <c r="Z237" i="5"/>
  <c r="Z236" i="5"/>
  <c r="Z235" i="5"/>
  <c r="Z234" i="5"/>
  <c r="Z233" i="5"/>
  <c r="Z232" i="5"/>
  <c r="Z231" i="5"/>
  <c r="Z230" i="5"/>
  <c r="Z229" i="5"/>
  <c r="Z228" i="5"/>
  <c r="Z227" i="5"/>
  <c r="Z226" i="5"/>
  <c r="Z225" i="5"/>
  <c r="Z224" i="5"/>
  <c r="Z223" i="5"/>
  <c r="Z222" i="5"/>
  <c r="Z221" i="5"/>
  <c r="Z220" i="5"/>
  <c r="Z219" i="5"/>
  <c r="Z218" i="5"/>
  <c r="Z217" i="5"/>
  <c r="Z216" i="5"/>
  <c r="Z215" i="5"/>
  <c r="Z214" i="5"/>
  <c r="Z213" i="5"/>
  <c r="Z212" i="5"/>
  <c r="Z211" i="5"/>
  <c r="Z210" i="5"/>
  <c r="Z209" i="5"/>
  <c r="Z208" i="5"/>
  <c r="Z207" i="5"/>
  <c r="Z206" i="5"/>
  <c r="Z205" i="5"/>
  <c r="Z204" i="5"/>
  <c r="Z203" i="5"/>
  <c r="Z202" i="5"/>
  <c r="Z201" i="5"/>
  <c r="Z200" i="5"/>
  <c r="Z199" i="5"/>
  <c r="Z198" i="5"/>
  <c r="Z197" i="5"/>
  <c r="Z196" i="5"/>
  <c r="Z195" i="5"/>
  <c r="Z194" i="5"/>
  <c r="Z193" i="5"/>
  <c r="Z192" i="5"/>
  <c r="Z191" i="5"/>
  <c r="Z190" i="5"/>
  <c r="Z189" i="5"/>
  <c r="Z188" i="5"/>
  <c r="Z187" i="5"/>
  <c r="Z186" i="5"/>
  <c r="Z185" i="5"/>
  <c r="Z184" i="5"/>
  <c r="Z183" i="5"/>
  <c r="Z182" i="5"/>
  <c r="Z181" i="5"/>
  <c r="Z180" i="5"/>
  <c r="Z179" i="5"/>
  <c r="Z178" i="5"/>
  <c r="Z177" i="5"/>
  <c r="Z176" i="5"/>
  <c r="Z175" i="5"/>
  <c r="Z174" i="5"/>
  <c r="Z173" i="5"/>
  <c r="Z172" i="5"/>
  <c r="Z171" i="5"/>
  <c r="Z170" i="5"/>
  <c r="Z169" i="5"/>
  <c r="Z168" i="5"/>
  <c r="Z167" i="5"/>
  <c r="Z166" i="5"/>
  <c r="Z165" i="5"/>
  <c r="Z164" i="5"/>
  <c r="Z163" i="5"/>
  <c r="Z162" i="5"/>
  <c r="Z161" i="5"/>
  <c r="Z160" i="5"/>
  <c r="Z159" i="5"/>
  <c r="Z158" i="5"/>
  <c r="Z157" i="5"/>
  <c r="Z156" i="5"/>
  <c r="Z155" i="5"/>
  <c r="Z154" i="5"/>
  <c r="Z153" i="5"/>
  <c r="Z152" i="5"/>
  <c r="Z151" i="5"/>
  <c r="Z150" i="5"/>
  <c r="Z149" i="5"/>
  <c r="Z148" i="5"/>
  <c r="Z147" i="5"/>
  <c r="Z146" i="5"/>
  <c r="Z145" i="5"/>
  <c r="Z144" i="5"/>
  <c r="Z143" i="5"/>
  <c r="Z142" i="5"/>
  <c r="Z141" i="5"/>
  <c r="Z140" i="5"/>
  <c r="Z139" i="5"/>
  <c r="Z138" i="5"/>
  <c r="Z137" i="5"/>
  <c r="Z136" i="5"/>
  <c r="Z135" i="5"/>
  <c r="Z134" i="5"/>
  <c r="Z133" i="5"/>
  <c r="Z132" i="5"/>
  <c r="Z131" i="5"/>
  <c r="Z130" i="5"/>
  <c r="Z129" i="5"/>
  <c r="Z128" i="5"/>
  <c r="Z127" i="5"/>
  <c r="Z126" i="5"/>
  <c r="Z125" i="5"/>
  <c r="Z124" i="5"/>
  <c r="Z123" i="5"/>
  <c r="Z122" i="5"/>
  <c r="Z121" i="5"/>
  <c r="Z120" i="5"/>
  <c r="Z119" i="5"/>
  <c r="Z118" i="5"/>
  <c r="Z117" i="5"/>
  <c r="Z116" i="5"/>
  <c r="Z115" i="5"/>
  <c r="Z114" i="5"/>
  <c r="Z113" i="5"/>
  <c r="Z112" i="5"/>
  <c r="Z111" i="5"/>
  <c r="Z110" i="5"/>
  <c r="Z109" i="5"/>
  <c r="Z108" i="5"/>
  <c r="Z107" i="5"/>
  <c r="Z106" i="5"/>
  <c r="Z105" i="5"/>
  <c r="Z104" i="5"/>
  <c r="Z103" i="5"/>
  <c r="Z102" i="5"/>
  <c r="Z101" i="5"/>
  <c r="Z100" i="5"/>
  <c r="Z99" i="5"/>
  <c r="Z98" i="5"/>
  <c r="Z97" i="5"/>
  <c r="Z96" i="5"/>
  <c r="Z95" i="5"/>
  <c r="Z94" i="5"/>
  <c r="Z93" i="5"/>
  <c r="Z92" i="5"/>
  <c r="Z91" i="5"/>
  <c r="Z90" i="5"/>
  <c r="Z89" i="5"/>
  <c r="Z88" i="5"/>
  <c r="Z87" i="5"/>
  <c r="Z86" i="5"/>
  <c r="Z85" i="5"/>
  <c r="Z84" i="5"/>
  <c r="Z83" i="5"/>
  <c r="Z82" i="5"/>
  <c r="Z81" i="5"/>
  <c r="Z80" i="5"/>
  <c r="Z79" i="5"/>
  <c r="Z78" i="5"/>
  <c r="Z77" i="5"/>
  <c r="Z76" i="5"/>
  <c r="Z75" i="5"/>
  <c r="Z74" i="5"/>
  <c r="Z73" i="5"/>
  <c r="Z72" i="5"/>
  <c r="Z71" i="5"/>
  <c r="Z70" i="5"/>
  <c r="Z69" i="5"/>
  <c r="Z68" i="5"/>
  <c r="Z67" i="5"/>
  <c r="Z66" i="5"/>
  <c r="Z65" i="5"/>
  <c r="Z64" i="5"/>
  <c r="Z63" i="5"/>
  <c r="Z62" i="5"/>
  <c r="Z61" i="5"/>
  <c r="Z60" i="5"/>
  <c r="Z59" i="5"/>
  <c r="Z58" i="5"/>
  <c r="Z57" i="5"/>
  <c r="Z56" i="5"/>
  <c r="Z55" i="5"/>
  <c r="Z54" i="5"/>
  <c r="Z53" i="5"/>
  <c r="Z52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4" i="5"/>
  <c r="Y304" i="5"/>
  <c r="Y303" i="5"/>
  <c r="Y302" i="5"/>
  <c r="Y301" i="5"/>
  <c r="Y300" i="5"/>
  <c r="Y299" i="5"/>
  <c r="Y298" i="5"/>
  <c r="Y297" i="5"/>
  <c r="Y296" i="5"/>
  <c r="Y295" i="5"/>
  <c r="Y294" i="5"/>
  <c r="Y293" i="5"/>
  <c r="Y292" i="5"/>
  <c r="Y291" i="5"/>
  <c r="Y290" i="5"/>
  <c r="Y289" i="5"/>
  <c r="Y288" i="5"/>
  <c r="Y287" i="5"/>
  <c r="Y286" i="5"/>
  <c r="Y285" i="5"/>
  <c r="Y284" i="5"/>
  <c r="Y283" i="5"/>
  <c r="Y282" i="5"/>
  <c r="Y281" i="5"/>
  <c r="Y280" i="5"/>
  <c r="Y279" i="5"/>
  <c r="Y278" i="5"/>
  <c r="Y277" i="5"/>
  <c r="Y276" i="5"/>
  <c r="Y275" i="5"/>
  <c r="Y274" i="5"/>
  <c r="Y273" i="5"/>
  <c r="Y272" i="5"/>
  <c r="Y271" i="5"/>
  <c r="Y270" i="5"/>
  <c r="Y269" i="5"/>
  <c r="Y268" i="5"/>
  <c r="Y267" i="5"/>
  <c r="Y266" i="5"/>
  <c r="Y265" i="5"/>
  <c r="Y264" i="5"/>
  <c r="Y263" i="5"/>
  <c r="Y262" i="5"/>
  <c r="Y261" i="5"/>
  <c r="Y260" i="5"/>
  <c r="Y259" i="5"/>
  <c r="Y258" i="5"/>
  <c r="Y257" i="5"/>
  <c r="Y256" i="5"/>
  <c r="Y255" i="5"/>
  <c r="Y254" i="5"/>
  <c r="Y253" i="5"/>
  <c r="Y252" i="5"/>
  <c r="Y251" i="5"/>
  <c r="Y250" i="5"/>
  <c r="Y249" i="5"/>
  <c r="Y248" i="5"/>
  <c r="Y247" i="5"/>
  <c r="Y246" i="5"/>
  <c r="Y245" i="5"/>
  <c r="Y244" i="5"/>
  <c r="Y243" i="5"/>
  <c r="Y242" i="5"/>
  <c r="Y241" i="5"/>
  <c r="Y240" i="5"/>
  <c r="Y239" i="5"/>
  <c r="Y238" i="5"/>
  <c r="Y237" i="5"/>
  <c r="Y236" i="5"/>
  <c r="Y235" i="5"/>
  <c r="Y234" i="5"/>
  <c r="Y233" i="5"/>
  <c r="Y232" i="5"/>
  <c r="Y231" i="5"/>
  <c r="Y230" i="5"/>
  <c r="Y229" i="5"/>
  <c r="Y228" i="5"/>
  <c r="Y227" i="5"/>
  <c r="Y226" i="5"/>
  <c r="Y225" i="5"/>
  <c r="Y224" i="5"/>
  <c r="Y223" i="5"/>
  <c r="Y222" i="5"/>
  <c r="Y221" i="5"/>
  <c r="Y220" i="5"/>
  <c r="Y219" i="5"/>
  <c r="Y218" i="5"/>
  <c r="Y217" i="5"/>
  <c r="Y216" i="5"/>
  <c r="Y215" i="5"/>
  <c r="Y214" i="5"/>
  <c r="Y213" i="5"/>
  <c r="Y212" i="5"/>
  <c r="Y211" i="5"/>
  <c r="Y210" i="5"/>
  <c r="Y209" i="5"/>
  <c r="Y208" i="5"/>
  <c r="Y207" i="5"/>
  <c r="Y206" i="5"/>
  <c r="Y205" i="5"/>
  <c r="Y204" i="5"/>
  <c r="Y203" i="5"/>
  <c r="Y202" i="5"/>
  <c r="Y201" i="5"/>
  <c r="Y200" i="5"/>
  <c r="Y199" i="5"/>
  <c r="Y198" i="5"/>
  <c r="Y197" i="5"/>
  <c r="Y196" i="5"/>
  <c r="Y195" i="5"/>
  <c r="Y194" i="5"/>
  <c r="Y193" i="5"/>
  <c r="Y192" i="5"/>
  <c r="Y191" i="5"/>
  <c r="Y190" i="5"/>
  <c r="Y189" i="5"/>
  <c r="Y188" i="5"/>
  <c r="Y187" i="5"/>
  <c r="Y186" i="5"/>
  <c r="Y185" i="5"/>
  <c r="Y184" i="5"/>
  <c r="Y183" i="5"/>
  <c r="Y182" i="5"/>
  <c r="Y181" i="5"/>
  <c r="Y180" i="5"/>
  <c r="Y179" i="5"/>
  <c r="Y178" i="5"/>
  <c r="Y177" i="5"/>
  <c r="Y176" i="5"/>
  <c r="Y175" i="5"/>
  <c r="Y174" i="5"/>
  <c r="Y173" i="5"/>
  <c r="Y172" i="5"/>
  <c r="Y171" i="5"/>
  <c r="Y170" i="5"/>
  <c r="Y169" i="5"/>
  <c r="Y168" i="5"/>
  <c r="Y167" i="5"/>
  <c r="Y166" i="5"/>
  <c r="Y165" i="5"/>
  <c r="Y164" i="5"/>
  <c r="Y163" i="5"/>
  <c r="Y162" i="5"/>
  <c r="Y161" i="5"/>
  <c r="Y160" i="5"/>
  <c r="Y159" i="5"/>
  <c r="Y158" i="5"/>
  <c r="Y157" i="5"/>
  <c r="Y156" i="5"/>
  <c r="Y155" i="5"/>
  <c r="Y154" i="5"/>
  <c r="Y153" i="5"/>
  <c r="Y152" i="5"/>
  <c r="Y151" i="5"/>
  <c r="Y150" i="5"/>
  <c r="Y149" i="5"/>
  <c r="Y148" i="5"/>
  <c r="Y147" i="5"/>
  <c r="Y146" i="5"/>
  <c r="Y145" i="5"/>
  <c r="Y144" i="5"/>
  <c r="Y143" i="5"/>
  <c r="Y142" i="5"/>
  <c r="Y141" i="5"/>
  <c r="Y140" i="5"/>
  <c r="Y139" i="5"/>
  <c r="Y138" i="5"/>
  <c r="Y137" i="5"/>
  <c r="Y136" i="5"/>
  <c r="Y135" i="5"/>
  <c r="Y134" i="5"/>
  <c r="Y133" i="5"/>
  <c r="Y132" i="5"/>
  <c r="Y131" i="5"/>
  <c r="Y130" i="5"/>
  <c r="Y129" i="5"/>
  <c r="Y128" i="5"/>
  <c r="Y127" i="5"/>
  <c r="Y126" i="5"/>
  <c r="Y125" i="5"/>
  <c r="Y124" i="5"/>
  <c r="Y123" i="5"/>
  <c r="Y122" i="5"/>
  <c r="Y121" i="5"/>
  <c r="Y120" i="5"/>
  <c r="Y119" i="5"/>
  <c r="Y118" i="5"/>
  <c r="Y117" i="5"/>
  <c r="Y116" i="5"/>
  <c r="Y115" i="5"/>
  <c r="Y114" i="5"/>
  <c r="Y113" i="5"/>
  <c r="Y112" i="5"/>
  <c r="Y111" i="5"/>
  <c r="Y110" i="5"/>
  <c r="Y109" i="5"/>
  <c r="Y108" i="5"/>
  <c r="Y107" i="5"/>
  <c r="Y106" i="5"/>
  <c r="Y105" i="5"/>
  <c r="Y104" i="5"/>
  <c r="Y103" i="5"/>
  <c r="Y102" i="5"/>
  <c r="Y101" i="5"/>
  <c r="Y100" i="5"/>
  <c r="Y99" i="5"/>
  <c r="Y98" i="5"/>
  <c r="Y97" i="5"/>
  <c r="Y96" i="5"/>
  <c r="Y95" i="5"/>
  <c r="Y94" i="5"/>
  <c r="Y93" i="5"/>
  <c r="Y92" i="5"/>
  <c r="Y91" i="5"/>
  <c r="Y90" i="5"/>
  <c r="Y89" i="5"/>
  <c r="Y88" i="5"/>
  <c r="Y87" i="5"/>
  <c r="Y86" i="5"/>
  <c r="Y85" i="5"/>
  <c r="Y84" i="5"/>
  <c r="Y83" i="5"/>
  <c r="Y82" i="5"/>
  <c r="Y81" i="5"/>
  <c r="Y80" i="5"/>
  <c r="Y79" i="5"/>
  <c r="Y78" i="5"/>
  <c r="Y77" i="5"/>
  <c r="Y76" i="5"/>
  <c r="Y75" i="5"/>
  <c r="Y74" i="5"/>
  <c r="Y73" i="5"/>
  <c r="Y72" i="5"/>
  <c r="Y71" i="5"/>
  <c r="Y70" i="5"/>
  <c r="Y69" i="5"/>
  <c r="Y68" i="5"/>
  <c r="Y67" i="5"/>
  <c r="Y66" i="5"/>
  <c r="Y65" i="5"/>
  <c r="Y64" i="5"/>
  <c r="Y63" i="5"/>
  <c r="Y62" i="5"/>
  <c r="Y61" i="5"/>
  <c r="Y60" i="5"/>
  <c r="Y59" i="5"/>
  <c r="Y58" i="5"/>
  <c r="Y57" i="5"/>
  <c r="Y56" i="5"/>
  <c r="Y55" i="5"/>
  <c r="Y54" i="5"/>
  <c r="Y53" i="5"/>
  <c r="Y52" i="5"/>
  <c r="Y51" i="5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Y37" i="5"/>
  <c r="Y36" i="5"/>
  <c r="Y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4" i="5"/>
  <c r="X304" i="5"/>
  <c r="X303" i="5"/>
  <c r="X302" i="5"/>
  <c r="X301" i="5"/>
  <c r="X300" i="5"/>
  <c r="X299" i="5"/>
  <c r="X298" i="5"/>
  <c r="X297" i="5"/>
  <c r="X296" i="5"/>
  <c r="X295" i="5"/>
  <c r="X294" i="5"/>
  <c r="X293" i="5"/>
  <c r="X292" i="5"/>
  <c r="X291" i="5"/>
  <c r="X290" i="5"/>
  <c r="X289" i="5"/>
  <c r="X288" i="5"/>
  <c r="X287" i="5"/>
  <c r="X286" i="5"/>
  <c r="X285" i="5"/>
  <c r="X284" i="5"/>
  <c r="X283" i="5"/>
  <c r="X282" i="5"/>
  <c r="X281" i="5"/>
  <c r="X280" i="5"/>
  <c r="X279" i="5"/>
  <c r="X278" i="5"/>
  <c r="X277" i="5"/>
  <c r="X276" i="5"/>
  <c r="X275" i="5"/>
  <c r="X274" i="5"/>
  <c r="X273" i="5"/>
  <c r="X272" i="5"/>
  <c r="X271" i="5"/>
  <c r="X270" i="5"/>
  <c r="X269" i="5"/>
  <c r="X268" i="5"/>
  <c r="X267" i="5"/>
  <c r="X266" i="5"/>
  <c r="X265" i="5"/>
  <c r="X264" i="5"/>
  <c r="X263" i="5"/>
  <c r="X262" i="5"/>
  <c r="X261" i="5"/>
  <c r="X260" i="5"/>
  <c r="X259" i="5"/>
  <c r="X258" i="5"/>
  <c r="X257" i="5"/>
  <c r="X256" i="5"/>
  <c r="X255" i="5"/>
  <c r="X254" i="5"/>
  <c r="X253" i="5"/>
  <c r="X252" i="5"/>
  <c r="X251" i="5"/>
  <c r="X250" i="5"/>
  <c r="X249" i="5"/>
  <c r="X248" i="5"/>
  <c r="X247" i="5"/>
  <c r="X246" i="5"/>
  <c r="X245" i="5"/>
  <c r="X244" i="5"/>
  <c r="X243" i="5"/>
  <c r="X242" i="5"/>
  <c r="X241" i="5"/>
  <c r="X240" i="5"/>
  <c r="X239" i="5"/>
  <c r="X238" i="5"/>
  <c r="X237" i="5"/>
  <c r="X236" i="5"/>
  <c r="X235" i="5"/>
  <c r="X234" i="5"/>
  <c r="X233" i="5"/>
  <c r="X232" i="5"/>
  <c r="X231" i="5"/>
  <c r="X230" i="5"/>
  <c r="X229" i="5"/>
  <c r="X228" i="5"/>
  <c r="X227" i="5"/>
  <c r="X226" i="5"/>
  <c r="X225" i="5"/>
  <c r="X224" i="5"/>
  <c r="X223" i="5"/>
  <c r="X222" i="5"/>
  <c r="X221" i="5"/>
  <c r="X220" i="5"/>
  <c r="X219" i="5"/>
  <c r="X218" i="5"/>
  <c r="X217" i="5"/>
  <c r="X216" i="5"/>
  <c r="X215" i="5"/>
  <c r="X214" i="5"/>
  <c r="X213" i="5"/>
  <c r="X212" i="5"/>
  <c r="X211" i="5"/>
  <c r="X210" i="5"/>
  <c r="X209" i="5"/>
  <c r="X208" i="5"/>
  <c r="X207" i="5"/>
  <c r="X206" i="5"/>
  <c r="X205" i="5"/>
  <c r="X204" i="5"/>
  <c r="X203" i="5"/>
  <c r="X202" i="5"/>
  <c r="X201" i="5"/>
  <c r="X200" i="5"/>
  <c r="X199" i="5"/>
  <c r="X198" i="5"/>
  <c r="X197" i="5"/>
  <c r="X196" i="5"/>
  <c r="X195" i="5"/>
  <c r="X194" i="5"/>
  <c r="X193" i="5"/>
  <c r="X192" i="5"/>
  <c r="X191" i="5"/>
  <c r="X190" i="5"/>
  <c r="X189" i="5"/>
  <c r="X188" i="5"/>
  <c r="X187" i="5"/>
  <c r="X186" i="5"/>
  <c r="X185" i="5"/>
  <c r="X184" i="5"/>
  <c r="X183" i="5"/>
  <c r="X182" i="5"/>
  <c r="X181" i="5"/>
  <c r="X180" i="5"/>
  <c r="X179" i="5"/>
  <c r="X178" i="5"/>
  <c r="X177" i="5"/>
  <c r="X176" i="5"/>
  <c r="X175" i="5"/>
  <c r="X174" i="5"/>
  <c r="X173" i="5"/>
  <c r="X172" i="5"/>
  <c r="X171" i="5"/>
  <c r="X170" i="5"/>
  <c r="X169" i="5"/>
  <c r="X168" i="5"/>
  <c r="X167" i="5"/>
  <c r="X166" i="5"/>
  <c r="X165" i="5"/>
  <c r="X164" i="5"/>
  <c r="X163" i="5"/>
  <c r="X162" i="5"/>
  <c r="X161" i="5"/>
  <c r="X160" i="5"/>
  <c r="X159" i="5"/>
  <c r="X158" i="5"/>
  <c r="X157" i="5"/>
  <c r="X156" i="5"/>
  <c r="X155" i="5"/>
  <c r="X154" i="5"/>
  <c r="X153" i="5"/>
  <c r="X152" i="5"/>
  <c r="X151" i="5"/>
  <c r="X150" i="5"/>
  <c r="X149" i="5"/>
  <c r="X148" i="5"/>
  <c r="X147" i="5"/>
  <c r="X146" i="5"/>
  <c r="X145" i="5"/>
  <c r="X144" i="5"/>
  <c r="X143" i="5"/>
  <c r="X142" i="5"/>
  <c r="X141" i="5"/>
  <c r="X140" i="5"/>
  <c r="X139" i="5"/>
  <c r="X138" i="5"/>
  <c r="X137" i="5"/>
  <c r="X136" i="5"/>
  <c r="X135" i="5"/>
  <c r="X134" i="5"/>
  <c r="X133" i="5"/>
  <c r="X132" i="5"/>
  <c r="X131" i="5"/>
  <c r="X130" i="5"/>
  <c r="X129" i="5"/>
  <c r="X128" i="5"/>
  <c r="X127" i="5"/>
  <c r="X126" i="5"/>
  <c r="X125" i="5"/>
  <c r="X124" i="5"/>
  <c r="X123" i="5"/>
  <c r="X122" i="5"/>
  <c r="X121" i="5"/>
  <c r="X120" i="5"/>
  <c r="X119" i="5"/>
  <c r="X118" i="5"/>
  <c r="X117" i="5"/>
  <c r="X116" i="5"/>
  <c r="X115" i="5"/>
  <c r="X114" i="5"/>
  <c r="X113" i="5"/>
  <c r="X112" i="5"/>
  <c r="X111" i="5"/>
  <c r="X110" i="5"/>
  <c r="X109" i="5"/>
  <c r="X108" i="5"/>
  <c r="X107" i="5"/>
  <c r="X106" i="5"/>
  <c r="X105" i="5"/>
  <c r="X104" i="5"/>
  <c r="X103" i="5"/>
  <c r="X102" i="5"/>
  <c r="X101" i="5"/>
  <c r="X100" i="5"/>
  <c r="X99" i="5"/>
  <c r="X98" i="5"/>
  <c r="X97" i="5"/>
  <c r="X96" i="5"/>
  <c r="X95" i="5"/>
  <c r="X94" i="5"/>
  <c r="X93" i="5"/>
  <c r="X92" i="5"/>
  <c r="X91" i="5"/>
  <c r="X90" i="5"/>
  <c r="X89" i="5"/>
  <c r="X88" i="5"/>
  <c r="X87" i="5"/>
  <c r="X86" i="5"/>
  <c r="X85" i="5"/>
  <c r="X84" i="5"/>
  <c r="X83" i="5"/>
  <c r="X82" i="5"/>
  <c r="X81" i="5"/>
  <c r="X80" i="5"/>
  <c r="X79" i="5"/>
  <c r="X78" i="5"/>
  <c r="X77" i="5"/>
  <c r="X76" i="5"/>
  <c r="X75" i="5"/>
  <c r="X74" i="5"/>
  <c r="X73" i="5"/>
  <c r="X72" i="5"/>
  <c r="X71" i="5"/>
  <c r="X70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4" i="5"/>
  <c r="W304" i="5"/>
  <c r="W303" i="5"/>
  <c r="W302" i="5"/>
  <c r="W301" i="5"/>
  <c r="W300" i="5"/>
  <c r="W299" i="5"/>
  <c r="W298" i="5"/>
  <c r="W297" i="5"/>
  <c r="W296" i="5"/>
  <c r="W295" i="5"/>
  <c r="W294" i="5"/>
  <c r="W293" i="5"/>
  <c r="W292" i="5"/>
  <c r="W291" i="5"/>
  <c r="W290" i="5"/>
  <c r="W289" i="5"/>
  <c r="W288" i="5"/>
  <c r="W287" i="5"/>
  <c r="W286" i="5"/>
  <c r="W285" i="5"/>
  <c r="W284" i="5"/>
  <c r="W283" i="5"/>
  <c r="W282" i="5"/>
  <c r="W281" i="5"/>
  <c r="W280" i="5"/>
  <c r="W279" i="5"/>
  <c r="W278" i="5"/>
  <c r="W277" i="5"/>
  <c r="W276" i="5"/>
  <c r="W275" i="5"/>
  <c r="W274" i="5"/>
  <c r="W273" i="5"/>
  <c r="W272" i="5"/>
  <c r="W271" i="5"/>
  <c r="W270" i="5"/>
  <c r="W269" i="5"/>
  <c r="W268" i="5"/>
  <c r="W267" i="5"/>
  <c r="W266" i="5"/>
  <c r="W265" i="5"/>
  <c r="W264" i="5"/>
  <c r="W263" i="5"/>
  <c r="W262" i="5"/>
  <c r="W261" i="5"/>
  <c r="W260" i="5"/>
  <c r="W259" i="5"/>
  <c r="W258" i="5"/>
  <c r="W257" i="5"/>
  <c r="W256" i="5"/>
  <c r="W255" i="5"/>
  <c r="W254" i="5"/>
  <c r="W253" i="5"/>
  <c r="W252" i="5"/>
  <c r="W251" i="5"/>
  <c r="W250" i="5"/>
  <c r="W249" i="5"/>
  <c r="W248" i="5"/>
  <c r="W247" i="5"/>
  <c r="W246" i="5"/>
  <c r="W245" i="5"/>
  <c r="W244" i="5"/>
  <c r="W243" i="5"/>
  <c r="W242" i="5"/>
  <c r="W241" i="5"/>
  <c r="W240" i="5"/>
  <c r="W239" i="5"/>
  <c r="W238" i="5"/>
  <c r="W237" i="5"/>
  <c r="W236" i="5"/>
  <c r="W235" i="5"/>
  <c r="W234" i="5"/>
  <c r="W233" i="5"/>
  <c r="W232" i="5"/>
  <c r="W231" i="5"/>
  <c r="W230" i="5"/>
  <c r="W229" i="5"/>
  <c r="W228" i="5"/>
  <c r="W227" i="5"/>
  <c r="W226" i="5"/>
  <c r="W225" i="5"/>
  <c r="W224" i="5"/>
  <c r="W223" i="5"/>
  <c r="W222" i="5"/>
  <c r="W221" i="5"/>
  <c r="W220" i="5"/>
  <c r="W219" i="5"/>
  <c r="W218" i="5"/>
  <c r="W217" i="5"/>
  <c r="W216" i="5"/>
  <c r="W215" i="5"/>
  <c r="W214" i="5"/>
  <c r="W213" i="5"/>
  <c r="W212" i="5"/>
  <c r="W211" i="5"/>
  <c r="W210" i="5"/>
  <c r="W209" i="5"/>
  <c r="W208" i="5"/>
  <c r="W207" i="5"/>
  <c r="W206" i="5"/>
  <c r="W205" i="5"/>
  <c r="W204" i="5"/>
  <c r="W203" i="5"/>
  <c r="W202" i="5"/>
  <c r="W201" i="5"/>
  <c r="W200" i="5"/>
  <c r="W199" i="5"/>
  <c r="W198" i="5"/>
  <c r="W197" i="5"/>
  <c r="W196" i="5"/>
  <c r="W195" i="5"/>
  <c r="W194" i="5"/>
  <c r="W193" i="5"/>
  <c r="W192" i="5"/>
  <c r="W191" i="5"/>
  <c r="W190" i="5"/>
  <c r="W189" i="5"/>
  <c r="W188" i="5"/>
  <c r="W187" i="5"/>
  <c r="W186" i="5"/>
  <c r="W185" i="5"/>
  <c r="W184" i="5"/>
  <c r="W183" i="5"/>
  <c r="W182" i="5"/>
  <c r="W181" i="5"/>
  <c r="W180" i="5"/>
  <c r="W179" i="5"/>
  <c r="W178" i="5"/>
  <c r="W177" i="5"/>
  <c r="W176" i="5"/>
  <c r="W175" i="5"/>
  <c r="W174" i="5"/>
  <c r="W173" i="5"/>
  <c r="W172" i="5"/>
  <c r="W171" i="5"/>
  <c r="W170" i="5"/>
  <c r="W169" i="5"/>
  <c r="W168" i="5"/>
  <c r="W167" i="5"/>
  <c r="W166" i="5"/>
  <c r="W165" i="5"/>
  <c r="W164" i="5"/>
  <c r="W163" i="5"/>
  <c r="W162" i="5"/>
  <c r="W161" i="5"/>
  <c r="W160" i="5"/>
  <c r="W159" i="5"/>
  <c r="W158" i="5"/>
  <c r="W157" i="5"/>
  <c r="W156" i="5"/>
  <c r="W155" i="5"/>
  <c r="W154" i="5"/>
  <c r="W153" i="5"/>
  <c r="W152" i="5"/>
  <c r="W151" i="5"/>
  <c r="W150" i="5"/>
  <c r="W149" i="5"/>
  <c r="W148" i="5"/>
  <c r="W147" i="5"/>
  <c r="W146" i="5"/>
  <c r="W145" i="5"/>
  <c r="W144" i="5"/>
  <c r="W143" i="5"/>
  <c r="W142" i="5"/>
  <c r="W141" i="5"/>
  <c r="W140" i="5"/>
  <c r="W139" i="5"/>
  <c r="W138" i="5"/>
  <c r="W137" i="5"/>
  <c r="W136" i="5"/>
  <c r="W135" i="5"/>
  <c r="W134" i="5"/>
  <c r="W133" i="5"/>
  <c r="W132" i="5"/>
  <c r="W131" i="5"/>
  <c r="W130" i="5"/>
  <c r="W129" i="5"/>
  <c r="W128" i="5"/>
  <c r="W127" i="5"/>
  <c r="W126" i="5"/>
  <c r="W125" i="5"/>
  <c r="W124" i="5"/>
  <c r="W123" i="5"/>
  <c r="W122" i="5"/>
  <c r="W121" i="5"/>
  <c r="W120" i="5"/>
  <c r="W119" i="5"/>
  <c r="W118" i="5"/>
  <c r="W117" i="5"/>
  <c r="W116" i="5"/>
  <c r="W115" i="5"/>
  <c r="W114" i="5"/>
  <c r="W113" i="5"/>
  <c r="W112" i="5"/>
  <c r="W111" i="5"/>
  <c r="W110" i="5"/>
  <c r="W109" i="5"/>
  <c r="W108" i="5"/>
  <c r="W107" i="5"/>
  <c r="W106" i="5"/>
  <c r="W105" i="5"/>
  <c r="W104" i="5"/>
  <c r="W103" i="5"/>
  <c r="W102" i="5"/>
  <c r="W101" i="5"/>
  <c r="W100" i="5"/>
  <c r="W99" i="5"/>
  <c r="W98" i="5"/>
  <c r="W97" i="5"/>
  <c r="W96" i="5"/>
  <c r="W95" i="5"/>
  <c r="W94" i="5"/>
  <c r="W93" i="5"/>
  <c r="W92" i="5"/>
  <c r="W91" i="5"/>
  <c r="W90" i="5"/>
  <c r="W89" i="5"/>
  <c r="W88" i="5"/>
  <c r="W87" i="5"/>
  <c r="W86" i="5"/>
  <c r="W85" i="5"/>
  <c r="W84" i="5"/>
  <c r="W83" i="5"/>
  <c r="W82" i="5"/>
  <c r="W81" i="5"/>
  <c r="W80" i="5"/>
  <c r="W79" i="5"/>
  <c r="W78" i="5"/>
  <c r="W77" i="5"/>
  <c r="W76" i="5"/>
  <c r="W75" i="5"/>
  <c r="W74" i="5"/>
  <c r="W73" i="5"/>
  <c r="W72" i="5"/>
  <c r="W71" i="5"/>
  <c r="W70" i="5"/>
  <c r="W69" i="5"/>
  <c r="W68" i="5"/>
  <c r="W67" i="5"/>
  <c r="W66" i="5"/>
  <c r="W65" i="5"/>
  <c r="W64" i="5"/>
  <c r="W63" i="5"/>
  <c r="W62" i="5"/>
  <c r="W61" i="5"/>
  <c r="W60" i="5"/>
  <c r="W59" i="5"/>
  <c r="W58" i="5"/>
  <c r="W57" i="5"/>
  <c r="W56" i="5"/>
  <c r="W55" i="5"/>
  <c r="W54" i="5"/>
  <c r="W53" i="5"/>
  <c r="W52" i="5"/>
  <c r="W51" i="5"/>
  <c r="W50" i="5"/>
  <c r="W49" i="5"/>
  <c r="W48" i="5"/>
  <c r="W47" i="5"/>
  <c r="W46" i="5"/>
  <c r="W45" i="5"/>
  <c r="W44" i="5"/>
  <c r="W43" i="5"/>
  <c r="W42" i="5"/>
  <c r="W41" i="5"/>
  <c r="W40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4" i="5"/>
  <c r="V304" i="5"/>
  <c r="V303" i="5"/>
  <c r="V302" i="5"/>
  <c r="V301" i="5"/>
  <c r="V300" i="5"/>
  <c r="V299" i="5"/>
  <c r="V298" i="5"/>
  <c r="V297" i="5"/>
  <c r="V296" i="5"/>
  <c r="V295" i="5"/>
  <c r="V294" i="5"/>
  <c r="V293" i="5"/>
  <c r="V292" i="5"/>
  <c r="V291" i="5"/>
  <c r="V290" i="5"/>
  <c r="V289" i="5"/>
  <c r="V288" i="5"/>
  <c r="V287" i="5"/>
  <c r="V286" i="5"/>
  <c r="V285" i="5"/>
  <c r="V284" i="5"/>
  <c r="V283" i="5"/>
  <c r="V282" i="5"/>
  <c r="V281" i="5"/>
  <c r="V280" i="5"/>
  <c r="V279" i="5"/>
  <c r="V278" i="5"/>
  <c r="V277" i="5"/>
  <c r="V276" i="5"/>
  <c r="V275" i="5"/>
  <c r="V274" i="5"/>
  <c r="V273" i="5"/>
  <c r="V272" i="5"/>
  <c r="V271" i="5"/>
  <c r="V270" i="5"/>
  <c r="V269" i="5"/>
  <c r="V268" i="5"/>
  <c r="V267" i="5"/>
  <c r="V266" i="5"/>
  <c r="V265" i="5"/>
  <c r="V264" i="5"/>
  <c r="V263" i="5"/>
  <c r="V262" i="5"/>
  <c r="V261" i="5"/>
  <c r="V260" i="5"/>
  <c r="V259" i="5"/>
  <c r="V258" i="5"/>
  <c r="V257" i="5"/>
  <c r="V256" i="5"/>
  <c r="V255" i="5"/>
  <c r="V254" i="5"/>
  <c r="V253" i="5"/>
  <c r="V252" i="5"/>
  <c r="V251" i="5"/>
  <c r="V250" i="5"/>
  <c r="V249" i="5"/>
  <c r="V248" i="5"/>
  <c r="V247" i="5"/>
  <c r="V246" i="5"/>
  <c r="V245" i="5"/>
  <c r="V244" i="5"/>
  <c r="V243" i="5"/>
  <c r="V242" i="5"/>
  <c r="V241" i="5"/>
  <c r="V240" i="5"/>
  <c r="V239" i="5"/>
  <c r="V238" i="5"/>
  <c r="V237" i="5"/>
  <c r="V236" i="5"/>
  <c r="V235" i="5"/>
  <c r="V234" i="5"/>
  <c r="V233" i="5"/>
  <c r="V232" i="5"/>
  <c r="V231" i="5"/>
  <c r="V230" i="5"/>
  <c r="V229" i="5"/>
  <c r="V228" i="5"/>
  <c r="V227" i="5"/>
  <c r="V226" i="5"/>
  <c r="V225" i="5"/>
  <c r="V224" i="5"/>
  <c r="V223" i="5"/>
  <c r="V222" i="5"/>
  <c r="V221" i="5"/>
  <c r="V220" i="5"/>
  <c r="V219" i="5"/>
  <c r="V218" i="5"/>
  <c r="V217" i="5"/>
  <c r="V216" i="5"/>
  <c r="V215" i="5"/>
  <c r="V214" i="5"/>
  <c r="V213" i="5"/>
  <c r="V212" i="5"/>
  <c r="V211" i="5"/>
  <c r="V210" i="5"/>
  <c r="V209" i="5"/>
  <c r="V208" i="5"/>
  <c r="V207" i="5"/>
  <c r="V206" i="5"/>
  <c r="V205" i="5"/>
  <c r="V204" i="5"/>
  <c r="V203" i="5"/>
  <c r="V202" i="5"/>
  <c r="V201" i="5"/>
  <c r="V200" i="5"/>
  <c r="V199" i="5"/>
  <c r="V198" i="5"/>
  <c r="V197" i="5"/>
  <c r="V196" i="5"/>
  <c r="V195" i="5"/>
  <c r="V194" i="5"/>
  <c r="V193" i="5"/>
  <c r="V192" i="5"/>
  <c r="V191" i="5"/>
  <c r="V190" i="5"/>
  <c r="V189" i="5"/>
  <c r="V188" i="5"/>
  <c r="V187" i="5"/>
  <c r="V186" i="5"/>
  <c r="V185" i="5"/>
  <c r="V184" i="5"/>
  <c r="V183" i="5"/>
  <c r="V182" i="5"/>
  <c r="V181" i="5"/>
  <c r="V180" i="5"/>
  <c r="V179" i="5"/>
  <c r="V178" i="5"/>
  <c r="V177" i="5"/>
  <c r="V176" i="5"/>
  <c r="V175" i="5"/>
  <c r="V174" i="5"/>
  <c r="V173" i="5"/>
  <c r="V172" i="5"/>
  <c r="V171" i="5"/>
  <c r="V170" i="5"/>
  <c r="V169" i="5"/>
  <c r="V168" i="5"/>
  <c r="V167" i="5"/>
  <c r="V166" i="5"/>
  <c r="V165" i="5"/>
  <c r="V164" i="5"/>
  <c r="V163" i="5"/>
  <c r="V162" i="5"/>
  <c r="V161" i="5"/>
  <c r="V160" i="5"/>
  <c r="V159" i="5"/>
  <c r="V158" i="5"/>
  <c r="V157" i="5"/>
  <c r="V156" i="5"/>
  <c r="V155" i="5"/>
  <c r="V154" i="5"/>
  <c r="V153" i="5"/>
  <c r="V152" i="5"/>
  <c r="V151" i="5"/>
  <c r="V150" i="5"/>
  <c r="V149" i="5"/>
  <c r="V148" i="5"/>
  <c r="V147" i="5"/>
  <c r="V146" i="5"/>
  <c r="V145" i="5"/>
  <c r="V144" i="5"/>
  <c r="V143" i="5"/>
  <c r="V142" i="5"/>
  <c r="V141" i="5"/>
  <c r="V140" i="5"/>
  <c r="V139" i="5"/>
  <c r="V138" i="5"/>
  <c r="V137" i="5"/>
  <c r="V136" i="5"/>
  <c r="V135" i="5"/>
  <c r="V134" i="5"/>
  <c r="V133" i="5"/>
  <c r="V132" i="5"/>
  <c r="V131" i="5"/>
  <c r="V130" i="5"/>
  <c r="V129" i="5"/>
  <c r="V128" i="5"/>
  <c r="V127" i="5"/>
  <c r="V126" i="5"/>
  <c r="V125" i="5"/>
  <c r="V124" i="5"/>
  <c r="V123" i="5"/>
  <c r="V122" i="5"/>
  <c r="V121" i="5"/>
  <c r="V120" i="5"/>
  <c r="V119" i="5"/>
  <c r="V118" i="5"/>
  <c r="V117" i="5"/>
  <c r="V116" i="5"/>
  <c r="V115" i="5"/>
  <c r="V114" i="5"/>
  <c r="V113" i="5"/>
  <c r="V112" i="5"/>
  <c r="V111" i="5"/>
  <c r="V110" i="5"/>
  <c r="V109" i="5"/>
  <c r="V108" i="5"/>
  <c r="V107" i="5"/>
  <c r="V106" i="5"/>
  <c r="V105" i="5"/>
  <c r="V104" i="5"/>
  <c r="V103" i="5"/>
  <c r="V102" i="5"/>
  <c r="V101" i="5"/>
  <c r="V100" i="5"/>
  <c r="V99" i="5"/>
  <c r="V98" i="5"/>
  <c r="V97" i="5"/>
  <c r="V96" i="5"/>
  <c r="V95" i="5"/>
  <c r="V94" i="5"/>
  <c r="V93" i="5"/>
  <c r="V92" i="5"/>
  <c r="V91" i="5"/>
  <c r="V90" i="5"/>
  <c r="V89" i="5"/>
  <c r="V88" i="5"/>
  <c r="V87" i="5"/>
  <c r="V86" i="5"/>
  <c r="V85" i="5"/>
  <c r="V84" i="5"/>
  <c r="V83" i="5"/>
  <c r="V82" i="5"/>
  <c r="V81" i="5"/>
  <c r="V80" i="5"/>
  <c r="V79" i="5"/>
  <c r="V78" i="5"/>
  <c r="V77" i="5"/>
  <c r="V76" i="5"/>
  <c r="V75" i="5"/>
  <c r="V74" i="5"/>
  <c r="V73" i="5"/>
  <c r="V72" i="5"/>
  <c r="V71" i="5"/>
  <c r="V70" i="5"/>
  <c r="V69" i="5"/>
  <c r="V68" i="5"/>
  <c r="V67" i="5"/>
  <c r="V66" i="5"/>
  <c r="V65" i="5"/>
  <c r="V64" i="5"/>
  <c r="V63" i="5"/>
  <c r="V62" i="5"/>
  <c r="V61" i="5"/>
  <c r="V60" i="5"/>
  <c r="V59" i="5"/>
  <c r="V58" i="5"/>
  <c r="V57" i="5"/>
  <c r="V56" i="5"/>
  <c r="V55" i="5"/>
  <c r="V54" i="5"/>
  <c r="V53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U304" i="5"/>
  <c r="U303" i="5"/>
  <c r="U302" i="5"/>
  <c r="U301" i="5"/>
  <c r="U300" i="5"/>
  <c r="U299" i="5"/>
  <c r="U298" i="5"/>
  <c r="U297" i="5"/>
  <c r="U296" i="5"/>
  <c r="U295" i="5"/>
  <c r="U294" i="5"/>
  <c r="U293" i="5"/>
  <c r="U292" i="5"/>
  <c r="U291" i="5"/>
  <c r="U290" i="5"/>
  <c r="U289" i="5"/>
  <c r="U288" i="5"/>
  <c r="U287" i="5"/>
  <c r="U286" i="5"/>
  <c r="U285" i="5"/>
  <c r="U284" i="5"/>
  <c r="U283" i="5"/>
  <c r="U282" i="5"/>
  <c r="U281" i="5"/>
  <c r="U280" i="5"/>
  <c r="U279" i="5"/>
  <c r="U278" i="5"/>
  <c r="U277" i="5"/>
  <c r="U276" i="5"/>
  <c r="U275" i="5"/>
  <c r="U274" i="5"/>
  <c r="U273" i="5"/>
  <c r="U272" i="5"/>
  <c r="U271" i="5"/>
  <c r="U270" i="5"/>
  <c r="U269" i="5"/>
  <c r="U268" i="5"/>
  <c r="U267" i="5"/>
  <c r="U266" i="5"/>
  <c r="U265" i="5"/>
  <c r="U264" i="5"/>
  <c r="U263" i="5"/>
  <c r="U262" i="5"/>
  <c r="U261" i="5"/>
  <c r="U260" i="5"/>
  <c r="U259" i="5"/>
  <c r="U258" i="5"/>
  <c r="U257" i="5"/>
  <c r="U256" i="5"/>
  <c r="U255" i="5"/>
  <c r="U254" i="5"/>
  <c r="U253" i="5"/>
  <c r="U252" i="5"/>
  <c r="U251" i="5"/>
  <c r="U250" i="5"/>
  <c r="U249" i="5"/>
  <c r="U248" i="5"/>
  <c r="U247" i="5"/>
  <c r="U246" i="5"/>
  <c r="U245" i="5"/>
  <c r="U244" i="5"/>
  <c r="U243" i="5"/>
  <c r="U242" i="5"/>
  <c r="U241" i="5"/>
  <c r="U240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7" i="5"/>
  <c r="U226" i="5"/>
  <c r="U225" i="5"/>
  <c r="U224" i="5"/>
  <c r="U223" i="5"/>
  <c r="U222" i="5"/>
  <c r="U221" i="5"/>
  <c r="U220" i="5"/>
  <c r="U219" i="5"/>
  <c r="U218" i="5"/>
  <c r="U217" i="5"/>
  <c r="U216" i="5"/>
  <c r="U215" i="5"/>
  <c r="U214" i="5"/>
  <c r="U213" i="5"/>
  <c r="U212" i="5"/>
  <c r="U211" i="5"/>
  <c r="U210" i="5"/>
  <c r="U209" i="5"/>
  <c r="U208" i="5"/>
  <c r="U207" i="5"/>
  <c r="U206" i="5"/>
  <c r="U205" i="5"/>
  <c r="U204" i="5"/>
  <c r="U203" i="5"/>
  <c r="U202" i="5"/>
  <c r="U201" i="5"/>
  <c r="U200" i="5"/>
  <c r="U199" i="5"/>
  <c r="U198" i="5"/>
  <c r="U197" i="5"/>
  <c r="U196" i="5"/>
  <c r="U195" i="5"/>
  <c r="U194" i="5"/>
  <c r="U193" i="5"/>
  <c r="U192" i="5"/>
  <c r="U191" i="5"/>
  <c r="U190" i="5"/>
  <c r="U189" i="5"/>
  <c r="U188" i="5"/>
  <c r="U187" i="5"/>
  <c r="U186" i="5"/>
  <c r="U185" i="5"/>
  <c r="U184" i="5"/>
  <c r="U183" i="5"/>
  <c r="U182" i="5"/>
  <c r="U181" i="5"/>
  <c r="U180" i="5"/>
  <c r="U179" i="5"/>
  <c r="U178" i="5"/>
  <c r="U177" i="5"/>
  <c r="U176" i="5"/>
  <c r="U175" i="5"/>
  <c r="U174" i="5"/>
  <c r="U173" i="5"/>
  <c r="U172" i="5"/>
  <c r="U171" i="5"/>
  <c r="U170" i="5"/>
  <c r="U169" i="5"/>
  <c r="U168" i="5"/>
  <c r="U167" i="5"/>
  <c r="U166" i="5"/>
  <c r="U165" i="5"/>
  <c r="U164" i="5"/>
  <c r="U163" i="5"/>
  <c r="U162" i="5"/>
  <c r="U161" i="5"/>
  <c r="U160" i="5"/>
  <c r="U159" i="5"/>
  <c r="U158" i="5"/>
  <c r="U157" i="5"/>
  <c r="U156" i="5"/>
  <c r="U155" i="5"/>
  <c r="U154" i="5"/>
  <c r="U153" i="5"/>
  <c r="U152" i="5"/>
  <c r="U151" i="5"/>
  <c r="U150" i="5"/>
  <c r="U149" i="5"/>
  <c r="U148" i="5"/>
  <c r="U147" i="5"/>
  <c r="U146" i="5"/>
  <c r="U145" i="5"/>
  <c r="U144" i="5"/>
  <c r="U143" i="5"/>
  <c r="U142" i="5"/>
  <c r="U141" i="5"/>
  <c r="U140" i="5"/>
  <c r="U139" i="5"/>
  <c r="U138" i="5"/>
  <c r="U137" i="5"/>
  <c r="U136" i="5"/>
  <c r="U135" i="5"/>
  <c r="U134" i="5"/>
  <c r="U133" i="5"/>
  <c r="U132" i="5"/>
  <c r="U131" i="5"/>
  <c r="U130" i="5"/>
  <c r="U129" i="5"/>
  <c r="U128" i="5"/>
  <c r="U127" i="5"/>
  <c r="U126" i="5"/>
  <c r="U125" i="5"/>
  <c r="U124" i="5"/>
  <c r="U123" i="5"/>
  <c r="U122" i="5"/>
  <c r="U121" i="5"/>
  <c r="U120" i="5"/>
  <c r="U119" i="5"/>
  <c r="U118" i="5"/>
  <c r="U117" i="5"/>
  <c r="U116" i="5"/>
  <c r="U115" i="5"/>
  <c r="U114" i="5"/>
  <c r="U113" i="5"/>
  <c r="U112" i="5"/>
  <c r="U111" i="5"/>
  <c r="U110" i="5"/>
  <c r="U109" i="5"/>
  <c r="U108" i="5"/>
  <c r="U107" i="5"/>
  <c r="U106" i="5"/>
  <c r="U105" i="5"/>
  <c r="U104" i="5"/>
  <c r="U103" i="5"/>
  <c r="U102" i="5"/>
  <c r="U101" i="5"/>
  <c r="U100" i="5"/>
  <c r="U99" i="5"/>
  <c r="U98" i="5"/>
  <c r="U97" i="5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U82" i="5"/>
  <c r="U81" i="5"/>
  <c r="U80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4" i="5"/>
  <c r="V204" i="4"/>
  <c r="V203" i="4"/>
  <c r="V202" i="4"/>
  <c r="V201" i="4"/>
  <c r="V200" i="4"/>
  <c r="V199" i="4"/>
  <c r="V198" i="4"/>
  <c r="V197" i="4"/>
  <c r="V196" i="4"/>
  <c r="V195" i="4"/>
  <c r="V194" i="4"/>
  <c r="V193" i="4"/>
  <c r="V192" i="4"/>
  <c r="V191" i="4"/>
  <c r="V190" i="4"/>
  <c r="V189" i="4"/>
  <c r="V188" i="4"/>
  <c r="V187" i="4"/>
  <c r="V186" i="4"/>
  <c r="V185" i="4"/>
  <c r="V184" i="4"/>
  <c r="V183" i="4"/>
  <c r="V182" i="4"/>
  <c r="V181" i="4"/>
  <c r="V180" i="4"/>
  <c r="V179" i="4"/>
  <c r="V178" i="4"/>
  <c r="V177" i="4"/>
  <c r="V176" i="4"/>
  <c r="V175" i="4"/>
  <c r="V174" i="4"/>
  <c r="V173" i="4"/>
  <c r="V172" i="4"/>
  <c r="V171" i="4"/>
  <c r="V170" i="4"/>
  <c r="V169" i="4"/>
  <c r="V168" i="4"/>
  <c r="V167" i="4"/>
  <c r="V166" i="4"/>
  <c r="V165" i="4"/>
  <c r="V164" i="4"/>
  <c r="V163" i="4"/>
  <c r="V162" i="4"/>
  <c r="V161" i="4"/>
  <c r="V160" i="4"/>
  <c r="V159" i="4"/>
  <c r="V158" i="4"/>
  <c r="V157" i="4"/>
  <c r="V156" i="4"/>
  <c r="V155" i="4"/>
  <c r="V154" i="4"/>
  <c r="V153" i="4"/>
  <c r="V152" i="4"/>
  <c r="V151" i="4"/>
  <c r="V150" i="4"/>
  <c r="V149" i="4"/>
  <c r="V148" i="4"/>
  <c r="V147" i="4"/>
  <c r="V146" i="4"/>
  <c r="V145" i="4"/>
  <c r="V144" i="4"/>
  <c r="V143" i="4"/>
  <c r="V142" i="4"/>
  <c r="V141" i="4"/>
  <c r="V140" i="4"/>
  <c r="V139" i="4"/>
  <c r="V138" i="4"/>
  <c r="V137" i="4"/>
  <c r="V136" i="4"/>
  <c r="V135" i="4"/>
  <c r="V134" i="4"/>
  <c r="V133" i="4"/>
  <c r="V132" i="4"/>
  <c r="V131" i="4"/>
  <c r="V130" i="4"/>
  <c r="V129" i="4"/>
  <c r="V128" i="4"/>
  <c r="V127" i="4"/>
  <c r="V126" i="4"/>
  <c r="V125" i="4"/>
  <c r="V124" i="4"/>
  <c r="V123" i="4"/>
  <c r="V122" i="4"/>
  <c r="V121" i="4"/>
  <c r="V120" i="4"/>
  <c r="V119" i="4"/>
  <c r="V118" i="4"/>
  <c r="V117" i="4"/>
  <c r="V116" i="4"/>
  <c r="V115" i="4"/>
  <c r="V114" i="4"/>
  <c r="V113" i="4"/>
  <c r="V112" i="4"/>
  <c r="V111" i="4"/>
  <c r="V110" i="4"/>
  <c r="V109" i="4"/>
  <c r="V108" i="4"/>
  <c r="V107" i="4"/>
  <c r="V106" i="4"/>
  <c r="V105" i="4"/>
  <c r="V104" i="4"/>
  <c r="V103" i="4"/>
  <c r="V102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4" i="4"/>
  <c r="U204" i="4"/>
  <c r="U203" i="4"/>
  <c r="U202" i="4"/>
  <c r="U201" i="4"/>
  <c r="U200" i="4"/>
  <c r="U199" i="4"/>
  <c r="U198" i="4"/>
  <c r="U197" i="4"/>
  <c r="U196" i="4"/>
  <c r="U195" i="4"/>
  <c r="U194" i="4"/>
  <c r="U193" i="4"/>
  <c r="U192" i="4"/>
  <c r="U191" i="4"/>
  <c r="U190" i="4"/>
  <c r="U189" i="4"/>
  <c r="U188" i="4"/>
  <c r="U187" i="4"/>
  <c r="U186" i="4"/>
  <c r="U185" i="4"/>
  <c r="U184" i="4"/>
  <c r="U183" i="4"/>
  <c r="U182" i="4"/>
  <c r="U181" i="4"/>
  <c r="U180" i="4"/>
  <c r="U179" i="4"/>
  <c r="U178" i="4"/>
  <c r="U177" i="4"/>
  <c r="U176" i="4"/>
  <c r="U175" i="4"/>
  <c r="U174" i="4"/>
  <c r="U173" i="4"/>
  <c r="U172" i="4"/>
  <c r="U171" i="4"/>
  <c r="U170" i="4"/>
  <c r="U169" i="4"/>
  <c r="U168" i="4"/>
  <c r="U167" i="4"/>
  <c r="U166" i="4"/>
  <c r="U165" i="4"/>
  <c r="U164" i="4"/>
  <c r="U163" i="4"/>
  <c r="U162" i="4"/>
  <c r="U161" i="4"/>
  <c r="U160" i="4"/>
  <c r="U159" i="4"/>
  <c r="U158" i="4"/>
  <c r="U157" i="4"/>
  <c r="U156" i="4"/>
  <c r="U155" i="4"/>
  <c r="U154" i="4"/>
  <c r="U153" i="4"/>
  <c r="U152" i="4"/>
  <c r="U151" i="4"/>
  <c r="U150" i="4"/>
  <c r="U149" i="4"/>
  <c r="U148" i="4"/>
  <c r="U147" i="4"/>
  <c r="U146" i="4"/>
  <c r="U145" i="4"/>
  <c r="U144" i="4"/>
  <c r="U143" i="4"/>
  <c r="U142" i="4"/>
  <c r="U141" i="4"/>
  <c r="U140" i="4"/>
  <c r="U139" i="4"/>
  <c r="U138" i="4"/>
  <c r="U137" i="4"/>
  <c r="U136" i="4"/>
  <c r="U135" i="4"/>
  <c r="U134" i="4"/>
  <c r="U133" i="4"/>
  <c r="U132" i="4"/>
  <c r="U131" i="4"/>
  <c r="U130" i="4"/>
  <c r="U129" i="4"/>
  <c r="U128" i="4"/>
  <c r="U127" i="4"/>
  <c r="U126" i="4"/>
  <c r="U125" i="4"/>
  <c r="U124" i="4"/>
  <c r="U123" i="4"/>
  <c r="U122" i="4"/>
  <c r="U121" i="4"/>
  <c r="U120" i="4"/>
  <c r="U119" i="4"/>
  <c r="U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4" i="4"/>
  <c r="T204" i="4"/>
  <c r="T203" i="4"/>
  <c r="T202" i="4"/>
  <c r="T201" i="4"/>
  <c r="T200" i="4"/>
  <c r="T199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4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4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4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4" i="4"/>
  <c r="R11" i="5"/>
  <c r="R10" i="5"/>
  <c r="R9" i="5"/>
  <c r="S11" i="5"/>
  <c r="S10" i="5"/>
  <c r="H5" i="8"/>
  <c r="F5" i="8"/>
  <c r="E5" i="8"/>
  <c r="C5" i="8"/>
  <c r="H4" i="8"/>
  <c r="G4" i="8"/>
  <c r="F4" i="8"/>
  <c r="E4" i="8"/>
  <c r="D4" i="8"/>
  <c r="C4" i="8"/>
  <c r="B4" i="8"/>
  <c r="A4" i="8"/>
  <c r="A2" i="8"/>
  <c r="A1" i="8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K4" i="7"/>
  <c r="J4" i="7"/>
  <c r="I4" i="7"/>
  <c r="H4" i="7"/>
  <c r="G4" i="7"/>
  <c r="F4" i="7"/>
  <c r="E4" i="7"/>
  <c r="D4" i="7"/>
  <c r="C4" i="7"/>
  <c r="B4" i="7"/>
  <c r="A4" i="7"/>
  <c r="A2" i="7"/>
  <c r="A1" i="7"/>
  <c r="O5" i="6"/>
  <c r="K5" i="6"/>
  <c r="J5" i="6"/>
  <c r="G5" i="6"/>
  <c r="F5" i="6"/>
  <c r="E5" i="6"/>
  <c r="D5" i="6"/>
  <c r="C5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A2" i="6"/>
  <c r="A1" i="6"/>
  <c r="S304" i="5"/>
  <c r="S303" i="5"/>
  <c r="S302" i="5"/>
  <c r="S301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4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O8" i="5"/>
  <c r="N8" i="5"/>
  <c r="I8" i="5"/>
  <c r="G8" i="5"/>
  <c r="F8" i="5"/>
  <c r="E8" i="5"/>
  <c r="O7" i="5"/>
  <c r="I7" i="5"/>
  <c r="G7" i="5"/>
  <c r="F7" i="5"/>
  <c r="E7" i="5"/>
  <c r="O6" i="5"/>
  <c r="N6" i="5"/>
  <c r="G6" i="5"/>
  <c r="F6" i="5"/>
  <c r="E6" i="5"/>
  <c r="O5" i="5"/>
  <c r="I5" i="5"/>
  <c r="H5" i="5"/>
  <c r="G5" i="5"/>
  <c r="F5" i="5"/>
  <c r="E5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A2" i="5"/>
  <c r="A1" i="5"/>
  <c r="P7" i="4"/>
  <c r="E7" i="4"/>
  <c r="D7" i="4"/>
  <c r="P6" i="4"/>
  <c r="E6" i="4"/>
  <c r="D6" i="4"/>
  <c r="P5" i="4"/>
  <c r="F5" i="4"/>
  <c r="E5" i="4"/>
  <c r="D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A2" i="4"/>
  <c r="A1" i="4"/>
  <c r="A21" i="3"/>
  <c r="A20" i="3"/>
  <c r="A19" i="3"/>
  <c r="A18" i="3"/>
  <c r="M10" i="3"/>
  <c r="M9" i="3"/>
  <c r="M8" i="3"/>
  <c r="M7" i="3"/>
  <c r="M6" i="3"/>
  <c r="M5" i="3"/>
  <c r="K8" i="3"/>
  <c r="C8" i="7" s="1"/>
  <c r="K7" i="3"/>
  <c r="C7" i="7" s="1"/>
  <c r="K6" i="3"/>
  <c r="C6" i="7" s="1"/>
  <c r="K5" i="3"/>
  <c r="C5" i="7" s="1"/>
  <c r="I8" i="3"/>
  <c r="B8" i="5" s="1"/>
  <c r="I7" i="3"/>
  <c r="I6" i="3"/>
  <c r="B5" i="5" s="1"/>
  <c r="I5" i="3"/>
  <c r="G7" i="3"/>
  <c r="G6" i="3"/>
  <c r="G5" i="3"/>
  <c r="E12" i="3"/>
  <c r="E11" i="3"/>
  <c r="E10" i="3"/>
  <c r="S9" i="5" s="1"/>
  <c r="E9" i="3"/>
  <c r="E8" i="3"/>
  <c r="E7" i="3"/>
  <c r="E6" i="3"/>
  <c r="E5" i="3"/>
  <c r="M8" i="5" s="1"/>
  <c r="C8" i="3"/>
  <c r="C7" i="3"/>
  <c r="C6" i="3"/>
  <c r="C5" i="3"/>
  <c r="I5" i="6" s="1"/>
  <c r="A14" i="3"/>
  <c r="C8" i="5" s="1"/>
  <c r="A13" i="3"/>
  <c r="A12" i="3"/>
  <c r="A11" i="3"/>
  <c r="A10" i="3"/>
  <c r="B6" i="7" s="1"/>
  <c r="A9" i="3"/>
  <c r="A8" i="3"/>
  <c r="A7" i="3"/>
  <c r="A6" i="3"/>
  <c r="A5" i="3"/>
  <c r="M4" i="3"/>
  <c r="K4" i="3"/>
  <c r="I4" i="3"/>
  <c r="G4" i="3"/>
  <c r="E4" i="3"/>
  <c r="C4" i="3"/>
  <c r="A4" i="3"/>
  <c r="A2" i="3"/>
  <c r="A1" i="3"/>
  <c r="G9" i="2"/>
  <c r="F9" i="2"/>
  <c r="E9" i="2"/>
  <c r="D9" i="2"/>
  <c r="C9" i="2"/>
  <c r="B9" i="2"/>
  <c r="A9" i="2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J4" i="2"/>
  <c r="H4" i="2"/>
  <c r="F4" i="2"/>
  <c r="D4" i="2"/>
  <c r="B4" i="2"/>
  <c r="A2" i="2"/>
  <c r="A1" i="2"/>
  <c r="A26" i="1"/>
  <c r="A25" i="1"/>
  <c r="A24" i="1"/>
  <c r="A23" i="1"/>
  <c r="A22" i="1"/>
  <c r="A20" i="1"/>
  <c r="A19" i="1"/>
  <c r="A18" i="1"/>
  <c r="A17" i="1"/>
  <c r="A16" i="1"/>
  <c r="A14" i="1"/>
  <c r="A13" i="1"/>
  <c r="A12" i="1"/>
  <c r="A11" i="1"/>
  <c r="A10" i="1"/>
  <c r="K11" i="1"/>
  <c r="K10" i="1"/>
  <c r="K9" i="1"/>
  <c r="K8" i="1"/>
  <c r="K7" i="1"/>
  <c r="K6" i="1"/>
  <c r="K5" i="1"/>
  <c r="K4" i="1"/>
  <c r="J4" i="1"/>
  <c r="A8" i="1"/>
  <c r="A7" i="1"/>
  <c r="A6" i="1"/>
  <c r="A5" i="1"/>
  <c r="A4" i="1"/>
  <c r="A2" i="1"/>
  <c r="A1" i="1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O8" i="7" s="1"/>
  <c r="N7" i="7"/>
  <c r="O7" i="7" s="1"/>
  <c r="N6" i="7"/>
  <c r="O6" i="7" s="1"/>
  <c r="N5" i="7"/>
  <c r="O5" i="7" s="1"/>
  <c r="R304" i="5"/>
  <c r="R303" i="5"/>
  <c r="R302" i="5"/>
  <c r="R301" i="5"/>
  <c r="R300" i="5"/>
  <c r="R299" i="5"/>
  <c r="R298" i="5"/>
  <c r="R297" i="5"/>
  <c r="R296" i="5"/>
  <c r="R295" i="5"/>
  <c r="R294" i="5"/>
  <c r="R293" i="5"/>
  <c r="R292" i="5"/>
  <c r="R291" i="5"/>
  <c r="R290" i="5"/>
  <c r="R289" i="5"/>
  <c r="R288" i="5"/>
  <c r="R287" i="5"/>
  <c r="R286" i="5"/>
  <c r="R285" i="5"/>
  <c r="R284" i="5"/>
  <c r="R283" i="5"/>
  <c r="R282" i="5"/>
  <c r="R281" i="5"/>
  <c r="R280" i="5"/>
  <c r="R279" i="5"/>
  <c r="R278" i="5"/>
  <c r="R277" i="5"/>
  <c r="R276" i="5"/>
  <c r="R275" i="5"/>
  <c r="R274" i="5"/>
  <c r="R273" i="5"/>
  <c r="R272" i="5"/>
  <c r="R271" i="5"/>
  <c r="R270" i="5"/>
  <c r="R269" i="5"/>
  <c r="R268" i="5"/>
  <c r="R267" i="5"/>
  <c r="R266" i="5"/>
  <c r="R265" i="5"/>
  <c r="R264" i="5"/>
  <c r="R263" i="5"/>
  <c r="R262" i="5"/>
  <c r="R261" i="5"/>
  <c r="R260" i="5"/>
  <c r="R259" i="5"/>
  <c r="R258" i="5"/>
  <c r="R257" i="5"/>
  <c r="R256" i="5"/>
  <c r="R255" i="5"/>
  <c r="R254" i="5"/>
  <c r="R253" i="5"/>
  <c r="R252" i="5"/>
  <c r="R251" i="5"/>
  <c r="R250" i="5"/>
  <c r="R249" i="5"/>
  <c r="R248" i="5"/>
  <c r="R247" i="5"/>
  <c r="R246" i="5"/>
  <c r="R245" i="5"/>
  <c r="R244" i="5"/>
  <c r="R243" i="5"/>
  <c r="R242" i="5"/>
  <c r="R241" i="5"/>
  <c r="R240" i="5"/>
  <c r="R239" i="5"/>
  <c r="R238" i="5"/>
  <c r="R237" i="5"/>
  <c r="R236" i="5"/>
  <c r="R235" i="5"/>
  <c r="R234" i="5"/>
  <c r="R233" i="5"/>
  <c r="R232" i="5"/>
  <c r="R231" i="5"/>
  <c r="R230" i="5"/>
  <c r="R229" i="5"/>
  <c r="R228" i="5"/>
  <c r="R227" i="5"/>
  <c r="R226" i="5"/>
  <c r="R225" i="5"/>
  <c r="R224" i="5"/>
  <c r="R223" i="5"/>
  <c r="R222" i="5"/>
  <c r="R221" i="5"/>
  <c r="R220" i="5"/>
  <c r="R219" i="5"/>
  <c r="R218" i="5"/>
  <c r="R217" i="5"/>
  <c r="R216" i="5"/>
  <c r="R215" i="5"/>
  <c r="R214" i="5"/>
  <c r="R213" i="5"/>
  <c r="R212" i="5"/>
  <c r="R211" i="5"/>
  <c r="R210" i="5"/>
  <c r="R209" i="5"/>
  <c r="R208" i="5"/>
  <c r="R207" i="5"/>
  <c r="R206" i="5"/>
  <c r="R205" i="5"/>
  <c r="R204" i="5"/>
  <c r="R203" i="5"/>
  <c r="R202" i="5"/>
  <c r="R201" i="5"/>
  <c r="R200" i="5"/>
  <c r="R199" i="5"/>
  <c r="R198" i="5"/>
  <c r="R197" i="5"/>
  <c r="R196" i="5"/>
  <c r="R195" i="5"/>
  <c r="R194" i="5"/>
  <c r="R193" i="5"/>
  <c r="R192" i="5"/>
  <c r="R191" i="5"/>
  <c r="R190" i="5"/>
  <c r="R189" i="5"/>
  <c r="R188" i="5"/>
  <c r="R187" i="5"/>
  <c r="R186" i="5"/>
  <c r="R185" i="5"/>
  <c r="R184" i="5"/>
  <c r="R183" i="5"/>
  <c r="R182" i="5"/>
  <c r="R181" i="5"/>
  <c r="R180" i="5"/>
  <c r="R179" i="5"/>
  <c r="R178" i="5"/>
  <c r="R177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4" i="5"/>
  <c r="R163" i="5"/>
  <c r="R162" i="5"/>
  <c r="R161" i="5"/>
  <c r="R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8" i="5"/>
  <c r="R7" i="5"/>
  <c r="R6" i="5"/>
  <c r="R5" i="5"/>
  <c r="M204" i="4"/>
  <c r="K204" i="4"/>
  <c r="M203" i="4"/>
  <c r="K203" i="4"/>
  <c r="M202" i="4"/>
  <c r="K202" i="4"/>
  <c r="M201" i="4"/>
  <c r="K201" i="4"/>
  <c r="M200" i="4"/>
  <c r="K200" i="4"/>
  <c r="M199" i="4"/>
  <c r="K199" i="4"/>
  <c r="M198" i="4"/>
  <c r="K198" i="4"/>
  <c r="M197" i="4"/>
  <c r="K197" i="4"/>
  <c r="M196" i="4"/>
  <c r="K196" i="4"/>
  <c r="M195" i="4"/>
  <c r="K195" i="4"/>
  <c r="M194" i="4"/>
  <c r="K194" i="4"/>
  <c r="M193" i="4"/>
  <c r="K193" i="4"/>
  <c r="M192" i="4"/>
  <c r="K192" i="4"/>
  <c r="M191" i="4"/>
  <c r="K191" i="4"/>
  <c r="M190" i="4"/>
  <c r="K190" i="4"/>
  <c r="M189" i="4"/>
  <c r="K189" i="4"/>
  <c r="M188" i="4"/>
  <c r="K188" i="4"/>
  <c r="M187" i="4"/>
  <c r="K187" i="4"/>
  <c r="M186" i="4"/>
  <c r="K186" i="4"/>
  <c r="M185" i="4"/>
  <c r="K185" i="4"/>
  <c r="M184" i="4"/>
  <c r="K184" i="4"/>
  <c r="M183" i="4"/>
  <c r="K183" i="4"/>
  <c r="M182" i="4"/>
  <c r="K182" i="4"/>
  <c r="M181" i="4"/>
  <c r="K181" i="4"/>
  <c r="M180" i="4"/>
  <c r="K180" i="4"/>
  <c r="M179" i="4"/>
  <c r="K179" i="4"/>
  <c r="M178" i="4"/>
  <c r="K178" i="4"/>
  <c r="M177" i="4"/>
  <c r="K177" i="4"/>
  <c r="M176" i="4"/>
  <c r="K176" i="4"/>
  <c r="M175" i="4"/>
  <c r="K175" i="4"/>
  <c r="M174" i="4"/>
  <c r="K174" i="4"/>
  <c r="M173" i="4"/>
  <c r="K173" i="4"/>
  <c r="M172" i="4"/>
  <c r="K172" i="4"/>
  <c r="M171" i="4"/>
  <c r="K171" i="4"/>
  <c r="M170" i="4"/>
  <c r="K170" i="4"/>
  <c r="M169" i="4"/>
  <c r="K169" i="4"/>
  <c r="M168" i="4"/>
  <c r="K168" i="4"/>
  <c r="M167" i="4"/>
  <c r="K167" i="4"/>
  <c r="M166" i="4"/>
  <c r="K166" i="4"/>
  <c r="M165" i="4"/>
  <c r="K165" i="4"/>
  <c r="M164" i="4"/>
  <c r="K164" i="4"/>
  <c r="M163" i="4"/>
  <c r="K163" i="4"/>
  <c r="M162" i="4"/>
  <c r="K162" i="4"/>
  <c r="M161" i="4"/>
  <c r="K161" i="4"/>
  <c r="M160" i="4"/>
  <c r="K160" i="4"/>
  <c r="M159" i="4"/>
  <c r="K159" i="4"/>
  <c r="M158" i="4"/>
  <c r="K158" i="4"/>
  <c r="M157" i="4"/>
  <c r="K157" i="4"/>
  <c r="M156" i="4"/>
  <c r="K156" i="4"/>
  <c r="M155" i="4"/>
  <c r="K155" i="4"/>
  <c r="M154" i="4"/>
  <c r="K154" i="4"/>
  <c r="M153" i="4"/>
  <c r="K153" i="4"/>
  <c r="M152" i="4"/>
  <c r="K152" i="4"/>
  <c r="M151" i="4"/>
  <c r="K151" i="4"/>
  <c r="M150" i="4"/>
  <c r="K150" i="4"/>
  <c r="M149" i="4"/>
  <c r="K149" i="4"/>
  <c r="M148" i="4"/>
  <c r="K148" i="4"/>
  <c r="M147" i="4"/>
  <c r="K147" i="4"/>
  <c r="M146" i="4"/>
  <c r="K146" i="4"/>
  <c r="M145" i="4"/>
  <c r="K145" i="4"/>
  <c r="M144" i="4"/>
  <c r="K144" i="4"/>
  <c r="M143" i="4"/>
  <c r="K143" i="4"/>
  <c r="M142" i="4"/>
  <c r="K142" i="4"/>
  <c r="M141" i="4"/>
  <c r="K141" i="4"/>
  <c r="M140" i="4"/>
  <c r="K140" i="4"/>
  <c r="M139" i="4"/>
  <c r="K139" i="4"/>
  <c r="M138" i="4"/>
  <c r="K138" i="4"/>
  <c r="M137" i="4"/>
  <c r="K137" i="4"/>
  <c r="M136" i="4"/>
  <c r="K136" i="4"/>
  <c r="M135" i="4"/>
  <c r="K135" i="4"/>
  <c r="M134" i="4"/>
  <c r="K134" i="4"/>
  <c r="M133" i="4"/>
  <c r="K133" i="4"/>
  <c r="M132" i="4"/>
  <c r="K132" i="4"/>
  <c r="M131" i="4"/>
  <c r="K131" i="4"/>
  <c r="M130" i="4"/>
  <c r="K130" i="4"/>
  <c r="M129" i="4"/>
  <c r="K129" i="4"/>
  <c r="M128" i="4"/>
  <c r="K128" i="4"/>
  <c r="M127" i="4"/>
  <c r="K127" i="4"/>
  <c r="M126" i="4"/>
  <c r="K126" i="4"/>
  <c r="M125" i="4"/>
  <c r="K125" i="4"/>
  <c r="M124" i="4"/>
  <c r="K124" i="4"/>
  <c r="M123" i="4"/>
  <c r="K123" i="4"/>
  <c r="M122" i="4"/>
  <c r="K122" i="4"/>
  <c r="M121" i="4"/>
  <c r="K121" i="4"/>
  <c r="M120" i="4"/>
  <c r="K120" i="4"/>
  <c r="M119" i="4"/>
  <c r="K119" i="4"/>
  <c r="M118" i="4"/>
  <c r="K118" i="4"/>
  <c r="M117" i="4"/>
  <c r="K117" i="4"/>
  <c r="M116" i="4"/>
  <c r="K116" i="4"/>
  <c r="M115" i="4"/>
  <c r="K115" i="4"/>
  <c r="M114" i="4"/>
  <c r="K114" i="4"/>
  <c r="M113" i="4"/>
  <c r="K113" i="4"/>
  <c r="M112" i="4"/>
  <c r="K112" i="4"/>
  <c r="M111" i="4"/>
  <c r="K111" i="4"/>
  <c r="M110" i="4"/>
  <c r="K110" i="4"/>
  <c r="M109" i="4"/>
  <c r="K109" i="4"/>
  <c r="M108" i="4"/>
  <c r="K108" i="4"/>
  <c r="M107" i="4"/>
  <c r="K107" i="4"/>
  <c r="M106" i="4"/>
  <c r="K106" i="4"/>
  <c r="M105" i="4"/>
  <c r="K105" i="4"/>
  <c r="M104" i="4"/>
  <c r="K104" i="4"/>
  <c r="M103" i="4"/>
  <c r="K103" i="4"/>
  <c r="M102" i="4"/>
  <c r="K102" i="4"/>
  <c r="M101" i="4"/>
  <c r="K101" i="4"/>
  <c r="M100" i="4"/>
  <c r="K100" i="4"/>
  <c r="M99" i="4"/>
  <c r="K99" i="4"/>
  <c r="M98" i="4"/>
  <c r="K98" i="4"/>
  <c r="M97" i="4"/>
  <c r="K97" i="4"/>
  <c r="M96" i="4"/>
  <c r="K96" i="4"/>
  <c r="M95" i="4"/>
  <c r="K95" i="4"/>
  <c r="M94" i="4"/>
  <c r="K94" i="4"/>
  <c r="M93" i="4"/>
  <c r="K93" i="4"/>
  <c r="M92" i="4"/>
  <c r="K92" i="4"/>
  <c r="M91" i="4"/>
  <c r="K91" i="4"/>
  <c r="M90" i="4"/>
  <c r="K90" i="4"/>
  <c r="M89" i="4"/>
  <c r="K89" i="4"/>
  <c r="M88" i="4"/>
  <c r="K88" i="4"/>
  <c r="M87" i="4"/>
  <c r="K87" i="4"/>
  <c r="M86" i="4"/>
  <c r="K86" i="4"/>
  <c r="M85" i="4"/>
  <c r="K85" i="4"/>
  <c r="M84" i="4"/>
  <c r="K84" i="4"/>
  <c r="M83" i="4"/>
  <c r="K83" i="4"/>
  <c r="M82" i="4"/>
  <c r="K82" i="4"/>
  <c r="M81" i="4"/>
  <c r="K81" i="4"/>
  <c r="M80" i="4"/>
  <c r="K80" i="4"/>
  <c r="M79" i="4"/>
  <c r="K79" i="4"/>
  <c r="M78" i="4"/>
  <c r="K78" i="4"/>
  <c r="M77" i="4"/>
  <c r="K77" i="4"/>
  <c r="M76" i="4"/>
  <c r="K76" i="4"/>
  <c r="M75" i="4"/>
  <c r="K75" i="4"/>
  <c r="M74" i="4"/>
  <c r="K74" i="4"/>
  <c r="M73" i="4"/>
  <c r="K73" i="4"/>
  <c r="M72" i="4"/>
  <c r="K72" i="4"/>
  <c r="M71" i="4"/>
  <c r="K71" i="4"/>
  <c r="M70" i="4"/>
  <c r="K70" i="4"/>
  <c r="M69" i="4"/>
  <c r="K69" i="4"/>
  <c r="M68" i="4"/>
  <c r="K68" i="4"/>
  <c r="M67" i="4"/>
  <c r="K67" i="4"/>
  <c r="M66" i="4"/>
  <c r="K66" i="4"/>
  <c r="M65" i="4"/>
  <c r="K65" i="4"/>
  <c r="M64" i="4"/>
  <c r="K64" i="4"/>
  <c r="M63" i="4"/>
  <c r="K63" i="4"/>
  <c r="M62" i="4"/>
  <c r="K62" i="4"/>
  <c r="M61" i="4"/>
  <c r="K61" i="4"/>
  <c r="M60" i="4"/>
  <c r="K60" i="4"/>
  <c r="M59" i="4"/>
  <c r="K59" i="4"/>
  <c r="M58" i="4"/>
  <c r="K58" i="4"/>
  <c r="M57" i="4"/>
  <c r="K57" i="4"/>
  <c r="M56" i="4"/>
  <c r="K56" i="4"/>
  <c r="M55" i="4"/>
  <c r="K55" i="4"/>
  <c r="M54" i="4"/>
  <c r="K54" i="4"/>
  <c r="M53" i="4"/>
  <c r="K53" i="4"/>
  <c r="M52" i="4"/>
  <c r="K52" i="4"/>
  <c r="M51" i="4"/>
  <c r="K51" i="4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K20" i="4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R4" i="7" l="1"/>
  <c r="Q4" i="7"/>
  <c r="P4" i="7"/>
  <c r="O4" i="7"/>
  <c r="N4" i="7"/>
  <c r="M4" i="7"/>
  <c r="L4" i="7"/>
  <c r="F6" i="7"/>
  <c r="E6" i="7"/>
  <c r="D6" i="7"/>
  <c r="R5" i="7"/>
  <c r="Q5" i="7"/>
  <c r="H5" i="7"/>
  <c r="F5" i="7"/>
  <c r="E5" i="7"/>
  <c r="D5" i="7"/>
  <c r="AB4" i="5"/>
  <c r="I7" i="7"/>
  <c r="H7" i="7"/>
  <c r="G7" i="7"/>
  <c r="F7" i="7"/>
  <c r="E7" i="7"/>
  <c r="D7" i="7"/>
  <c r="R6" i="7"/>
  <c r="Q6" i="7"/>
  <c r="AB6" i="7" s="1"/>
  <c r="H6" i="7"/>
  <c r="AA4" i="5"/>
  <c r="R8" i="7"/>
  <c r="Q8" i="7"/>
  <c r="J8" i="7"/>
  <c r="I8" i="7"/>
  <c r="H8" i="7"/>
  <c r="G8" i="7"/>
  <c r="F8" i="7"/>
  <c r="E8" i="7"/>
  <c r="D8" i="7"/>
  <c r="R7" i="7"/>
  <c r="Q7" i="7"/>
  <c r="AC4" i="6"/>
  <c r="T4" i="6"/>
  <c r="AG4" i="5"/>
  <c r="AB4" i="7"/>
  <c r="AD4" i="6"/>
  <c r="U4" i="6"/>
  <c r="V4" i="5"/>
  <c r="Q5" i="8"/>
  <c r="P5" i="8"/>
  <c r="O5" i="8"/>
  <c r="N5" i="8"/>
  <c r="M5" i="8"/>
  <c r="L5" i="8"/>
  <c r="K5" i="8"/>
  <c r="J5" i="8"/>
  <c r="I5" i="8"/>
  <c r="AD5" i="6"/>
  <c r="AC5" i="6"/>
  <c r="AB5" i="6"/>
  <c r="AA5" i="6"/>
  <c r="Z5" i="6"/>
  <c r="Y5" i="6"/>
  <c r="V5" i="6"/>
  <c r="X5" i="6"/>
  <c r="W5" i="6"/>
  <c r="T5" i="6"/>
  <c r="S5" i="6"/>
  <c r="U5" i="6"/>
  <c r="R5" i="6"/>
  <c r="Q5" i="6"/>
  <c r="P5" i="6"/>
  <c r="AF8" i="5"/>
  <c r="AE8" i="5"/>
  <c r="AD8" i="5"/>
  <c r="AB8" i="5"/>
  <c r="AA8" i="5"/>
  <c r="AC8" i="5"/>
  <c r="X8" i="5"/>
  <c r="Z8" i="5"/>
  <c r="Y8" i="5"/>
  <c r="W8" i="5"/>
  <c r="U8" i="5"/>
  <c r="V8" i="5"/>
  <c r="AF7" i="5"/>
  <c r="AE7" i="5"/>
  <c r="AD7" i="5"/>
  <c r="AA7" i="5"/>
  <c r="AB7" i="5"/>
  <c r="AC7" i="5"/>
  <c r="Y7" i="5"/>
  <c r="X7" i="5"/>
  <c r="Z7" i="5"/>
  <c r="W7" i="5"/>
  <c r="U7" i="5"/>
  <c r="V7" i="5"/>
  <c r="AF6" i="5"/>
  <c r="AD6" i="5"/>
  <c r="AE6" i="5"/>
  <c r="AC6" i="5"/>
  <c r="AB6" i="5"/>
  <c r="AA6" i="5"/>
  <c r="X6" i="5"/>
  <c r="Y6" i="5"/>
  <c r="Z6" i="5"/>
  <c r="W6" i="5"/>
  <c r="U6" i="5"/>
  <c r="V6" i="5"/>
  <c r="AF5" i="5"/>
  <c r="AD5" i="5"/>
  <c r="AE5" i="5"/>
  <c r="AA5" i="5"/>
  <c r="AB5" i="5"/>
  <c r="AC5" i="5"/>
  <c r="X5" i="5"/>
  <c r="Z5" i="5"/>
  <c r="Y5" i="5"/>
  <c r="W5" i="5"/>
  <c r="V5" i="5"/>
  <c r="U5" i="5"/>
  <c r="V7" i="4"/>
  <c r="U7" i="4"/>
  <c r="T7" i="4"/>
  <c r="S7" i="4"/>
  <c r="R7" i="4"/>
  <c r="Q7" i="4"/>
  <c r="U6" i="4"/>
  <c r="T6" i="4"/>
  <c r="V6" i="4"/>
  <c r="S6" i="4"/>
  <c r="R6" i="4"/>
  <c r="Q6" i="4"/>
  <c r="V5" i="4"/>
  <c r="U5" i="4"/>
  <c r="T5" i="4"/>
  <c r="S5" i="4"/>
  <c r="R5" i="4"/>
  <c r="Q5" i="4"/>
  <c r="D5" i="8"/>
  <c r="A10" i="2"/>
  <c r="J5" i="2"/>
  <c r="H5" i="6"/>
  <c r="B8" i="7"/>
  <c r="C7" i="5"/>
  <c r="B7" i="7"/>
  <c r="C6" i="5"/>
  <c r="B5" i="7"/>
  <c r="S8" i="5"/>
  <c r="D6" i="5"/>
  <c r="D8" i="5"/>
  <c r="M6" i="5"/>
  <c r="S6" i="5" s="1"/>
  <c r="M7" i="5"/>
  <c r="S7" i="5" s="1"/>
  <c r="B6" i="5"/>
  <c r="B7" i="5"/>
  <c r="L5" i="4"/>
  <c r="M5" i="5"/>
  <c r="C7" i="4"/>
  <c r="D5" i="5"/>
  <c r="B5" i="4"/>
  <c r="C19" i="2" s="1"/>
  <c r="C5" i="5"/>
  <c r="L6" i="4"/>
  <c r="L7" i="4"/>
  <c r="D5" i="2"/>
  <c r="AC8" i="7" l="1"/>
  <c r="AB8" i="7"/>
  <c r="AD8" i="7"/>
  <c r="AC7" i="7"/>
  <c r="AB7" i="7"/>
  <c r="AD7" i="7"/>
  <c r="Z6" i="7"/>
  <c r="Y6" i="7"/>
  <c r="AA6" i="7"/>
  <c r="W6" i="7"/>
  <c r="X6" i="7"/>
  <c r="V6" i="7"/>
  <c r="U6" i="7"/>
  <c r="T6" i="7"/>
  <c r="S6" i="7"/>
  <c r="AE5" i="7"/>
  <c r="AF5" i="7"/>
  <c r="AG5" i="7"/>
  <c r="AB5" i="7"/>
  <c r="AD5" i="7"/>
  <c r="AC5" i="7"/>
  <c r="Y5" i="7"/>
  <c r="Z5" i="7"/>
  <c r="AA5" i="7"/>
  <c r="X5" i="7"/>
  <c r="W5" i="7"/>
  <c r="V5" i="7"/>
  <c r="T5" i="7"/>
  <c r="U5" i="7"/>
  <c r="S5" i="7"/>
  <c r="AC6" i="7"/>
  <c r="AD6" i="7"/>
  <c r="AA7" i="7"/>
  <c r="Z7" i="7"/>
  <c r="Y7" i="7"/>
  <c r="W7" i="7"/>
  <c r="V7" i="7"/>
  <c r="X7" i="7"/>
  <c r="U7" i="7"/>
  <c r="T7" i="7"/>
  <c r="S7" i="7"/>
  <c r="AE6" i="7"/>
  <c r="AG6" i="7"/>
  <c r="AF6" i="7"/>
  <c r="AE8" i="7"/>
  <c r="AG8" i="7"/>
  <c r="AF8" i="7"/>
  <c r="Y8" i="7"/>
  <c r="Z8" i="7"/>
  <c r="AA8" i="7"/>
  <c r="V8" i="7"/>
  <c r="X8" i="7"/>
  <c r="W8" i="7"/>
  <c r="U8" i="7"/>
  <c r="T8" i="7"/>
  <c r="S8" i="7"/>
  <c r="AE7" i="7"/>
  <c r="AG7" i="7"/>
  <c r="AF7" i="7"/>
  <c r="G19" i="2"/>
  <c r="G18" i="2"/>
  <c r="E19" i="2"/>
  <c r="F19" i="2"/>
  <c r="F18" i="2"/>
  <c r="D19" i="2"/>
  <c r="C18" i="2"/>
  <c r="B19" i="2"/>
  <c r="D18" i="2"/>
  <c r="E18" i="2"/>
  <c r="C17" i="2"/>
  <c r="B18" i="2"/>
  <c r="G16" i="2"/>
  <c r="G17" i="2"/>
  <c r="E17" i="2"/>
  <c r="F17" i="2"/>
  <c r="F16" i="2"/>
  <c r="D17" i="2"/>
  <c r="C16" i="2"/>
  <c r="B17" i="2"/>
  <c r="G15" i="2"/>
  <c r="D16" i="2"/>
  <c r="E16" i="2"/>
  <c r="C15" i="2"/>
  <c r="B16" i="2"/>
  <c r="E15" i="2"/>
  <c r="F15" i="2"/>
  <c r="F14" i="2"/>
  <c r="D15" i="2"/>
  <c r="G14" i="2"/>
  <c r="C14" i="2"/>
  <c r="B15" i="2"/>
  <c r="G13" i="2"/>
  <c r="D14" i="2"/>
  <c r="E14" i="2"/>
  <c r="C13" i="2"/>
  <c r="B14" i="2"/>
  <c r="E13" i="2"/>
  <c r="F13" i="2"/>
  <c r="G12" i="2"/>
  <c r="F12" i="2"/>
  <c r="D13" i="2"/>
  <c r="C12" i="2"/>
  <c r="B13" i="2"/>
  <c r="G11" i="2"/>
  <c r="D12" i="2"/>
  <c r="E12" i="2"/>
  <c r="C11" i="2"/>
  <c r="B12" i="2"/>
  <c r="F11" i="2"/>
  <c r="D11" i="2"/>
  <c r="E11" i="2"/>
  <c r="G10" i="2"/>
  <c r="F10" i="2"/>
  <c r="C10" i="2"/>
  <c r="B11" i="2"/>
  <c r="B5" i="2"/>
  <c r="D10" i="2"/>
  <c r="B10" i="2"/>
  <c r="S5" i="5"/>
  <c r="F5" i="2"/>
  <c r="H5" i="2" l="1"/>
  <c r="E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参照：Smart Factory分科会_事務局説明資料_20260923、KDC_S4導入プロジェクト_課題ToDo表_v0.03、次期ERP移行プロジェクト-WBS_実行フェーズ (1)</t>
        </r>
      </text>
    </comment>
  </commentList>
</comments>
</file>

<file path=xl/sharedStrings.xml><?xml version="1.0" encoding="utf-8"?>
<sst xmlns="http://schemas.openxmlformats.org/spreadsheetml/2006/main" count="1119" uniqueCount="980">
  <si>
    <t>スマートファクトリー分科会 管理ツール</t>
  </si>
  <si>
    <t>目的：9つのWGを横断して、計画・課題・判断・KPIを一つの管理サイクルで運用するための初版案</t>
  </si>
  <si>
    <t>1. 基本原則</t>
  </si>
  <si>
    <t>シート</t>
  </si>
  <si>
    <t>用途</t>
  </si>
  <si>
    <t>• 詳細な議論は議事録・関連資料に残す</t>
  </si>
  <si>
    <t>01_全体サマリー</t>
  </si>
  <si>
    <t>事務局・リーダー会用ダッシュボード</t>
  </si>
  <si>
    <t>• 本ファイルには結論、次アクション、担当、期限、リンクを残す</t>
  </si>
  <si>
    <t>02_マスタ</t>
  </si>
  <si>
    <t>入力候補とWG定義</t>
  </si>
  <si>
    <t>• 同じ内容を複数シートへ二重入力しない</t>
  </si>
  <si>
    <t>成果物・マイルストーンの計画管理</t>
  </si>
  <si>
    <t>• 行を物理削除せず、変更・取下理由を記録する</t>
  </si>
  <si>
    <t>04_課題ToDo</t>
  </si>
  <si>
    <t>障害・アクション・リスクの管理</t>
  </si>
  <si>
    <t>05_決定事項</t>
  </si>
  <si>
    <t>判断履歴と影響範囲の記録</t>
  </si>
  <si>
    <t>2. 更新責任</t>
  </si>
  <si>
    <t>06_KPI</t>
  </si>
  <si>
    <t>KPI定義・基準値・目標・実績</t>
  </si>
  <si>
    <t>• WG Leader：WG会議後にWBS・課題・KPIを更新</t>
  </si>
  <si>
    <t>07_更新履歴</t>
  </si>
  <si>
    <t>重要な変更内容の記録</t>
  </si>
  <si>
    <t>• 運営事務局：週次で未更新、期限超過、High、WG間依存を横断確認</t>
  </si>
  <si>
    <t>• 完了確認者：成果物または対応結果を確認して完了承認</t>
  </si>
  <si>
    <t>• 分科会Leader／拠点Sub Leader：重要事項を判断</t>
  </si>
  <si>
    <t>3. 週次サイクル</t>
  </si>
  <si>
    <t>• WG活動後：新規課題・決定・次アクションを登録</t>
  </si>
  <si>
    <t>• リーダー会前：事務局がアラートを抽出</t>
  </si>
  <si>
    <t>• 週次リーダー会：判断待ち、横断課題、遅延を中心に協議</t>
  </si>
  <si>
    <t>• 会議後：決定事項と担当期限を更新</t>
  </si>
  <si>
    <t>4. エスカレーション条件</t>
  </si>
  <si>
    <t>• High優先度</t>
  </si>
  <si>
    <t>• 期限超過または超過見込み</t>
  </si>
  <si>
    <t>• 複数WG・複数拠点に影響</t>
  </si>
  <si>
    <t>• スコープ変更、投資、人員、上位判断が必要</t>
  </si>
  <si>
    <t>全体サマリー</t>
  </si>
  <si>
    <t>運営事務局・週次WGリーダー会用。入力は不要。WBS／課題ToDo／KPIの情報を自動集計する。</t>
  </si>
  <si>
    <t>未完了WBS</t>
  </si>
  <si>
    <t>遅延WBS</t>
  </si>
  <si>
    <t>未完了課題ToDo</t>
  </si>
  <si>
    <t>High／期限超過</t>
  </si>
  <si>
    <t>KPI未達</t>
  </si>
  <si>
    <t>WG</t>
  </si>
  <si>
    <t>未完了課題</t>
  </si>
  <si>
    <t>High/超過</t>
  </si>
  <si>
    <t>判断/他WG待ち</t>
  </si>
  <si>
    <t>全体</t>
  </si>
  <si>
    <t>WG-1 部品受入</t>
  </si>
  <si>
    <t>WG-8 システム統合</t>
  </si>
  <si>
    <t>入力マスタ</t>
  </si>
  <si>
    <t>入力規則で使用する候補値。事務局のみが変更する。</t>
  </si>
  <si>
    <t>拠点</t>
  </si>
  <si>
    <t>ステータス</t>
  </si>
  <si>
    <t>優先度</t>
  </si>
  <si>
    <t>区分</t>
  </si>
  <si>
    <t>KPI階層</t>
  </si>
  <si>
    <t>判定</t>
  </si>
  <si>
    <t>共通</t>
  </si>
  <si>
    <t>未着手</t>
  </si>
  <si>
    <t>High</t>
  </si>
  <si>
    <t>課題</t>
  </si>
  <si>
    <t>基盤成立</t>
  </si>
  <si>
    <t>未設定</t>
  </si>
  <si>
    <t>KDC</t>
  </si>
  <si>
    <t>対応中</t>
  </si>
  <si>
    <t>Middle</t>
  </si>
  <si>
    <t>ToDo</t>
  </si>
  <si>
    <t>運用定着</t>
  </si>
  <si>
    <t>順調</t>
  </si>
  <si>
    <t>KDTCN</t>
  </si>
  <si>
    <t>判断待ち</t>
  </si>
  <si>
    <t>Low</t>
  </si>
  <si>
    <t>意思決定</t>
  </si>
  <si>
    <t>業務成果</t>
  </si>
  <si>
    <t>注意</t>
  </si>
  <si>
    <t>KDTVN</t>
  </si>
  <si>
    <t>他WG待ち</t>
  </si>
  <si>
    <t>リスク</t>
  </si>
  <si>
    <t>投資成果</t>
  </si>
  <si>
    <t>遅延</t>
  </si>
  <si>
    <t>完了確認待ち</t>
  </si>
  <si>
    <t>達成</t>
  </si>
  <si>
    <t>完了</t>
  </si>
  <si>
    <t>未達</t>
  </si>
  <si>
    <t>保留</t>
  </si>
  <si>
    <t>取下</t>
  </si>
  <si>
    <t>優先度の考え方</t>
  </si>
  <si>
    <t>WBS・マイルストーン</t>
  </si>
  <si>
    <t>青字セルが入力欄。進捗率・残日数・遅延判定は自動計算。3行は入力例。</t>
  </si>
  <si>
    <t>WBS ID</t>
  </si>
  <si>
    <t>大区分</t>
  </si>
  <si>
    <t>タスク／成果物</t>
  </si>
  <si>
    <t>責任者</t>
  </si>
  <si>
    <t>開始予定</t>
  </si>
  <si>
    <t>終了予定</t>
  </si>
  <si>
    <t>開始実績</t>
  </si>
  <si>
    <t>終了実績</t>
  </si>
  <si>
    <t>進捗率</t>
  </si>
  <si>
    <t>残日数</t>
  </si>
  <si>
    <t>遅延判定</t>
  </si>
  <si>
    <t>関連リンク</t>
  </si>
  <si>
    <t>備考</t>
  </si>
  <si>
    <t>WBS-001</t>
  </si>
  <si>
    <t>立上げ</t>
  </si>
  <si>
    <t>WG運用ルールの確定</t>
  </si>
  <si>
    <t>運営事務局</t>
  </si>
  <si>
    <t>入力例</t>
  </si>
  <si>
    <t>WBS-002</t>
  </si>
  <si>
    <t>現状分析</t>
  </si>
  <si>
    <t>現状業務の棚卸し</t>
  </si>
  <si>
    <t>WG Leader</t>
  </si>
  <si>
    <t>WBS-003</t>
  </si>
  <si>
    <t>方針策定</t>
  </si>
  <si>
    <t>既存システム役割整理</t>
  </si>
  <si>
    <t>課題・ToDo管理</t>
  </si>
  <si>
    <t>課題、ToDo、意思決定、リスクを一元管理。残日数とアラートは自動計算。4行は入力例。</t>
  </si>
  <si>
    <t>ID</t>
  </si>
  <si>
    <t>件名</t>
  </si>
  <si>
    <t>背景／問題</t>
  </si>
  <si>
    <t>次アクション</t>
  </si>
  <si>
    <t>オーナー</t>
  </si>
  <si>
    <t>協力者</t>
  </si>
  <si>
    <t>起票日</t>
  </si>
  <si>
    <t>期限</t>
  </si>
  <si>
    <t>関連WG／依存先</t>
  </si>
  <si>
    <t>完了条件</t>
  </si>
  <si>
    <t>対応状況／結論</t>
  </si>
  <si>
    <t>アラート</t>
  </si>
  <si>
    <t>最終更新日</t>
  </si>
  <si>
    <t>IT-001</t>
  </si>
  <si>
    <t>管理ルール確定</t>
  </si>
  <si>
    <t>WG開始前に共通ルールが必要</t>
  </si>
  <si>
    <t>事務局内で項目・責任・締切を合意</t>
  </si>
  <si>
    <t>運用ルール承認</t>
  </si>
  <si>
    <t>IS-001</t>
  </si>
  <si>
    <t>BOP運用・役割が不明確</t>
  </si>
  <si>
    <t>作成・承認・連携後の役割が未定義</t>
  </si>
  <si>
    <t>現状業務と責任分担を整理</t>
  </si>
  <si>
    <t>WG-8</t>
  </si>
  <si>
    <t>RACI合意</t>
  </si>
  <si>
    <t>IS-002</t>
  </si>
  <si>
    <t>対象スコープ未確定</t>
  </si>
  <si>
    <t>出荷物流の対象範囲が広い</t>
  </si>
  <si>
    <t>現状工数を棚卸しし優先テーマを合意</t>
  </si>
  <si>
    <t>対象範囲承認</t>
  </si>
  <si>
    <t>RK-001</t>
  </si>
  <si>
    <t>パートナー展開停滞</t>
  </si>
  <si>
    <t>仕様・費用負担・回収物流が未整理</t>
  </si>
  <si>
    <t>阻害要因と判断事項を整理</t>
  </si>
  <si>
    <t>資材</t>
  </si>
  <si>
    <t>展開方針合意</t>
  </si>
  <si>
    <t>決定事項ログ</t>
  </si>
  <si>
    <t>会議で決まった内容と影響範囲を記録。後から判断理由を追える状態にする。</t>
  </si>
  <si>
    <t>決定ID</t>
  </si>
  <si>
    <t>決定日</t>
  </si>
  <si>
    <t>会議／場</t>
  </si>
  <si>
    <t>決定内容</t>
  </si>
  <si>
    <t>判断理由</t>
  </si>
  <si>
    <t>判断者</t>
  </si>
  <si>
    <t>対象WG</t>
  </si>
  <si>
    <t>対象拠点</t>
  </si>
  <si>
    <t>影響範囲</t>
  </si>
  <si>
    <t>実施責任者</t>
  </si>
  <si>
    <t>反映期限</t>
  </si>
  <si>
    <t>関連課題ID</t>
  </si>
  <si>
    <t>関連資料リンク</t>
  </si>
  <si>
    <t>DC-001</t>
  </si>
  <si>
    <t>事務局打合せ</t>
  </si>
  <si>
    <t>管理ツール初版</t>
  </si>
  <si>
    <t>Excel一元管理案を事務局内レビューへ進める</t>
  </si>
  <si>
    <t>共通ルールを先に固めるため</t>
  </si>
  <si>
    <t>分科会Leader</t>
  </si>
  <si>
    <t>全WG</t>
  </si>
  <si>
    <t>KPI管理</t>
  </si>
  <si>
    <t>KPIは「基盤成立→運用定着→業務成果→投資成果」の順に管理。基準値・目標値は検証結果に基づき更新する。</t>
  </si>
  <si>
    <t>KPI ID</t>
  </si>
  <si>
    <t>階層</t>
  </si>
  <si>
    <t>KPI名</t>
  </si>
  <si>
    <t>目的</t>
  </si>
  <si>
    <t>定義／算式</t>
  </si>
  <si>
    <t>単位</t>
  </si>
  <si>
    <t>測定頻度</t>
  </si>
  <si>
    <t>データソース</t>
  </si>
  <si>
    <t>基準値</t>
  </si>
  <si>
    <t>目標値</t>
  </si>
  <si>
    <t>実績値</t>
  </si>
  <si>
    <t>達成率</t>
  </si>
  <si>
    <t>測定日</t>
  </si>
  <si>
    <t>KPI-001</t>
  </si>
  <si>
    <t>BOP整備率</t>
  </si>
  <si>
    <t>作業指示基盤の成立</t>
  </si>
  <si>
    <t>有効BOP数÷対象部品数</t>
  </si>
  <si>
    <t>%</t>
  </si>
  <si>
    <t>月次</t>
  </si>
  <si>
    <t>PLM</t>
  </si>
  <si>
    <t>定義と対象範囲を確定</t>
  </si>
  <si>
    <t>KPI-002</t>
  </si>
  <si>
    <t>手修正率</t>
  </si>
  <si>
    <t>運用安定性の確認</t>
  </si>
  <si>
    <t>手修正件数÷総実行件数</t>
  </si>
  <si>
    <t>MOM</t>
  </si>
  <si>
    <t>測定方法を確定</t>
  </si>
  <si>
    <t>KPI-003</t>
  </si>
  <si>
    <t>出荷LT</t>
  </si>
  <si>
    <t>出荷業務効率の改善</t>
  </si>
  <si>
    <t>完成から出荷完了までの中央値</t>
  </si>
  <si>
    <t>時間</t>
  </si>
  <si>
    <t>現場実績</t>
  </si>
  <si>
    <t>現状値を取得</t>
  </si>
  <si>
    <t>KPI-004</t>
  </si>
  <si>
    <t>年間純効果額</t>
  </si>
  <si>
    <t>投資判断</t>
  </si>
  <si>
    <t>工数＋品質＋在庫＋停止回避効果－年間維持費</t>
  </si>
  <si>
    <t>金額</t>
  </si>
  <si>
    <t>四半期</t>
  </si>
  <si>
    <t>各WG集計</t>
  </si>
  <si>
    <t>算定ルールを確定</t>
  </si>
  <si>
    <t>更新履歴</t>
  </si>
  <si>
    <t>重要なルール変更、マスタ変更、構造変更を記録する。</t>
  </si>
  <si>
    <t>更新No.</t>
  </si>
  <si>
    <t>更新日</t>
  </si>
  <si>
    <t>更新者</t>
  </si>
  <si>
    <t>対象シート</t>
  </si>
  <si>
    <t>変更内容</t>
  </si>
  <si>
    <t>変更理由</t>
  </si>
  <si>
    <t>承認者</t>
  </si>
  <si>
    <t>REV-001</t>
  </si>
  <si>
    <t>管理ツール初版作成</t>
  </si>
  <si>
    <t>事務局説明資料の運用案を具体化</t>
  </si>
  <si>
    <t>表示言語</t>
  </si>
  <si>
    <t>日本語</t>
  </si>
  <si>
    <t>中文</t>
  </si>
  <si>
    <t>Tiếng Việt</t>
  </si>
  <si>
    <t>TITLE</t>
  </si>
  <si>
    <t>智能工厂分科会 管理工具</t>
  </si>
  <si>
    <t>Công cụ quản lý Tiểu ban Nhà máy Thông minh</t>
  </si>
  <si>
    <t>PURPOSE</t>
  </si>
  <si>
    <t>目的：跨9个工作组，以统一的管理周期管理计划、课题、决策和KPI的初版方案</t>
  </si>
  <si>
    <t>Mục đích: Bản dự thảo đầu tiên nhằm quản lý kế hoạch, vấn đề, quyết định và KPI của 9 WG trong một chu trình quản lý thống nhất</t>
  </si>
  <si>
    <t>PRINCIPLE_HEADER</t>
  </si>
  <si>
    <t>1. 基本原则</t>
  </si>
  <si>
    <t>1. Nguyên tắc cơ bản</t>
  </si>
  <si>
    <t>P1</t>
  </si>
  <si>
    <t>• 详细讨论保留在会议纪要及相关资料中</t>
  </si>
  <si>
    <t>• Lưu các thảo luận chi tiết trong biên bản họp và tài liệu liên quan</t>
  </si>
  <si>
    <t>P2</t>
  </si>
  <si>
    <t>• 本文件记录结论、下一步行动、负责人、期限和链接</t>
  </si>
  <si>
    <t>• Trong tệp này, ghi lại kết luận, hành động tiếp theo, người phụ trách, thời hạn và liên kết</t>
  </si>
  <si>
    <t>P3</t>
  </si>
  <si>
    <t>• 不要在多个工作表中重复录入相同内容</t>
  </si>
  <si>
    <t>• Không nhập trùng cùng một nội dung trên nhiều trang tính</t>
  </si>
  <si>
    <t>P4</t>
  </si>
  <si>
    <t>• 不要直接删除行，应记录变更或撤回原因</t>
  </si>
  <si>
    <t>• Không xóa dòng; hãy ghi lại lý do thay đổi hoặc rút lại</t>
  </si>
  <si>
    <t>COL_SHEET</t>
  </si>
  <si>
    <t>工作表</t>
  </si>
  <si>
    <t>Trang tính</t>
  </si>
  <si>
    <t>COL_USAGE</t>
  </si>
  <si>
    <t>Mục đích sử dụng</t>
  </si>
  <si>
    <t>U1</t>
  </si>
  <si>
    <t>管理办公室及负责人会议用仪表板</t>
  </si>
  <si>
    <t>Bảng điều khiển cho ban điều hành và cuộc họp trưởng nhóm</t>
  </si>
  <si>
    <t>U2</t>
  </si>
  <si>
    <t>输入候选值和WG定义</t>
  </si>
  <si>
    <t>Danh sách lựa chọn nhập liệu và định nghĩa WG</t>
  </si>
  <si>
    <t>U3</t>
  </si>
  <si>
    <t>成果物及里程碑的计划管理</t>
  </si>
  <si>
    <t>Quản lý kế hoạch sản phẩm bàn giao và mốc tiến độ</t>
  </si>
  <si>
    <t>U4</t>
  </si>
  <si>
    <t>障碍、行动和风险管理</t>
  </si>
  <si>
    <t>Quản lý trở ngại, hành động và rủi ro</t>
  </si>
  <si>
    <t>U5</t>
  </si>
  <si>
    <t>记录决策历史及影响范围</t>
  </si>
  <si>
    <t>Ghi lại lịch sử quyết định và phạm vi ảnh hưởng</t>
  </si>
  <si>
    <t>U6</t>
  </si>
  <si>
    <t>KPI定义、基准值、目标和实际值</t>
  </si>
  <si>
    <t>Định nghĩa KPI, giá trị cơ sở, mục tiêu và thực tế</t>
  </si>
  <si>
    <t>U7</t>
  </si>
  <si>
    <t>记录重要变更内容</t>
  </si>
  <si>
    <t>Ghi lại các thay đổi quan trọng</t>
  </si>
  <si>
    <t>RESP_HEADER</t>
  </si>
  <si>
    <t>2. 更新责任</t>
  </si>
  <si>
    <t>2. Trách nhiệm cập nhật</t>
  </si>
  <si>
    <t>R1</t>
  </si>
  <si>
    <t>• WG负责人：WG会议后更新WBS、课题和KPI</t>
  </si>
  <si>
    <t>• Trưởng WG: Cập nhật WBS, vấn đề và KPI sau cuộc họp WG</t>
  </si>
  <si>
    <t>R2</t>
  </si>
  <si>
    <t>• 管理办公室：每周统筹确认未更新项、逾期项、High优先级及WG间依赖</t>
  </si>
  <si>
    <t>• Ban điều hành: Hàng tuần rà soát các mục chưa cập nhật, quá hạn, mức High và phụ thuộc giữa các WG</t>
  </si>
  <si>
    <t>R3</t>
  </si>
  <si>
    <t>• 完成确认者：确认成果物或处理结果并批准完成</t>
  </si>
  <si>
    <t>• Người xác nhận hoàn thành: Kiểm tra sản phẩm bàn giao hoặc kết quả xử lý và phê duyệt hoàn thành</t>
  </si>
  <si>
    <t>R4</t>
  </si>
  <si>
    <t>• 分科会负责人／据点副负责人：对重要事项作出判断</t>
  </si>
  <si>
    <t>• Trưởng tiểu ban / Phó trưởng đơn vị: Quyết định các vấn đề quan trọng</t>
  </si>
  <si>
    <t>CYCLE_HEADER</t>
  </si>
  <si>
    <t>3. 每周周期</t>
  </si>
  <si>
    <t>3. Chu trình hàng tuần</t>
  </si>
  <si>
    <t>C1</t>
  </si>
  <si>
    <t>• WG活动后：登记新课题、决策和下一步行动</t>
  </si>
  <si>
    <t>• Sau hoạt động WG: Đăng ký vấn đề mới, quyết định và hành động tiếp theo</t>
  </si>
  <si>
    <t>C2</t>
  </si>
  <si>
    <t>• 负责人会议前：管理办公室提取预警事项</t>
  </si>
  <si>
    <t>• Trước cuộc họp trưởng nhóm: Ban điều hành trích xuất các cảnh báo</t>
  </si>
  <si>
    <t>C3</t>
  </si>
  <si>
    <t>• 每周负责人会议：重点讨论待决策事项、跨WG课题和延误</t>
  </si>
  <si>
    <t>• Họp trưởng nhóm hàng tuần: Tập trung thảo luận các mục chờ quyết định, vấn đề liên WG và chậm tiến độ</t>
  </si>
  <si>
    <t>C4</t>
  </si>
  <si>
    <t>• 会后：更新决策事项、负责人和期限</t>
  </si>
  <si>
    <t>• Sau cuộc họp: Cập nhật quyết định, người phụ trách và thời hạn</t>
  </si>
  <si>
    <t>ESC_HEADER</t>
  </si>
  <si>
    <t>4. 升级条件</t>
  </si>
  <si>
    <t>4. Điều kiện báo cáo cấp trên</t>
  </si>
  <si>
    <t>E1</t>
  </si>
  <si>
    <t>• High优先级</t>
  </si>
  <si>
    <t>• Mức ưu tiên High</t>
  </si>
  <si>
    <t>E2</t>
  </si>
  <si>
    <t>• 已逾期或预计将逾期</t>
  </si>
  <si>
    <t>• Đã quá hạn hoặc có khả năng quá hạn</t>
  </si>
  <si>
    <t>E3</t>
  </si>
  <si>
    <t>• 影响多个WG或多个据点</t>
  </si>
  <si>
    <t>• Ảnh hưởng đến nhiều WG hoặc nhiều đơn vị</t>
  </si>
  <si>
    <t>E4</t>
  </si>
  <si>
    <t>• 需要变更范围、投资、人员配置或上级决策</t>
  </si>
  <si>
    <t>• Cần thay đổi phạm vi, đầu tư, nhân sự hoặc quyết định cấp cao hơn</t>
  </si>
  <si>
    <t>言語切替 / 语言切换 / Chuyển ngôn ngữ</t>
  </si>
  <si>
    <t>WG-1</t>
  </si>
  <si>
    <t>WG-1</t>
    <phoneticPr fontId="1"/>
  </si>
  <si>
    <t>WG-2</t>
  </si>
  <si>
    <t>WG-2</t>
    <phoneticPr fontId="1"/>
  </si>
  <si>
    <t>WG-3</t>
  </si>
  <si>
    <t>WG-3</t>
    <phoneticPr fontId="1"/>
  </si>
  <si>
    <t>WG-4</t>
  </si>
  <si>
    <t>WG-4</t>
    <phoneticPr fontId="1"/>
  </si>
  <si>
    <t>WG-5</t>
  </si>
  <si>
    <t>WG-5</t>
    <phoneticPr fontId="1"/>
  </si>
  <si>
    <t>WG-6</t>
  </si>
  <si>
    <t>WG-6</t>
    <phoneticPr fontId="1"/>
  </si>
  <si>
    <t>WG-7</t>
  </si>
  <si>
    <t>WG-7</t>
    <phoneticPr fontId="1"/>
  </si>
  <si>
    <t>WG-8</t>
    <phoneticPr fontId="1"/>
  </si>
  <si>
    <t>WG-9</t>
  </si>
  <si>
    <t>WG-9</t>
    <phoneticPr fontId="1"/>
  </si>
  <si>
    <t>DASH_TITLE</t>
  </si>
  <si>
    <t>整体摘要</t>
  </si>
  <si>
    <t>Tổng quan</t>
  </si>
  <si>
    <t>DASH_DESC</t>
  </si>
  <si>
    <t>供管理办公室及每周WG负责人会议使用。无需输入，自动汇总WBS、课题ToDo和KPI信息。</t>
  </si>
  <si>
    <t>Dùng cho ban điều hành và cuộc họp trưởng WG hàng tuần. Không cần nhập liệu; thông tin WBS, Vấn đề/ToDo và KPI được tự động tổng hợp.</t>
  </si>
  <si>
    <t>DASH_OPEN_WBS</t>
  </si>
  <si>
    <t>未完成WBS</t>
  </si>
  <si>
    <t>WBS chưa hoàn thành</t>
  </si>
  <si>
    <t>DASH_DELAY_WBS</t>
  </si>
  <si>
    <t>延期WBS</t>
  </si>
  <si>
    <t>WBS chậm tiến độ</t>
  </si>
  <si>
    <t>DASH_OPEN_ISSUES</t>
  </si>
  <si>
    <t>未完成课题ToDo</t>
  </si>
  <si>
    <t>Vấn đề/ToDo chưa hoàn thành</t>
  </si>
  <si>
    <t>DASH_HIGH_OVERDUE</t>
  </si>
  <si>
    <t>High／逾期</t>
  </si>
  <si>
    <t>High / Quá hạn</t>
  </si>
  <si>
    <t>DASH_KPI_MISS</t>
  </si>
  <si>
    <t>KPI未达标</t>
  </si>
  <si>
    <t>KPI chưa đạt</t>
  </si>
  <si>
    <t>DASH_WG</t>
  </si>
  <si>
    <t>DASH_OPEN_ISSUES_SHORT</t>
  </si>
  <si>
    <t>未完成课题</t>
  </si>
  <si>
    <t>Vấn đề chưa hoàn thành</t>
  </si>
  <si>
    <t>DASH_HIGH_OVERDUE_SHORT</t>
  </si>
  <si>
    <t>High/逾期</t>
  </si>
  <si>
    <t>High/Quá hạn</t>
  </si>
  <si>
    <t>DASH_WAITING</t>
  </si>
  <si>
    <t>待决策/等待其他WG</t>
  </si>
  <si>
    <t>Chờ quyết định/WG khác</t>
  </si>
  <si>
    <t>DASH_CHART_TITLE</t>
  </si>
  <si>
    <t>WG別 未完了課題</t>
  </si>
  <si>
    <t>各WG未完成课题</t>
  </si>
  <si>
    <t>Vấn đề chưa hoàn thành theo WG</t>
  </si>
  <si>
    <t>DASH_COUNT</t>
  </si>
  <si>
    <t>件数</t>
  </si>
  <si>
    <t>数量</t>
  </si>
  <si>
    <t>Số lượng</t>
  </si>
  <si>
    <t>DASH_ALL</t>
  </si>
  <si>
    <t>整体</t>
  </si>
  <si>
    <t>High：分科会全体の進捗・費用・品質へ直接影響。</t>
  </si>
  <si>
    <t>Middle：個別WGの進捗・費用・品質へ直接影響。</t>
  </si>
  <si>
    <t>Low：直接影響は小さいが成功に必要。</t>
  </si>
  <si>
    <t>M_TITLE</t>
  </si>
  <si>
    <t>输入主数据</t>
  </si>
  <si>
    <t>Danh mục nhập liệu</t>
  </si>
  <si>
    <t>M_DESC</t>
  </si>
  <si>
    <t>用于数据验证的候选值。仅限管理办公室修改。</t>
  </si>
  <si>
    <t>Các giá trị lựa chọn dùng cho xác thực dữ liệu. Chỉ ban điều hành được thay đổi.</t>
  </si>
  <si>
    <t>M_WG</t>
  </si>
  <si>
    <t>M_SITE</t>
  </si>
  <si>
    <t>据点</t>
  </si>
  <si>
    <t>Đơn vị</t>
  </si>
  <si>
    <t>M_STATUS</t>
  </si>
  <si>
    <t>状态</t>
  </si>
  <si>
    <t>Trạng thái</t>
  </si>
  <si>
    <t>M_PRIORITY</t>
  </si>
  <si>
    <t>优先级</t>
  </si>
  <si>
    <t>Mức ưu tiên</t>
  </si>
  <si>
    <t>M_TYPE</t>
  </si>
  <si>
    <t>分类</t>
  </si>
  <si>
    <t>Phân loại</t>
  </si>
  <si>
    <t>M_KPI_LEVEL</t>
  </si>
  <si>
    <t>KPI层级</t>
  </si>
  <si>
    <t>Cấp KPI</t>
  </si>
  <si>
    <t>M_JUDGMENT</t>
  </si>
  <si>
    <t>Đánh giá</t>
  </si>
  <si>
    <t>M_ALL</t>
  </si>
  <si>
    <t>M_WG1</t>
  </si>
  <si>
    <t>M_WG2</t>
  </si>
  <si>
    <t>M_WG3</t>
  </si>
  <si>
    <t>M_WG4</t>
  </si>
  <si>
    <t>M_WG5</t>
  </si>
  <si>
    <t>M_WG6</t>
  </si>
  <si>
    <t>M_WG7</t>
  </si>
  <si>
    <t>M_WG8</t>
  </si>
  <si>
    <t>M_WG9</t>
  </si>
  <si>
    <t>M_COMMON</t>
  </si>
  <si>
    <t>Chung</t>
  </si>
  <si>
    <t>M_KDC</t>
  </si>
  <si>
    <t>M_KDTCN</t>
  </si>
  <si>
    <t>M_KDTVN</t>
  </si>
  <si>
    <t>M_NOT_STARTED</t>
  </si>
  <si>
    <t>未开始</t>
  </si>
  <si>
    <t>Chưa bắt đầu</t>
  </si>
  <si>
    <t>M_IN_PROGRESS</t>
  </si>
  <si>
    <t>处理中</t>
  </si>
  <si>
    <t>Đang xử lý</t>
  </si>
  <si>
    <t>M_WAIT_DECISION</t>
  </si>
  <si>
    <t>待决策</t>
  </si>
  <si>
    <t>Chờ quyết định</t>
  </si>
  <si>
    <t>M_WAIT_WG</t>
  </si>
  <si>
    <t>等待其他WG</t>
  </si>
  <si>
    <t>Chờ WG khác</t>
  </si>
  <si>
    <t>M_WAIT_COMPLETE</t>
  </si>
  <si>
    <t>待确认完成</t>
  </si>
  <si>
    <t>Chờ xác nhận hoàn thành</t>
  </si>
  <si>
    <t>M_COMPLETE</t>
  </si>
  <si>
    <t>已完成</t>
  </si>
  <si>
    <t>Hoàn thành</t>
  </si>
  <si>
    <t>M_HOLD</t>
  </si>
  <si>
    <t>暂缓</t>
  </si>
  <si>
    <t>Tạm hoãn</t>
  </si>
  <si>
    <t>M_WITHDRAWN</t>
  </si>
  <si>
    <t>撤回</t>
  </si>
  <si>
    <t>Rút lại</t>
  </si>
  <si>
    <t>M_HIGH</t>
  </si>
  <si>
    <t>M_MIDDLE</t>
  </si>
  <si>
    <t>M_LOW</t>
  </si>
  <si>
    <t>M_ISSUE</t>
  </si>
  <si>
    <t>课题</t>
  </si>
  <si>
    <t>Vấn đề</t>
  </si>
  <si>
    <t>M_TODO</t>
  </si>
  <si>
    <t>M_DECISION</t>
  </si>
  <si>
    <t>决策</t>
  </si>
  <si>
    <t>Quyết định</t>
  </si>
  <si>
    <t>M_RISK</t>
  </si>
  <si>
    <t>风险</t>
  </si>
  <si>
    <t>Rủi ro</t>
  </si>
  <si>
    <t>M_FOUNDATION</t>
  </si>
  <si>
    <t>基础建立</t>
  </si>
  <si>
    <t>Thiết lập nền tảng</t>
  </si>
  <si>
    <t>M_ADOPTION</t>
  </si>
  <si>
    <t>运营固化</t>
  </si>
  <si>
    <t>Vận hành ổn định</t>
  </si>
  <si>
    <t>M_BUSINESS</t>
  </si>
  <si>
    <t>业务成果</t>
  </si>
  <si>
    <t>Kết quả nghiệp vụ</t>
  </si>
  <si>
    <t>M_INVESTMENT</t>
  </si>
  <si>
    <t>投资成果</t>
  </si>
  <si>
    <t>Kết quả đầu tư</t>
  </si>
  <si>
    <t>M_UNSET</t>
  </si>
  <si>
    <t>未设置</t>
  </si>
  <si>
    <t>Chưa thiết lập</t>
  </si>
  <si>
    <t>M_ON_TRACK</t>
  </si>
  <si>
    <t>顺利</t>
  </si>
  <si>
    <t>Đúng tiến độ</t>
  </si>
  <si>
    <t>M_CAUTION</t>
  </si>
  <si>
    <t>Cần chú ý</t>
  </si>
  <si>
    <t>M_DELAY</t>
  </si>
  <si>
    <t>延迟</t>
  </si>
  <si>
    <t>Chậm tiến độ</t>
  </si>
  <si>
    <t>M_ACHIEVED</t>
  </si>
  <si>
    <t>达成</t>
  </si>
  <si>
    <t>Đạt</t>
  </si>
  <si>
    <t>M_NOT_ACHIEVED</t>
  </si>
  <si>
    <t>未达成</t>
  </si>
  <si>
    <t>Chưa đạt</t>
  </si>
  <si>
    <t>M_PRIORITY_GUIDE</t>
  </si>
  <si>
    <t>优先级说明</t>
  </si>
  <si>
    <t>Nguyên tắc ưu tiên</t>
  </si>
  <si>
    <t>M_HIGH_DESC</t>
  </si>
  <si>
    <t>High：直接影响整个分科会的进度、成本和质量。</t>
  </si>
  <si>
    <t>High: Ảnh hưởng trực tiếp đến tiến độ, chi phí và chất lượng của toàn tiểu ban.</t>
  </si>
  <si>
    <t>M_MIDDLE_DESC</t>
  </si>
  <si>
    <t>Middle：直接影响单个WG的进度、成本和质量。</t>
  </si>
  <si>
    <t>Middle: Ảnh hưởng trực tiếp đến tiến độ, chi phí và chất lượng của từng WG.</t>
  </si>
  <si>
    <t>M_LOW_DESC</t>
  </si>
  <si>
    <t>Low：直接影响较小，但对成功仍有必要。</t>
  </si>
  <si>
    <t>Low: Ảnh hưởng trực tiếp nhỏ nhưng cần thiết để thành công.</t>
  </si>
  <si>
    <t>WBS_TITLE</t>
  </si>
  <si>
    <t>WBS・里程碑</t>
  </si>
  <si>
    <t>WBS &amp; Mốc tiến độ</t>
  </si>
  <si>
    <t>WBS_DESC</t>
  </si>
  <si>
    <t>蓝色字体单元格为输入栏。进度率、剩余天数和延误判定自动计算。3行为输入示例。</t>
  </si>
  <si>
    <t>Các ô chữ màu xanh là ô nhập liệu. Tỷ lệ tiến độ, số ngày còn lại và đánh giá chậm tiến độ được tính tự động. 3 dòng là ví dụ nhập liệu.</t>
  </si>
  <si>
    <t>WBS_ID</t>
  </si>
  <si>
    <t>WBS_WG</t>
  </si>
  <si>
    <t>WBS_SITE</t>
  </si>
  <si>
    <t>WBS_CATEGORY</t>
  </si>
  <si>
    <t>大类</t>
  </si>
  <si>
    <t>Phân loại chính</t>
  </si>
  <si>
    <t>WBS_TASK</t>
  </si>
  <si>
    <t>任务／成果物</t>
  </si>
  <si>
    <t>Nhiệm vụ / Sản phẩm bàn giao</t>
  </si>
  <si>
    <t>WBS_OWNER</t>
  </si>
  <si>
    <t>负责人</t>
  </si>
  <si>
    <t>Người chịu trách nhiệm</t>
  </si>
  <si>
    <t>WBS_PLAN_START</t>
  </si>
  <si>
    <t>计划开始</t>
  </si>
  <si>
    <t>Ngày bắt đầu kế hoạch</t>
  </si>
  <si>
    <t>WBS_PLAN_END</t>
  </si>
  <si>
    <t>计划结束</t>
  </si>
  <si>
    <t>Ngày kết thúc kế hoạch</t>
  </si>
  <si>
    <t>WBS_ACTUAL_START</t>
  </si>
  <si>
    <t>实际开始</t>
  </si>
  <si>
    <t>Ngày bắt đầu thực tế</t>
  </si>
  <si>
    <t>WBS_ACTUAL_END</t>
  </si>
  <si>
    <t>实际结束</t>
  </si>
  <si>
    <t>Ngày kết thúc thực tế</t>
  </si>
  <si>
    <t>WBS_PROGRESS</t>
  </si>
  <si>
    <t>进度率</t>
  </si>
  <si>
    <t>Tỷ lệ tiến độ</t>
  </si>
  <si>
    <t>WBS_STATUS</t>
  </si>
  <si>
    <t>WBS_DAYS</t>
  </si>
  <si>
    <t>剩余天数</t>
  </si>
  <si>
    <t>Số ngày còn lại</t>
  </si>
  <si>
    <t>WBS_DELAY</t>
  </si>
  <si>
    <t>延误判定</t>
  </si>
  <si>
    <t>Đánh giá chậm tiến độ</t>
  </si>
  <si>
    <t>WBS_LINK</t>
  </si>
  <si>
    <t>相关链接</t>
  </si>
  <si>
    <t>Liên kết liên quan</t>
  </si>
  <si>
    <t>WBS_NOTE</t>
  </si>
  <si>
    <t>备注</t>
  </si>
  <si>
    <t>Ghi chú</t>
  </si>
  <si>
    <t>03_WBS</t>
    <phoneticPr fontId="1"/>
  </si>
  <si>
    <t>Toàn bộ</t>
    <phoneticPr fontId="1"/>
  </si>
  <si>
    <t>ALERT_OVERDUE</t>
  </si>
  <si>
    <t>期限超過</t>
  </si>
  <si>
    <t>逾期</t>
  </si>
  <si>
    <t>Quá hạn</t>
  </si>
  <si>
    <t>ALERT_APPROACHING</t>
  </si>
  <si>
    <t>期限接近</t>
  </si>
  <si>
    <t>临近期限</t>
  </si>
  <si>
    <t>Sắp đến hạn</t>
  </si>
  <si>
    <t>ALERT_CHECK</t>
  </si>
  <si>
    <t>要確認</t>
  </si>
  <si>
    <t>需确认</t>
  </si>
  <si>
    <t>Cần xác nhận</t>
  </si>
  <si>
    <t>COMMON_EXAMPLE</t>
  </si>
  <si>
    <t>输入示例</t>
  </si>
  <si>
    <t>Ví dụ nhập liệu</t>
  </si>
  <si>
    <t>COMMON_ALL_WG</t>
  </si>
  <si>
    <t>全体WG</t>
  </si>
  <si>
    <t>Tất cả WG</t>
  </si>
  <si>
    <t>ROLE_PMO</t>
  </si>
  <si>
    <t>运营事务局</t>
  </si>
  <si>
    <t>Ban điều hành</t>
  </si>
  <si>
    <t>ROLE_LEADER</t>
  </si>
  <si>
    <t>Trưởng nhóm WG</t>
  </si>
  <si>
    <t>ROLE_SUBLEADER</t>
  </si>
  <si>
    <t>Trưởng tiểu ban</t>
  </si>
  <si>
    <t>ROLE_MATERIALS</t>
  </si>
  <si>
    <t>采购／物料</t>
  </si>
  <si>
    <t>Vật tư</t>
  </si>
  <si>
    <t>ROLE_ALL_LEADERS</t>
  </si>
  <si>
    <t>全リーダー</t>
  </si>
  <si>
    <t>全体负责人</t>
  </si>
  <si>
    <t>Tất cả trưởng nhóm</t>
  </si>
  <si>
    <t>WBS_CAT_STARTUP</t>
  </si>
  <si>
    <t>启动</t>
  </si>
  <si>
    <t>Khởi động</t>
  </si>
  <si>
    <t>WBS_CAT_ANALYSIS</t>
  </si>
  <si>
    <t>现状分析</t>
  </si>
  <si>
    <t>Phân tích hiện trạng</t>
  </si>
  <si>
    <t>WBS_CAT_POLICY</t>
  </si>
  <si>
    <t>方针制定</t>
  </si>
  <si>
    <t>Xây dựng định hướng</t>
  </si>
  <si>
    <t>WBS_TASK_1</t>
  </si>
  <si>
    <t>确定WG运营规则</t>
  </si>
  <si>
    <t>Xác định quy tắc vận hành WG</t>
  </si>
  <si>
    <t>WBS_TASK_2</t>
  </si>
  <si>
    <t>盘点现状业务</t>
  </si>
  <si>
    <t>Rà soát nghiệp vụ hiện tại</t>
  </si>
  <si>
    <t>WBS_TASK_3</t>
  </si>
  <si>
    <t>梳理现有系统职责</t>
  </si>
  <si>
    <t>Sắp xếp vai trò hệ thống hiện hữu</t>
  </si>
  <si>
    <t>ISSUE_TITLE</t>
  </si>
  <si>
    <t>课题・ToDo管理</t>
  </si>
  <si>
    <t>Quản lý Vấn đề &amp; ToDo</t>
  </si>
  <si>
    <t>ISSUE_DESC</t>
  </si>
  <si>
    <t>统一管理课题、ToDo、决策与风险。剩余天数与预警自动计算。4行为输入示例。</t>
  </si>
  <si>
    <t>Quản lý tập trung vấn đề, ToDo, quyết định và rủi ro. Số ngày còn lại và cảnh báo được tính tự động. 4 dòng là ví dụ nhập liệu.</t>
  </si>
  <si>
    <t>ISSUE_COL_ID</t>
  </si>
  <si>
    <t>ISSUE_COL_TYPE</t>
  </si>
  <si>
    <t>类型</t>
  </si>
  <si>
    <t>ISSUE_COL_WG</t>
  </si>
  <si>
    <t>ISSUE_COL_SITE</t>
  </si>
  <si>
    <t>ISSUE_COL_TITLE</t>
  </si>
  <si>
    <t>主题</t>
  </si>
  <si>
    <t>Tiêu đề</t>
  </si>
  <si>
    <t>ISSUE_COL_BG</t>
  </si>
  <si>
    <t>背景／问题</t>
  </si>
  <si>
    <t>Bối cảnh / Vấn đề</t>
  </si>
  <si>
    <t>ISSUE_COL_ACTION</t>
  </si>
  <si>
    <t>下一步行动</t>
  </si>
  <si>
    <t>Hành động tiếp theo</t>
  </si>
  <si>
    <t>ISSUE_COL_OWNER</t>
  </si>
  <si>
    <t>Người phụ trách</t>
  </si>
  <si>
    <t>ISSUE_COL_COOP</t>
  </si>
  <si>
    <t>协同人</t>
  </si>
  <si>
    <t>Người phối hợp</t>
  </si>
  <si>
    <t>ISSUE_COL_START</t>
  </si>
  <si>
    <t>发起日期</t>
  </si>
  <si>
    <t>Ngày tạo</t>
  </si>
  <si>
    <t>ISSUE_COL_DUE</t>
  </si>
  <si>
    <t>截止期限</t>
  </si>
  <si>
    <t>Thời hạn</t>
  </si>
  <si>
    <t>ISSUE_COL_PRIORITY</t>
  </si>
  <si>
    <t>ISSUE_COL_STATUS</t>
  </si>
  <si>
    <t>ISSUE_COL_DEP</t>
  </si>
  <si>
    <t>关联WG／依赖方</t>
  </si>
  <si>
    <t>WG liên quan / Phụ thuộc</t>
  </si>
  <si>
    <t>ISSUE_COL_COND</t>
  </si>
  <si>
    <t>完成条件</t>
  </si>
  <si>
    <t>Điều kiện hoàn thành</t>
  </si>
  <si>
    <t>ISSUE_COL_RESULT</t>
  </si>
  <si>
    <t>处理情况／结论</t>
  </si>
  <si>
    <t>Tình trạng xử lý / Kết luận</t>
  </si>
  <si>
    <t>ISSUE_COL_LINK</t>
  </si>
  <si>
    <t>ISSUE_COL_DAYS</t>
  </si>
  <si>
    <t>ISSUE_COL_ALERT</t>
  </si>
  <si>
    <t>预警</t>
  </si>
  <si>
    <t>Cảnh báo</t>
  </si>
  <si>
    <t>ISSUE_COL_UPDATED</t>
  </si>
  <si>
    <t>最终更新日</t>
  </si>
  <si>
    <t>Ngày cập nhật cuối</t>
  </si>
  <si>
    <t>ISSUE_EX1_TITLE</t>
  </si>
  <si>
    <t>确定管理规则</t>
  </si>
  <si>
    <t>Xác định quy tắc quản lý</t>
  </si>
  <si>
    <t>ISSUE_EX1_BG</t>
  </si>
  <si>
    <t>WG启动前需要通用规则</t>
  </si>
  <si>
    <t>Cần quy tắc chung trước khi khởi động WG</t>
  </si>
  <si>
    <t>ISSUE_EX1_ACT</t>
  </si>
  <si>
    <t>事务局内部就项目、责任和截止日期达成一致</t>
  </si>
  <si>
    <t>Thống nhất các mục, trách nhiệm và thời hạn trong ban điều hành</t>
  </si>
  <si>
    <t>ISSUE_EX1_COND</t>
  </si>
  <si>
    <t>运营规则获得批准</t>
  </si>
  <si>
    <t>Quy tắc vận hành được phê duyệt</t>
  </si>
  <si>
    <t>ISSUE_EX2_TITLE</t>
  </si>
  <si>
    <t>BOP运营与职责不明确</t>
  </si>
  <si>
    <t>Vận hành và vai trò BOP chưa rõ ràng</t>
  </si>
  <si>
    <t>ISSUE_EX2_BG</t>
  </si>
  <si>
    <t>编制、审批、对接后的职责未定义</t>
  </si>
  <si>
    <t>Chưa định nghĩa vai trò sau khi tạo, phê duyệt và liên kết</t>
  </si>
  <si>
    <t>ISSUE_EX2_ACT</t>
  </si>
  <si>
    <t>梳理现状业务与职责分工</t>
  </si>
  <si>
    <t>Rà soát nghiệp vụ hiện tại và phân công trách nhiệm</t>
  </si>
  <si>
    <t>ISSUE_EX2_DEP</t>
  </si>
  <si>
    <t>WG-8 系统集成</t>
  </si>
  <si>
    <t>WG-8 Tích hợp hệ thống</t>
  </si>
  <si>
    <t>ISSUE_EX2_COND</t>
  </si>
  <si>
    <t>达成RACI共识</t>
  </si>
  <si>
    <t>Thống nhất bảng RACI</t>
  </si>
  <si>
    <t>ISSUE_EX3_TITLE</t>
  </si>
  <si>
    <t>目标范围未确定</t>
  </si>
  <si>
    <t>Phạm vi mục tiêu chưa xác định</t>
  </si>
  <si>
    <t>ISSUE_EX3_BG</t>
  </si>
  <si>
    <t>发货物流目标范围较广</t>
  </si>
  <si>
    <t>Phạm vi logistics giao hàng rộng</t>
  </si>
  <si>
    <t>ISSUE_EX3_ACT</t>
  </si>
  <si>
    <t>盘点现状工时并就优先主题达成共识</t>
  </si>
  <si>
    <t>Rà soát công chuẩn hiện tại và thống nhất chủ đề ưu tiên</t>
  </si>
  <si>
    <t>ISSUE_EX3_COND</t>
  </si>
  <si>
    <t>目标范围获批</t>
  </si>
  <si>
    <t>Phê duyệt phạm vi mục tiêu</t>
  </si>
  <si>
    <t>ISSUE_EX4_TITLE</t>
  </si>
  <si>
    <t>合作伙伴推广停滞</t>
  </si>
  <si>
    <t>Triển khai với đối tác bị đình trệ</t>
  </si>
  <si>
    <t>ISSUE_EX4_BG</t>
  </si>
  <si>
    <t>规格、费用分摊、回收物流未理顺</t>
  </si>
  <si>
    <t>Chưa sắp xếp quy cách, chia sẻ chi phí và logistics thu hồi</t>
  </si>
  <si>
    <t>ISSUE_EX4_ACT</t>
  </si>
  <si>
    <t>梳理阻碍因素与决策事项</t>
  </si>
  <si>
    <t>Sắp xếp các yếu tố cản trở và vấn đề cần quyết định</t>
  </si>
  <si>
    <t>ISSUE_EX4_DEP</t>
  </si>
  <si>
    <t>WG-1 零部件接收</t>
  </si>
  <si>
    <t>WG-1 Tiếp nhận linh kiện</t>
  </si>
  <si>
    <t>ISSUE_EX4_COND</t>
  </si>
  <si>
    <t>达成推广方针共识</t>
  </si>
  <si>
    <t>Thống nhất định hướng triển khai</t>
  </si>
  <si>
    <t>DEC_TITLE</t>
  </si>
  <si>
    <t>决议事项记录</t>
  </si>
  <si>
    <t>Nhật ký quyết định</t>
  </si>
  <si>
    <t>DEC_DESC</t>
  </si>
  <si>
    <t>记录会议决定内容及影响范围，确保事后可追溯决策原因。</t>
  </si>
  <si>
    <t>Ghi lại nội dung quyết định trong cuộc họp và phạm vi ảnh hưởng. Giúp theo dõi lại lý do đưa ra quyết định.</t>
  </si>
  <si>
    <t>DEC_COL_ID</t>
  </si>
  <si>
    <t>决议ID</t>
  </si>
  <si>
    <t>Mã quyết định</t>
  </si>
  <si>
    <t>DEC_COL_DATE</t>
  </si>
  <si>
    <t>决议日期</t>
  </si>
  <si>
    <t>Ngày quyết định</t>
  </si>
  <si>
    <t>DEC_COL_FORUM</t>
  </si>
  <si>
    <t>会议／场合</t>
  </si>
  <si>
    <t>Cuộc họp / Diễn đàn</t>
  </si>
  <si>
    <t>DEC_COL_TITLE</t>
  </si>
  <si>
    <t>DEC_COL_CONTENT</t>
  </si>
  <si>
    <t>决议内容</t>
  </si>
  <si>
    <t>Nội dung quyết định</t>
  </si>
  <si>
    <t>DEC_COL_REASON</t>
  </si>
  <si>
    <t>决策原因</t>
  </si>
  <si>
    <t>Lý do quyết định</t>
  </si>
  <si>
    <t>DEC_COL_DECIDER</t>
  </si>
  <si>
    <t>决策人</t>
  </si>
  <si>
    <t>Người quyết định</t>
  </si>
  <si>
    <t>DEC_COL_WG</t>
  </si>
  <si>
    <t>对象WG</t>
  </si>
  <si>
    <t>WG áp dụng</t>
  </si>
  <si>
    <t>DEC_COL_SITE</t>
  </si>
  <si>
    <t>对象据点</t>
  </si>
  <si>
    <t>Đơn vị áp dụng</t>
  </si>
  <si>
    <t>DEC_COL_SCOPE</t>
  </si>
  <si>
    <t>影响范围</t>
  </si>
  <si>
    <t>Phạm vi ảnh hưởng</t>
  </si>
  <si>
    <t>DEC_COL_LEAD</t>
  </si>
  <si>
    <t>实施负责人</t>
  </si>
  <si>
    <t>Người chịu trách nhiệm thực hiện</t>
  </si>
  <si>
    <t>DEC_COL_DUE</t>
  </si>
  <si>
    <t>生效期限</t>
  </si>
  <si>
    <t>Thời hạn áp dụng</t>
  </si>
  <si>
    <t>DEC_COL_ISSUE_ID</t>
  </si>
  <si>
    <t>关联课题ID</t>
  </si>
  <si>
    <t>Mã vấn đề liên quan</t>
  </si>
  <si>
    <t>DEC_COL_LINK</t>
  </si>
  <si>
    <t>相关资料链接</t>
  </si>
  <si>
    <t>Liên kết tài liệu liên quan</t>
  </si>
  <si>
    <t>DEC_COL_NOTE</t>
  </si>
  <si>
    <t>DEC_EX1_FORUM</t>
  </si>
  <si>
    <t>事务局例会</t>
  </si>
  <si>
    <t>Họp ban điều hành</t>
  </si>
  <si>
    <t>DEC_EX1_TITLE</t>
  </si>
  <si>
    <t>管理工具初版</t>
  </si>
  <si>
    <t>Bản đầu tiên công cụ quản lý</t>
  </si>
  <si>
    <t>DEC_EX1_CONTENT</t>
  </si>
  <si>
    <t>推进Excel统一管理方案至事务局内部评审</t>
  </si>
  <si>
    <t>Đưa phương án quản lý tập trung bằng Excel vào rà soát nội bộ ban điều hành</t>
  </si>
  <si>
    <t>DEC_EX1_REASON</t>
  </si>
  <si>
    <t>为优先确立通用规则</t>
  </si>
  <si>
    <t>Để củng cố các quy tắc chung trước tiên</t>
  </si>
  <si>
    <t>KPI_TITLE</t>
  </si>
  <si>
    <t>Quản lý KPI</t>
  </si>
  <si>
    <t>KPI_DESC</t>
  </si>
  <si>
    <t>KPI按“基础建立→运营固化→业务成果→投资成果”顺序管理。基准值与目标值根据验证结果更新。</t>
  </si>
  <si>
    <t>KPI được quản lý theo thứ tự: 'Thiết lập nền tảng → Vận hành ổn định → Kết quả nghiệp vụ → Kết quả đầu tư'. Cập nhật giá trị cơ sở và mục tiêu theo kết quả kiểm chứng.</t>
  </si>
  <si>
    <t>KPI_COL_ID</t>
  </si>
  <si>
    <t>Mã KPI</t>
  </si>
  <si>
    <t>KPI_COL_WG</t>
  </si>
  <si>
    <t>KPI_COL_LEVEL</t>
  </si>
  <si>
    <t>层级</t>
  </si>
  <si>
    <t>Cấp độ</t>
  </si>
  <si>
    <t>KPI_COL_NAME</t>
  </si>
  <si>
    <t>KPI名称</t>
  </si>
  <si>
    <t>Tên KPI</t>
  </si>
  <si>
    <t>KPI_COL_PURPOSE</t>
  </si>
  <si>
    <t>Mục đích</t>
  </si>
  <si>
    <t>KPI_COL_FORMULA</t>
  </si>
  <si>
    <t>定义／算式</t>
  </si>
  <si>
    <t>Định nghĩa / Công thức</t>
  </si>
  <si>
    <t>KPI_COL_UNIT</t>
  </si>
  <si>
    <t>单位</t>
  </si>
  <si>
    <t>Đơn vị tính</t>
  </si>
  <si>
    <t>KPI_COL_FREQ</t>
  </si>
  <si>
    <t>测量频次</t>
  </si>
  <si>
    <t>Tần suất đo lường</t>
  </si>
  <si>
    <t>KPI_COL_SOURCE</t>
  </si>
  <si>
    <t>数据来源</t>
  </si>
  <si>
    <t>Nguồn dữ liệu</t>
  </si>
  <si>
    <t>KPI_COL_OWNER</t>
  </si>
  <si>
    <t>KPI_COL_BASE</t>
  </si>
  <si>
    <t>基准值</t>
  </si>
  <si>
    <t>Giá trị cơ sở</t>
  </si>
  <si>
    <t>KPI_COL_TARGET</t>
  </si>
  <si>
    <t>目标值</t>
  </si>
  <si>
    <t>Giá trị mục tiêu</t>
  </si>
  <si>
    <t>KPI_COL_ACTUAL</t>
  </si>
  <si>
    <t>实际值</t>
  </si>
  <si>
    <t>Giá trị thực tế</t>
  </si>
  <si>
    <t>KPI_COL_RATE</t>
  </si>
  <si>
    <t>达成率</t>
  </si>
  <si>
    <t>Tỷ lệ đạt</t>
  </si>
  <si>
    <t>KPI_COL_JUDGE</t>
  </si>
  <si>
    <t>KPI_COL_DATE</t>
  </si>
  <si>
    <t>测量日期</t>
  </si>
  <si>
    <t>Ngày đo</t>
  </si>
  <si>
    <t>KPI_COL_ACTION</t>
  </si>
  <si>
    <t>KPI_COL_NOTE</t>
  </si>
  <si>
    <t>KPI_UNIT_TIME</t>
  </si>
  <si>
    <t>小时</t>
  </si>
  <si>
    <t>Giờ</t>
  </si>
  <si>
    <t>KPI_UNIT_MONEY</t>
  </si>
  <si>
    <t>金额</t>
  </si>
  <si>
    <t>Số tiền</t>
  </si>
  <si>
    <t>KPI_FREQ_MONTH</t>
  </si>
  <si>
    <t>月度</t>
  </si>
  <si>
    <t>Hàng tháng</t>
  </si>
  <si>
    <t>KPI_FREQ_QUARTER</t>
  </si>
  <si>
    <t>季度</t>
  </si>
  <si>
    <t>Hàng quý</t>
  </si>
  <si>
    <t>KPI_SRC_ACTUAL</t>
  </si>
  <si>
    <t>现场实际</t>
  </si>
  <si>
    <t>Thực tế hiện trường</t>
  </si>
  <si>
    <t>KPI_SRC_WG_SUM</t>
  </si>
  <si>
    <t>各WG汇总</t>
  </si>
  <si>
    <t>Tổng hợp từ các WG</t>
  </si>
  <si>
    <t>KPI_EX1_NAME</t>
  </si>
  <si>
    <t>BOP完善率</t>
  </si>
  <si>
    <t>Tỷ lệ hoàn thiện BOP</t>
  </si>
  <si>
    <t>KPI_EX1_PURPOSE</t>
  </si>
  <si>
    <t>建立作业指导基础</t>
  </si>
  <si>
    <t>Thiết lập nền tảng chỉ dẫn công việc</t>
  </si>
  <si>
    <t>KPI_EX1_FORMULA</t>
  </si>
  <si>
    <t>有效BOP数÷对象零部件数</t>
  </si>
  <si>
    <t>Số BOP hợp lệ ÷ Số linh kiện mục tiêu</t>
  </si>
  <si>
    <t>KPI_EX1_ACTION</t>
  </si>
  <si>
    <t>确定定义与目标范围</t>
  </si>
  <si>
    <t>Xác định định nghĩa và phạm vi mục tiêu</t>
  </si>
  <si>
    <t>KPI_EX2_NAME</t>
  </si>
  <si>
    <t>手动修正率</t>
  </si>
  <si>
    <t>Tỷ lệ chỉnh sửa thủ công</t>
  </si>
  <si>
    <t>KPI_EX2_PURPOSE</t>
  </si>
  <si>
    <t>确认运行稳定性</t>
  </si>
  <si>
    <t>Xác nhận độ ổn định vận hành</t>
  </si>
  <si>
    <t>KPI_EX2_FORMULA</t>
  </si>
  <si>
    <t>手动修正件数÷总执行件数</t>
  </si>
  <si>
    <t>Số lượt chỉnh sửa thủ công ÷ Tổng số lượt thực hiện</t>
  </si>
  <si>
    <t>KPI_EX2_ACTION</t>
  </si>
  <si>
    <t>确定测量方法</t>
  </si>
  <si>
    <t>Xác định phương pháp đo lường</t>
  </si>
  <si>
    <t>KPI_EX3_NAME</t>
  </si>
  <si>
    <t>发货LT</t>
  </si>
  <si>
    <t>Thời gian chuẩn bị giao hàng (LT)</t>
  </si>
  <si>
    <t>KPI_EX3_PURPOSE</t>
  </si>
  <si>
    <t>改善发货业务效率</t>
  </si>
  <si>
    <t>Cải thiện hiệu quả nghiệp vụ giao hàng</t>
  </si>
  <si>
    <t>KPI_EX3_FORMULA</t>
  </si>
  <si>
    <t>从完成到发货完成的中位数</t>
  </si>
  <si>
    <t>Trung vị thời gian từ khi hoàn thành đến khi xuất hàng</t>
  </si>
  <si>
    <t>KPI_EX3_ACTION</t>
  </si>
  <si>
    <t>获取当前值</t>
  </si>
  <si>
    <t>Thu thập giá trị hiện tại</t>
  </si>
  <si>
    <t>KPI_EX4_NAME</t>
  </si>
  <si>
    <t>年净效益额</t>
  </si>
  <si>
    <t>Giá trị hiệu quả ròng hàng năm</t>
  </si>
  <si>
    <t>KPI_EX4_PURPOSE</t>
  </si>
  <si>
    <t>投资决策</t>
  </si>
  <si>
    <t>Đánh giá quyết định đầu tư</t>
  </si>
  <si>
    <t>KPI_EX4_FORMULA</t>
  </si>
  <si>
    <t>工时＋质量＋库存＋停线避免效益－年维护费用</t>
  </si>
  <si>
    <t>Hiệu quả nhân công + chất lượng + tồn kho + tránh dừng máy - chi phí duy trì hàng năm</t>
  </si>
  <si>
    <t>KPI_EX4_ACTION</t>
  </si>
  <si>
    <t>确定测算规则</t>
  </si>
  <si>
    <t>Xác định quy tắc tính toán</t>
  </si>
  <si>
    <t>REV_TITLE</t>
  </si>
  <si>
    <t>更新历史</t>
  </si>
  <si>
    <t>Lịch sử cập nhật</t>
  </si>
  <si>
    <t>REV_DESC</t>
  </si>
  <si>
    <t>记录重要规则变更、主数据变更及结构变更。</t>
  </si>
  <si>
    <t>Ghi lại các thay đổi quan trọng về quy tắc, dữ liệu danh mục và thay đổi cấu trúc.</t>
  </si>
  <si>
    <t>REV_COL_NO</t>
  </si>
  <si>
    <t>更新序号</t>
  </si>
  <si>
    <t>Số cập nhật</t>
  </si>
  <si>
    <t>REV_COL_DATE</t>
  </si>
  <si>
    <t>更新日期</t>
  </si>
  <si>
    <t>Ngày cập nhật</t>
  </si>
  <si>
    <t>REV_COL_AUTHOR</t>
  </si>
  <si>
    <t>更新人</t>
  </si>
  <si>
    <t>Người cập nhật</t>
  </si>
  <si>
    <t>REV_COL_TARGET</t>
  </si>
  <si>
    <t>对象工作表</t>
  </si>
  <si>
    <t>Trang tính áp dụng</t>
  </si>
  <si>
    <t>REV_COL_CONTENT</t>
  </si>
  <si>
    <t>变更内容</t>
  </si>
  <si>
    <t>Nội dung thay đổi</t>
  </si>
  <si>
    <t>REV_COL_REASON</t>
  </si>
  <si>
    <t>变更原因</t>
  </si>
  <si>
    <t>Lý do thay đổi</t>
  </si>
  <si>
    <t>REV_COL_APPROVER</t>
  </si>
  <si>
    <t>审批人</t>
  </si>
  <si>
    <t>Người phê duyệt</t>
  </si>
  <si>
    <t>REV_COL_NOTE</t>
  </si>
  <si>
    <t>REV_EX1_CONTENT</t>
  </si>
  <si>
    <t>创建管理工具初版</t>
  </si>
  <si>
    <t>Tạo bản dự thảo đầu tiên của công cụ quản lý</t>
  </si>
  <si>
    <t>REV_EX1_REASON</t>
  </si>
  <si>
    <t>具体化事务局说明材料中的运营方案</t>
  </si>
  <si>
    <t>Cụ thể hóa phương án vận hành trong tài liệu giải trình của ban điều hành</t>
  </si>
  <si>
    <t>Toàn bộ</t>
    <phoneticPr fontId="1"/>
  </si>
  <si>
    <t>PARA_TITLE</t>
  </si>
  <si>
    <t>5. 並行翻訳ルール（新入力対応）</t>
  </si>
  <si>
    <t>5. 并行翻译规则（新输入）</t>
  </si>
  <si>
    <t>5. Quy tắc dịch song song (nội dung mới)</t>
  </si>
  <si>
    <t>PARA_DESC</t>
  </si>
  <si>
    <t>自由記入欄は従来通り入力。右側のJP/CN/VI列がTRANSLATE関数で自動翻訳される（M365・ネット要）。Copilotでも同内容を翻訳可能。</t>
  </si>
  <si>
    <t>自由文本照常输入。右侧JP/CN/VI列用TRANSLATE函数自动翻译（需M365和网络）。也可用Copilot翻译。</t>
  </si>
  <si>
    <t>Ô tự do cứ nhập như cũ. Các cột JP/CN/VI bên phải tự dịch bằng hàm TRANSLATE (cần M365 + mạng). Copilot cũng dịch được.</t>
  </si>
  <si>
    <t>PARA_HOWTO</t>
  </si>
  <si>
    <t>使い方：母語で入力→他言語列を参照→空欄は翻訳しない→3000文字以内</t>
  </si>
  <si>
    <t>用法：用母语输入→查看其他语言列→空栏不翻译→3000字符以内</t>
  </si>
  <si>
    <t>Cách dùng: Nhập bằng tiếng mẹ đẻ → đọc cột ngôn ngữ khác → ô trống không dịch → dưới 3000 ký tự</t>
  </si>
  <si>
    <t>NEW_JP_SUFFIX</t>
  </si>
  <si>
    <t>（JP・日本語）</t>
  </si>
  <si>
    <t>（JP・日语）</t>
  </si>
  <si>
    <t>(JP・Tiếng Nhật)</t>
  </si>
  <si>
    <t>NEW_CN_SUFFIX</t>
  </si>
  <si>
    <t>（CN・中文）</t>
  </si>
  <si>
    <t>(CN・Tiếng Trung)</t>
  </si>
  <si>
    <t>NEW_VI_SUFFIX</t>
  </si>
  <si>
    <t>（VI・ベトナム語）</t>
  </si>
  <si>
    <t>（VI・越南语）</t>
  </si>
  <si>
    <t>(VI・Tiếng Việt)</t>
  </si>
  <si>
    <t>BACKUP_TITLE</t>
  </si>
  <si>
    <t>6. 削除防止・バックアップ</t>
  </si>
  <si>
    <t>6. 防删除与备份</t>
  </si>
  <si>
    <t>6. Chống xóa &amp; sao lưu</t>
  </si>
  <si>
    <t>BACKUP_DESC</t>
  </si>
  <si>
    <t>行を物理削除禁止。完了・取下に変更し、_ゴミ箱_Backupへ行コピー。SharePointでバージョン履歴500件を有効化し、週次で別名保存。</t>
  </si>
  <si>
    <t>禁止物理删除行。改为完成/撤回并复制到回收站。在SharePoint启用500个版本历史，每周另存。</t>
  </si>
  <si>
    <t>Cấm xóa dòng vật lý. Chuyển thành Hoàn thành/Rút lại và copy sang _Gomibox_Backup. Bật Version History 500 bản trên SharePoint, hàng tuần lưu bản riêng.</t>
  </si>
  <si>
    <t>GOMI_NO</t>
  </si>
  <si>
    <t>No.</t>
  </si>
  <si>
    <t>序号</t>
  </si>
  <si>
    <t>Số</t>
  </si>
  <si>
    <t>GOMI_DATE</t>
  </si>
  <si>
    <t>削除日</t>
  </si>
  <si>
    <t>删除日期</t>
  </si>
  <si>
    <t>Ngày xóa</t>
  </si>
  <si>
    <t>GOMI_SHEET</t>
  </si>
  <si>
    <t>GOMI_ID</t>
  </si>
  <si>
    <t>対象ID</t>
  </si>
  <si>
    <t>对象ID</t>
  </si>
  <si>
    <t>Mã</t>
  </si>
  <si>
    <t>GOMI_SNAP</t>
  </si>
  <si>
    <t>内容スナップショット</t>
  </si>
  <si>
    <t>内容快照</t>
  </si>
  <si>
    <t>Snapshot nội dung</t>
  </si>
  <si>
    <t>GOMI_BY</t>
  </si>
  <si>
    <t>削除者</t>
  </si>
  <si>
    <t>删除人</t>
  </si>
  <si>
    <t>Người xóa</t>
  </si>
  <si>
    <t>GOMI_REASON</t>
  </si>
  <si>
    <t>理由</t>
  </si>
  <si>
    <t>原因</t>
  </si>
  <si>
    <t>Lý do</t>
  </si>
  <si>
    <t>LANG_JA</t>
  </si>
  <si>
    <t>ja</t>
  </si>
  <si>
    <t>LANG_CN</t>
  </si>
  <si>
    <t>zh-Hans</t>
  </si>
  <si>
    <t>LANG_VI</t>
  </si>
  <si>
    <t>vi</t>
  </si>
  <si>
    <t>自動翻訳はM365+ネット要。TRANSLATEが#NAME?なら手動でCopilotに貼付翻訳。 / 需M365+网络，若#NAME?请用Copilot手动翻译 / Cần M365 + mạng, nếu #NAME? thì dùng Copilot dịch tay.</t>
  </si>
  <si>
    <r>
      <t>言語コード / 语</t>
    </r>
    <r>
      <rPr>
        <sz val="9"/>
        <color theme="1"/>
        <rFont val="ＭＳ Ｐゴシック"/>
        <family val="3"/>
        <charset val="128"/>
        <scheme val="minor"/>
      </rPr>
      <t>言代</t>
    </r>
    <r>
      <rPr>
        <sz val="9"/>
        <color theme="1"/>
        <rFont val="ＭＳ Ｐゴシック"/>
        <family val="2"/>
        <scheme val="minor"/>
      </rPr>
      <t>码</t>
    </r>
    <r>
      <rPr>
        <sz val="9"/>
        <color theme="1"/>
        <rFont val="ＭＳ Ｐゴシック"/>
        <family val="3"/>
        <charset val="128"/>
        <scheme val="minor"/>
      </rPr>
      <t xml:space="preserve"> / Mã ngôn ngữ (TRANSLATE用・変更禁止)</t>
    </r>
  </si>
  <si>
    <t>Tiếng Việt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</si>
</sst>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7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6"/>
      <color rgb="FFFFFFFF"/>
      <name val="Meiryo UI"/>
      <family val="3"/>
      <charset val="128"/>
    </font>
    <font>
      <sz val="11"/>
      <color theme="1"/>
      <name val="Meiryo UI"/>
      <family val="3"/>
      <charset val="128"/>
    </font>
    <font>
      <i/>
      <sz val="10"/>
      <color rgb="FF808080"/>
      <name val="Meiryo UI"/>
      <family val="3"/>
      <charset val="128"/>
    </font>
    <font>
      <b/>
      <sz val="12"/>
      <color rgb="FF17365D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11"/>
      <color rgb="FF0070C0"/>
      <name val="Meiryo UI"/>
      <family val="3"/>
      <charset val="128"/>
    </font>
    <font>
      <b/>
      <sz val="16"/>
      <color rgb="FFFFFFFF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b/>
      <sz val="14"/>
      <color theme="1"/>
      <name val="ＭＳ Ｐゴシック"/>
      <family val="2"/>
      <scheme val="minor"/>
    </font>
    <font>
      <b/>
      <sz val="24"/>
      <color rgb="FFF06400"/>
      <name val="Meiryo UI"/>
      <family val="3"/>
      <charset val="128"/>
    </font>
    <font>
      <b/>
      <sz val="11"/>
      <color rgb="FFF06400"/>
      <name val="Meiryo UI"/>
      <family val="3"/>
      <charset val="128"/>
    </font>
    <font>
      <b/>
      <sz val="24"/>
      <color rgb="FFF5B400"/>
      <name val="Meiryo UI"/>
      <family val="3"/>
      <charset val="128"/>
    </font>
    <font>
      <b/>
      <sz val="11"/>
      <color rgb="FFF5B400"/>
      <name val="Meiryo UI"/>
      <family val="3"/>
      <charset val="128"/>
    </font>
    <font>
      <b/>
      <sz val="24"/>
      <color rgb="FF6E3CBE"/>
      <name val="Meiryo UI"/>
      <family val="3"/>
      <charset val="128"/>
    </font>
    <font>
      <b/>
      <sz val="11"/>
      <color rgb="FF6E3CBE"/>
      <name val="Meiryo UI"/>
      <family val="3"/>
      <charset val="128"/>
    </font>
    <font>
      <b/>
      <sz val="24"/>
      <color rgb="FF26AF72"/>
      <name val="Meiryo UI"/>
      <family val="3"/>
      <charset val="128"/>
    </font>
    <font>
      <b/>
      <sz val="11"/>
      <color rgb="FF26AF72"/>
      <name val="Meiryo UI"/>
      <family val="3"/>
      <charset val="128"/>
    </font>
    <font>
      <b/>
      <sz val="24"/>
      <color rgb="FF0A9BCD"/>
      <name val="Meiryo UI"/>
      <family val="3"/>
      <charset val="128"/>
    </font>
    <font>
      <b/>
      <sz val="11"/>
      <color rgb="FF0A9BCD"/>
      <name val="Meiryo UI"/>
      <family val="3"/>
      <charset val="128"/>
    </font>
    <font>
      <sz val="9"/>
      <color theme="1"/>
      <name val="ＭＳ Ｐゴシック"/>
      <family val="2"/>
      <scheme val="minor"/>
    </font>
    <font>
      <sz val="9"/>
      <color theme="1"/>
      <name val="ＭＳ Ｐゴシック"/>
      <family val="3"/>
      <charset val="128"/>
      <scheme val="minor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color theme="1"/>
      <name val="ＭＳ Ｐ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9FB"/>
      </patternFill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C7D3DD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C7D3DD"/>
      </top>
      <bottom/>
      <diagonal/>
    </border>
    <border>
      <left/>
      <right/>
      <top style="thin">
        <color rgb="FFC7D3DD"/>
      </top>
      <bottom/>
      <diagonal/>
    </border>
    <border>
      <left/>
      <right style="thin">
        <color theme="4" tint="0.39997558519241921"/>
      </right>
      <top style="thin">
        <color rgb="FFC7D3DD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6" fillId="2" borderId="8" xfId="0" applyFont="1" applyFill="1" applyBorder="1" applyAlignment="1">
      <alignment vertical="top" wrapText="1"/>
    </xf>
    <xf numFmtId="0" fontId="6" fillId="2" borderId="9" xfId="0" applyFont="1" applyFill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0" fontId="3" fillId="7" borderId="11" xfId="0" applyFont="1" applyFill="1" applyBorder="1" applyAlignment="1">
      <alignment vertical="top" wrapText="1"/>
    </xf>
    <xf numFmtId="0" fontId="3" fillId="7" borderId="12" xfId="0" applyFont="1" applyFill="1" applyBorder="1" applyAlignment="1">
      <alignment vertical="top" wrapText="1"/>
    </xf>
    <xf numFmtId="0" fontId="3" fillId="7" borderId="13" xfId="0" applyFont="1" applyFill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7" borderId="8" xfId="0" applyFont="1" applyFill="1" applyBorder="1" applyAlignment="1">
      <alignment vertical="top" wrapText="1"/>
    </xf>
    <xf numFmtId="0" fontId="3" fillId="7" borderId="9" xfId="0" applyFont="1" applyFill="1" applyBorder="1" applyAlignment="1">
      <alignment vertical="top" wrapText="1"/>
    </xf>
    <xf numFmtId="0" fontId="3" fillId="7" borderId="10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7" fillId="7" borderId="11" xfId="0" applyFont="1" applyFill="1" applyBorder="1" applyAlignment="1">
      <alignment vertical="top" wrapText="1"/>
    </xf>
    <xf numFmtId="0" fontId="7" fillId="7" borderId="12" xfId="0" applyFont="1" applyFill="1" applyBorder="1" applyAlignment="1">
      <alignment vertical="top" wrapText="1"/>
    </xf>
    <xf numFmtId="14" fontId="7" fillId="7" borderId="12" xfId="0" applyNumberFormat="1" applyFont="1" applyFill="1" applyBorder="1" applyAlignment="1">
      <alignment vertical="top" wrapText="1"/>
    </xf>
    <xf numFmtId="9" fontId="3" fillId="7" borderId="12" xfId="0" applyNumberFormat="1" applyFont="1" applyFill="1" applyBorder="1" applyAlignment="1">
      <alignment vertical="top" wrapText="1"/>
    </xf>
    <xf numFmtId="0" fontId="7" fillId="7" borderId="13" xfId="0" applyFont="1" applyFill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14" fontId="7" fillId="0" borderId="9" xfId="0" applyNumberFormat="1" applyFont="1" applyBorder="1" applyAlignment="1">
      <alignment vertical="top" wrapText="1"/>
    </xf>
    <xf numFmtId="9" fontId="3" fillId="0" borderId="9" xfId="0" applyNumberFormat="1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7" fillId="7" borderId="8" xfId="0" applyFont="1" applyFill="1" applyBorder="1" applyAlignment="1">
      <alignment vertical="top" wrapText="1"/>
    </xf>
    <xf numFmtId="0" fontId="7" fillId="7" borderId="9" xfId="0" applyFont="1" applyFill="1" applyBorder="1" applyAlignment="1">
      <alignment vertical="top" wrapText="1"/>
    </xf>
    <xf numFmtId="14" fontId="7" fillId="7" borderId="9" xfId="0" applyNumberFormat="1" applyFont="1" applyFill="1" applyBorder="1" applyAlignment="1">
      <alignment vertical="top" wrapText="1"/>
    </xf>
    <xf numFmtId="9" fontId="3" fillId="7" borderId="9" xfId="0" applyNumberFormat="1" applyFont="1" applyFill="1" applyBorder="1" applyAlignment="1">
      <alignment vertical="top" wrapText="1"/>
    </xf>
    <xf numFmtId="0" fontId="7" fillId="7" borderId="10" xfId="0" applyFont="1" applyFill="1" applyBorder="1" applyAlignment="1">
      <alignment vertical="top" wrapText="1"/>
    </xf>
    <xf numFmtId="0" fontId="7" fillId="0" borderId="8" xfId="0" applyFont="1" applyBorder="1"/>
    <xf numFmtId="0" fontId="7" fillId="0" borderId="9" xfId="0" applyFont="1" applyBorder="1"/>
    <xf numFmtId="14" fontId="7" fillId="0" borderId="9" xfId="0" applyNumberFormat="1" applyFont="1" applyBorder="1"/>
    <xf numFmtId="0" fontId="7" fillId="0" borderId="10" xfId="0" applyFont="1" applyBorder="1"/>
    <xf numFmtId="0" fontId="7" fillId="7" borderId="8" xfId="0" applyFont="1" applyFill="1" applyBorder="1"/>
    <xf numFmtId="0" fontId="7" fillId="7" borderId="9" xfId="0" applyFont="1" applyFill="1" applyBorder="1"/>
    <xf numFmtId="14" fontId="7" fillId="7" borderId="9" xfId="0" applyNumberFormat="1" applyFont="1" applyFill="1" applyBorder="1"/>
    <xf numFmtId="0" fontId="7" fillId="7" borderId="10" xfId="0" applyFont="1" applyFill="1" applyBorder="1"/>
    <xf numFmtId="0" fontId="7" fillId="0" borderId="2" xfId="0" applyFont="1" applyBorder="1"/>
    <xf numFmtId="0" fontId="7" fillId="0" borderId="3" xfId="0" applyFont="1" applyBorder="1"/>
    <xf numFmtId="14" fontId="7" fillId="0" borderId="3" xfId="0" applyNumberFormat="1" applyFont="1" applyBorder="1"/>
    <xf numFmtId="9" fontId="3" fillId="0" borderId="3" xfId="0" applyNumberFormat="1" applyFont="1" applyBorder="1" applyAlignment="1">
      <alignment vertical="top" wrapText="1"/>
    </xf>
    <xf numFmtId="0" fontId="7" fillId="0" borderId="4" xfId="0" applyFont="1" applyBorder="1"/>
    <xf numFmtId="14" fontId="7" fillId="7" borderId="13" xfId="0" applyNumberFormat="1" applyFont="1" applyFill="1" applyBorder="1" applyAlignment="1">
      <alignment vertical="top" wrapText="1"/>
    </xf>
    <xf numFmtId="14" fontId="7" fillId="0" borderId="10" xfId="0" applyNumberFormat="1" applyFont="1" applyBorder="1" applyAlignment="1">
      <alignment vertical="top" wrapText="1"/>
    </xf>
    <xf numFmtId="14" fontId="7" fillId="7" borderId="10" xfId="0" applyNumberFormat="1" applyFont="1" applyFill="1" applyBorder="1" applyAlignment="1">
      <alignment vertical="top" wrapText="1"/>
    </xf>
    <xf numFmtId="14" fontId="7" fillId="7" borderId="10" xfId="0" applyNumberFormat="1" applyFont="1" applyFill="1" applyBorder="1"/>
    <xf numFmtId="14" fontId="7" fillId="0" borderId="10" xfId="0" applyNumberFormat="1" applyFont="1" applyBorder="1"/>
    <xf numFmtId="14" fontId="7" fillId="0" borderId="4" xfId="0" applyNumberFormat="1" applyFont="1" applyBorder="1"/>
    <xf numFmtId="176" fontId="3" fillId="7" borderId="12" xfId="0" applyNumberFormat="1" applyFont="1" applyFill="1" applyBorder="1" applyAlignment="1">
      <alignment vertical="top" wrapText="1"/>
    </xf>
    <xf numFmtId="176" fontId="3" fillId="0" borderId="9" xfId="0" applyNumberFormat="1" applyFont="1" applyBorder="1" applyAlignment="1">
      <alignment vertical="top" wrapText="1"/>
    </xf>
    <xf numFmtId="176" fontId="3" fillId="7" borderId="9" xfId="0" applyNumberFormat="1" applyFont="1" applyFill="1" applyBorder="1" applyAlignment="1">
      <alignment vertical="top" wrapText="1"/>
    </xf>
    <xf numFmtId="176" fontId="3" fillId="0" borderId="3" xfId="0" applyNumberFormat="1" applyFont="1" applyBorder="1" applyAlignment="1">
      <alignment vertical="top" wrapText="1"/>
    </xf>
    <xf numFmtId="0" fontId="21" fillId="0" borderId="0" xfId="0" applyFont="1"/>
    <xf numFmtId="0" fontId="23" fillId="13" borderId="0" xfId="0" applyFont="1" applyFill="1"/>
    <xf numFmtId="0" fontId="24" fillId="0" borderId="0" xfId="0" applyFont="1" applyAlignment="1">
      <alignment wrapText="1"/>
    </xf>
    <xf numFmtId="0" fontId="25" fillId="0" borderId="0" xfId="0" applyFont="1"/>
    <xf numFmtId="0" fontId="26" fillId="0" borderId="0" xfId="0" applyFont="1"/>
    <xf numFmtId="0" fontId="8" fillId="5" borderId="0" xfId="0" applyFont="1" applyFill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5" fillId="3" borderId="0" xfId="0" applyFont="1" applyFill="1" applyAlignment="1">
      <alignment vertical="top" wrapText="1"/>
    </xf>
    <xf numFmtId="0" fontId="2" fillId="2" borderId="0" xfId="0" applyFont="1" applyFill="1" applyAlignment="1">
      <alignment vertical="center"/>
    </xf>
    <xf numFmtId="0" fontId="4" fillId="0" borderId="0" xfId="0" applyFont="1" applyAlignment="1">
      <alignment wrapText="1"/>
    </xf>
    <xf numFmtId="0" fontId="6" fillId="11" borderId="0" xfId="0" applyFont="1" applyFill="1" applyAlignment="1">
      <alignment vertical="top" wrapText="1"/>
    </xf>
    <xf numFmtId="0" fontId="3" fillId="11" borderId="0" xfId="0" applyFont="1" applyFill="1"/>
    <xf numFmtId="0" fontId="6" fillId="10" borderId="0" xfId="0" applyFont="1" applyFill="1" applyAlignment="1">
      <alignment vertical="top" wrapText="1"/>
    </xf>
    <xf numFmtId="0" fontId="3" fillId="10" borderId="0" xfId="0" applyFont="1" applyFill="1"/>
    <xf numFmtId="0" fontId="11" fillId="4" borderId="0" xfId="0" applyFont="1" applyFill="1" applyAlignment="1">
      <alignment vertical="top" wrapText="1"/>
    </xf>
    <xf numFmtId="0" fontId="12" fillId="0" borderId="0" xfId="0" applyFont="1"/>
    <xf numFmtId="0" fontId="15" fillId="4" borderId="0" xfId="0" applyFont="1" applyFill="1" applyAlignment="1">
      <alignment vertical="top" wrapText="1"/>
    </xf>
    <xf numFmtId="0" fontId="16" fillId="0" borderId="0" xfId="0" applyFont="1"/>
    <xf numFmtId="0" fontId="13" fillId="4" borderId="0" xfId="0" applyFont="1" applyFill="1" applyAlignment="1">
      <alignment vertical="top" wrapText="1"/>
    </xf>
    <xf numFmtId="0" fontId="14" fillId="0" borderId="0" xfId="0" applyFont="1"/>
    <xf numFmtId="0" fontId="6" fillId="9" borderId="0" xfId="0" applyFont="1" applyFill="1" applyAlignment="1">
      <alignment vertical="top" wrapText="1"/>
    </xf>
    <xf numFmtId="0" fontId="3" fillId="9" borderId="0" xfId="0" applyFont="1" applyFill="1"/>
    <xf numFmtId="0" fontId="6" fillId="12" borderId="0" xfId="0" applyFont="1" applyFill="1" applyAlignment="1">
      <alignment vertical="top" wrapText="1"/>
    </xf>
    <xf numFmtId="0" fontId="3" fillId="12" borderId="0" xfId="0" applyFont="1" applyFill="1"/>
    <xf numFmtId="0" fontId="17" fillId="4" borderId="0" xfId="0" applyFont="1" applyFill="1" applyAlignment="1">
      <alignment vertical="top" wrapText="1"/>
    </xf>
    <xf numFmtId="0" fontId="18" fillId="0" borderId="0" xfId="0" applyFont="1"/>
    <xf numFmtId="0" fontId="19" fillId="4" borderId="0" xfId="0" applyFont="1" applyFill="1" applyAlignment="1">
      <alignment vertical="top" wrapText="1"/>
    </xf>
    <xf numFmtId="0" fontId="20" fillId="0" borderId="0" xfId="0" applyFont="1"/>
    <xf numFmtId="0" fontId="6" fillId="8" borderId="0" xfId="0" applyFont="1" applyFill="1" applyAlignment="1">
      <alignment vertical="top" wrapText="1"/>
    </xf>
    <xf numFmtId="0" fontId="3" fillId="8" borderId="0" xfId="0" applyFont="1" applyFill="1"/>
  </cellXfs>
  <cellStyles count="1">
    <cellStyle name="Normal" xfId="0" builtinId="0"/>
  </cellStyles>
  <dxfs count="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strRef>
          <c:f>_ゴミ箱_Backup!$E$44</c:f>
          <c:strCache>
            <c:ptCount val="1"/>
            <c:pt idx="0">
              <c:v>#N/A</c:v>
            </c:pt>
          </c:strCache>
        </c:strRef>
      </c:tx>
      <c:layout>
        <c:manualLayout>
          <c:xMode val="edge"/>
          <c:yMode val="edge"/>
          <c:x val="0.31701093188594143"/>
          <c:y val="1.9406337978921596E-2"/>
        </c:manualLayout>
      </c:layout>
      <c:overlay val="1"/>
      <c:txPr>
        <a:bodyPr/>
        <a:lstStyle/>
        <a:p>
          <a:pPr>
            <a:defRPr lang="ja-JP" sz="11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3800277392510402E-2"/>
          <c:y val="0.10146486500502484"/>
          <c:w val="0.77719964616073467"/>
          <c:h val="0.8259042422651885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'01_全体サマリー'!$D$9</c:f>
              <c:strCache>
                <c:ptCount val="1"/>
                <c:pt idx="0">
                  <c:v>#N/A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'01_全体サマリー'!$A$10:$A$19</c:f>
              <c:strCache>
                <c:ptCount val="10"/>
                <c:pt idx="0">
                  <c:v>#N/A</c:v>
                </c:pt>
                <c:pt idx="1">
                  <c:v>WG-1</c:v>
                </c:pt>
                <c:pt idx="2">
                  <c:v>WG-2</c:v>
                </c:pt>
                <c:pt idx="3">
                  <c:v>WG-3</c:v>
                </c:pt>
                <c:pt idx="4">
                  <c:v>WG-4</c:v>
                </c:pt>
                <c:pt idx="5">
                  <c:v>WG-5</c:v>
                </c:pt>
                <c:pt idx="6">
                  <c:v>WG-6</c:v>
                </c:pt>
                <c:pt idx="7">
                  <c:v>WG-7</c:v>
                </c:pt>
                <c:pt idx="8">
                  <c:v>WG-8</c:v>
                </c:pt>
                <c:pt idx="9">
                  <c:v>WG-9</c:v>
                </c:pt>
              </c:strCache>
            </c:strRef>
          </c:cat>
          <c:val>
            <c:numRef>
              <c:f>'01_全体サマリー'!$D$10:$D$19</c:f>
              <c:numCache>
                <c:formatCode>General</c:formatCode>
                <c:ptCount val="10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6-4881-A978-ED89B51B5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strRef>
              <c:f>_ゴミ箱_Backup!$E$40</c:f>
              <c:strCache>
                <c:ptCount val="1"/>
                <c:pt idx="0">
                  <c:v>#N/A</c:v>
                </c:pt>
              </c:strCache>
            </c:strRef>
          </c:tx>
          <c:overlay val="1"/>
          <c:txPr>
            <a:bodyPr/>
            <a:lstStyle/>
            <a:p>
              <a:pPr>
                <a:defRPr lang="ja-JP" sz="1000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strRef>
              <c:f>_ゴミ箱_Backup!$E$45</c:f>
              <c:strCache>
                <c:ptCount val="1"/>
                <c:pt idx="0">
                  <c:v>#N/A</c:v>
                </c:pt>
              </c:strCache>
            </c:strRef>
          </c:tx>
          <c:layout>
            <c:manualLayout>
              <c:xMode val="edge"/>
              <c:yMode val="edge"/>
              <c:x val="0.42267039435604531"/>
              <c:y val="0.93402175100202189"/>
            </c:manualLayout>
          </c:layout>
          <c:overlay val="1"/>
          <c:txPr>
            <a:bodyPr/>
            <a:lstStyle/>
            <a:p>
              <a:pPr>
                <a:defRPr lang="ja-JP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27268</xdr:colOff>
      <xdr:row>8</xdr:row>
      <xdr:rowOff>47998</xdr:rowOff>
    </xdr:from>
    <xdr:ext cx="4578350" cy="38180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_&#32763;&#35379;&#12510;&#12473;&#12479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翻訳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KDCブランド配色">
      <a:dk1>
        <a:sysClr val="windowText" lastClr="000000"/>
      </a:dk1>
      <a:lt1>
        <a:sysClr val="window" lastClr="FFFFFF"/>
      </a:lt1>
      <a:dk2>
        <a:srgbClr val="282828"/>
      </a:dk2>
      <a:lt2>
        <a:srgbClr val="F2F2F2"/>
      </a:lt2>
      <a:accent1>
        <a:srgbClr val="6E3CBE"/>
      </a:accent1>
      <a:accent2>
        <a:srgbClr val="F5B400"/>
      </a:accent2>
      <a:accent3>
        <a:srgbClr val="0A9BCD"/>
      </a:accent3>
      <a:accent4>
        <a:srgbClr val="F06400"/>
      </a:accent4>
      <a:accent5>
        <a:srgbClr val="26AF72"/>
      </a:accent5>
      <a:accent6>
        <a:srgbClr val="A9A9A9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3BB8-584A-424A-98BA-7C5F78B78A5A}">
  <dimension ref="A1:D11"/>
  <sheetViews>
    <sheetView workbookViewId="0">
      <selection activeCell="B3" sqref="B3:D3"/>
    </sheetView>
  </sheetViews>
  <sheetFormatPr defaultRowHeight="13.5" x14ac:dyDescent="0.15"/>
  <cols>
    <col min="1" max="4" width="16.375" customWidth="1"/>
  </cols>
  <sheetData>
    <row r="1" spans="1:4" ht="30" customHeight="1" x14ac:dyDescent="0.15">
      <c r="A1" s="64" t="s">
        <v>327</v>
      </c>
      <c r="B1" s="64"/>
      <c r="C1" s="64"/>
      <c r="D1" s="64"/>
    </row>
    <row r="2" spans="1:4" x14ac:dyDescent="0.15">
      <c r="A2" s="4"/>
      <c r="B2" s="4"/>
      <c r="C2" s="4"/>
      <c r="D2" s="4"/>
    </row>
    <row r="3" spans="1:4" ht="32.1" customHeight="1" x14ac:dyDescent="0.15">
      <c r="A3" s="5" t="s">
        <v>231</v>
      </c>
      <c r="B3" s="65" t="s">
        <v>979</v>
      </c>
      <c r="C3" s="66"/>
      <c r="D3" s="67"/>
    </row>
    <row r="4" spans="1:4" x14ac:dyDescent="0.15">
      <c r="A4" s="4"/>
      <c r="B4" s="4"/>
      <c r="C4" s="4"/>
      <c r="D4" s="4"/>
    </row>
    <row r="5" spans="1:4" x14ac:dyDescent="0.15">
      <c r="A5" s="4"/>
      <c r="B5" s="4"/>
      <c r="C5" s="4"/>
      <c r="D5" s="4"/>
    </row>
    <row r="6" spans="1:4" x14ac:dyDescent="0.15">
      <c r="A6" s="59" t="s">
        <v>978</v>
      </c>
      <c r="B6" s="59"/>
    </row>
    <row r="7" spans="1:4" x14ac:dyDescent="0.15">
      <c r="A7" s="59" t="s">
        <v>232</v>
      </c>
      <c r="B7" s="59" t="s">
        <v>972</v>
      </c>
    </row>
    <row r="8" spans="1:4" x14ac:dyDescent="0.15">
      <c r="A8" s="59" t="s">
        <v>233</v>
      </c>
      <c r="B8" s="59" t="s">
        <v>974</v>
      </c>
    </row>
    <row r="9" spans="1:4" x14ac:dyDescent="0.15">
      <c r="A9" s="59" t="s">
        <v>234</v>
      </c>
      <c r="B9" s="59" t="s">
        <v>976</v>
      </c>
    </row>
    <row r="11" spans="1:4" x14ac:dyDescent="0.15">
      <c r="A11" t="s">
        <v>977</v>
      </c>
    </row>
  </sheetData>
  <mergeCells count="2">
    <mergeCell ref="A1:D1"/>
    <mergeCell ref="B3:D3"/>
  </mergeCells>
  <phoneticPr fontId="1"/>
  <dataValidations count="1">
    <dataValidation type="list" allowBlank="1" showInputMessage="1" showErrorMessage="1" sqref="B3" xr:uid="{17A9CC3F-4F28-4196-A6A0-5151A0A350A3}">
      <formula1>"日本語,中文,Tiếng Việt"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1"/>
  <sheetViews>
    <sheetView showGridLines="0" zoomScaleNormal="100" workbookViewId="0">
      <pane ySplit="3" topLeftCell="A4" activePane="bottomLeft" state="frozen"/>
      <selection pane="bottomLeft" activeCell="A9" sqref="A9"/>
    </sheetView>
  </sheetViews>
  <sheetFormatPr defaultColWidth="8.75" defaultRowHeight="15.75" x14ac:dyDescent="0.25"/>
  <cols>
    <col min="1" max="1" width="28" style="1" customWidth="1"/>
    <col min="2" max="8" width="18" style="1" customWidth="1"/>
    <col min="9" max="9" width="8.75" style="1"/>
    <col min="10" max="10" width="20" style="1" customWidth="1"/>
    <col min="11" max="11" width="42" style="1" customWidth="1"/>
    <col min="12" max="16384" width="8.75" style="1"/>
  </cols>
  <sheetData>
    <row r="1" spans="1:14" ht="21" x14ac:dyDescent="0.25">
      <c r="A1" s="71" t="e">
        <f>INDEX(_ゴミ箱_Backup!$B$2:$D$32,MATCH("TITLE",_ゴミ箱_Backup!$A$2:$A$32,0),MATCH(言語切替!$B$3,_ゴミ箱_Backup!$B$1:$D$1,0))</f>
        <v>#N/A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x14ac:dyDescent="0.25">
      <c r="A2" s="72" t="e">
        <f>INDEX(_ゴミ箱_Backup!$B$2:$D$32,MATCH("PURPOSE",_ゴミ箱_Backup!$A$2:$A$32,0),MATCH(言語切替!$B$3,_ゴミ箱_Backup!$B$1:$D$1,0))</f>
        <v>#N/A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4" spans="1:14" x14ac:dyDescent="0.25">
      <c r="A4" s="70" t="e">
        <f>INDEX(_ゴミ箱_Backup!$B$2:$D$32,MATCH("PRINCIPLE_HEADER",_ゴミ箱_Backup!$A$2:$A$32,0),MATCH(言語切替!$B$3,_ゴミ箱_Backup!$B$1:$D$1,0))</f>
        <v>#N/A</v>
      </c>
      <c r="B4" s="69"/>
      <c r="C4" s="69"/>
      <c r="D4" s="69"/>
      <c r="E4" s="69"/>
      <c r="F4" s="69"/>
      <c r="G4" s="69"/>
      <c r="H4" s="69"/>
      <c r="J4" s="2" t="e">
        <f>INDEX(_ゴミ箱_Backup!$B$2:$D$32,MATCH("COL_SHEET",_ゴミ箱_Backup!$A$2:$A$32,0),MATCH(言語切替!$B$3,_ゴミ箱_Backup!$B$1:$D$1,0))</f>
        <v>#N/A</v>
      </c>
      <c r="K4" s="2" t="e">
        <f>INDEX(_ゴミ箱_Backup!$B$2:$D$32,MATCH("COL_USAGE",_ゴミ箱_Backup!$A$2:$A$32,0),MATCH(言語切替!$B$3,_ゴミ箱_Backup!$B$1:$D$1,0))</f>
        <v>#N/A</v>
      </c>
    </row>
    <row r="5" spans="1:14" x14ac:dyDescent="0.25">
      <c r="A5" s="68" t="e">
        <f>INDEX(_ゴミ箱_Backup!$B$2:$D$32,MATCH("P1",_ゴミ箱_Backup!$A$2:$A$32,0),MATCH(言語切替!$B$3,_ゴミ箱_Backup!$B$1:$D$1,0))</f>
        <v>#N/A</v>
      </c>
      <c r="B5" s="69"/>
      <c r="C5" s="69"/>
      <c r="D5" s="69"/>
      <c r="E5" s="69"/>
      <c r="F5" s="69"/>
      <c r="G5" s="69"/>
      <c r="H5" s="69"/>
      <c r="J5" s="3" t="s">
        <v>6</v>
      </c>
      <c r="K5" s="3" t="e">
        <f>INDEX(_ゴミ箱_Backup!$B$2:$D$32,MATCH("U1",_ゴミ箱_Backup!$A$2:$A$32,0),MATCH(言語切替!$B$3,_ゴミ箱_Backup!$B$1:$D$1,0))</f>
        <v>#N/A</v>
      </c>
    </row>
    <row r="6" spans="1:14" x14ac:dyDescent="0.25">
      <c r="A6" s="68" t="e">
        <f>INDEX(_ゴミ箱_Backup!$B$2:$D$32,MATCH("P2",_ゴミ箱_Backup!$A$2:$A$32,0),MATCH(言語切替!$B$3,_ゴミ箱_Backup!$B$1:$D$1,0))</f>
        <v>#N/A</v>
      </c>
      <c r="B6" s="69"/>
      <c r="C6" s="69"/>
      <c r="D6" s="69"/>
      <c r="E6" s="69"/>
      <c r="F6" s="69"/>
      <c r="G6" s="69"/>
      <c r="H6" s="69"/>
      <c r="J6" s="3" t="s">
        <v>9</v>
      </c>
      <c r="K6" s="3" t="e">
        <f>INDEX(_ゴミ箱_Backup!$B$2:$D$32,MATCH("U2",_ゴミ箱_Backup!$A$2:$A$32,0),MATCH(言語切替!$B$3,_ゴミ箱_Backup!$B$1:$D$1,0))</f>
        <v>#N/A</v>
      </c>
    </row>
    <row r="7" spans="1:14" x14ac:dyDescent="0.25">
      <c r="A7" s="68" t="e">
        <f>INDEX(_ゴミ箱_Backup!$B$2:$D$32,MATCH("P3",_ゴミ箱_Backup!$A$2:$A$32,0),MATCH(言語切替!$B$3,_ゴミ箱_Backup!$B$1:$D$1,0))</f>
        <v>#N/A</v>
      </c>
      <c r="B7" s="69"/>
      <c r="C7" s="69"/>
      <c r="D7" s="69"/>
      <c r="E7" s="69"/>
      <c r="F7" s="69"/>
      <c r="G7" s="69"/>
      <c r="H7" s="69"/>
      <c r="J7" s="3" t="s">
        <v>552</v>
      </c>
      <c r="K7" s="3" t="e">
        <f>INDEX(_ゴミ箱_Backup!$B$2:$D$32,MATCH("U3",_ゴミ箱_Backup!$A$2:$A$32,0),MATCH(言語切替!$B$3,_ゴミ箱_Backup!$B$1:$D$1,0))</f>
        <v>#N/A</v>
      </c>
    </row>
    <row r="8" spans="1:14" x14ac:dyDescent="0.25">
      <c r="A8" s="68" t="e">
        <f>INDEX(_ゴミ箱_Backup!$B$2:$D$32,MATCH("P4",_ゴミ箱_Backup!$A$2:$A$32,0),MATCH(言語切替!$B$3,_ゴミ箱_Backup!$B$1:$D$1,0))</f>
        <v>#N/A</v>
      </c>
      <c r="B8" s="69"/>
      <c r="C8" s="69"/>
      <c r="D8" s="69"/>
      <c r="E8" s="69"/>
      <c r="F8" s="69"/>
      <c r="G8" s="69"/>
      <c r="H8" s="69"/>
      <c r="J8" s="3" t="s">
        <v>14</v>
      </c>
      <c r="K8" s="3" t="e">
        <f>INDEX(_ゴミ箱_Backup!$B$2:$D$32,MATCH("U4",_ゴミ箱_Backup!$A$2:$A$32,0),MATCH(言語切替!$B$3,_ゴミ箱_Backup!$B$1:$D$1,0))</f>
        <v>#N/A</v>
      </c>
    </row>
    <row r="9" spans="1:14" x14ac:dyDescent="0.25">
      <c r="J9" s="3" t="s">
        <v>16</v>
      </c>
      <c r="K9" s="3" t="e">
        <f>INDEX(_ゴミ箱_Backup!$B$2:$D$32,MATCH("U5",_ゴミ箱_Backup!$A$2:$A$32,0),MATCH(言語切替!$B$3,_ゴミ箱_Backup!$B$1:$D$1,0))</f>
        <v>#N/A</v>
      </c>
    </row>
    <row r="10" spans="1:14" x14ac:dyDescent="0.25">
      <c r="A10" s="70" t="e">
        <f>INDEX(_ゴミ箱_Backup!$B$2:$D$32,MATCH("RESP_HEADER",_ゴミ箱_Backup!$A$2:$A$32,0),MATCH(言語切替!$B$3,_ゴミ箱_Backup!$B$1:$D$1,0))</f>
        <v>#N/A</v>
      </c>
      <c r="B10" s="69"/>
      <c r="C10" s="69"/>
      <c r="D10" s="69"/>
      <c r="E10" s="69"/>
      <c r="F10" s="69"/>
      <c r="G10" s="69"/>
      <c r="H10" s="69"/>
      <c r="J10" s="3" t="s">
        <v>19</v>
      </c>
      <c r="K10" s="3" t="e">
        <f>INDEX(_ゴミ箱_Backup!$B$2:$D$32,MATCH("U6",_ゴミ箱_Backup!$A$2:$A$32,0),MATCH(言語切替!$B$3,_ゴミ箱_Backup!$B$1:$D$1,0))</f>
        <v>#N/A</v>
      </c>
    </row>
    <row r="11" spans="1:14" x14ac:dyDescent="0.25">
      <c r="A11" s="68" t="e">
        <f>INDEX(_ゴミ箱_Backup!$B$2:$D$32,MATCH("R1",_ゴミ箱_Backup!$A$2:$A$32,0),MATCH(言語切替!$B$3,_ゴミ箱_Backup!$B$1:$D$1,0))</f>
        <v>#N/A</v>
      </c>
      <c r="B11" s="69"/>
      <c r="C11" s="69"/>
      <c r="D11" s="69"/>
      <c r="E11" s="69"/>
      <c r="F11" s="69"/>
      <c r="G11" s="69"/>
      <c r="H11" s="69"/>
      <c r="J11" s="3" t="s">
        <v>22</v>
      </c>
      <c r="K11" s="3" t="e">
        <f>INDEX(_ゴミ箱_Backup!$B$2:$D$32,MATCH("U7",_ゴミ箱_Backup!$A$2:$A$32,0),MATCH(言語切替!$B$3,_ゴミ箱_Backup!$B$1:$D$1,0))</f>
        <v>#N/A</v>
      </c>
    </row>
    <row r="12" spans="1:14" x14ac:dyDescent="0.25">
      <c r="A12" s="68" t="e">
        <f>INDEX(_ゴミ箱_Backup!$B$2:$D$32,MATCH("R2",_ゴミ箱_Backup!$A$2:$A$32,0),MATCH(言語切替!$B$3,_ゴミ箱_Backup!$B$1:$D$1,0))</f>
        <v>#N/A</v>
      </c>
      <c r="B12" s="69"/>
      <c r="C12" s="69"/>
      <c r="D12" s="69"/>
      <c r="E12" s="69"/>
      <c r="F12" s="69"/>
      <c r="G12" s="69"/>
      <c r="H12" s="69"/>
    </row>
    <row r="13" spans="1:14" x14ac:dyDescent="0.25">
      <c r="A13" s="68" t="e">
        <f>INDEX(_ゴミ箱_Backup!$B$2:$D$32,MATCH("R3",_ゴミ箱_Backup!$A$2:$A$32,0),MATCH(言語切替!$B$3,_ゴミ箱_Backup!$B$1:$D$1,0))</f>
        <v>#N/A</v>
      </c>
      <c r="B13" s="69"/>
      <c r="C13" s="69"/>
      <c r="D13" s="69"/>
      <c r="E13" s="69"/>
      <c r="F13" s="69"/>
      <c r="G13" s="69"/>
      <c r="H13" s="69"/>
    </row>
    <row r="14" spans="1:14" x14ac:dyDescent="0.25">
      <c r="A14" s="68" t="e">
        <f>INDEX(_ゴミ箱_Backup!$B$2:$D$32,MATCH("R4",_ゴミ箱_Backup!$A$2:$A$32,0),MATCH(言語切替!$B$3,_ゴミ箱_Backup!$B$1:$D$1,0))</f>
        <v>#N/A</v>
      </c>
      <c r="B14" s="69"/>
      <c r="C14" s="69"/>
      <c r="D14" s="69"/>
      <c r="E14" s="69"/>
      <c r="F14" s="69"/>
      <c r="G14" s="69"/>
      <c r="H14" s="69"/>
    </row>
    <row r="16" spans="1:14" x14ac:dyDescent="0.25">
      <c r="A16" s="70" t="e">
        <f>INDEX(_ゴミ箱_Backup!$B$2:$D$32,MATCH("CYCLE_HEADER",_ゴミ箱_Backup!$A$2:$A$32,0),MATCH(言語切替!$B$3,_ゴミ箱_Backup!$B$1:$D$1,0))</f>
        <v>#N/A</v>
      </c>
      <c r="B16" s="69"/>
      <c r="C16" s="69"/>
      <c r="D16" s="69"/>
      <c r="E16" s="69"/>
      <c r="F16" s="69"/>
      <c r="G16" s="69"/>
      <c r="H16" s="69"/>
    </row>
    <row r="17" spans="1:8" x14ac:dyDescent="0.25">
      <c r="A17" s="68" t="e">
        <f>INDEX(_ゴミ箱_Backup!$B$2:$D$32,MATCH("C1",_ゴミ箱_Backup!$A$2:$A$32,0),MATCH(言語切替!$B$3,_ゴミ箱_Backup!$B$1:$D$1,0))</f>
        <v>#N/A</v>
      </c>
      <c r="B17" s="69"/>
      <c r="C17" s="69"/>
      <c r="D17" s="69"/>
      <c r="E17" s="69"/>
      <c r="F17" s="69"/>
      <c r="G17" s="69"/>
      <c r="H17" s="69"/>
    </row>
    <row r="18" spans="1:8" x14ac:dyDescent="0.25">
      <c r="A18" s="68" t="e">
        <f>INDEX(_ゴミ箱_Backup!$B$2:$D$32,MATCH("C2",_ゴミ箱_Backup!$A$2:$A$32,0),MATCH(言語切替!$B$3,_ゴミ箱_Backup!$B$1:$D$1,0))</f>
        <v>#N/A</v>
      </c>
      <c r="B18" s="69"/>
      <c r="C18" s="69"/>
      <c r="D18" s="69"/>
      <c r="E18" s="69"/>
      <c r="F18" s="69"/>
      <c r="G18" s="69"/>
      <c r="H18" s="69"/>
    </row>
    <row r="19" spans="1:8" x14ac:dyDescent="0.25">
      <c r="A19" s="68" t="e">
        <f>INDEX(_ゴミ箱_Backup!$B$2:$D$32,MATCH("C3",_ゴミ箱_Backup!$A$2:$A$32,0),MATCH(言語切替!$B$3,_ゴミ箱_Backup!$B$1:$D$1,0))</f>
        <v>#N/A</v>
      </c>
      <c r="B19" s="69"/>
      <c r="C19" s="69"/>
      <c r="D19" s="69"/>
      <c r="E19" s="69"/>
      <c r="F19" s="69"/>
      <c r="G19" s="69"/>
      <c r="H19" s="69"/>
    </row>
    <row r="20" spans="1:8" x14ac:dyDescent="0.25">
      <c r="A20" s="68" t="e">
        <f>INDEX(_ゴミ箱_Backup!$B$2:$D$32,MATCH("C4",_ゴミ箱_Backup!$A$2:$A$32,0),MATCH(言語切替!$B$3,_ゴミ箱_Backup!$B$1:$D$1,0))</f>
        <v>#N/A</v>
      </c>
      <c r="B20" s="69"/>
      <c r="C20" s="69"/>
      <c r="D20" s="69"/>
      <c r="E20" s="69"/>
      <c r="F20" s="69"/>
      <c r="G20" s="69"/>
      <c r="H20" s="69"/>
    </row>
    <row r="22" spans="1:8" x14ac:dyDescent="0.25">
      <c r="A22" s="70" t="e">
        <f>INDEX(_ゴミ箱_Backup!$B$2:$D$32,MATCH("ESC_HEADER",_ゴミ箱_Backup!$A$2:$A$32,0),MATCH(言語切替!$B$3,_ゴミ箱_Backup!$B$1:$D$1,0))</f>
        <v>#N/A</v>
      </c>
      <c r="B22" s="69"/>
      <c r="C22" s="69"/>
      <c r="D22" s="69"/>
      <c r="E22" s="69"/>
      <c r="F22" s="69"/>
      <c r="G22" s="69"/>
      <c r="H22" s="69"/>
    </row>
    <row r="23" spans="1:8" x14ac:dyDescent="0.25">
      <c r="A23" s="68" t="e">
        <f>INDEX(_ゴミ箱_Backup!$B$2:$D$32,MATCH("E1",_ゴミ箱_Backup!$A$2:$A$32,0),MATCH(言語切替!$B$3,_ゴミ箱_Backup!$B$1:$D$1,0))</f>
        <v>#N/A</v>
      </c>
      <c r="B23" s="69"/>
      <c r="C23" s="69"/>
      <c r="D23" s="69"/>
      <c r="E23" s="69"/>
      <c r="F23" s="69"/>
      <c r="G23" s="69"/>
      <c r="H23" s="69"/>
    </row>
    <row r="24" spans="1:8" x14ac:dyDescent="0.25">
      <c r="A24" s="68" t="e">
        <f>INDEX(_ゴミ箱_Backup!$B$2:$D$32,MATCH("E2",_ゴミ箱_Backup!$A$2:$A$32,0),MATCH(言語切替!$B$3,_ゴミ箱_Backup!$B$1:$D$1,0))</f>
        <v>#N/A</v>
      </c>
      <c r="B24" s="69"/>
      <c r="C24" s="69"/>
      <c r="D24" s="69"/>
      <c r="E24" s="69"/>
      <c r="F24" s="69"/>
      <c r="G24" s="69"/>
      <c r="H24" s="69"/>
    </row>
    <row r="25" spans="1:8" x14ac:dyDescent="0.25">
      <c r="A25" s="68" t="e">
        <f>INDEX(_ゴミ箱_Backup!$B$2:$D$32,MATCH("E3",_ゴミ箱_Backup!$A$2:$A$32,0),MATCH(言語切替!$B$3,_ゴミ箱_Backup!$B$1:$D$1,0))</f>
        <v>#N/A</v>
      </c>
      <c r="B25" s="69"/>
      <c r="C25" s="69"/>
      <c r="D25" s="69"/>
      <c r="E25" s="69"/>
      <c r="F25" s="69"/>
      <c r="G25" s="69"/>
      <c r="H25" s="69"/>
    </row>
    <row r="26" spans="1:8" x14ac:dyDescent="0.25">
      <c r="A26" s="68" t="e">
        <f>INDEX(_ゴミ箱_Backup!$B$2:$D$32,MATCH("E4",_ゴミ箱_Backup!$A$2:$A$32,0),MATCH(言語切替!$B$3,_ゴミ箱_Backup!$B$1:$D$1,0))</f>
        <v>#N/A</v>
      </c>
      <c r="B26" s="69"/>
      <c r="C26" s="69"/>
      <c r="D26" s="69"/>
      <c r="E26" s="69"/>
      <c r="F26" s="69"/>
      <c r="G26" s="69"/>
      <c r="H26" s="69"/>
    </row>
    <row r="27" spans="1:8" x14ac:dyDescent="0.25">
      <c r="A27" s="62" t="e">
        <f>INDEX(_ゴミ箱_Backup!$B$2:$D$300,MATCH("PARA_TITLE",_ゴミ箱_Backup!$A$2:$A$300,0),MATCH(言語切替!$B$3,_ゴミ箱_Backup!$B$1:$D$1,0))</f>
        <v>#N/A</v>
      </c>
    </row>
    <row r="28" spans="1:8" x14ac:dyDescent="0.25">
      <c r="A28" s="1" t="e">
        <f>INDEX(_ゴミ箱_Backup!$B$2:$D$300,MATCH("PARA_DESC",_ゴミ箱_Backup!$A$2:$A$300,0),MATCH(言語切替!$B$3,_ゴミ箱_Backup!$B$1:$D$1,0))</f>
        <v>#N/A</v>
      </c>
    </row>
    <row r="29" spans="1:8" x14ac:dyDescent="0.25">
      <c r="A29" s="1" t="e">
        <f>INDEX(_ゴミ箱_Backup!$B$2:$D$300,MATCH("PARA_HOWTO",_ゴミ箱_Backup!$A$2:$A$300,0),MATCH(言語切替!$B$3,_ゴミ箱_Backup!$B$1:$D$1,0))</f>
        <v>#N/A</v>
      </c>
    </row>
    <row r="30" spans="1:8" x14ac:dyDescent="0.25">
      <c r="A30" s="62" t="e">
        <f>INDEX(_ゴミ箱_Backup!$B$2:$D$300,MATCH("BACKUP_TITLE",_ゴミ箱_Backup!$A$2:$A$300,0),MATCH(言語切替!$B$3,_ゴミ箱_Backup!$B$1:$D$1,0))</f>
        <v>#N/A</v>
      </c>
    </row>
    <row r="31" spans="1:8" x14ac:dyDescent="0.25">
      <c r="A31" s="1" t="e">
        <f>INDEX(_ゴミ箱_Backup!$B$2:$D$300,MATCH("BACKUP_DESC",_ゴミ箱_Backup!$A$2:$A$300,0),MATCH(言語切替!$B$3,_ゴミ箱_Backup!$B$1:$D$1,0))</f>
        <v>#N/A</v>
      </c>
    </row>
  </sheetData>
  <mergeCells count="22">
    <mergeCell ref="A11:H11"/>
    <mergeCell ref="A6:H6"/>
    <mergeCell ref="A1:N1"/>
    <mergeCell ref="A7:H7"/>
    <mergeCell ref="A2:N2"/>
    <mergeCell ref="A5:H5"/>
    <mergeCell ref="A8:H8"/>
    <mergeCell ref="A4:H4"/>
    <mergeCell ref="A10:H10"/>
    <mergeCell ref="A25:H25"/>
    <mergeCell ref="A16:H16"/>
    <mergeCell ref="A12:H12"/>
    <mergeCell ref="A18:H18"/>
    <mergeCell ref="A26:H26"/>
    <mergeCell ref="A14:H14"/>
    <mergeCell ref="A23:H23"/>
    <mergeCell ref="A22:H22"/>
    <mergeCell ref="A17:H17"/>
    <mergeCell ref="A20:H20"/>
    <mergeCell ref="A13:H13"/>
    <mergeCell ref="A19:H19"/>
    <mergeCell ref="A24:H24"/>
  </mergeCells>
  <phoneticPr fontId="1"/>
  <pageMargins left="0.75" right="0.75" top="1" bottom="1" header="0.5" footer="0.5"/>
  <pageSetup fitToHeight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9"/>
  <sheetViews>
    <sheetView showGridLines="0" zoomScale="85" workbookViewId="0">
      <pane ySplit="8" topLeftCell="A9" activePane="bottomLeft" state="frozen"/>
      <selection pane="bottomLeft" activeCell="E10" sqref="E10"/>
    </sheetView>
  </sheetViews>
  <sheetFormatPr defaultColWidth="8.75" defaultRowHeight="15.75" x14ac:dyDescent="0.25"/>
  <cols>
    <col min="1" max="1" width="22.75" style="1" customWidth="1"/>
    <col min="2" max="2" width="15.5" style="1" bestFit="1" customWidth="1"/>
    <col min="3" max="3" width="13.125" style="1" bestFit="1" customWidth="1"/>
    <col min="4" max="4" width="14.5" style="1" bestFit="1" customWidth="1"/>
    <col min="5" max="5" width="14.875" style="1" bestFit="1" customWidth="1"/>
    <col min="6" max="6" width="17.5" style="1" bestFit="1" customWidth="1"/>
    <col min="7" max="7" width="12.125" style="1" bestFit="1" customWidth="1"/>
    <col min="8" max="8" width="8.75" style="1"/>
    <col min="9" max="9" width="2" style="1" customWidth="1"/>
    <col min="10" max="13" width="14" style="1" customWidth="1"/>
    <col min="14" max="16384" width="8.75" style="1"/>
  </cols>
  <sheetData>
    <row r="1" spans="1:14" ht="21" x14ac:dyDescent="0.25">
      <c r="A1" s="71" t="e">
        <f>INDEX(_ゴミ箱_Backup!$B$33:$D$45,MATCH("DASH_TITLE",_ゴミ箱_Backup!$A$33:$A$45,0),MATCH(言語切替!$B$3,_ゴミ箱_Backup!$B$1:$D$1,0))</f>
        <v>#N/A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x14ac:dyDescent="0.25">
      <c r="A2" s="72" t="e">
        <f>INDEX(_ゴミ箱_Backup!$B$33:$D$45,MATCH("DASH_DESC",_ゴミ箱_Backup!$A$33:$A$45,0),MATCH(言語切替!$B$3,_ゴミ箱_Backup!$B$1:$D$1,0))</f>
        <v>#N/A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4" spans="1:14" x14ac:dyDescent="0.25">
      <c r="B4" s="91" t="e">
        <f>INDEX(_ゴミ箱_Backup!$B$33:$D$45,MATCH("DASH_OPEN_WBS",_ゴミ箱_Backup!$A$33:$A$45,0),MATCH(言語切替!$B$3,_ゴミ箱_Backup!$B$1:$D$1,0))</f>
        <v>#N/A</v>
      </c>
      <c r="C4" s="92"/>
      <c r="D4" s="83" t="e">
        <f>INDEX(_ゴミ箱_Backup!$B$33:$D$45,MATCH("DASH_DELAY_WBS",_ゴミ箱_Backup!$A$33:$A$45,0),MATCH(言語切替!$B$3,_ゴミ箱_Backup!$B$1:$D$1,0))</f>
        <v>#N/A</v>
      </c>
      <c r="E4" s="84"/>
      <c r="F4" s="73" t="e">
        <f>INDEX(_ゴミ箱_Backup!$B$33:$D$45,MATCH("DASH_OPEN_ISSUES",_ゴミ箱_Backup!$A$33:$A$45,0),MATCH(言語切替!$B$3,_ゴミ箱_Backup!$B$1:$D$1,0))</f>
        <v>#N/A</v>
      </c>
      <c r="G4" s="74"/>
      <c r="H4" s="85" t="e">
        <f>INDEX(_ゴミ箱_Backup!$B$33:$D$45,MATCH("DASH_HIGH_OVERDUE",_ゴミ箱_Backup!$A$33:$A$45,0),MATCH(言語切替!$B$3,_ゴミ箱_Backup!$B$1:$D$1,0))</f>
        <v>#N/A</v>
      </c>
      <c r="I4" s="86"/>
      <c r="J4" s="75" t="e">
        <f>INDEX(_ゴミ箱_Backup!$B$33:$D$45,MATCH("DASH_KPI_MISS",_ゴミ箱_Backup!$A$33:$A$45,0),MATCH(言語切替!$B$3,_ゴミ箱_Backup!$B$1:$D$1,0))</f>
        <v>#N/A</v>
      </c>
      <c r="K4" s="76"/>
    </row>
    <row r="5" spans="1:14" x14ac:dyDescent="0.25">
      <c r="B5" s="77">
        <f>COUNTIFS('03_WBS'!$A$5:$A$204,"&lt;&gt;",'03_WBS'!$L$5:$L$204,"&lt;&gt;"&amp;INDEX(_ゴミ箱_Backup!$B$75:$D$75,1,MATCH(言語切替!$B$3,_ゴミ箱_Backup!$B$1:$D$1,0)))</f>
        <v>3</v>
      </c>
      <c r="C5" s="78"/>
      <c r="D5" s="81">
        <f ca="1">COUNTIF('03_WBS'!$N$5:$N$204,INDEX(_ゴミ箱_Backup!$B$92:$D$92,1,MATCH(言語切替!$B$3,_ゴミ箱_Backup!$B$1:$D$1,0)))</f>
        <v>3</v>
      </c>
      <c r="E5" s="82"/>
      <c r="F5" s="79">
        <f>COUNTIFS('04_課題ToDo'!$A$5:$A$304,"&lt;&gt;",'04_課題ToDo'!$M$5:$M$304,"&lt;&gt;"&amp;INDEX(_ゴミ箱_Backup!$B$75:$D$75,1,MATCH(言語切替!$B$3,_ゴミ箱_Backup!$B$1:$D$1,0)),'04_課題ToDo'!$M$5:$M$304,"&lt;&gt;"&amp;INDEX(_ゴミ箱_Backup!$B$77:$D$77,1,MATCH(言語切替!$B$3,_ゴミ箱_Backup!$B$1:$D$1,0)))</f>
        <v>4</v>
      </c>
      <c r="G5" s="80"/>
      <c r="H5" s="87">
        <f ca="1">COUNTIFS('04_課題ToDo'!$A$5:$A$304,"&lt;&gt;",'04_課題ToDo'!$S$5:$S$304,"High")+COUNTIFS('04_課題ToDo'!$A$5:$A$304,"&lt;&gt;",'04_課題ToDo'!$S$5:$S$304,INDEX(_ゴミ箱_Backup!$B$117:$D$247,MATCH("ALERT_OVERDUE",_ゴミ箱_Backup!$A$117:$A$247,0),MATCH(言語切替!$B$3,_ゴミ箱_Backup!$B$1:$D$1,0)))</f>
        <v>4</v>
      </c>
      <c r="I5" s="88"/>
      <c r="J5" s="89">
        <f>COUNTIFS('06_KPI'!$A$5:$A$204,"&lt;&gt;",'06_KPI'!$O$5:$O$204,INDEX(_ゴミ箱_Backup!$B$94:$D$94,1,MATCH(言語切替!$B$3,_ゴミ箱_Backup!$B$1:$D$1,0)))</f>
        <v>4</v>
      </c>
      <c r="K5" s="90"/>
    </row>
    <row r="6" spans="1:14" x14ac:dyDescent="0.25">
      <c r="B6" s="78"/>
      <c r="C6" s="78"/>
      <c r="D6" s="82"/>
      <c r="E6" s="82"/>
      <c r="F6" s="80"/>
      <c r="G6" s="80"/>
      <c r="H6" s="88"/>
      <c r="I6" s="88"/>
      <c r="J6" s="90"/>
      <c r="K6" s="90"/>
    </row>
    <row r="9" spans="1:14" x14ac:dyDescent="0.25">
      <c r="A9" s="6" t="e">
        <f>INDEX(_ゴミ箱_Backup!$B$33:$D$45,MATCH("DASH_WG",_ゴミ箱_Backup!$A$33:$A$45,0),MATCH(言語切替!$B$3,_ゴミ箱_Backup!$B$1:$D$1,0))</f>
        <v>#N/A</v>
      </c>
      <c r="B9" s="7" t="e">
        <f>INDEX(_ゴミ箱_Backup!$B$33:$D$45,MATCH("DASH_OPEN_WBS",_ゴミ箱_Backup!$A$33:$A$45,0),MATCH(言語切替!$B$3,_ゴミ箱_Backup!$B$1:$D$1,0))</f>
        <v>#N/A</v>
      </c>
      <c r="C9" s="7" t="e">
        <f>INDEX(_ゴミ箱_Backup!$B$33:$D$45,MATCH("DASH_DELAY_WBS",_ゴミ箱_Backup!$A$33:$A$45,0),MATCH(言語切替!$B$3,_ゴミ箱_Backup!$B$1:$D$1,0))</f>
        <v>#N/A</v>
      </c>
      <c r="D9" s="7" t="e">
        <f>INDEX(_ゴミ箱_Backup!$B$33:$D$45,MATCH("DASH_OPEN_ISSUES_SHORT",_ゴミ箱_Backup!$A$33:$A$45,0),MATCH(言語切替!$B$3,_ゴミ箱_Backup!$B$1:$D$1,0))</f>
        <v>#N/A</v>
      </c>
      <c r="E9" s="7" t="e">
        <f>INDEX(_ゴミ箱_Backup!$B$33:$D$45,MATCH("DASH_HIGH_OVERDUE_SHORT",_ゴミ箱_Backup!$A$33:$A$45,0),MATCH(言語切替!$B$3,_ゴミ箱_Backup!$B$1:$D$1,0))</f>
        <v>#N/A</v>
      </c>
      <c r="F9" s="7" t="e">
        <f>INDEX(_ゴミ箱_Backup!$B$33:$D$45,MATCH("DASH_WAITING",_ゴミ箱_Backup!$A$33:$A$45,0),MATCH(言語切替!$B$3,_ゴミ箱_Backup!$B$1:$D$1,0))</f>
        <v>#N/A</v>
      </c>
      <c r="G9" s="8" t="e">
        <f>INDEX(_ゴミ箱_Backup!$B$33:$D$45,MATCH("DASH_KPI_MISS",_ゴミ箱_Backup!$A$33:$A$45,0),MATCH(言語切替!$B$3,_ゴミ箱_Backup!$B$1:$D$1,0))</f>
        <v>#N/A</v>
      </c>
    </row>
    <row r="10" spans="1:14" x14ac:dyDescent="0.25">
      <c r="A10" s="9" t="e">
        <f>'02_マスタ'!$A$5</f>
        <v>#N/A</v>
      </c>
      <c r="B10" s="10">
        <f>COUNTIFS('03_WBS'!$B$5:$B$204,$A10,'03_WBS'!$L$5:$L$204,"&lt;&gt;"&amp;INDEX(_ゴミ箱_Backup!$B$75:$D$75,1,MATCH(言語切替!$B$3,_ゴミ箱_Backup!$B$1:$D$1,0)))</f>
        <v>1</v>
      </c>
      <c r="C10" s="10">
        <f ca="1">COUNTIFS('03_WBS'!$B$5:$B$204,$A10,'03_WBS'!$N$5:$N$204,INDEX(_ゴミ箱_Backup!$B$92:$D$92,1,MATCH(言語切替!$B$3,_ゴミ箱_Backup!$B$1:$D$1,0)))</f>
        <v>1</v>
      </c>
      <c r="D10" s="10">
        <f>COUNTIFS('04_課題ToDo'!$C$5:$C$304,$A10,'04_課題ToDo'!$M$5:$M$304,"&lt;&gt;"&amp;INDEX(_ゴミ箱_Backup!$B$75:$D$75,1,MATCH(言語切替!$B$3,_ゴミ箱_Backup!$B$1:$D$1,0)),'04_課題ToDo'!$M$5:$M$304,"&lt;&gt;"&amp;INDEX(_ゴミ箱_Backup!$B$77:$D$77,1,MATCH(言語切替!$B$3,_ゴミ箱_Backup!$B$1:$D$1,0)))</f>
        <v>4</v>
      </c>
      <c r="E10" s="10">
        <f ca="1">COUNTIFS('04_課題ToDo'!$C$5:$C$304,$A10,'04_課題ToDo'!$S$5:$S$304,"High")+COUNTIFS('04_課題ToDo'!$C$5:$C$304,$A10,'04_課題ToDo'!$S$5:$S$304,INDEX(_ゴミ箱_Backup!$B$117:$D$247,MATCH("ALERT_OVERDUE",_ゴミ箱_Backup!$A$117:$A$247,0),MATCH(言語切替!$B$3,_ゴミ箱_Backup!$B$1:$D$1,0)))</f>
        <v>4</v>
      </c>
      <c r="F10" s="10">
        <f>COUNTIFS('04_課題ToDo'!$C$5:$C$304,$A10,'04_課題ToDo'!$M$5:$M$304,INDEX(_ゴミ箱_Backup!$B$72:$D$72,1,MATCH(言語切替!$B$3,_ゴミ箱_Backup!$B$1:$D$1,0)))+COUNTIFS('04_課題ToDo'!$C$5:$C$304,$A10,'04_課題ToDo'!$M$5:$M$304,INDEX(_ゴミ箱_Backup!$B$73:$D$73,1,MATCH(言語切替!$B$3,_ゴミ箱_Backup!$B$1:$D$1,0)))</f>
        <v>8</v>
      </c>
      <c r="G10" s="11">
        <f>COUNTIFS('06_KPI'!$B$5:$B$204,$A10,'06_KPI'!$O$5:$O$204,INDEX(_ゴミ箱_Backup!$B$94:$D$94,1,MATCH(言語切替!$B$3,_ゴミ箱_Backup!$B$1:$D$1,0)))</f>
        <v>4</v>
      </c>
    </row>
    <row r="11" spans="1:14" x14ac:dyDescent="0.25">
      <c r="A11" s="12" t="s">
        <v>329</v>
      </c>
      <c r="B11" s="13">
        <f>COUNTIFS('03_WBS'!$B$5:$B$204,$A11,'03_WBS'!$L$5:$L$204,"&lt;&gt;"&amp;INDEX(_ゴミ箱_Backup!$B$75:$D$75,1,MATCH(言語切替!$B$3,_ゴミ箱_Backup!$B$1:$D$1,0)))</f>
        <v>1</v>
      </c>
      <c r="C11" s="13">
        <f ca="1">COUNTIFS('03_WBS'!$B$5:$B$204,$A11,'03_WBS'!$N$5:$N$204,INDEX(_ゴミ箱_Backup!$B$92:$D$92,1,MATCH(言語切替!$B$3,_ゴミ箱_Backup!$B$1:$D$1,0)))</f>
        <v>1</v>
      </c>
      <c r="D11" s="13">
        <f>COUNTIFS('04_課題ToDo'!$C$5:$C$304,$A11,'04_課題ToDo'!$M$5:$M$304,"&lt;&gt;"&amp;INDEX(_ゴミ箱_Backup!$B$75:$D$75,1,MATCH(言語切替!$B$3,_ゴミ箱_Backup!$B$1:$D$1,0)),'04_課題ToDo'!$M$5:$M$304,"&lt;&gt;"&amp;INDEX(_ゴミ箱_Backup!$B$77:$D$77,1,MATCH(言語切替!$B$3,_ゴミ箱_Backup!$B$1:$D$1,0)))</f>
        <v>0</v>
      </c>
      <c r="E11" s="13">
        <f>COUNTIFS('04_課題ToDo'!$C$5:$C$304,$A11,'04_課題ToDo'!$S$5:$S$304,"High")+COUNTIFS('04_課題ToDo'!$C$5:$C$304,$A11,'04_課題ToDo'!$S$5:$S$304,INDEX(_ゴミ箱_Backup!$B$117:$D$247,MATCH("ALERT_OVERDUE",_ゴミ箱_Backup!$A$117:$A$247,0),MATCH(言語切替!$B$3,_ゴミ箱_Backup!$B$1:$D$1,0)))</f>
        <v>0</v>
      </c>
      <c r="F11" s="13">
        <f>COUNTIFS('04_課題ToDo'!$C$5:$C$304,$A11,'04_課題ToDo'!$M$5:$M$304,INDEX(_ゴミ箱_Backup!$B$72:$D$72,1,MATCH(言語切替!$B$3,_ゴミ箱_Backup!$B$1:$D$1,0)))+COUNTIFS('04_課題ToDo'!$C$5:$C$304,$A11,'04_課題ToDo'!$M$5:$M$304,INDEX(_ゴミ箱_Backup!$B$73:$D$73,1,MATCH(言語切替!$B$3,_ゴミ箱_Backup!$B$1:$D$1,0)))</f>
        <v>0</v>
      </c>
      <c r="G11" s="14">
        <f>COUNTIFS('06_KPI'!$B$5:$B$204,$A11,'06_KPI'!$O$5:$O$204,INDEX(_ゴミ箱_Backup!$B$94:$D$94,1,MATCH(言語切替!$B$3,_ゴミ箱_Backup!$B$1:$D$1,0)))</f>
        <v>0</v>
      </c>
    </row>
    <row r="12" spans="1:14" x14ac:dyDescent="0.25">
      <c r="A12" s="15" t="s">
        <v>331</v>
      </c>
      <c r="B12" s="16">
        <f>COUNTIFS('03_WBS'!$B$5:$B$204,$A12,'03_WBS'!$L$5:$L$204,"&lt;&gt;"&amp;INDEX(_ゴミ箱_Backup!$B$75:$D$75,1,MATCH(言語切替!$B$3,_ゴミ箱_Backup!$B$1:$D$1,0)))</f>
        <v>0</v>
      </c>
      <c r="C12" s="16">
        <f>COUNTIFS('03_WBS'!$B$5:$B$204,$A12,'03_WBS'!$N$5:$N$204,INDEX(_ゴミ箱_Backup!$B$92:$D$92,1,MATCH(言語切替!$B$3,_ゴミ箱_Backup!$B$1:$D$1,0)))</f>
        <v>0</v>
      </c>
      <c r="D12" s="16">
        <f>COUNTIFS('04_課題ToDo'!$C$5:$C$304,$A12,'04_課題ToDo'!$M$5:$M$304,"&lt;&gt;"&amp;INDEX(_ゴミ箱_Backup!$B$75:$D$75,1,MATCH(言語切替!$B$3,_ゴミ箱_Backup!$B$1:$D$1,0)),'04_課題ToDo'!$M$5:$M$304,"&lt;&gt;"&amp;INDEX(_ゴミ箱_Backup!$B$77:$D$77,1,MATCH(言語切替!$B$3,_ゴミ箱_Backup!$B$1:$D$1,0)))</f>
        <v>0</v>
      </c>
      <c r="E12" s="16">
        <f>COUNTIFS('04_課題ToDo'!$C$5:$C$304,$A12,'04_課題ToDo'!$S$5:$S$304,"High")+COUNTIFS('04_課題ToDo'!$C$5:$C$304,$A12,'04_課題ToDo'!$S$5:$S$304,INDEX(_ゴミ箱_Backup!$B$117:$D$247,MATCH("ALERT_OVERDUE",_ゴミ箱_Backup!$A$117:$A$247,0),MATCH(言語切替!$B$3,_ゴミ箱_Backup!$B$1:$D$1,0)))</f>
        <v>0</v>
      </c>
      <c r="F12" s="16">
        <f>COUNTIFS('04_課題ToDo'!$C$5:$C$304,$A12,'04_課題ToDo'!$M$5:$M$304,INDEX(_ゴミ箱_Backup!$B$72:$D$72,1,MATCH(言語切替!$B$3,_ゴミ箱_Backup!$B$1:$D$1,0)))+COUNTIFS('04_課題ToDo'!$C$5:$C$304,$A12,'04_課題ToDo'!$M$5:$M$304,INDEX(_ゴミ箱_Backup!$B$73:$D$73,1,MATCH(言語切替!$B$3,_ゴミ箱_Backup!$B$1:$D$1,0)))</f>
        <v>0</v>
      </c>
      <c r="G12" s="17">
        <f>COUNTIFS('06_KPI'!$B$5:$B$204,$A12,'06_KPI'!$O$5:$O$204,INDEX(_ゴミ箱_Backup!$B$94:$D$94,1,MATCH(言語切替!$B$3,_ゴミ箱_Backup!$B$1:$D$1,0)))</f>
        <v>0</v>
      </c>
    </row>
    <row r="13" spans="1:14" x14ac:dyDescent="0.25">
      <c r="A13" s="12" t="s">
        <v>333</v>
      </c>
      <c r="B13" s="13">
        <f>COUNTIFS('03_WBS'!$B$5:$B$204,$A13,'03_WBS'!$L$5:$L$204,"&lt;&gt;"&amp;INDEX(_ゴミ箱_Backup!$B$75:$D$75,1,MATCH(言語切替!$B$3,_ゴミ箱_Backup!$B$1:$D$1,0)))</f>
        <v>0</v>
      </c>
      <c r="C13" s="13">
        <f>COUNTIFS('03_WBS'!$B$5:$B$204,$A13,'03_WBS'!$N$5:$N$204,INDEX(_ゴミ箱_Backup!$B$92:$D$92,1,MATCH(言語切替!$B$3,_ゴミ箱_Backup!$B$1:$D$1,0)))</f>
        <v>0</v>
      </c>
      <c r="D13" s="13">
        <f>COUNTIFS('04_課題ToDo'!$C$5:$C$304,$A13,'04_課題ToDo'!$M$5:$M$304,"&lt;&gt;"&amp;INDEX(_ゴミ箱_Backup!$B$75:$D$75,1,MATCH(言語切替!$B$3,_ゴミ箱_Backup!$B$1:$D$1,0)),'04_課題ToDo'!$M$5:$M$304,"&lt;&gt;"&amp;INDEX(_ゴミ箱_Backup!$B$77:$D$77,1,MATCH(言語切替!$B$3,_ゴミ箱_Backup!$B$1:$D$1,0)))</f>
        <v>0</v>
      </c>
      <c r="E13" s="13">
        <f>COUNTIFS('04_課題ToDo'!$C$5:$C$304,$A13,'04_課題ToDo'!$S$5:$S$304,"High")+COUNTIFS('04_課題ToDo'!$C$5:$C$304,$A13,'04_課題ToDo'!$S$5:$S$304,INDEX(_ゴミ箱_Backup!$B$117:$D$247,MATCH("ALERT_OVERDUE",_ゴミ箱_Backup!$A$117:$A$247,0),MATCH(言語切替!$B$3,_ゴミ箱_Backup!$B$1:$D$1,0)))</f>
        <v>0</v>
      </c>
      <c r="F13" s="13">
        <f>COUNTIFS('04_課題ToDo'!$C$5:$C$304,$A13,'04_課題ToDo'!$M$5:$M$304,INDEX(_ゴミ箱_Backup!$B$72:$D$72,1,MATCH(言語切替!$B$3,_ゴミ箱_Backup!$B$1:$D$1,0)))+COUNTIFS('04_課題ToDo'!$C$5:$C$304,$A13,'04_課題ToDo'!$M$5:$M$304,INDEX(_ゴミ箱_Backup!$B$73:$D$73,1,MATCH(言語切替!$B$3,_ゴミ箱_Backup!$B$1:$D$1,0)))</f>
        <v>0</v>
      </c>
      <c r="G13" s="14">
        <f>COUNTIFS('06_KPI'!$B$5:$B$204,$A13,'06_KPI'!$O$5:$O$204,INDEX(_ゴミ箱_Backup!$B$94:$D$94,1,MATCH(言語切替!$B$3,_ゴミ箱_Backup!$B$1:$D$1,0)))</f>
        <v>0</v>
      </c>
    </row>
    <row r="14" spans="1:14" x14ac:dyDescent="0.25">
      <c r="A14" s="15" t="s">
        <v>335</v>
      </c>
      <c r="B14" s="16">
        <f>COUNTIFS('03_WBS'!$B$5:$B$204,$A14,'03_WBS'!$L$5:$L$204,"&lt;&gt;"&amp;INDEX(_ゴミ箱_Backup!$B$75:$D$75,1,MATCH(言語切替!$B$3,_ゴミ箱_Backup!$B$1:$D$1,0)))</f>
        <v>0</v>
      </c>
      <c r="C14" s="16">
        <f>COUNTIFS('03_WBS'!$B$5:$B$204,$A14,'03_WBS'!$N$5:$N$204,INDEX(_ゴミ箱_Backup!$B$92:$D$92,1,MATCH(言語切替!$B$3,_ゴミ箱_Backup!$B$1:$D$1,0)))</f>
        <v>0</v>
      </c>
      <c r="D14" s="16">
        <f>COUNTIFS('04_課題ToDo'!$C$5:$C$304,$A14,'04_課題ToDo'!$M$5:$M$304,"&lt;&gt;"&amp;INDEX(_ゴミ箱_Backup!$B$75:$D$75,1,MATCH(言語切替!$B$3,_ゴミ箱_Backup!$B$1:$D$1,0)),'04_課題ToDo'!$M$5:$M$304,"&lt;&gt;"&amp;INDEX(_ゴミ箱_Backup!$B$77:$D$77,1,MATCH(言語切替!$B$3,_ゴミ箱_Backup!$B$1:$D$1,0)))</f>
        <v>0</v>
      </c>
      <c r="E14" s="16">
        <f>COUNTIFS('04_課題ToDo'!$C$5:$C$304,$A14,'04_課題ToDo'!$S$5:$S$304,"High")+COUNTIFS('04_課題ToDo'!$C$5:$C$304,$A14,'04_課題ToDo'!$S$5:$S$304,INDEX(_ゴミ箱_Backup!$B$117:$D$247,MATCH("ALERT_OVERDUE",_ゴミ箱_Backup!$A$117:$A$247,0),MATCH(言語切替!$B$3,_ゴミ箱_Backup!$B$1:$D$1,0)))</f>
        <v>0</v>
      </c>
      <c r="F14" s="16">
        <f>COUNTIFS('04_課題ToDo'!$C$5:$C$304,$A14,'04_課題ToDo'!$M$5:$M$304,INDEX(_ゴミ箱_Backup!$B$72:$D$72,1,MATCH(言語切替!$B$3,_ゴミ箱_Backup!$B$1:$D$1,0)))+COUNTIFS('04_課題ToDo'!$C$5:$C$304,$A14,'04_課題ToDo'!$M$5:$M$304,INDEX(_ゴミ箱_Backup!$B$73:$D$73,1,MATCH(言語切替!$B$3,_ゴミ箱_Backup!$B$1:$D$1,0)))</f>
        <v>0</v>
      </c>
      <c r="G14" s="17">
        <f>COUNTIFS('06_KPI'!$B$5:$B$204,$A14,'06_KPI'!$O$5:$O$204,INDEX(_ゴミ箱_Backup!$B$94:$D$94,1,MATCH(言語切替!$B$3,_ゴミ箱_Backup!$B$1:$D$1,0)))</f>
        <v>0</v>
      </c>
    </row>
    <row r="15" spans="1:14" x14ac:dyDescent="0.25">
      <c r="A15" s="12" t="s">
        <v>337</v>
      </c>
      <c r="B15" s="13">
        <f>COUNTIFS('03_WBS'!$B$5:$B$204,$A15,'03_WBS'!$L$5:$L$204,"&lt;&gt;"&amp;INDEX(_ゴミ箱_Backup!$B$75:$D$75,1,MATCH(言語切替!$B$3,_ゴミ箱_Backup!$B$1:$D$1,0)))</f>
        <v>0</v>
      </c>
      <c r="C15" s="13">
        <f>COUNTIFS('03_WBS'!$B$5:$B$204,$A15,'03_WBS'!$N$5:$N$204,INDEX(_ゴミ箱_Backup!$B$92:$D$92,1,MATCH(言語切替!$B$3,_ゴミ箱_Backup!$B$1:$D$1,0)))</f>
        <v>0</v>
      </c>
      <c r="D15" s="13">
        <f>COUNTIFS('04_課題ToDo'!$C$5:$C$304,$A15,'04_課題ToDo'!$M$5:$M$304,"&lt;&gt;"&amp;INDEX(_ゴミ箱_Backup!$B$75:$D$75,1,MATCH(言語切替!$B$3,_ゴミ箱_Backup!$B$1:$D$1,0)),'04_課題ToDo'!$M$5:$M$304,"&lt;&gt;"&amp;INDEX(_ゴミ箱_Backup!$B$77:$D$77,1,MATCH(言語切替!$B$3,_ゴミ箱_Backup!$B$1:$D$1,0)))</f>
        <v>0</v>
      </c>
      <c r="E15" s="13">
        <f>COUNTIFS('04_課題ToDo'!$C$5:$C$304,$A15,'04_課題ToDo'!$S$5:$S$304,"High")+COUNTIFS('04_課題ToDo'!$C$5:$C$304,$A15,'04_課題ToDo'!$S$5:$S$304,INDEX(_ゴミ箱_Backup!$B$117:$D$247,MATCH("ALERT_OVERDUE",_ゴミ箱_Backup!$A$117:$A$247,0),MATCH(言語切替!$B$3,_ゴミ箱_Backup!$B$1:$D$1,0)))</f>
        <v>0</v>
      </c>
      <c r="F15" s="13">
        <f>COUNTIFS('04_課題ToDo'!$C$5:$C$304,$A15,'04_課題ToDo'!$M$5:$M$304,INDEX(_ゴミ箱_Backup!$B$72:$D$72,1,MATCH(言語切替!$B$3,_ゴミ箱_Backup!$B$1:$D$1,0)))+COUNTIFS('04_課題ToDo'!$C$5:$C$304,$A15,'04_課題ToDo'!$M$5:$M$304,INDEX(_ゴミ箱_Backup!$B$73:$D$73,1,MATCH(言語切替!$B$3,_ゴミ箱_Backup!$B$1:$D$1,0)))</f>
        <v>0</v>
      </c>
      <c r="G15" s="14">
        <f>COUNTIFS('06_KPI'!$B$5:$B$204,$A15,'06_KPI'!$O$5:$O$204,INDEX(_ゴミ箱_Backup!$B$94:$D$94,1,MATCH(言語切替!$B$3,_ゴミ箱_Backup!$B$1:$D$1,0)))</f>
        <v>0</v>
      </c>
    </row>
    <row r="16" spans="1:14" x14ac:dyDescent="0.25">
      <c r="A16" s="15" t="s">
        <v>339</v>
      </c>
      <c r="B16" s="16">
        <f>COUNTIFS('03_WBS'!$B$5:$B$204,$A16,'03_WBS'!$L$5:$L$204,"&lt;&gt;"&amp;INDEX(_ゴミ箱_Backup!$B$75:$D$75,1,MATCH(言語切替!$B$3,_ゴミ箱_Backup!$B$1:$D$1,0)))</f>
        <v>0</v>
      </c>
      <c r="C16" s="16">
        <f>COUNTIFS('03_WBS'!$B$5:$B$204,$A16,'03_WBS'!$N$5:$N$204,INDEX(_ゴミ箱_Backup!$B$92:$D$92,1,MATCH(言語切替!$B$3,_ゴミ箱_Backup!$B$1:$D$1,0)))</f>
        <v>0</v>
      </c>
      <c r="D16" s="16">
        <f>COUNTIFS('04_課題ToDo'!$C$5:$C$304,$A16,'04_課題ToDo'!$M$5:$M$304,"&lt;&gt;"&amp;INDEX(_ゴミ箱_Backup!$B$75:$D$75,1,MATCH(言語切替!$B$3,_ゴミ箱_Backup!$B$1:$D$1,0)),'04_課題ToDo'!$M$5:$M$304,"&lt;&gt;"&amp;INDEX(_ゴミ箱_Backup!$B$77:$D$77,1,MATCH(言語切替!$B$3,_ゴミ箱_Backup!$B$1:$D$1,0)))</f>
        <v>0</v>
      </c>
      <c r="E16" s="16">
        <f>COUNTIFS('04_課題ToDo'!$C$5:$C$304,$A16,'04_課題ToDo'!$S$5:$S$304,"High")+COUNTIFS('04_課題ToDo'!$C$5:$C$304,$A16,'04_課題ToDo'!$S$5:$S$304,INDEX(_ゴミ箱_Backup!$B$117:$D$247,MATCH("ALERT_OVERDUE",_ゴミ箱_Backup!$A$117:$A$247,0),MATCH(言語切替!$B$3,_ゴミ箱_Backup!$B$1:$D$1,0)))</f>
        <v>0</v>
      </c>
      <c r="F16" s="16">
        <f>COUNTIFS('04_課題ToDo'!$C$5:$C$304,$A16,'04_課題ToDo'!$M$5:$M$304,INDEX(_ゴミ箱_Backup!$B$72:$D$72,1,MATCH(言語切替!$B$3,_ゴミ箱_Backup!$B$1:$D$1,0)))+COUNTIFS('04_課題ToDo'!$C$5:$C$304,$A16,'04_課題ToDo'!$M$5:$M$304,INDEX(_ゴミ箱_Backup!$B$73:$D$73,1,MATCH(言語切替!$B$3,_ゴミ箱_Backup!$B$1:$D$1,0)))</f>
        <v>0</v>
      </c>
      <c r="G16" s="17">
        <f>COUNTIFS('06_KPI'!$B$5:$B$204,$A16,'06_KPI'!$O$5:$O$204,INDEX(_ゴミ箱_Backup!$B$94:$D$94,1,MATCH(言語切替!$B$3,_ゴミ箱_Backup!$B$1:$D$1,0)))</f>
        <v>0</v>
      </c>
    </row>
    <row r="17" spans="1:7" x14ac:dyDescent="0.25">
      <c r="A17" s="12" t="s">
        <v>341</v>
      </c>
      <c r="B17" s="13">
        <f>COUNTIFS('03_WBS'!$B$5:$B$204,$A17,'03_WBS'!$L$5:$L$204,"&lt;&gt;"&amp;INDEX(_ゴミ箱_Backup!$B$75:$D$75,1,MATCH(言語切替!$B$3,_ゴミ箱_Backup!$B$1:$D$1,0)))</f>
        <v>0</v>
      </c>
      <c r="C17" s="13">
        <f>COUNTIFS('03_WBS'!$B$5:$B$204,$A17,'03_WBS'!$N$5:$N$204,INDEX(_ゴミ箱_Backup!$B$92:$D$92,1,MATCH(言語切替!$B$3,_ゴミ箱_Backup!$B$1:$D$1,0)))</f>
        <v>0</v>
      </c>
      <c r="D17" s="13">
        <f>COUNTIFS('04_課題ToDo'!$C$5:$C$304,$A17,'04_課題ToDo'!$M$5:$M$304,"&lt;&gt;"&amp;INDEX(_ゴミ箱_Backup!$B$75:$D$75,1,MATCH(言語切替!$B$3,_ゴミ箱_Backup!$B$1:$D$1,0)),'04_課題ToDo'!$M$5:$M$304,"&lt;&gt;"&amp;INDEX(_ゴミ箱_Backup!$B$77:$D$77,1,MATCH(言語切替!$B$3,_ゴミ箱_Backup!$B$1:$D$1,0)))</f>
        <v>0</v>
      </c>
      <c r="E17" s="13">
        <f>COUNTIFS('04_課題ToDo'!$C$5:$C$304,$A17,'04_課題ToDo'!$S$5:$S$304,"High")+COUNTIFS('04_課題ToDo'!$C$5:$C$304,$A17,'04_課題ToDo'!$S$5:$S$304,INDEX(_ゴミ箱_Backup!$B$117:$D$247,MATCH("ALERT_OVERDUE",_ゴミ箱_Backup!$A$117:$A$247,0),MATCH(言語切替!$B$3,_ゴミ箱_Backup!$B$1:$D$1,0)))</f>
        <v>0</v>
      </c>
      <c r="F17" s="13">
        <f>COUNTIFS('04_課題ToDo'!$C$5:$C$304,$A17,'04_課題ToDo'!$M$5:$M$304,INDEX(_ゴミ箱_Backup!$B$72:$D$72,1,MATCH(言語切替!$B$3,_ゴミ箱_Backup!$B$1:$D$1,0)))+COUNTIFS('04_課題ToDo'!$C$5:$C$304,$A17,'04_課題ToDo'!$M$5:$M$304,INDEX(_ゴミ箱_Backup!$B$73:$D$73,1,MATCH(言語切替!$B$3,_ゴミ箱_Backup!$B$1:$D$1,0)))</f>
        <v>0</v>
      </c>
      <c r="G17" s="14">
        <f>COUNTIFS('06_KPI'!$B$5:$B$204,$A17,'06_KPI'!$O$5:$O$204,INDEX(_ゴミ箱_Backup!$B$94:$D$94,1,MATCH(言語切替!$B$3,_ゴミ箱_Backup!$B$1:$D$1,0)))</f>
        <v>0</v>
      </c>
    </row>
    <row r="18" spans="1:7" x14ac:dyDescent="0.25">
      <c r="A18" s="15" t="s">
        <v>342</v>
      </c>
      <c r="B18" s="16">
        <f>COUNTIFS('03_WBS'!$B$5:$B$204,$A18,'03_WBS'!$L$5:$L$204,"&lt;&gt;"&amp;INDEX(_ゴミ箱_Backup!$B$75:$D$75,1,MATCH(言語切替!$B$3,_ゴミ箱_Backup!$B$1:$D$1,0)))</f>
        <v>1</v>
      </c>
      <c r="C18" s="16">
        <f ca="1">COUNTIFS('03_WBS'!$B$5:$B$204,$A18,'03_WBS'!$N$5:$N$204,INDEX(_ゴミ箱_Backup!$B$92:$D$92,1,MATCH(言語切替!$B$3,_ゴミ箱_Backup!$B$1:$D$1,0)))</f>
        <v>1</v>
      </c>
      <c r="D18" s="16">
        <f>COUNTIFS('04_課題ToDo'!$C$5:$C$304,$A18,'04_課題ToDo'!$M$5:$M$304,"&lt;&gt;"&amp;INDEX(_ゴミ箱_Backup!$B$75:$D$75,1,MATCH(言語切替!$B$3,_ゴミ箱_Backup!$B$1:$D$1,0)),'04_課題ToDo'!$M$5:$M$304,"&lt;&gt;"&amp;INDEX(_ゴミ箱_Backup!$B$77:$D$77,1,MATCH(言語切替!$B$3,_ゴミ箱_Backup!$B$1:$D$1,0)))</f>
        <v>0</v>
      </c>
      <c r="E18" s="16">
        <f>COUNTIFS('04_課題ToDo'!$C$5:$C$304,$A18,'04_課題ToDo'!$S$5:$S$304,"High")+COUNTIFS('04_課題ToDo'!$C$5:$C$304,$A18,'04_課題ToDo'!$S$5:$S$304,INDEX(_ゴミ箱_Backup!$B$117:$D$247,MATCH("ALERT_OVERDUE",_ゴミ箱_Backup!$A$117:$A$247,0),MATCH(言語切替!$B$3,_ゴミ箱_Backup!$B$1:$D$1,0)))</f>
        <v>0</v>
      </c>
      <c r="F18" s="16">
        <f>COUNTIFS('04_課題ToDo'!$C$5:$C$304,$A18,'04_課題ToDo'!$M$5:$M$304,INDEX(_ゴミ箱_Backup!$B$72:$D$72,1,MATCH(言語切替!$B$3,_ゴミ箱_Backup!$B$1:$D$1,0)))+COUNTIFS('04_課題ToDo'!$C$5:$C$304,$A18,'04_課題ToDo'!$M$5:$M$304,INDEX(_ゴミ箱_Backup!$B$73:$D$73,1,MATCH(言語切替!$B$3,_ゴミ箱_Backup!$B$1:$D$1,0)))</f>
        <v>0</v>
      </c>
      <c r="G18" s="17">
        <f>COUNTIFS('06_KPI'!$B$5:$B$204,$A18,'06_KPI'!$O$5:$O$204,INDEX(_ゴミ箱_Backup!$B$94:$D$94,1,MATCH(言語切替!$B$3,_ゴミ箱_Backup!$B$1:$D$1,0)))</f>
        <v>0</v>
      </c>
    </row>
    <row r="19" spans="1:7" x14ac:dyDescent="0.25">
      <c r="A19" s="18" t="s">
        <v>344</v>
      </c>
      <c r="B19" s="19">
        <f>COUNTIFS('03_WBS'!$B$5:$B$204,$A19,'03_WBS'!$L$5:$L$204,"&lt;&gt;"&amp;INDEX(_ゴミ箱_Backup!$B$75:$D$75,1,MATCH(言語切替!$B$3,_ゴミ箱_Backup!$B$1:$D$1,0)))</f>
        <v>0</v>
      </c>
      <c r="C19" s="19">
        <f>COUNTIFS('03_WBS'!$B$5:$B$204,$A19,'03_WBS'!$N$5:$N$204,INDEX(_ゴミ箱_Backup!$B$92:$D$92,1,MATCH(言語切替!$B$3,_ゴミ箱_Backup!$B$1:$D$1,0)))</f>
        <v>0</v>
      </c>
      <c r="D19" s="19">
        <f>COUNTIFS('04_課題ToDo'!$C$5:$C$304,$A19,'04_課題ToDo'!$M$5:$M$304,"&lt;&gt;"&amp;INDEX(_ゴミ箱_Backup!$B$75:$D$75,1,MATCH(言語切替!$B$3,_ゴミ箱_Backup!$B$1:$D$1,0)),'04_課題ToDo'!$M$5:$M$304,"&lt;&gt;"&amp;INDEX(_ゴミ箱_Backup!$B$77:$D$77,1,MATCH(言語切替!$B$3,_ゴミ箱_Backup!$B$1:$D$1,0)))</f>
        <v>0</v>
      </c>
      <c r="E19" s="19">
        <f>COUNTIFS('04_課題ToDo'!$C$5:$C$304,$A19,'04_課題ToDo'!$S$5:$S$304,"High")+COUNTIFS('04_課題ToDo'!$C$5:$C$304,$A19,'04_課題ToDo'!$S$5:$S$304,INDEX(_ゴミ箱_Backup!$B$117:$D$247,MATCH("ALERT_OVERDUE",_ゴミ箱_Backup!$A$117:$A$247,0),MATCH(言語切替!$B$3,_ゴミ箱_Backup!$B$1:$D$1,0)))</f>
        <v>0</v>
      </c>
      <c r="F19" s="19">
        <f>COUNTIFS('04_課題ToDo'!$C$5:$C$304,$A19,'04_課題ToDo'!$M$5:$M$304,INDEX(_ゴミ箱_Backup!$B$72:$D$72,1,MATCH(言語切替!$B$3,_ゴミ箱_Backup!$B$1:$D$1,0)))+COUNTIFS('04_課題ToDo'!$C$5:$C$304,$A19,'04_課題ToDo'!$M$5:$M$304,INDEX(_ゴミ箱_Backup!$B$73:$D$73,1,MATCH(言語切替!$B$3,_ゴミ箱_Backup!$B$1:$D$1,0)))</f>
        <v>0</v>
      </c>
      <c r="G19" s="20">
        <f>COUNTIFS('06_KPI'!$B$5:$B$204,$A19,'06_KPI'!$O$5:$O$204,INDEX(_ゴミ箱_Backup!$B$94:$D$94,1,MATCH(言語切替!$B$3,_ゴミ箱_Backup!$B$1:$D$1,0)))</f>
        <v>0</v>
      </c>
    </row>
  </sheetData>
  <autoFilter ref="A9:G19" xr:uid="{00000000-0001-0000-0100-000000000000}"/>
  <mergeCells count="12">
    <mergeCell ref="A1:N1"/>
    <mergeCell ref="F4:G4"/>
    <mergeCell ref="J4:K4"/>
    <mergeCell ref="A2:N2"/>
    <mergeCell ref="B5:C6"/>
    <mergeCell ref="F5:G6"/>
    <mergeCell ref="D5:E6"/>
    <mergeCell ref="D4:E4"/>
    <mergeCell ref="H4:I4"/>
    <mergeCell ref="H5:I6"/>
    <mergeCell ref="J5:K6"/>
    <mergeCell ref="B4:C4"/>
  </mergeCells>
  <phoneticPr fontId="1"/>
  <pageMargins left="0.75" right="0.75" top="1" bottom="1" header="0.5" footer="0.5"/>
  <pageSetup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1"/>
  <sheetViews>
    <sheetView showGridLines="0" zoomScale="85" workbookViewId="0">
      <selection activeCell="C33" sqref="C33"/>
    </sheetView>
  </sheetViews>
  <sheetFormatPr defaultColWidth="8.75" defaultRowHeight="15.75" x14ac:dyDescent="0.25"/>
  <cols>
    <col min="1" max="1" width="47.25" style="1" customWidth="1"/>
    <col min="2" max="2" width="8.75" style="1"/>
    <col min="3" max="3" width="24" style="1" customWidth="1"/>
    <col min="4" max="4" width="8.75" style="1"/>
    <col min="5" max="5" width="24" style="1" customWidth="1"/>
    <col min="6" max="6" width="8.75" style="1"/>
    <col min="7" max="7" width="24" style="1" customWidth="1"/>
    <col min="8" max="8" width="8.75" style="1"/>
    <col min="9" max="9" width="24" style="1" customWidth="1"/>
    <col min="10" max="10" width="8.75" style="1"/>
    <col min="11" max="11" width="24" style="1" customWidth="1"/>
    <col min="12" max="12" width="8.75" style="1"/>
    <col min="13" max="13" width="24" style="1" customWidth="1"/>
    <col min="14" max="16384" width="8.75" style="1"/>
  </cols>
  <sheetData>
    <row r="1" spans="1:14" ht="21" x14ac:dyDescent="0.25">
      <c r="A1" s="71" t="e">
        <f>INDEX(_ゴミ箱_Backup!$B$47:$D$98,MATCH("M_TITLE",_ゴミ箱_Backup!$A$47:$A$98,0),MATCH(言語切替!$B$3,_ゴミ箱_Backup!$B$1:$D$1,0))</f>
        <v>#N/A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x14ac:dyDescent="0.25">
      <c r="A2" s="72" t="e">
        <f>INDEX(_ゴミ箱_Backup!$B$47:$D$98,MATCH("M_DESC",_ゴミ箱_Backup!$A$47:$A$98,0),MATCH(言語切替!$B$3,_ゴミ箱_Backup!$B$1:$D$1,0))</f>
        <v>#N/A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4" spans="1:14" x14ac:dyDescent="0.25">
      <c r="A4" s="2" t="e">
        <f>INDEX(_ゴミ箱_Backup!$B$47:$D$98,MATCH("M_WG",_ゴミ箱_Backup!$A$47:$A$98,0),MATCH(言語切替!$B$3,_ゴミ箱_Backup!$B$1:$D$1,0))</f>
        <v>#N/A</v>
      </c>
      <c r="C4" s="2" t="e">
        <f>INDEX(_ゴミ箱_Backup!$B$47:$D$98,MATCH("M_SITE",_ゴミ箱_Backup!$A$47:$A$98,0),MATCH(言語切替!$B$3,_ゴミ箱_Backup!$B$1:$D$1,0))</f>
        <v>#N/A</v>
      </c>
      <c r="E4" s="2" t="e">
        <f>INDEX(_ゴミ箱_Backup!$B$47:$D$98,MATCH("M_STATUS",_ゴミ箱_Backup!$A$47:$A$98,0),MATCH(言語切替!$B$3,_ゴミ箱_Backup!$B$1:$D$1,0))</f>
        <v>#N/A</v>
      </c>
      <c r="G4" s="2" t="e">
        <f>INDEX(_ゴミ箱_Backup!$B$47:$D$98,MATCH("M_PRIORITY",_ゴミ箱_Backup!$A$47:$A$98,0),MATCH(言語切替!$B$3,_ゴミ箱_Backup!$B$1:$D$1,0))</f>
        <v>#N/A</v>
      </c>
      <c r="I4" s="2" t="e">
        <f>INDEX(_ゴミ箱_Backup!$B$47:$D$98,MATCH("M_TYPE",_ゴミ箱_Backup!$A$47:$A$98,0),MATCH(言語切替!$B$3,_ゴミ箱_Backup!$B$1:$D$1,0))</f>
        <v>#N/A</v>
      </c>
      <c r="K4" s="2" t="e">
        <f>INDEX(_ゴミ箱_Backup!$B$47:$D$98,MATCH("M_KPI_LEVEL",_ゴミ箱_Backup!$A$47:$A$98,0),MATCH(言語切替!$B$3,_ゴミ箱_Backup!$B$1:$D$1,0))</f>
        <v>#N/A</v>
      </c>
      <c r="M4" s="2" t="e">
        <f>INDEX(_ゴミ箱_Backup!$B$47:$D$98,MATCH("M_JUDGMENT",_ゴミ箱_Backup!$A$47:$A$98,0),MATCH(言語切替!$B$3,_ゴミ箱_Backup!$B$1:$D$1,0))</f>
        <v>#N/A</v>
      </c>
    </row>
    <row r="5" spans="1:14" x14ac:dyDescent="0.25">
      <c r="A5" s="3" t="e">
        <f>INDEX(_ゴミ箱_Backup!$B$47:$D$98,MATCH("M_ALL",_ゴミ箱_Backup!$A$47:$A$98,0),MATCH(言語切替!$B$3,_ゴミ箱_Backup!$B$1:$D$1,0))</f>
        <v>#N/A</v>
      </c>
      <c r="C5" s="3" t="e">
        <f>INDEX(_ゴミ箱_Backup!$B$47:$D$98,MATCH("M_COMMON",_ゴミ箱_Backup!$A$47:$A$98,0),MATCH(言語切替!$B$3,_ゴミ箱_Backup!$B$1:$D$1,0))</f>
        <v>#N/A</v>
      </c>
      <c r="E5" s="3" t="e">
        <f>INDEX(_ゴミ箱_Backup!$B$47:$D$98,MATCH("M_NOT_STARTED",_ゴミ箱_Backup!$A$47:$A$98,0),MATCH(言語切替!$B$3,_ゴミ箱_Backup!$B$1:$D$1,0))</f>
        <v>#N/A</v>
      </c>
      <c r="G5" s="3" t="e">
        <f>INDEX(_ゴミ箱_Backup!$B$47:$D$98,MATCH("M_HIGH",_ゴミ箱_Backup!$A$47:$A$98,0),MATCH(言語切替!$B$3,_ゴミ箱_Backup!$B$1:$D$1,0))</f>
        <v>#N/A</v>
      </c>
      <c r="I5" s="3" t="e">
        <f>INDEX(_ゴミ箱_Backup!$B$47:$D$98,MATCH("M_ISSUE",_ゴミ箱_Backup!$A$47:$A$98,0),MATCH(言語切替!$B$3,_ゴミ箱_Backup!$B$1:$D$1,0))</f>
        <v>#N/A</v>
      </c>
      <c r="K5" s="3" t="e">
        <f>INDEX(_ゴミ箱_Backup!$B$47:$D$98,MATCH("M_FOUNDATION",_ゴミ箱_Backup!$A$47:$A$98,0),MATCH(言語切替!$B$3,_ゴミ箱_Backup!$B$1:$D$1,0))</f>
        <v>#N/A</v>
      </c>
      <c r="M5" s="3" t="e">
        <f>INDEX(_ゴミ箱_Backup!$B$47:$D$98,MATCH("M_UNSET",_ゴミ箱_Backup!$A$47:$A$98,0),MATCH(言語切替!$B$3,_ゴミ箱_Backup!$B$1:$D$1,0))</f>
        <v>#N/A</v>
      </c>
    </row>
    <row r="6" spans="1:14" x14ac:dyDescent="0.25">
      <c r="A6" s="3" t="e">
        <f>INDEX(_ゴミ箱_Backup!$B$47:$D$98,MATCH("M_WG1",_ゴミ箱_Backup!$A$47:$A$98,0),MATCH(言語切替!$B$3,_ゴミ箱_Backup!$B$1:$D$1,0))</f>
        <v>#N/A</v>
      </c>
      <c r="C6" s="3" t="e">
        <f>INDEX(_ゴミ箱_Backup!$B$47:$D$98,MATCH("M_KDC",_ゴミ箱_Backup!$A$47:$A$98,0),MATCH(言語切替!$B$3,_ゴミ箱_Backup!$B$1:$D$1,0))</f>
        <v>#N/A</v>
      </c>
      <c r="E6" s="3" t="e">
        <f>INDEX(_ゴミ箱_Backup!$B$47:$D$98,MATCH("M_IN_PROGRESS",_ゴミ箱_Backup!$A$47:$A$98,0),MATCH(言語切替!$B$3,_ゴミ箱_Backup!$B$1:$D$1,0))</f>
        <v>#N/A</v>
      </c>
      <c r="G6" s="3" t="e">
        <f>INDEX(_ゴミ箱_Backup!$B$47:$D$98,MATCH("M_MIDDLE",_ゴミ箱_Backup!$A$47:$A$98,0),MATCH(言語切替!$B$3,_ゴミ箱_Backup!$B$1:$D$1,0))</f>
        <v>#N/A</v>
      </c>
      <c r="I6" s="3" t="e">
        <f>INDEX(_ゴミ箱_Backup!$B$47:$D$98,MATCH("M_TODO",_ゴミ箱_Backup!$A$47:$A$98,0),MATCH(言語切替!$B$3,_ゴミ箱_Backup!$B$1:$D$1,0))</f>
        <v>#N/A</v>
      </c>
      <c r="K6" s="3" t="e">
        <f>INDEX(_ゴミ箱_Backup!$B$47:$D$98,MATCH("M_ADOPTION",_ゴミ箱_Backup!$A$47:$A$98,0),MATCH(言語切替!$B$3,_ゴミ箱_Backup!$B$1:$D$1,0))</f>
        <v>#N/A</v>
      </c>
      <c r="M6" s="3" t="e">
        <f>INDEX(_ゴミ箱_Backup!$B$47:$D$98,MATCH("M_ON_TRACK",_ゴミ箱_Backup!$A$47:$A$98,0),MATCH(言語切替!$B$3,_ゴミ箱_Backup!$B$1:$D$1,0))</f>
        <v>#N/A</v>
      </c>
    </row>
    <row r="7" spans="1:14" x14ac:dyDescent="0.25">
      <c r="A7" s="3" t="e">
        <f>INDEX(_ゴミ箱_Backup!$B$47:$D$98,MATCH("M_WG2",_ゴミ箱_Backup!$A$47:$A$98,0),MATCH(言語切替!$B$3,_ゴミ箱_Backup!$B$1:$D$1,0))</f>
        <v>#N/A</v>
      </c>
      <c r="C7" s="3" t="e">
        <f>INDEX(_ゴミ箱_Backup!$B$47:$D$98,MATCH("M_KDTCN",_ゴミ箱_Backup!$A$47:$A$98,0),MATCH(言語切替!$B$3,_ゴミ箱_Backup!$B$1:$D$1,0))</f>
        <v>#N/A</v>
      </c>
      <c r="E7" s="3" t="e">
        <f>INDEX(_ゴミ箱_Backup!$B$47:$D$98,MATCH("M_WAIT_DECISION",_ゴミ箱_Backup!$A$47:$A$98,0),MATCH(言語切替!$B$3,_ゴミ箱_Backup!$B$1:$D$1,0))</f>
        <v>#N/A</v>
      </c>
      <c r="G7" s="3" t="e">
        <f>INDEX(_ゴミ箱_Backup!$B$47:$D$98,MATCH("M_LOW",_ゴミ箱_Backup!$A$47:$A$98,0),MATCH(言語切替!$B$3,_ゴミ箱_Backup!$B$1:$D$1,0))</f>
        <v>#N/A</v>
      </c>
      <c r="I7" s="3" t="e">
        <f>INDEX(_ゴミ箱_Backup!$B$47:$D$98,MATCH("M_DECISION",_ゴミ箱_Backup!$A$47:$A$98,0),MATCH(言語切替!$B$3,_ゴミ箱_Backup!$B$1:$D$1,0))</f>
        <v>#N/A</v>
      </c>
      <c r="K7" s="3" t="e">
        <f>INDEX(_ゴミ箱_Backup!$B$47:$D$98,MATCH("M_BUSINESS",_ゴミ箱_Backup!$A$47:$A$98,0),MATCH(言語切替!$B$3,_ゴミ箱_Backup!$B$1:$D$1,0))</f>
        <v>#N/A</v>
      </c>
      <c r="M7" s="3" t="e">
        <f>INDEX(_ゴミ箱_Backup!$B$47:$D$98,MATCH("M_CAUTION",_ゴミ箱_Backup!$A$47:$A$98,0),MATCH(言語切替!$B$3,_ゴミ箱_Backup!$B$1:$D$1,0))</f>
        <v>#N/A</v>
      </c>
    </row>
    <row r="8" spans="1:14" x14ac:dyDescent="0.25">
      <c r="A8" s="3" t="e">
        <f>INDEX(_ゴミ箱_Backup!$B$47:$D$98,MATCH("M_WG3",_ゴミ箱_Backup!$A$47:$A$98,0),MATCH(言語切替!$B$3,_ゴミ箱_Backup!$B$1:$D$1,0))</f>
        <v>#N/A</v>
      </c>
      <c r="C8" s="3" t="e">
        <f>INDEX(_ゴミ箱_Backup!$B$47:$D$98,MATCH("M_KDTVN",_ゴミ箱_Backup!$A$47:$A$98,0),MATCH(言語切替!$B$3,_ゴミ箱_Backup!$B$1:$D$1,0))</f>
        <v>#N/A</v>
      </c>
      <c r="E8" s="3" t="e">
        <f>INDEX(_ゴミ箱_Backup!$B$47:$D$98,MATCH("M_WAIT_WG",_ゴミ箱_Backup!$A$47:$A$98,0),MATCH(言語切替!$B$3,_ゴミ箱_Backup!$B$1:$D$1,0))</f>
        <v>#N/A</v>
      </c>
      <c r="I8" s="3" t="e">
        <f>INDEX(_ゴミ箱_Backup!$B$47:$D$98,MATCH("M_RISK",_ゴミ箱_Backup!$A$47:$A$98,0),MATCH(言語切替!$B$3,_ゴミ箱_Backup!$B$1:$D$1,0))</f>
        <v>#N/A</v>
      </c>
      <c r="K8" s="3" t="e">
        <f>INDEX(_ゴミ箱_Backup!$B$47:$D$98,MATCH("M_INVESTMENT",_ゴミ箱_Backup!$A$47:$A$98,0),MATCH(言語切替!$B$3,_ゴミ箱_Backup!$B$1:$D$1,0))</f>
        <v>#N/A</v>
      </c>
      <c r="M8" s="3" t="e">
        <f>INDEX(_ゴミ箱_Backup!$B$47:$D$98,MATCH("M_DELAY",_ゴミ箱_Backup!$A$47:$A$98,0),MATCH(言語切替!$B$3,_ゴミ箱_Backup!$B$1:$D$1,0))</f>
        <v>#N/A</v>
      </c>
    </row>
    <row r="9" spans="1:14" x14ac:dyDescent="0.25">
      <c r="A9" s="3" t="e">
        <f>INDEX(_ゴミ箱_Backup!$B$47:$D$98,MATCH("M_WG4",_ゴミ箱_Backup!$A$47:$A$98,0),MATCH(言語切替!$B$3,_ゴミ箱_Backup!$B$1:$D$1,0))</f>
        <v>#N/A</v>
      </c>
      <c r="E9" s="3" t="e">
        <f>INDEX(_ゴミ箱_Backup!$B$47:$D$98,MATCH("M_WAIT_COMPLETE",_ゴミ箱_Backup!$A$47:$A$98,0),MATCH(言語切替!$B$3,_ゴミ箱_Backup!$B$1:$D$1,0))</f>
        <v>#N/A</v>
      </c>
      <c r="M9" s="3" t="e">
        <f>INDEX(_ゴミ箱_Backup!$B$47:$D$98,MATCH("M_ACHIEVED",_ゴミ箱_Backup!$A$47:$A$98,0),MATCH(言語切替!$B$3,_ゴミ箱_Backup!$B$1:$D$1,0))</f>
        <v>#N/A</v>
      </c>
    </row>
    <row r="10" spans="1:14" x14ac:dyDescent="0.25">
      <c r="A10" s="3" t="e">
        <f>INDEX(_ゴミ箱_Backup!$B$47:$D$98,MATCH("M_WG5",_ゴミ箱_Backup!$A$47:$A$98,0),MATCH(言語切替!$B$3,_ゴミ箱_Backup!$B$1:$D$1,0))</f>
        <v>#N/A</v>
      </c>
      <c r="E10" s="3" t="e">
        <f>INDEX(_ゴミ箱_Backup!$B$47:$D$98,MATCH("M_COMPLETE",_ゴミ箱_Backup!$A$47:$A$98,0),MATCH(言語切替!$B$3,_ゴミ箱_Backup!$B$1:$D$1,0))</f>
        <v>#N/A</v>
      </c>
      <c r="M10" s="3" t="e">
        <f>INDEX(_ゴミ箱_Backup!$B$47:$D$98,MATCH("M_NOT_ACHIEVED",_ゴミ箱_Backup!$A$47:$A$98,0),MATCH(言語切替!$B$3,_ゴミ箱_Backup!$B$1:$D$1,0))</f>
        <v>#N/A</v>
      </c>
    </row>
    <row r="11" spans="1:14" x14ac:dyDescent="0.25">
      <c r="A11" s="3" t="e">
        <f>INDEX(_ゴミ箱_Backup!$B$47:$D$98,MATCH("M_WG6",_ゴミ箱_Backup!$A$47:$A$98,0),MATCH(言語切替!$B$3,_ゴミ箱_Backup!$B$1:$D$1,0))</f>
        <v>#N/A</v>
      </c>
      <c r="E11" s="3" t="e">
        <f>INDEX(_ゴミ箱_Backup!$B$47:$D$98,MATCH("M_HOLD",_ゴミ箱_Backup!$A$47:$A$98,0),MATCH(言語切替!$B$3,_ゴミ箱_Backup!$B$1:$D$1,0))</f>
        <v>#N/A</v>
      </c>
    </row>
    <row r="12" spans="1:14" x14ac:dyDescent="0.25">
      <c r="A12" s="3" t="e">
        <f>INDEX(_ゴミ箱_Backup!$B$47:$D$98,MATCH("M_WG7",_ゴミ箱_Backup!$A$47:$A$98,0),MATCH(言語切替!$B$3,_ゴミ箱_Backup!$B$1:$D$1,0))</f>
        <v>#N/A</v>
      </c>
      <c r="E12" s="3" t="e">
        <f>INDEX(_ゴミ箱_Backup!$B$47:$D$98,MATCH("M_WITHDRAWN",_ゴミ箱_Backup!$A$47:$A$98,0),MATCH(言語切替!$B$3,_ゴミ箱_Backup!$B$1:$D$1,0))</f>
        <v>#N/A</v>
      </c>
    </row>
    <row r="13" spans="1:14" x14ac:dyDescent="0.25">
      <c r="A13" s="3" t="e">
        <f>INDEX(_ゴミ箱_Backup!$B$47:$D$98,MATCH("M_WG8",_ゴミ箱_Backup!$A$47:$A$98,0),MATCH(言語切替!$B$3,_ゴミ箱_Backup!$B$1:$D$1,0))</f>
        <v>#N/A</v>
      </c>
    </row>
    <row r="14" spans="1:14" x14ac:dyDescent="0.25">
      <c r="A14" s="3" t="e">
        <f>INDEX(_ゴミ箱_Backup!$B$47:$D$98,MATCH("M_WG9",_ゴミ箱_Backup!$A$47:$A$98,0),MATCH(言語切替!$B$3,_ゴミ箱_Backup!$B$1:$D$1,0))</f>
        <v>#N/A</v>
      </c>
    </row>
    <row r="18" spans="1:8" x14ac:dyDescent="0.25">
      <c r="A18" s="2" t="e">
        <f>INDEX(_ゴミ箱_Backup!$B$47:$D$98,MATCH("M_PRIORITY_GUIDE",_ゴミ箱_Backup!$A$47:$A$98,0),MATCH(言語切替!$B$3,_ゴミ箱_Backup!$B$1:$D$1,0))</f>
        <v>#N/A</v>
      </c>
    </row>
    <row r="19" spans="1:8" x14ac:dyDescent="0.25">
      <c r="A19" s="68" t="e">
        <f>INDEX(_ゴミ箱_Backup!$B$47:$D$98,MATCH("M_HIGH_DESC",_ゴミ箱_Backup!$A$47:$A$98,0),MATCH(言語切替!$B$3,_ゴミ箱_Backup!$B$1:$D$1,0))</f>
        <v>#N/A</v>
      </c>
      <c r="B19" s="69"/>
      <c r="C19" s="69"/>
      <c r="D19" s="69"/>
      <c r="E19" s="69"/>
      <c r="F19" s="69"/>
      <c r="G19" s="69"/>
      <c r="H19" s="69"/>
    </row>
    <row r="20" spans="1:8" x14ac:dyDescent="0.25">
      <c r="A20" s="1" t="e">
        <f>INDEX(_ゴミ箱_Backup!$B$47:$D$98,MATCH("M_MIDDLE_DESC",_ゴミ箱_Backup!$A$47:$A$98,0),MATCH(言語切替!$B$3,_ゴミ箱_Backup!$B$1:$D$1,0))</f>
        <v>#N/A</v>
      </c>
    </row>
    <row r="21" spans="1:8" x14ac:dyDescent="0.25">
      <c r="A21" s="1" t="e">
        <f>INDEX(_ゴミ箱_Backup!$B$47:$D$98,MATCH("M_LOW_DESC",_ゴミ箱_Backup!$A$47:$A$98,0),MATCH(言語切替!$B$3,_ゴミ箱_Backup!$B$1:$D$1,0))</f>
        <v>#N/A</v>
      </c>
    </row>
  </sheetData>
  <mergeCells count="3">
    <mergeCell ref="A19:H19"/>
    <mergeCell ref="A2:N2"/>
    <mergeCell ref="A1:N1"/>
  </mergeCells>
  <phoneticPr fontId="1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04"/>
  <sheetViews>
    <sheetView showGridLines="0" zoomScale="85" workbookViewId="0">
      <pane ySplit="4" topLeftCell="A5" activePane="bottomLeft" state="frozen"/>
      <selection sqref="A1:XFD1048576"/>
      <selection pane="bottomLeft" activeCell="C12" sqref="C12"/>
    </sheetView>
  </sheetViews>
  <sheetFormatPr defaultColWidth="8.75" defaultRowHeight="15.75" x14ac:dyDescent="0.25"/>
  <cols>
    <col min="1" max="1" width="12" style="1" customWidth="1"/>
    <col min="2" max="2" width="20" style="1" customWidth="1"/>
    <col min="3" max="3" width="12" style="1" customWidth="1"/>
    <col min="4" max="4" width="18" style="1" customWidth="1"/>
    <col min="5" max="5" width="34" style="1" customWidth="1"/>
    <col min="6" max="6" width="18" style="1" customWidth="1"/>
    <col min="7" max="10" width="12" style="1" customWidth="1"/>
    <col min="11" max="11" width="10" style="1" customWidth="1"/>
    <col min="12" max="12" width="15" style="1" customWidth="1"/>
    <col min="13" max="14" width="10" style="1" customWidth="1"/>
    <col min="15" max="15" width="28" style="1" customWidth="1"/>
    <col min="16" max="16" width="24" style="1" customWidth="1"/>
    <col min="17" max="22" width="28.625" style="1" customWidth="1"/>
    <col min="23" max="16384" width="8.75" style="1"/>
  </cols>
  <sheetData>
    <row r="1" spans="1:22" ht="21" x14ac:dyDescent="0.25">
      <c r="A1" s="71" t="e">
        <f>INDEX(_ゴミ箱_Backup!$B$99:$D$116,MATCH("WBS_TITLE",_ゴミ箱_Backup!$A$99:$A$116,0),MATCH(言語切替!$B$3,_ゴミ箱_Backup!$B$1:$D$1,0))</f>
        <v>#N/A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22" x14ac:dyDescent="0.25">
      <c r="A2" s="72" t="e">
        <f>INDEX(_ゴミ箱_Backup!$B$99:$D$116,MATCH("WBS_DESC",_ゴミ箱_Backup!$A$99:$A$116,0),MATCH(言語切替!$B$3,_ゴミ箱_Backup!$B$1:$D$1,0))</f>
        <v>#N/A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22" x14ac:dyDescent="0.25">
      <c r="A3" s="1" t="e">
        <f>INDEX([1]_翻訳マスタ!$B$2:$D$300,MATCH("PARA_HOWTO",[1]_翻訳マスタ!$A$2:$A$300,0),MATCH(言語切替!$B$3,[1]_翻訳マスタ!$B$1:$D$1,0))</f>
        <v>#N/A</v>
      </c>
    </row>
    <row r="4" spans="1:22" x14ac:dyDescent="0.25">
      <c r="A4" s="6" t="e">
        <f>INDEX(_ゴミ箱_Backup!$B$99:$D$116,MATCH("WBS_ID",_ゴミ箱_Backup!$A$99:$A$116,0),MATCH(言語切替!$B$3,_ゴミ箱_Backup!$B$1:$D$1,0))</f>
        <v>#N/A</v>
      </c>
      <c r="B4" s="7" t="e">
        <f>INDEX(_ゴミ箱_Backup!$B$99:$D$116,MATCH("WBS_WG",_ゴミ箱_Backup!$A$99:$A$116,0),MATCH(言語切替!$B$3,_ゴミ箱_Backup!$B$1:$D$1,0))</f>
        <v>#N/A</v>
      </c>
      <c r="C4" s="7" t="e">
        <f>INDEX(_ゴミ箱_Backup!$B$99:$D$116,MATCH("WBS_SITE",_ゴミ箱_Backup!$A$99:$A$116,0),MATCH(言語切替!$B$3,_ゴミ箱_Backup!$B$1:$D$1,0))</f>
        <v>#N/A</v>
      </c>
      <c r="D4" s="7" t="e">
        <f>INDEX(_ゴミ箱_Backup!$B$99:$D$116,MATCH("WBS_CATEGORY",_ゴミ箱_Backup!$A$99:$A$116,0),MATCH(言語切替!$B$3,_ゴミ箱_Backup!$B$1:$D$1,0))</f>
        <v>#N/A</v>
      </c>
      <c r="E4" s="7" t="e">
        <f>INDEX(_ゴミ箱_Backup!$B$99:$D$116,MATCH("WBS_TASK",_ゴミ箱_Backup!$A$99:$A$116,0),MATCH(言語切替!$B$3,_ゴミ箱_Backup!$B$1:$D$1,0))</f>
        <v>#N/A</v>
      </c>
      <c r="F4" s="7" t="e">
        <f>INDEX(_ゴミ箱_Backup!$B$99:$D$116,MATCH("WBS_OWNER",_ゴミ箱_Backup!$A$99:$A$116,0),MATCH(言語切替!$B$3,_ゴミ箱_Backup!$B$1:$D$1,0))</f>
        <v>#N/A</v>
      </c>
      <c r="G4" s="7" t="e">
        <f>INDEX(_ゴミ箱_Backup!$B$99:$D$116,MATCH("WBS_PLAN_START",_ゴミ箱_Backup!$A$99:$A$116,0),MATCH(言語切替!$B$3,_ゴミ箱_Backup!$B$1:$D$1,0))</f>
        <v>#N/A</v>
      </c>
      <c r="H4" s="7" t="e">
        <f>INDEX(_ゴミ箱_Backup!$B$99:$D$116,MATCH("WBS_PLAN_END",_ゴミ箱_Backup!$A$99:$A$116,0),MATCH(言語切替!$B$3,_ゴミ箱_Backup!$B$1:$D$1,0))</f>
        <v>#N/A</v>
      </c>
      <c r="I4" s="7" t="e">
        <f>INDEX(_ゴミ箱_Backup!$B$99:$D$116,MATCH("WBS_ACTUAL_START",_ゴミ箱_Backup!$A$99:$A$116,0),MATCH(言語切替!$B$3,_ゴミ箱_Backup!$B$1:$D$1,0))</f>
        <v>#N/A</v>
      </c>
      <c r="J4" s="7" t="e">
        <f>INDEX(_ゴミ箱_Backup!$B$99:$D$116,MATCH("WBS_ACTUAL_END",_ゴミ箱_Backup!$A$99:$A$116,0),MATCH(言語切替!$B$3,_ゴミ箱_Backup!$B$1:$D$1,0))</f>
        <v>#N/A</v>
      </c>
      <c r="K4" s="7" t="e">
        <f>INDEX(_ゴミ箱_Backup!$B$99:$D$116,MATCH("WBS_PROGRESS",_ゴミ箱_Backup!$A$99:$A$116,0),MATCH(言語切替!$B$3,_ゴミ箱_Backup!$B$1:$D$1,0))</f>
        <v>#N/A</v>
      </c>
      <c r="L4" s="7" t="e">
        <f>INDEX(_ゴミ箱_Backup!$B$99:$D$116,MATCH("WBS_STATUS",_ゴミ箱_Backup!$A$99:$A$116,0),MATCH(言語切替!$B$3,_ゴミ箱_Backup!$B$1:$D$1,0))</f>
        <v>#N/A</v>
      </c>
      <c r="M4" s="7" t="e">
        <f>INDEX(_ゴミ箱_Backup!$B$99:$D$116,MATCH("WBS_DAYS",_ゴミ箱_Backup!$A$99:$A$116,0),MATCH(言語切替!$B$3,_ゴミ箱_Backup!$B$1:$D$1,0))</f>
        <v>#N/A</v>
      </c>
      <c r="N4" s="7" t="e">
        <f>INDEX(_ゴミ箱_Backup!$B$99:$D$116,MATCH("WBS_DELAY",_ゴミ箱_Backup!$A$99:$A$116,0),MATCH(言語切替!$B$3,_ゴミ箱_Backup!$B$1:$D$1,0))</f>
        <v>#N/A</v>
      </c>
      <c r="O4" s="7" t="e">
        <f>INDEX(_ゴミ箱_Backup!$B$99:$D$116,MATCH("WBS_LINK",_ゴミ箱_Backup!$A$99:$A$116,0),MATCH(言語切替!$B$3,_ゴミ箱_Backup!$B$1:$D$1,0))</f>
        <v>#N/A</v>
      </c>
      <c r="P4" s="8" t="e">
        <f>INDEX(_ゴミ箱_Backup!$B$99:$D$116,MATCH("WBS_NOTE",_ゴミ箱_Backup!$A$99:$A$116,0),MATCH(言語切替!$B$3,_ゴミ箱_Backup!$B$1:$D$1,0))</f>
        <v>#N/A</v>
      </c>
      <c r="Q4" s="60" t="e">
        <f>INDEX(_ゴミ箱_Backup!$B$2:$D$300,MATCH("WBS_TASK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R4" s="60" t="e">
        <f>INDEX(_ゴミ箱_Backup!$B$2:$D$300,MATCH("WBS_TASK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S4" s="60" t="e">
        <f>INDEX(_ゴミ箱_Backup!$B$2:$D$300,MATCH("WBS_TASK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  <c r="T4" s="60" t="e">
        <f>INDEX(_ゴミ箱_Backup!$B$2:$D$300,MATCH("WBS_NOTE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U4" s="60" t="e">
        <f>INDEX(_ゴミ箱_Backup!$B$2:$D$300,MATCH("WBS_NOTE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V4" s="60" t="e">
        <f>INDEX(_ゴミ箱_Backup!$B$2:$D$300,MATCH("WBS_NOTE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</row>
    <row r="5" spans="1:22" x14ac:dyDescent="0.25">
      <c r="A5" s="21" t="s">
        <v>104</v>
      </c>
      <c r="B5" s="22" t="e">
        <f>'02_マスタ'!$A$5</f>
        <v>#N/A</v>
      </c>
      <c r="C5" s="22" t="s">
        <v>65</v>
      </c>
      <c r="D5" s="22" t="e">
        <f>INDEX(_ゴミ箱_Backup!$B$117:$D$247,MATCH("WBS_CAT_STARTUP",_ゴミ箱_Backup!$A$117:$A$247,0),MATCH(言語切替!$B$3,_ゴミ箱_Backup!$B$1:$D$1,0))</f>
        <v>#N/A</v>
      </c>
      <c r="E5" s="22" t="e">
        <f>INDEX(_ゴミ箱_Backup!$B$117:$D$247,MATCH("WBS_TASK_1",_ゴミ箱_Backup!$A$117:$A$247,0),MATCH(言語切替!$B$3,_ゴミ箱_Backup!$B$1:$D$1,0))</f>
        <v>#N/A</v>
      </c>
      <c r="F5" s="22" t="e">
        <f>INDEX(_ゴミ箱_Backup!$B$117:$D$247,MATCH("ROLE_PMO",_ゴミ箱_Backup!$A$117:$A$247,0),MATCH(言語切替!$B$3,_ゴミ箱_Backup!$B$1:$D$1,0))</f>
        <v>#N/A</v>
      </c>
      <c r="G5" s="23">
        <v>46288</v>
      </c>
      <c r="H5" s="23">
        <v>46295</v>
      </c>
      <c r="I5" s="23"/>
      <c r="J5" s="23"/>
      <c r="K5" s="24">
        <f t="shared" ref="K5:K36" ca="1" si="0">IF(OR(G5="",H5=""),"",IF(J5&lt;&gt;"",1,IF(I5="",0,MAX(0,MIN(1,(TODAY()-G5)/(H5-G5+1))))))</f>
        <v>0</v>
      </c>
      <c r="L5" s="22" t="e">
        <f>'02_マスタ'!$E$6</f>
        <v>#N/A</v>
      </c>
      <c r="M5" s="10">
        <f t="shared" ref="M5:M36" ca="1" si="1">IF(H5="","",H5-TODAY())</f>
        <v>1</v>
      </c>
      <c r="N5" s="10" t="e">
        <f ca="1">IF(H5="","",IF(J5&lt;&gt;"",INDEX(_ゴミ箱_Backup!$B$75:$D$75,1,MATCH(言語切替!$B$3,_ゴミ箱_Backup!$B$1:$D$1,0)),IF(TODAY()&gt;H5,INDEX(_ゴミ箱_Backup!$B$92:$D$92,1,MATCH(言語切替!$B$3,_ゴミ箱_Backup!$B$1:$D$1,0)),IF(H5-TODAY()&lt;=7,INDEX(_ゴミ箱_Backup!$B$91:$D$91,1,MATCH(言語切替!$B$3,_ゴミ箱_Backup!$B$1:$D$1,0)),INDEX(_ゴミ箱_Backup!$B$90:$D$90,1,MATCH(言語切替!$B$3,_ゴミ箱_Backup!$B$1:$D$1,0))))))</f>
        <v>#N/A</v>
      </c>
      <c r="O5" s="22"/>
      <c r="P5" s="25" t="e">
        <f>INDEX(_ゴミ箱_Backup!$B$117:$D$247,MATCH("COMMON_EXAMPLE",_ゴミ箱_Backup!$A$117:$A$247,0),MATCH(言語切替!$B$3,_ゴミ箱_Backup!$B$1:$D$1,0))</f>
        <v>#N/A</v>
      </c>
      <c r="Q5" s="61" t="e">
        <f t="shared" ref="Q5:Q36" si="2">IF(E5="","",IFERROR(_xlfn.TRANSLATE(E5,,"ja"),""))</f>
        <v>#N/A</v>
      </c>
      <c r="R5" s="61" t="e">
        <f t="shared" ref="R5:R36" si="3">IF(E5="","",IFERROR(_xlfn.TRANSLATE(E5,,"zh-Hans"),""))</f>
        <v>#N/A</v>
      </c>
      <c r="S5" s="61" t="e">
        <f t="shared" ref="S5:S36" si="4">IF(E5="","",IFERROR(_xlfn.TRANSLATE(E5,,"vi"),""))</f>
        <v>#N/A</v>
      </c>
      <c r="T5" s="61" t="e">
        <f t="shared" ref="T5:T36" si="5">IF(P5="","",IFERROR(_xlfn.TRANSLATE(P5,,"ja"),""))</f>
        <v>#N/A</v>
      </c>
      <c r="U5" s="61" t="e">
        <f t="shared" ref="U5:U36" si="6">IF(P5="","",IFERROR(_xlfn.TRANSLATE(P5,,"zh-Hans"),""))</f>
        <v>#N/A</v>
      </c>
      <c r="V5" s="61" t="e">
        <f t="shared" ref="V5:V36" si="7">IF(P5="","",IFERROR(_xlfn.TRANSLATE(P5,,"vi"),""))</f>
        <v>#N/A</v>
      </c>
    </row>
    <row r="6" spans="1:22" x14ac:dyDescent="0.25">
      <c r="A6" s="26" t="s">
        <v>109</v>
      </c>
      <c r="B6" s="27" t="s">
        <v>328</v>
      </c>
      <c r="C6" s="27" t="s">
        <v>77</v>
      </c>
      <c r="D6" s="27" t="e">
        <f>INDEX(_ゴミ箱_Backup!$B$117:$D$247,MATCH("WBS_CAT_ANALYSIS",_ゴミ箱_Backup!$A$117:$A$247,0),MATCH(言語切替!$B$3,_ゴミ箱_Backup!$B$1:$D$1,0))</f>
        <v>#N/A</v>
      </c>
      <c r="E6" s="27" t="e">
        <f>INDEX(_ゴミ箱_Backup!$B$117:$D$247,MATCH("WBS_TASK_2",_ゴミ箱_Backup!$A$117:$A$247,0),MATCH(言語切替!$B$3,_ゴミ箱_Backup!$B$1:$D$1,0))</f>
        <v>#N/A</v>
      </c>
      <c r="F6" s="27" t="s">
        <v>112</v>
      </c>
      <c r="G6" s="28">
        <v>46294</v>
      </c>
      <c r="H6" s="28">
        <v>46311</v>
      </c>
      <c r="I6" s="28"/>
      <c r="J6" s="28"/>
      <c r="K6" s="29">
        <f t="shared" ca="1" si="0"/>
        <v>0</v>
      </c>
      <c r="L6" s="27" t="e">
        <f>'02_マスタ'!$E$5</f>
        <v>#N/A</v>
      </c>
      <c r="M6" s="13">
        <f t="shared" ca="1" si="1"/>
        <v>17</v>
      </c>
      <c r="N6" s="13" t="e">
        <f ca="1">IF(H6="","",IF(J6&lt;&gt;"",INDEX(_ゴミ箱_Backup!$B$75:$D$75,1,MATCH(言語切替!$B$3,_ゴミ箱_Backup!$B$1:$D$1,0)),IF(TODAY()&gt;H6,INDEX(_ゴミ箱_Backup!$B$92:$D$92,1,MATCH(言語切替!$B$3,_ゴミ箱_Backup!$B$1:$D$1,0)),IF(H6-TODAY()&lt;=7,INDEX(_ゴミ箱_Backup!$B$91:$D$91,1,MATCH(言語切替!$B$3,_ゴミ箱_Backup!$B$1:$D$1,0)),INDEX(_ゴミ箱_Backup!$B$90:$D$90,1,MATCH(言語切替!$B$3,_ゴミ箱_Backup!$B$1:$D$1,0))))))</f>
        <v>#N/A</v>
      </c>
      <c r="O6" s="27"/>
      <c r="P6" s="30" t="e">
        <f>INDEX(_ゴミ箱_Backup!$B$117:$D$247,MATCH("COMMON_EXAMPLE",_ゴミ箱_Backup!$A$117:$A$247,0),MATCH(言語切替!$B$3,_ゴミ箱_Backup!$B$1:$D$1,0))</f>
        <v>#N/A</v>
      </c>
      <c r="Q6" s="61" t="e">
        <f t="shared" si="2"/>
        <v>#N/A</v>
      </c>
      <c r="R6" s="61" t="e">
        <f t="shared" si="3"/>
        <v>#N/A</v>
      </c>
      <c r="S6" s="61" t="e">
        <f t="shared" si="4"/>
        <v>#N/A</v>
      </c>
      <c r="T6" s="61" t="e">
        <f t="shared" si="5"/>
        <v>#N/A</v>
      </c>
      <c r="U6" s="61" t="e">
        <f t="shared" si="6"/>
        <v>#N/A</v>
      </c>
      <c r="V6" s="61" t="e">
        <f t="shared" si="7"/>
        <v>#N/A</v>
      </c>
    </row>
    <row r="7" spans="1:22" x14ac:dyDescent="0.25">
      <c r="A7" s="31" t="s">
        <v>113</v>
      </c>
      <c r="B7" s="32" t="s">
        <v>140</v>
      </c>
      <c r="C7" s="32" t="e">
        <f>'02_マスタ'!$C$5</f>
        <v>#N/A</v>
      </c>
      <c r="D7" s="32" t="e">
        <f>INDEX(_ゴミ箱_Backup!$B$117:$D$247,MATCH("WBS_CAT_POLICY",_ゴミ箱_Backup!$A$117:$A$247,0),MATCH(言語切替!$B$3,_ゴミ箱_Backup!$B$1:$D$1,0))</f>
        <v>#N/A</v>
      </c>
      <c r="E7" s="32" t="e">
        <f>INDEX(_ゴミ箱_Backup!$B$117:$D$247,MATCH("WBS_TASK_3",_ゴミ箱_Backup!$A$117:$A$247,0),MATCH(言語切替!$B$3,_ゴミ箱_Backup!$B$1:$D$1,0))</f>
        <v>#N/A</v>
      </c>
      <c r="F7" s="32" t="s">
        <v>112</v>
      </c>
      <c r="G7" s="33">
        <v>46296</v>
      </c>
      <c r="H7" s="33">
        <v>46325</v>
      </c>
      <c r="I7" s="33"/>
      <c r="J7" s="33"/>
      <c r="K7" s="34">
        <f t="shared" ca="1" si="0"/>
        <v>0</v>
      </c>
      <c r="L7" s="32" t="e">
        <f>'02_マスタ'!$E$5</f>
        <v>#N/A</v>
      </c>
      <c r="M7" s="16">
        <f t="shared" ca="1" si="1"/>
        <v>31</v>
      </c>
      <c r="N7" s="16" t="e">
        <f ca="1">IF(H7="","",IF(J7&lt;&gt;"",INDEX(_ゴミ箱_Backup!$B$75:$D$75,1,MATCH(言語切替!$B$3,_ゴミ箱_Backup!$B$1:$D$1,0)),IF(TODAY()&gt;H7,INDEX(_ゴミ箱_Backup!$B$92:$D$92,1,MATCH(言語切替!$B$3,_ゴミ箱_Backup!$B$1:$D$1,0)),IF(H7-TODAY()&lt;=7,INDEX(_ゴミ箱_Backup!$B$91:$D$91,1,MATCH(言語切替!$B$3,_ゴミ箱_Backup!$B$1:$D$1,0)),INDEX(_ゴミ箱_Backup!$B$90:$D$90,1,MATCH(言語切替!$B$3,_ゴミ箱_Backup!$B$1:$D$1,0))))))</f>
        <v>#N/A</v>
      </c>
      <c r="O7" s="32"/>
      <c r="P7" s="35" t="e">
        <f>INDEX(_ゴミ箱_Backup!$B$117:$D$247,MATCH("COMMON_EXAMPLE",_ゴミ箱_Backup!$A$117:$A$247,0),MATCH(言語切替!$B$3,_ゴミ箱_Backup!$B$1:$D$1,0))</f>
        <v>#N/A</v>
      </c>
      <c r="Q7" s="61" t="e">
        <f t="shared" si="2"/>
        <v>#N/A</v>
      </c>
      <c r="R7" s="61" t="e">
        <f t="shared" si="3"/>
        <v>#N/A</v>
      </c>
      <c r="S7" s="61" t="e">
        <f t="shared" si="4"/>
        <v>#N/A</v>
      </c>
      <c r="T7" s="61" t="e">
        <f t="shared" si="5"/>
        <v>#N/A</v>
      </c>
      <c r="U7" s="61" t="e">
        <f t="shared" si="6"/>
        <v>#N/A</v>
      </c>
      <c r="V7" s="61" t="e">
        <f t="shared" si="7"/>
        <v>#N/A</v>
      </c>
    </row>
    <row r="8" spans="1:22" x14ac:dyDescent="0.25">
      <c r="A8" s="36"/>
      <c r="B8" s="37"/>
      <c r="C8" s="37"/>
      <c r="D8" s="37"/>
      <c r="E8" s="37"/>
      <c r="F8" s="37"/>
      <c r="G8" s="38"/>
      <c r="H8" s="38"/>
      <c r="I8" s="38"/>
      <c r="J8" s="38"/>
      <c r="K8" s="29" t="str">
        <f t="shared" ca="1" si="0"/>
        <v/>
      </c>
      <c r="L8" s="37"/>
      <c r="M8" s="13" t="str">
        <f t="shared" ca="1" si="1"/>
        <v/>
      </c>
      <c r="N8" s="13" t="str">
        <f ca="1">IF(H8="","",IF(J8&lt;&gt;"",INDEX(_ゴミ箱_Backup!$B$75:$D$75,1,MATCH(言語切替!$B$3,_ゴミ箱_Backup!$B$1:$D$1,0)),IF(TODAY()&gt;H8,INDEX(_ゴミ箱_Backup!$B$92:$D$92,1,MATCH(言語切替!$B$3,_ゴミ箱_Backup!$B$1:$D$1,0)),IF(H8-TODAY()&lt;=7,INDEX(_ゴミ箱_Backup!$B$91:$D$91,1,MATCH(言語切替!$B$3,_ゴミ箱_Backup!$B$1:$D$1,0)),INDEX(_ゴミ箱_Backup!$B$90:$D$90,1,MATCH(言語切替!$B$3,_ゴミ箱_Backup!$B$1:$D$1,0))))))</f>
        <v/>
      </c>
      <c r="O8" s="37"/>
      <c r="P8" s="39"/>
      <c r="Q8" s="61" t="str">
        <f t="shared" si="2"/>
        <v/>
      </c>
      <c r="R8" s="61" t="str">
        <f t="shared" si="3"/>
        <v/>
      </c>
      <c r="S8" s="61" t="str">
        <f t="shared" si="4"/>
        <v/>
      </c>
      <c r="T8" s="61" t="str">
        <f t="shared" si="5"/>
        <v/>
      </c>
      <c r="U8" s="61" t="str">
        <f t="shared" si="6"/>
        <v/>
      </c>
      <c r="V8" s="61" t="str">
        <f t="shared" si="7"/>
        <v/>
      </c>
    </row>
    <row r="9" spans="1:22" x14ac:dyDescent="0.25">
      <c r="A9" s="40"/>
      <c r="B9" s="41"/>
      <c r="C9" s="41"/>
      <c r="D9" s="41"/>
      <c r="E9" s="41"/>
      <c r="F9" s="41"/>
      <c r="G9" s="42"/>
      <c r="H9" s="42"/>
      <c r="I9" s="42"/>
      <c r="J9" s="42"/>
      <c r="K9" s="34" t="str">
        <f t="shared" ca="1" si="0"/>
        <v/>
      </c>
      <c r="L9" s="41"/>
      <c r="M9" s="16" t="str">
        <f t="shared" ca="1" si="1"/>
        <v/>
      </c>
      <c r="N9" s="16" t="str">
        <f ca="1">IF(H9="","",IF(J9&lt;&gt;"",INDEX(_ゴミ箱_Backup!$B$75:$D$75,1,MATCH(言語切替!$B$3,_ゴミ箱_Backup!$B$1:$D$1,0)),IF(TODAY()&gt;H9,INDEX(_ゴミ箱_Backup!$B$92:$D$92,1,MATCH(言語切替!$B$3,_ゴミ箱_Backup!$B$1:$D$1,0)),IF(H9-TODAY()&lt;=7,INDEX(_ゴミ箱_Backup!$B$91:$D$91,1,MATCH(言語切替!$B$3,_ゴミ箱_Backup!$B$1:$D$1,0)),INDEX(_ゴミ箱_Backup!$B$90:$D$90,1,MATCH(言語切替!$B$3,_ゴミ箱_Backup!$B$1:$D$1,0))))))</f>
        <v/>
      </c>
      <c r="O9" s="41"/>
      <c r="P9" s="43"/>
      <c r="Q9" s="61" t="str">
        <f t="shared" si="2"/>
        <v/>
      </c>
      <c r="R9" s="61" t="str">
        <f t="shared" si="3"/>
        <v/>
      </c>
      <c r="S9" s="61" t="str">
        <f t="shared" si="4"/>
        <v/>
      </c>
      <c r="T9" s="61" t="str">
        <f t="shared" si="5"/>
        <v/>
      </c>
      <c r="U9" s="61" t="str">
        <f t="shared" si="6"/>
        <v/>
      </c>
      <c r="V9" s="61" t="str">
        <f t="shared" si="7"/>
        <v/>
      </c>
    </row>
    <row r="10" spans="1:22" x14ac:dyDescent="0.25">
      <c r="A10" s="36"/>
      <c r="B10" s="37"/>
      <c r="C10" s="37"/>
      <c r="D10" s="37"/>
      <c r="E10" s="37"/>
      <c r="F10" s="37"/>
      <c r="G10" s="38"/>
      <c r="H10" s="38"/>
      <c r="I10" s="38"/>
      <c r="J10" s="38"/>
      <c r="K10" s="29" t="str">
        <f t="shared" ca="1" si="0"/>
        <v/>
      </c>
      <c r="L10" s="37"/>
      <c r="M10" s="13" t="str">
        <f t="shared" ca="1" si="1"/>
        <v/>
      </c>
      <c r="N10" s="13" t="str">
        <f ca="1">IF(H10="","",IF(J10&lt;&gt;"",INDEX(_ゴミ箱_Backup!$B$75:$D$75,1,MATCH(言語切替!$B$3,_ゴミ箱_Backup!$B$1:$D$1,0)),IF(TODAY()&gt;H10,INDEX(_ゴミ箱_Backup!$B$92:$D$92,1,MATCH(言語切替!$B$3,_ゴミ箱_Backup!$B$1:$D$1,0)),IF(H10-TODAY()&lt;=7,INDEX(_ゴミ箱_Backup!$B$91:$D$91,1,MATCH(言語切替!$B$3,_ゴミ箱_Backup!$B$1:$D$1,0)),INDEX(_ゴミ箱_Backup!$B$90:$D$90,1,MATCH(言語切替!$B$3,_ゴミ箱_Backup!$B$1:$D$1,0))))))</f>
        <v/>
      </c>
      <c r="O10" s="37"/>
      <c r="P10" s="39"/>
      <c r="Q10" s="61" t="str">
        <f t="shared" si="2"/>
        <v/>
      </c>
      <c r="R10" s="61" t="str">
        <f t="shared" si="3"/>
        <v/>
      </c>
      <c r="S10" s="61" t="str">
        <f t="shared" si="4"/>
        <v/>
      </c>
      <c r="T10" s="61" t="str">
        <f t="shared" si="5"/>
        <v/>
      </c>
      <c r="U10" s="61" t="str">
        <f t="shared" si="6"/>
        <v/>
      </c>
      <c r="V10" s="61" t="str">
        <f t="shared" si="7"/>
        <v/>
      </c>
    </row>
    <row r="11" spans="1:22" x14ac:dyDescent="0.25">
      <c r="A11" s="40"/>
      <c r="B11" s="41"/>
      <c r="C11" s="41"/>
      <c r="D11" s="41"/>
      <c r="E11" s="41"/>
      <c r="F11" s="41"/>
      <c r="G11" s="42"/>
      <c r="H11" s="42"/>
      <c r="I11" s="42"/>
      <c r="J11" s="42"/>
      <c r="K11" s="34" t="str">
        <f t="shared" ca="1" si="0"/>
        <v/>
      </c>
      <c r="L11" s="41"/>
      <c r="M11" s="16" t="str">
        <f t="shared" ca="1" si="1"/>
        <v/>
      </c>
      <c r="N11" s="16" t="str">
        <f ca="1">IF(H11="","",IF(J11&lt;&gt;"",INDEX(_ゴミ箱_Backup!$B$75:$D$75,1,MATCH(言語切替!$B$3,_ゴミ箱_Backup!$B$1:$D$1,0)),IF(TODAY()&gt;H11,INDEX(_ゴミ箱_Backup!$B$92:$D$92,1,MATCH(言語切替!$B$3,_ゴミ箱_Backup!$B$1:$D$1,0)),IF(H11-TODAY()&lt;=7,INDEX(_ゴミ箱_Backup!$B$91:$D$91,1,MATCH(言語切替!$B$3,_ゴミ箱_Backup!$B$1:$D$1,0)),INDEX(_ゴミ箱_Backup!$B$90:$D$90,1,MATCH(言語切替!$B$3,_ゴミ箱_Backup!$B$1:$D$1,0))))))</f>
        <v/>
      </c>
      <c r="O11" s="41"/>
      <c r="P11" s="43"/>
      <c r="Q11" s="61" t="str">
        <f t="shared" si="2"/>
        <v/>
      </c>
      <c r="R11" s="61" t="str">
        <f t="shared" si="3"/>
        <v/>
      </c>
      <c r="S11" s="61" t="str">
        <f t="shared" si="4"/>
        <v/>
      </c>
      <c r="T11" s="61" t="str">
        <f t="shared" si="5"/>
        <v/>
      </c>
      <c r="U11" s="61" t="str">
        <f t="shared" si="6"/>
        <v/>
      </c>
      <c r="V11" s="61" t="str">
        <f t="shared" si="7"/>
        <v/>
      </c>
    </row>
    <row r="12" spans="1:22" x14ac:dyDescent="0.25">
      <c r="A12" s="36"/>
      <c r="B12" s="37"/>
      <c r="C12" s="37"/>
      <c r="D12" s="37"/>
      <c r="E12" s="37"/>
      <c r="F12" s="37"/>
      <c r="G12" s="38"/>
      <c r="H12" s="38"/>
      <c r="I12" s="38"/>
      <c r="J12" s="38"/>
      <c r="K12" s="29" t="str">
        <f t="shared" ca="1" si="0"/>
        <v/>
      </c>
      <c r="L12" s="37"/>
      <c r="M12" s="13" t="str">
        <f t="shared" ca="1" si="1"/>
        <v/>
      </c>
      <c r="N12" s="13" t="str">
        <f ca="1">IF(H12="","",IF(J12&lt;&gt;"",INDEX(_ゴミ箱_Backup!$B$75:$D$75,1,MATCH(言語切替!$B$3,_ゴミ箱_Backup!$B$1:$D$1,0)),IF(TODAY()&gt;H12,INDEX(_ゴミ箱_Backup!$B$92:$D$92,1,MATCH(言語切替!$B$3,_ゴミ箱_Backup!$B$1:$D$1,0)),IF(H12-TODAY()&lt;=7,INDEX(_ゴミ箱_Backup!$B$91:$D$91,1,MATCH(言語切替!$B$3,_ゴミ箱_Backup!$B$1:$D$1,0)),INDEX(_ゴミ箱_Backup!$B$90:$D$90,1,MATCH(言語切替!$B$3,_ゴミ箱_Backup!$B$1:$D$1,0))))))</f>
        <v/>
      </c>
      <c r="O12" s="37"/>
      <c r="P12" s="39"/>
      <c r="Q12" s="61" t="str">
        <f t="shared" si="2"/>
        <v/>
      </c>
      <c r="R12" s="61" t="str">
        <f t="shared" si="3"/>
        <v/>
      </c>
      <c r="S12" s="61" t="str">
        <f t="shared" si="4"/>
        <v/>
      </c>
      <c r="T12" s="61" t="str">
        <f t="shared" si="5"/>
        <v/>
      </c>
      <c r="U12" s="61" t="str">
        <f t="shared" si="6"/>
        <v/>
      </c>
      <c r="V12" s="61" t="str">
        <f t="shared" si="7"/>
        <v/>
      </c>
    </row>
    <row r="13" spans="1:22" x14ac:dyDescent="0.25">
      <c r="A13" s="40"/>
      <c r="B13" s="41"/>
      <c r="C13" s="41"/>
      <c r="D13" s="41"/>
      <c r="E13" s="41"/>
      <c r="F13" s="41"/>
      <c r="G13" s="42"/>
      <c r="H13" s="42"/>
      <c r="I13" s="42"/>
      <c r="J13" s="42"/>
      <c r="K13" s="34" t="str">
        <f t="shared" ca="1" si="0"/>
        <v/>
      </c>
      <c r="L13" s="41"/>
      <c r="M13" s="16" t="str">
        <f t="shared" ca="1" si="1"/>
        <v/>
      </c>
      <c r="N13" s="16" t="str">
        <f ca="1">IF(H13="","",IF(J13&lt;&gt;"",INDEX(_ゴミ箱_Backup!$B$75:$D$75,1,MATCH(言語切替!$B$3,_ゴミ箱_Backup!$B$1:$D$1,0)),IF(TODAY()&gt;H13,INDEX(_ゴミ箱_Backup!$B$92:$D$92,1,MATCH(言語切替!$B$3,_ゴミ箱_Backup!$B$1:$D$1,0)),IF(H13-TODAY()&lt;=7,INDEX(_ゴミ箱_Backup!$B$91:$D$91,1,MATCH(言語切替!$B$3,_ゴミ箱_Backup!$B$1:$D$1,0)),INDEX(_ゴミ箱_Backup!$B$90:$D$90,1,MATCH(言語切替!$B$3,_ゴミ箱_Backup!$B$1:$D$1,0))))))</f>
        <v/>
      </c>
      <c r="O13" s="41"/>
      <c r="P13" s="43"/>
      <c r="Q13" s="61" t="str">
        <f t="shared" si="2"/>
        <v/>
      </c>
      <c r="R13" s="61" t="str">
        <f t="shared" si="3"/>
        <v/>
      </c>
      <c r="S13" s="61" t="str">
        <f t="shared" si="4"/>
        <v/>
      </c>
      <c r="T13" s="61" t="str">
        <f t="shared" si="5"/>
        <v/>
      </c>
      <c r="U13" s="61" t="str">
        <f t="shared" si="6"/>
        <v/>
      </c>
      <c r="V13" s="61" t="str">
        <f t="shared" si="7"/>
        <v/>
      </c>
    </row>
    <row r="14" spans="1:22" x14ac:dyDescent="0.25">
      <c r="A14" s="36"/>
      <c r="B14" s="37"/>
      <c r="C14" s="37"/>
      <c r="D14" s="37"/>
      <c r="E14" s="37"/>
      <c r="F14" s="37"/>
      <c r="G14" s="38"/>
      <c r="H14" s="38"/>
      <c r="I14" s="38"/>
      <c r="J14" s="38"/>
      <c r="K14" s="29" t="str">
        <f t="shared" ca="1" si="0"/>
        <v/>
      </c>
      <c r="L14" s="37"/>
      <c r="M14" s="13" t="str">
        <f t="shared" ca="1" si="1"/>
        <v/>
      </c>
      <c r="N14" s="13" t="str">
        <f ca="1">IF(H14="","",IF(J14&lt;&gt;"",INDEX(_ゴミ箱_Backup!$B$75:$D$75,1,MATCH(言語切替!$B$3,_ゴミ箱_Backup!$B$1:$D$1,0)),IF(TODAY()&gt;H14,INDEX(_ゴミ箱_Backup!$B$92:$D$92,1,MATCH(言語切替!$B$3,_ゴミ箱_Backup!$B$1:$D$1,0)),IF(H14-TODAY()&lt;=7,INDEX(_ゴミ箱_Backup!$B$91:$D$91,1,MATCH(言語切替!$B$3,_ゴミ箱_Backup!$B$1:$D$1,0)),INDEX(_ゴミ箱_Backup!$B$90:$D$90,1,MATCH(言語切替!$B$3,_ゴミ箱_Backup!$B$1:$D$1,0))))))</f>
        <v/>
      </c>
      <c r="O14" s="37"/>
      <c r="P14" s="39"/>
      <c r="Q14" s="61" t="str">
        <f t="shared" si="2"/>
        <v/>
      </c>
      <c r="R14" s="61" t="str">
        <f t="shared" si="3"/>
        <v/>
      </c>
      <c r="S14" s="61" t="str">
        <f t="shared" si="4"/>
        <v/>
      </c>
      <c r="T14" s="61" t="str">
        <f t="shared" si="5"/>
        <v/>
      </c>
      <c r="U14" s="61" t="str">
        <f t="shared" si="6"/>
        <v/>
      </c>
      <c r="V14" s="61" t="str">
        <f t="shared" si="7"/>
        <v/>
      </c>
    </row>
    <row r="15" spans="1:22" x14ac:dyDescent="0.25">
      <c r="A15" s="40"/>
      <c r="B15" s="41"/>
      <c r="C15" s="41"/>
      <c r="D15" s="41"/>
      <c r="E15" s="41"/>
      <c r="F15" s="41"/>
      <c r="G15" s="42"/>
      <c r="H15" s="42"/>
      <c r="I15" s="42"/>
      <c r="J15" s="42"/>
      <c r="K15" s="34" t="str">
        <f t="shared" ca="1" si="0"/>
        <v/>
      </c>
      <c r="L15" s="41"/>
      <c r="M15" s="16" t="str">
        <f t="shared" ca="1" si="1"/>
        <v/>
      </c>
      <c r="N15" s="16" t="str">
        <f ca="1">IF(H15="","",IF(J15&lt;&gt;"",INDEX(_ゴミ箱_Backup!$B$75:$D$75,1,MATCH(言語切替!$B$3,_ゴミ箱_Backup!$B$1:$D$1,0)),IF(TODAY()&gt;H15,INDEX(_ゴミ箱_Backup!$B$92:$D$92,1,MATCH(言語切替!$B$3,_ゴミ箱_Backup!$B$1:$D$1,0)),IF(H15-TODAY()&lt;=7,INDEX(_ゴミ箱_Backup!$B$91:$D$91,1,MATCH(言語切替!$B$3,_ゴミ箱_Backup!$B$1:$D$1,0)),INDEX(_ゴミ箱_Backup!$B$90:$D$90,1,MATCH(言語切替!$B$3,_ゴミ箱_Backup!$B$1:$D$1,0))))))</f>
        <v/>
      </c>
      <c r="O15" s="41"/>
      <c r="P15" s="43"/>
      <c r="Q15" s="61" t="str">
        <f t="shared" si="2"/>
        <v/>
      </c>
      <c r="R15" s="61" t="str">
        <f t="shared" si="3"/>
        <v/>
      </c>
      <c r="S15" s="61" t="str">
        <f t="shared" si="4"/>
        <v/>
      </c>
      <c r="T15" s="61" t="str">
        <f t="shared" si="5"/>
        <v/>
      </c>
      <c r="U15" s="61" t="str">
        <f t="shared" si="6"/>
        <v/>
      </c>
      <c r="V15" s="61" t="str">
        <f t="shared" si="7"/>
        <v/>
      </c>
    </row>
    <row r="16" spans="1:22" x14ac:dyDescent="0.25">
      <c r="A16" s="36"/>
      <c r="B16" s="37"/>
      <c r="C16" s="37"/>
      <c r="D16" s="37"/>
      <c r="E16" s="37"/>
      <c r="F16" s="37"/>
      <c r="G16" s="38"/>
      <c r="H16" s="38"/>
      <c r="I16" s="38"/>
      <c r="J16" s="38"/>
      <c r="K16" s="29" t="str">
        <f t="shared" ca="1" si="0"/>
        <v/>
      </c>
      <c r="L16" s="37"/>
      <c r="M16" s="13" t="str">
        <f t="shared" ca="1" si="1"/>
        <v/>
      </c>
      <c r="N16" s="13" t="str">
        <f ca="1">IF(H16="","",IF(J16&lt;&gt;"",INDEX(_ゴミ箱_Backup!$B$75:$D$75,1,MATCH(言語切替!$B$3,_ゴミ箱_Backup!$B$1:$D$1,0)),IF(TODAY()&gt;H16,INDEX(_ゴミ箱_Backup!$B$92:$D$92,1,MATCH(言語切替!$B$3,_ゴミ箱_Backup!$B$1:$D$1,0)),IF(H16-TODAY()&lt;=7,INDEX(_ゴミ箱_Backup!$B$91:$D$91,1,MATCH(言語切替!$B$3,_ゴミ箱_Backup!$B$1:$D$1,0)),INDEX(_ゴミ箱_Backup!$B$90:$D$90,1,MATCH(言語切替!$B$3,_ゴミ箱_Backup!$B$1:$D$1,0))))))</f>
        <v/>
      </c>
      <c r="O16" s="37"/>
      <c r="P16" s="39"/>
      <c r="Q16" s="61" t="str">
        <f t="shared" si="2"/>
        <v/>
      </c>
      <c r="R16" s="61" t="str">
        <f t="shared" si="3"/>
        <v/>
      </c>
      <c r="S16" s="61" t="str">
        <f t="shared" si="4"/>
        <v/>
      </c>
      <c r="T16" s="61" t="str">
        <f t="shared" si="5"/>
        <v/>
      </c>
      <c r="U16" s="61" t="str">
        <f t="shared" si="6"/>
        <v/>
      </c>
      <c r="V16" s="61" t="str">
        <f t="shared" si="7"/>
        <v/>
      </c>
    </row>
    <row r="17" spans="1:22" x14ac:dyDescent="0.25">
      <c r="A17" s="40"/>
      <c r="B17" s="41"/>
      <c r="C17" s="41"/>
      <c r="D17" s="41"/>
      <c r="E17" s="41"/>
      <c r="F17" s="41"/>
      <c r="G17" s="42"/>
      <c r="H17" s="42"/>
      <c r="I17" s="42"/>
      <c r="J17" s="42"/>
      <c r="K17" s="34" t="str">
        <f t="shared" ca="1" si="0"/>
        <v/>
      </c>
      <c r="L17" s="41"/>
      <c r="M17" s="16" t="str">
        <f t="shared" ca="1" si="1"/>
        <v/>
      </c>
      <c r="N17" s="16" t="str">
        <f ca="1">IF(H17="","",IF(J17&lt;&gt;"",INDEX(_ゴミ箱_Backup!$B$75:$D$75,1,MATCH(言語切替!$B$3,_ゴミ箱_Backup!$B$1:$D$1,0)),IF(TODAY()&gt;H17,INDEX(_ゴミ箱_Backup!$B$92:$D$92,1,MATCH(言語切替!$B$3,_ゴミ箱_Backup!$B$1:$D$1,0)),IF(H17-TODAY()&lt;=7,INDEX(_ゴミ箱_Backup!$B$91:$D$91,1,MATCH(言語切替!$B$3,_ゴミ箱_Backup!$B$1:$D$1,0)),INDEX(_ゴミ箱_Backup!$B$90:$D$90,1,MATCH(言語切替!$B$3,_ゴミ箱_Backup!$B$1:$D$1,0))))))</f>
        <v/>
      </c>
      <c r="O17" s="41"/>
      <c r="P17" s="43"/>
      <c r="Q17" s="61" t="str">
        <f t="shared" si="2"/>
        <v/>
      </c>
      <c r="R17" s="61" t="str">
        <f t="shared" si="3"/>
        <v/>
      </c>
      <c r="S17" s="61" t="str">
        <f t="shared" si="4"/>
        <v/>
      </c>
      <c r="T17" s="61" t="str">
        <f t="shared" si="5"/>
        <v/>
      </c>
      <c r="U17" s="61" t="str">
        <f t="shared" si="6"/>
        <v/>
      </c>
      <c r="V17" s="61" t="str">
        <f t="shared" si="7"/>
        <v/>
      </c>
    </row>
    <row r="18" spans="1:22" x14ac:dyDescent="0.25">
      <c r="A18" s="36"/>
      <c r="B18" s="37"/>
      <c r="C18" s="37"/>
      <c r="D18" s="37"/>
      <c r="E18" s="37"/>
      <c r="F18" s="37"/>
      <c r="G18" s="38"/>
      <c r="H18" s="38"/>
      <c r="I18" s="38"/>
      <c r="J18" s="38"/>
      <c r="K18" s="29" t="str">
        <f t="shared" ca="1" si="0"/>
        <v/>
      </c>
      <c r="L18" s="37"/>
      <c r="M18" s="13" t="str">
        <f t="shared" ca="1" si="1"/>
        <v/>
      </c>
      <c r="N18" s="13" t="str">
        <f ca="1">IF(H18="","",IF(J18&lt;&gt;"",INDEX(_ゴミ箱_Backup!$B$75:$D$75,1,MATCH(言語切替!$B$3,_ゴミ箱_Backup!$B$1:$D$1,0)),IF(TODAY()&gt;H18,INDEX(_ゴミ箱_Backup!$B$92:$D$92,1,MATCH(言語切替!$B$3,_ゴミ箱_Backup!$B$1:$D$1,0)),IF(H18-TODAY()&lt;=7,INDEX(_ゴミ箱_Backup!$B$91:$D$91,1,MATCH(言語切替!$B$3,_ゴミ箱_Backup!$B$1:$D$1,0)),INDEX(_ゴミ箱_Backup!$B$90:$D$90,1,MATCH(言語切替!$B$3,_ゴミ箱_Backup!$B$1:$D$1,0))))))</f>
        <v/>
      </c>
      <c r="O18" s="37"/>
      <c r="P18" s="39"/>
      <c r="Q18" s="61" t="str">
        <f t="shared" si="2"/>
        <v/>
      </c>
      <c r="R18" s="61" t="str">
        <f t="shared" si="3"/>
        <v/>
      </c>
      <c r="S18" s="61" t="str">
        <f t="shared" si="4"/>
        <v/>
      </c>
      <c r="T18" s="61" t="str">
        <f t="shared" si="5"/>
        <v/>
      </c>
      <c r="U18" s="61" t="str">
        <f t="shared" si="6"/>
        <v/>
      </c>
      <c r="V18" s="61" t="str">
        <f t="shared" si="7"/>
        <v/>
      </c>
    </row>
    <row r="19" spans="1:22" x14ac:dyDescent="0.25">
      <c r="A19" s="40"/>
      <c r="B19" s="41"/>
      <c r="C19" s="41"/>
      <c r="D19" s="41"/>
      <c r="E19" s="41"/>
      <c r="F19" s="41"/>
      <c r="G19" s="42"/>
      <c r="H19" s="42"/>
      <c r="I19" s="42"/>
      <c r="J19" s="42"/>
      <c r="K19" s="34" t="str">
        <f t="shared" ca="1" si="0"/>
        <v/>
      </c>
      <c r="L19" s="41"/>
      <c r="M19" s="16" t="str">
        <f t="shared" ca="1" si="1"/>
        <v/>
      </c>
      <c r="N19" s="16" t="str">
        <f ca="1">IF(H19="","",IF(J19&lt;&gt;"",INDEX(_ゴミ箱_Backup!$B$75:$D$75,1,MATCH(言語切替!$B$3,_ゴミ箱_Backup!$B$1:$D$1,0)),IF(TODAY()&gt;H19,INDEX(_ゴミ箱_Backup!$B$92:$D$92,1,MATCH(言語切替!$B$3,_ゴミ箱_Backup!$B$1:$D$1,0)),IF(H19-TODAY()&lt;=7,INDEX(_ゴミ箱_Backup!$B$91:$D$91,1,MATCH(言語切替!$B$3,_ゴミ箱_Backup!$B$1:$D$1,0)),INDEX(_ゴミ箱_Backup!$B$90:$D$90,1,MATCH(言語切替!$B$3,_ゴミ箱_Backup!$B$1:$D$1,0))))))</f>
        <v/>
      </c>
      <c r="O19" s="41"/>
      <c r="P19" s="43"/>
      <c r="Q19" s="61" t="str">
        <f t="shared" si="2"/>
        <v/>
      </c>
      <c r="R19" s="61" t="str">
        <f t="shared" si="3"/>
        <v/>
      </c>
      <c r="S19" s="61" t="str">
        <f t="shared" si="4"/>
        <v/>
      </c>
      <c r="T19" s="61" t="str">
        <f t="shared" si="5"/>
        <v/>
      </c>
      <c r="U19" s="61" t="str">
        <f t="shared" si="6"/>
        <v/>
      </c>
      <c r="V19" s="61" t="str">
        <f t="shared" si="7"/>
        <v/>
      </c>
    </row>
    <row r="20" spans="1:22" x14ac:dyDescent="0.25">
      <c r="A20" s="36"/>
      <c r="B20" s="37"/>
      <c r="C20" s="37"/>
      <c r="D20" s="37"/>
      <c r="E20" s="37"/>
      <c r="F20" s="37"/>
      <c r="G20" s="38"/>
      <c r="H20" s="38"/>
      <c r="I20" s="38"/>
      <c r="J20" s="38"/>
      <c r="K20" s="29" t="str">
        <f t="shared" ca="1" si="0"/>
        <v/>
      </c>
      <c r="L20" s="37"/>
      <c r="M20" s="13" t="str">
        <f t="shared" ca="1" si="1"/>
        <v/>
      </c>
      <c r="N20" s="13" t="str">
        <f ca="1">IF(H20="","",IF(J20&lt;&gt;"",INDEX(_ゴミ箱_Backup!$B$75:$D$75,1,MATCH(言語切替!$B$3,_ゴミ箱_Backup!$B$1:$D$1,0)),IF(TODAY()&gt;H20,INDEX(_ゴミ箱_Backup!$B$92:$D$92,1,MATCH(言語切替!$B$3,_ゴミ箱_Backup!$B$1:$D$1,0)),IF(H20-TODAY()&lt;=7,INDEX(_ゴミ箱_Backup!$B$91:$D$91,1,MATCH(言語切替!$B$3,_ゴミ箱_Backup!$B$1:$D$1,0)),INDEX(_ゴミ箱_Backup!$B$90:$D$90,1,MATCH(言語切替!$B$3,_ゴミ箱_Backup!$B$1:$D$1,0))))))</f>
        <v/>
      </c>
      <c r="O20" s="37"/>
      <c r="P20" s="39"/>
      <c r="Q20" s="61" t="str">
        <f t="shared" si="2"/>
        <v/>
      </c>
      <c r="R20" s="61" t="str">
        <f t="shared" si="3"/>
        <v/>
      </c>
      <c r="S20" s="61" t="str">
        <f t="shared" si="4"/>
        <v/>
      </c>
      <c r="T20" s="61" t="str">
        <f t="shared" si="5"/>
        <v/>
      </c>
      <c r="U20" s="61" t="str">
        <f t="shared" si="6"/>
        <v/>
      </c>
      <c r="V20" s="61" t="str">
        <f t="shared" si="7"/>
        <v/>
      </c>
    </row>
    <row r="21" spans="1:22" x14ac:dyDescent="0.25">
      <c r="A21" s="40"/>
      <c r="B21" s="41"/>
      <c r="C21" s="41"/>
      <c r="D21" s="41"/>
      <c r="E21" s="41"/>
      <c r="F21" s="41"/>
      <c r="G21" s="42"/>
      <c r="H21" s="42"/>
      <c r="I21" s="42"/>
      <c r="J21" s="42"/>
      <c r="K21" s="34" t="str">
        <f t="shared" ca="1" si="0"/>
        <v/>
      </c>
      <c r="L21" s="41"/>
      <c r="M21" s="16" t="str">
        <f t="shared" ca="1" si="1"/>
        <v/>
      </c>
      <c r="N21" s="16" t="str">
        <f ca="1">IF(H21="","",IF(J21&lt;&gt;"",INDEX(_ゴミ箱_Backup!$B$75:$D$75,1,MATCH(言語切替!$B$3,_ゴミ箱_Backup!$B$1:$D$1,0)),IF(TODAY()&gt;H21,INDEX(_ゴミ箱_Backup!$B$92:$D$92,1,MATCH(言語切替!$B$3,_ゴミ箱_Backup!$B$1:$D$1,0)),IF(H21-TODAY()&lt;=7,INDEX(_ゴミ箱_Backup!$B$91:$D$91,1,MATCH(言語切替!$B$3,_ゴミ箱_Backup!$B$1:$D$1,0)),INDEX(_ゴミ箱_Backup!$B$90:$D$90,1,MATCH(言語切替!$B$3,_ゴミ箱_Backup!$B$1:$D$1,0))))))</f>
        <v/>
      </c>
      <c r="O21" s="41"/>
      <c r="P21" s="43"/>
      <c r="Q21" s="61" t="str">
        <f t="shared" si="2"/>
        <v/>
      </c>
      <c r="R21" s="61" t="str">
        <f t="shared" si="3"/>
        <v/>
      </c>
      <c r="S21" s="61" t="str">
        <f t="shared" si="4"/>
        <v/>
      </c>
      <c r="T21" s="61" t="str">
        <f t="shared" si="5"/>
        <v/>
      </c>
      <c r="U21" s="61" t="str">
        <f t="shared" si="6"/>
        <v/>
      </c>
      <c r="V21" s="61" t="str">
        <f t="shared" si="7"/>
        <v/>
      </c>
    </row>
    <row r="22" spans="1:22" x14ac:dyDescent="0.25">
      <c r="A22" s="36"/>
      <c r="B22" s="37"/>
      <c r="C22" s="37"/>
      <c r="D22" s="37"/>
      <c r="E22" s="37"/>
      <c r="F22" s="37"/>
      <c r="G22" s="38"/>
      <c r="H22" s="38"/>
      <c r="I22" s="38"/>
      <c r="J22" s="38"/>
      <c r="K22" s="29" t="str">
        <f t="shared" ca="1" si="0"/>
        <v/>
      </c>
      <c r="L22" s="37"/>
      <c r="M22" s="13" t="str">
        <f t="shared" ca="1" si="1"/>
        <v/>
      </c>
      <c r="N22" s="13" t="str">
        <f ca="1">IF(H22="","",IF(J22&lt;&gt;"",INDEX(_ゴミ箱_Backup!$B$75:$D$75,1,MATCH(言語切替!$B$3,_ゴミ箱_Backup!$B$1:$D$1,0)),IF(TODAY()&gt;H22,INDEX(_ゴミ箱_Backup!$B$92:$D$92,1,MATCH(言語切替!$B$3,_ゴミ箱_Backup!$B$1:$D$1,0)),IF(H22-TODAY()&lt;=7,INDEX(_ゴミ箱_Backup!$B$91:$D$91,1,MATCH(言語切替!$B$3,_ゴミ箱_Backup!$B$1:$D$1,0)),INDEX(_ゴミ箱_Backup!$B$90:$D$90,1,MATCH(言語切替!$B$3,_ゴミ箱_Backup!$B$1:$D$1,0))))))</f>
        <v/>
      </c>
      <c r="O22" s="37"/>
      <c r="P22" s="39"/>
      <c r="Q22" s="61" t="str">
        <f t="shared" si="2"/>
        <v/>
      </c>
      <c r="R22" s="61" t="str">
        <f t="shared" si="3"/>
        <v/>
      </c>
      <c r="S22" s="61" t="str">
        <f t="shared" si="4"/>
        <v/>
      </c>
      <c r="T22" s="61" t="str">
        <f t="shared" si="5"/>
        <v/>
      </c>
      <c r="U22" s="61" t="str">
        <f t="shared" si="6"/>
        <v/>
      </c>
      <c r="V22" s="61" t="str">
        <f t="shared" si="7"/>
        <v/>
      </c>
    </row>
    <row r="23" spans="1:22" x14ac:dyDescent="0.25">
      <c r="A23" s="40"/>
      <c r="B23" s="41"/>
      <c r="C23" s="41"/>
      <c r="D23" s="41"/>
      <c r="E23" s="41"/>
      <c r="F23" s="41"/>
      <c r="G23" s="42"/>
      <c r="H23" s="42"/>
      <c r="I23" s="42"/>
      <c r="J23" s="42"/>
      <c r="K23" s="34" t="str">
        <f t="shared" ca="1" si="0"/>
        <v/>
      </c>
      <c r="L23" s="41"/>
      <c r="M23" s="16" t="str">
        <f t="shared" ca="1" si="1"/>
        <v/>
      </c>
      <c r="N23" s="16" t="str">
        <f ca="1">IF(H23="","",IF(J23&lt;&gt;"",INDEX(_ゴミ箱_Backup!$B$75:$D$75,1,MATCH(言語切替!$B$3,_ゴミ箱_Backup!$B$1:$D$1,0)),IF(TODAY()&gt;H23,INDEX(_ゴミ箱_Backup!$B$92:$D$92,1,MATCH(言語切替!$B$3,_ゴミ箱_Backup!$B$1:$D$1,0)),IF(H23-TODAY()&lt;=7,INDEX(_ゴミ箱_Backup!$B$91:$D$91,1,MATCH(言語切替!$B$3,_ゴミ箱_Backup!$B$1:$D$1,0)),INDEX(_ゴミ箱_Backup!$B$90:$D$90,1,MATCH(言語切替!$B$3,_ゴミ箱_Backup!$B$1:$D$1,0))))))</f>
        <v/>
      </c>
      <c r="O23" s="41"/>
      <c r="P23" s="43"/>
      <c r="Q23" s="61" t="str">
        <f t="shared" si="2"/>
        <v/>
      </c>
      <c r="R23" s="61" t="str">
        <f t="shared" si="3"/>
        <v/>
      </c>
      <c r="S23" s="61" t="str">
        <f t="shared" si="4"/>
        <v/>
      </c>
      <c r="T23" s="61" t="str">
        <f t="shared" si="5"/>
        <v/>
      </c>
      <c r="U23" s="61" t="str">
        <f t="shared" si="6"/>
        <v/>
      </c>
      <c r="V23" s="61" t="str">
        <f t="shared" si="7"/>
        <v/>
      </c>
    </row>
    <row r="24" spans="1:22" x14ac:dyDescent="0.25">
      <c r="A24" s="36"/>
      <c r="B24" s="37"/>
      <c r="C24" s="37"/>
      <c r="D24" s="37"/>
      <c r="E24" s="37"/>
      <c r="F24" s="37"/>
      <c r="G24" s="38"/>
      <c r="H24" s="38"/>
      <c r="I24" s="38"/>
      <c r="J24" s="38"/>
      <c r="K24" s="29" t="str">
        <f t="shared" ca="1" si="0"/>
        <v/>
      </c>
      <c r="L24" s="37"/>
      <c r="M24" s="13" t="str">
        <f t="shared" ca="1" si="1"/>
        <v/>
      </c>
      <c r="N24" s="13" t="str">
        <f ca="1">IF(H24="","",IF(J24&lt;&gt;"",INDEX(_ゴミ箱_Backup!$B$75:$D$75,1,MATCH(言語切替!$B$3,_ゴミ箱_Backup!$B$1:$D$1,0)),IF(TODAY()&gt;H24,INDEX(_ゴミ箱_Backup!$B$92:$D$92,1,MATCH(言語切替!$B$3,_ゴミ箱_Backup!$B$1:$D$1,0)),IF(H24-TODAY()&lt;=7,INDEX(_ゴミ箱_Backup!$B$91:$D$91,1,MATCH(言語切替!$B$3,_ゴミ箱_Backup!$B$1:$D$1,0)),INDEX(_ゴミ箱_Backup!$B$90:$D$90,1,MATCH(言語切替!$B$3,_ゴミ箱_Backup!$B$1:$D$1,0))))))</f>
        <v/>
      </c>
      <c r="O24" s="37"/>
      <c r="P24" s="39"/>
      <c r="Q24" s="61" t="str">
        <f t="shared" si="2"/>
        <v/>
      </c>
      <c r="R24" s="61" t="str">
        <f t="shared" si="3"/>
        <v/>
      </c>
      <c r="S24" s="61" t="str">
        <f t="shared" si="4"/>
        <v/>
      </c>
      <c r="T24" s="61" t="str">
        <f t="shared" si="5"/>
        <v/>
      </c>
      <c r="U24" s="61" t="str">
        <f t="shared" si="6"/>
        <v/>
      </c>
      <c r="V24" s="61" t="str">
        <f t="shared" si="7"/>
        <v/>
      </c>
    </row>
    <row r="25" spans="1:22" x14ac:dyDescent="0.25">
      <c r="A25" s="40"/>
      <c r="B25" s="41"/>
      <c r="C25" s="41"/>
      <c r="D25" s="41"/>
      <c r="E25" s="41"/>
      <c r="F25" s="41"/>
      <c r="G25" s="42"/>
      <c r="H25" s="42"/>
      <c r="I25" s="42"/>
      <c r="J25" s="42"/>
      <c r="K25" s="34" t="str">
        <f t="shared" ca="1" si="0"/>
        <v/>
      </c>
      <c r="L25" s="41"/>
      <c r="M25" s="16" t="str">
        <f t="shared" ca="1" si="1"/>
        <v/>
      </c>
      <c r="N25" s="16" t="str">
        <f ca="1">IF(H25="","",IF(J25&lt;&gt;"",INDEX(_ゴミ箱_Backup!$B$75:$D$75,1,MATCH(言語切替!$B$3,_ゴミ箱_Backup!$B$1:$D$1,0)),IF(TODAY()&gt;H25,INDEX(_ゴミ箱_Backup!$B$92:$D$92,1,MATCH(言語切替!$B$3,_ゴミ箱_Backup!$B$1:$D$1,0)),IF(H25-TODAY()&lt;=7,INDEX(_ゴミ箱_Backup!$B$91:$D$91,1,MATCH(言語切替!$B$3,_ゴミ箱_Backup!$B$1:$D$1,0)),INDEX(_ゴミ箱_Backup!$B$90:$D$90,1,MATCH(言語切替!$B$3,_ゴミ箱_Backup!$B$1:$D$1,0))))))</f>
        <v/>
      </c>
      <c r="O25" s="41"/>
      <c r="P25" s="43"/>
      <c r="Q25" s="61" t="str">
        <f t="shared" si="2"/>
        <v/>
      </c>
      <c r="R25" s="61" t="str">
        <f t="shared" si="3"/>
        <v/>
      </c>
      <c r="S25" s="61" t="str">
        <f t="shared" si="4"/>
        <v/>
      </c>
      <c r="T25" s="61" t="str">
        <f t="shared" si="5"/>
        <v/>
      </c>
      <c r="U25" s="61" t="str">
        <f t="shared" si="6"/>
        <v/>
      </c>
      <c r="V25" s="61" t="str">
        <f t="shared" si="7"/>
        <v/>
      </c>
    </row>
    <row r="26" spans="1:22" x14ac:dyDescent="0.25">
      <c r="A26" s="36"/>
      <c r="B26" s="37"/>
      <c r="C26" s="37"/>
      <c r="D26" s="37"/>
      <c r="E26" s="37"/>
      <c r="F26" s="37"/>
      <c r="G26" s="38"/>
      <c r="H26" s="38"/>
      <c r="I26" s="38"/>
      <c r="J26" s="38"/>
      <c r="K26" s="29" t="str">
        <f t="shared" ca="1" si="0"/>
        <v/>
      </c>
      <c r="L26" s="37"/>
      <c r="M26" s="13" t="str">
        <f t="shared" ca="1" si="1"/>
        <v/>
      </c>
      <c r="N26" s="13" t="str">
        <f ca="1">IF(H26="","",IF(J26&lt;&gt;"",INDEX(_ゴミ箱_Backup!$B$75:$D$75,1,MATCH(言語切替!$B$3,_ゴミ箱_Backup!$B$1:$D$1,0)),IF(TODAY()&gt;H26,INDEX(_ゴミ箱_Backup!$B$92:$D$92,1,MATCH(言語切替!$B$3,_ゴミ箱_Backup!$B$1:$D$1,0)),IF(H26-TODAY()&lt;=7,INDEX(_ゴミ箱_Backup!$B$91:$D$91,1,MATCH(言語切替!$B$3,_ゴミ箱_Backup!$B$1:$D$1,0)),INDEX(_ゴミ箱_Backup!$B$90:$D$90,1,MATCH(言語切替!$B$3,_ゴミ箱_Backup!$B$1:$D$1,0))))))</f>
        <v/>
      </c>
      <c r="O26" s="37"/>
      <c r="P26" s="39"/>
      <c r="Q26" s="61" t="str">
        <f t="shared" si="2"/>
        <v/>
      </c>
      <c r="R26" s="61" t="str">
        <f t="shared" si="3"/>
        <v/>
      </c>
      <c r="S26" s="61" t="str">
        <f t="shared" si="4"/>
        <v/>
      </c>
      <c r="T26" s="61" t="str">
        <f t="shared" si="5"/>
        <v/>
      </c>
      <c r="U26" s="61" t="str">
        <f t="shared" si="6"/>
        <v/>
      </c>
      <c r="V26" s="61" t="str">
        <f t="shared" si="7"/>
        <v/>
      </c>
    </row>
    <row r="27" spans="1:22" x14ac:dyDescent="0.25">
      <c r="A27" s="40"/>
      <c r="B27" s="41"/>
      <c r="C27" s="41"/>
      <c r="D27" s="41"/>
      <c r="E27" s="41"/>
      <c r="F27" s="41"/>
      <c r="G27" s="42"/>
      <c r="H27" s="42"/>
      <c r="I27" s="42"/>
      <c r="J27" s="42"/>
      <c r="K27" s="34" t="str">
        <f t="shared" ca="1" si="0"/>
        <v/>
      </c>
      <c r="L27" s="41"/>
      <c r="M27" s="16" t="str">
        <f t="shared" ca="1" si="1"/>
        <v/>
      </c>
      <c r="N27" s="16" t="str">
        <f ca="1">IF(H27="","",IF(J27&lt;&gt;"",INDEX(_ゴミ箱_Backup!$B$75:$D$75,1,MATCH(言語切替!$B$3,_ゴミ箱_Backup!$B$1:$D$1,0)),IF(TODAY()&gt;H27,INDEX(_ゴミ箱_Backup!$B$92:$D$92,1,MATCH(言語切替!$B$3,_ゴミ箱_Backup!$B$1:$D$1,0)),IF(H27-TODAY()&lt;=7,INDEX(_ゴミ箱_Backup!$B$91:$D$91,1,MATCH(言語切替!$B$3,_ゴミ箱_Backup!$B$1:$D$1,0)),INDEX(_ゴミ箱_Backup!$B$90:$D$90,1,MATCH(言語切替!$B$3,_ゴミ箱_Backup!$B$1:$D$1,0))))))</f>
        <v/>
      </c>
      <c r="O27" s="41"/>
      <c r="P27" s="43"/>
      <c r="Q27" s="61" t="str">
        <f t="shared" si="2"/>
        <v/>
      </c>
      <c r="R27" s="61" t="str">
        <f t="shared" si="3"/>
        <v/>
      </c>
      <c r="S27" s="61" t="str">
        <f t="shared" si="4"/>
        <v/>
      </c>
      <c r="T27" s="61" t="str">
        <f t="shared" si="5"/>
        <v/>
      </c>
      <c r="U27" s="61" t="str">
        <f t="shared" si="6"/>
        <v/>
      </c>
      <c r="V27" s="61" t="str">
        <f t="shared" si="7"/>
        <v/>
      </c>
    </row>
    <row r="28" spans="1:22" x14ac:dyDescent="0.25">
      <c r="A28" s="36"/>
      <c r="B28" s="37"/>
      <c r="C28" s="37"/>
      <c r="D28" s="37"/>
      <c r="E28" s="37"/>
      <c r="F28" s="37"/>
      <c r="G28" s="38"/>
      <c r="H28" s="38"/>
      <c r="I28" s="38"/>
      <c r="J28" s="38"/>
      <c r="K28" s="29" t="str">
        <f t="shared" ca="1" si="0"/>
        <v/>
      </c>
      <c r="L28" s="37"/>
      <c r="M28" s="13" t="str">
        <f t="shared" ca="1" si="1"/>
        <v/>
      </c>
      <c r="N28" s="13" t="str">
        <f ca="1">IF(H28="","",IF(J28&lt;&gt;"",INDEX(_ゴミ箱_Backup!$B$75:$D$75,1,MATCH(言語切替!$B$3,_ゴミ箱_Backup!$B$1:$D$1,0)),IF(TODAY()&gt;H28,INDEX(_ゴミ箱_Backup!$B$92:$D$92,1,MATCH(言語切替!$B$3,_ゴミ箱_Backup!$B$1:$D$1,0)),IF(H28-TODAY()&lt;=7,INDEX(_ゴミ箱_Backup!$B$91:$D$91,1,MATCH(言語切替!$B$3,_ゴミ箱_Backup!$B$1:$D$1,0)),INDEX(_ゴミ箱_Backup!$B$90:$D$90,1,MATCH(言語切替!$B$3,_ゴミ箱_Backup!$B$1:$D$1,0))))))</f>
        <v/>
      </c>
      <c r="O28" s="37"/>
      <c r="P28" s="39"/>
      <c r="Q28" s="61" t="str">
        <f t="shared" si="2"/>
        <v/>
      </c>
      <c r="R28" s="61" t="str">
        <f t="shared" si="3"/>
        <v/>
      </c>
      <c r="S28" s="61" t="str">
        <f t="shared" si="4"/>
        <v/>
      </c>
      <c r="T28" s="61" t="str">
        <f t="shared" si="5"/>
        <v/>
      </c>
      <c r="U28" s="61" t="str">
        <f t="shared" si="6"/>
        <v/>
      </c>
      <c r="V28" s="61" t="str">
        <f t="shared" si="7"/>
        <v/>
      </c>
    </row>
    <row r="29" spans="1:22" x14ac:dyDescent="0.25">
      <c r="A29" s="40"/>
      <c r="B29" s="41"/>
      <c r="C29" s="41"/>
      <c r="D29" s="41"/>
      <c r="E29" s="41"/>
      <c r="F29" s="41"/>
      <c r="G29" s="42"/>
      <c r="H29" s="42"/>
      <c r="I29" s="42"/>
      <c r="J29" s="42"/>
      <c r="K29" s="34" t="str">
        <f t="shared" ca="1" si="0"/>
        <v/>
      </c>
      <c r="L29" s="41"/>
      <c r="M29" s="16" t="str">
        <f t="shared" ca="1" si="1"/>
        <v/>
      </c>
      <c r="N29" s="16" t="str">
        <f ca="1">IF(H29="","",IF(J29&lt;&gt;"",INDEX(_ゴミ箱_Backup!$B$75:$D$75,1,MATCH(言語切替!$B$3,_ゴミ箱_Backup!$B$1:$D$1,0)),IF(TODAY()&gt;H29,INDEX(_ゴミ箱_Backup!$B$92:$D$92,1,MATCH(言語切替!$B$3,_ゴミ箱_Backup!$B$1:$D$1,0)),IF(H29-TODAY()&lt;=7,INDEX(_ゴミ箱_Backup!$B$91:$D$91,1,MATCH(言語切替!$B$3,_ゴミ箱_Backup!$B$1:$D$1,0)),INDEX(_ゴミ箱_Backup!$B$90:$D$90,1,MATCH(言語切替!$B$3,_ゴミ箱_Backup!$B$1:$D$1,0))))))</f>
        <v/>
      </c>
      <c r="O29" s="41"/>
      <c r="P29" s="43"/>
      <c r="Q29" s="61" t="str">
        <f t="shared" si="2"/>
        <v/>
      </c>
      <c r="R29" s="61" t="str">
        <f t="shared" si="3"/>
        <v/>
      </c>
      <c r="S29" s="61" t="str">
        <f t="shared" si="4"/>
        <v/>
      </c>
      <c r="T29" s="61" t="str">
        <f t="shared" si="5"/>
        <v/>
      </c>
      <c r="U29" s="61" t="str">
        <f t="shared" si="6"/>
        <v/>
      </c>
      <c r="V29" s="61" t="str">
        <f t="shared" si="7"/>
        <v/>
      </c>
    </row>
    <row r="30" spans="1:22" x14ac:dyDescent="0.25">
      <c r="A30" s="36"/>
      <c r="B30" s="37"/>
      <c r="C30" s="37"/>
      <c r="D30" s="37"/>
      <c r="E30" s="37"/>
      <c r="F30" s="37"/>
      <c r="G30" s="38"/>
      <c r="H30" s="38"/>
      <c r="I30" s="38"/>
      <c r="J30" s="38"/>
      <c r="K30" s="29" t="str">
        <f t="shared" ca="1" si="0"/>
        <v/>
      </c>
      <c r="L30" s="37"/>
      <c r="M30" s="13" t="str">
        <f t="shared" ca="1" si="1"/>
        <v/>
      </c>
      <c r="N30" s="13" t="str">
        <f ca="1">IF(H30="","",IF(J30&lt;&gt;"",INDEX(_ゴミ箱_Backup!$B$75:$D$75,1,MATCH(言語切替!$B$3,_ゴミ箱_Backup!$B$1:$D$1,0)),IF(TODAY()&gt;H30,INDEX(_ゴミ箱_Backup!$B$92:$D$92,1,MATCH(言語切替!$B$3,_ゴミ箱_Backup!$B$1:$D$1,0)),IF(H30-TODAY()&lt;=7,INDEX(_ゴミ箱_Backup!$B$91:$D$91,1,MATCH(言語切替!$B$3,_ゴミ箱_Backup!$B$1:$D$1,0)),INDEX(_ゴミ箱_Backup!$B$90:$D$90,1,MATCH(言語切替!$B$3,_ゴミ箱_Backup!$B$1:$D$1,0))))))</f>
        <v/>
      </c>
      <c r="O30" s="37"/>
      <c r="P30" s="39"/>
      <c r="Q30" s="61" t="str">
        <f t="shared" si="2"/>
        <v/>
      </c>
      <c r="R30" s="61" t="str">
        <f t="shared" si="3"/>
        <v/>
      </c>
      <c r="S30" s="61" t="str">
        <f t="shared" si="4"/>
        <v/>
      </c>
      <c r="T30" s="61" t="str">
        <f t="shared" si="5"/>
        <v/>
      </c>
      <c r="U30" s="61" t="str">
        <f t="shared" si="6"/>
        <v/>
      </c>
      <c r="V30" s="61" t="str">
        <f t="shared" si="7"/>
        <v/>
      </c>
    </row>
    <row r="31" spans="1:22" x14ac:dyDescent="0.25">
      <c r="A31" s="40"/>
      <c r="B31" s="41"/>
      <c r="C31" s="41"/>
      <c r="D31" s="41"/>
      <c r="E31" s="41"/>
      <c r="F31" s="41"/>
      <c r="G31" s="42"/>
      <c r="H31" s="42"/>
      <c r="I31" s="42"/>
      <c r="J31" s="42"/>
      <c r="K31" s="34" t="str">
        <f t="shared" ca="1" si="0"/>
        <v/>
      </c>
      <c r="L31" s="41"/>
      <c r="M31" s="16" t="str">
        <f t="shared" ca="1" si="1"/>
        <v/>
      </c>
      <c r="N31" s="16" t="str">
        <f ca="1">IF(H31="","",IF(J31&lt;&gt;"",INDEX(_ゴミ箱_Backup!$B$75:$D$75,1,MATCH(言語切替!$B$3,_ゴミ箱_Backup!$B$1:$D$1,0)),IF(TODAY()&gt;H31,INDEX(_ゴミ箱_Backup!$B$92:$D$92,1,MATCH(言語切替!$B$3,_ゴミ箱_Backup!$B$1:$D$1,0)),IF(H31-TODAY()&lt;=7,INDEX(_ゴミ箱_Backup!$B$91:$D$91,1,MATCH(言語切替!$B$3,_ゴミ箱_Backup!$B$1:$D$1,0)),INDEX(_ゴミ箱_Backup!$B$90:$D$90,1,MATCH(言語切替!$B$3,_ゴミ箱_Backup!$B$1:$D$1,0))))))</f>
        <v/>
      </c>
      <c r="O31" s="41"/>
      <c r="P31" s="43"/>
      <c r="Q31" s="61" t="str">
        <f t="shared" si="2"/>
        <v/>
      </c>
      <c r="R31" s="61" t="str">
        <f t="shared" si="3"/>
        <v/>
      </c>
      <c r="S31" s="61" t="str">
        <f t="shared" si="4"/>
        <v/>
      </c>
      <c r="T31" s="61" t="str">
        <f t="shared" si="5"/>
        <v/>
      </c>
      <c r="U31" s="61" t="str">
        <f t="shared" si="6"/>
        <v/>
      </c>
      <c r="V31" s="61" t="str">
        <f t="shared" si="7"/>
        <v/>
      </c>
    </row>
    <row r="32" spans="1:22" x14ac:dyDescent="0.25">
      <c r="A32" s="36"/>
      <c r="B32" s="37"/>
      <c r="C32" s="37"/>
      <c r="D32" s="37"/>
      <c r="E32" s="37"/>
      <c r="F32" s="37"/>
      <c r="G32" s="38"/>
      <c r="H32" s="38"/>
      <c r="I32" s="38"/>
      <c r="J32" s="38"/>
      <c r="K32" s="29" t="str">
        <f t="shared" ca="1" si="0"/>
        <v/>
      </c>
      <c r="L32" s="37"/>
      <c r="M32" s="13" t="str">
        <f t="shared" ca="1" si="1"/>
        <v/>
      </c>
      <c r="N32" s="13" t="str">
        <f ca="1">IF(H32="","",IF(J32&lt;&gt;"",INDEX(_ゴミ箱_Backup!$B$75:$D$75,1,MATCH(言語切替!$B$3,_ゴミ箱_Backup!$B$1:$D$1,0)),IF(TODAY()&gt;H32,INDEX(_ゴミ箱_Backup!$B$92:$D$92,1,MATCH(言語切替!$B$3,_ゴミ箱_Backup!$B$1:$D$1,0)),IF(H32-TODAY()&lt;=7,INDEX(_ゴミ箱_Backup!$B$91:$D$91,1,MATCH(言語切替!$B$3,_ゴミ箱_Backup!$B$1:$D$1,0)),INDEX(_ゴミ箱_Backup!$B$90:$D$90,1,MATCH(言語切替!$B$3,_ゴミ箱_Backup!$B$1:$D$1,0))))))</f>
        <v/>
      </c>
      <c r="O32" s="37"/>
      <c r="P32" s="39"/>
      <c r="Q32" s="61" t="str">
        <f t="shared" si="2"/>
        <v/>
      </c>
      <c r="R32" s="61" t="str">
        <f t="shared" si="3"/>
        <v/>
      </c>
      <c r="S32" s="61" t="str">
        <f t="shared" si="4"/>
        <v/>
      </c>
      <c r="T32" s="61" t="str">
        <f t="shared" si="5"/>
        <v/>
      </c>
      <c r="U32" s="61" t="str">
        <f t="shared" si="6"/>
        <v/>
      </c>
      <c r="V32" s="61" t="str">
        <f t="shared" si="7"/>
        <v/>
      </c>
    </row>
    <row r="33" spans="1:22" x14ac:dyDescent="0.25">
      <c r="A33" s="40"/>
      <c r="B33" s="41"/>
      <c r="C33" s="41"/>
      <c r="D33" s="41"/>
      <c r="E33" s="41"/>
      <c r="F33" s="41"/>
      <c r="G33" s="42"/>
      <c r="H33" s="42"/>
      <c r="I33" s="42"/>
      <c r="J33" s="42"/>
      <c r="K33" s="34" t="str">
        <f t="shared" ca="1" si="0"/>
        <v/>
      </c>
      <c r="L33" s="41"/>
      <c r="M33" s="16" t="str">
        <f t="shared" ca="1" si="1"/>
        <v/>
      </c>
      <c r="N33" s="16" t="str">
        <f ca="1">IF(H33="","",IF(J33&lt;&gt;"",INDEX(_ゴミ箱_Backup!$B$75:$D$75,1,MATCH(言語切替!$B$3,_ゴミ箱_Backup!$B$1:$D$1,0)),IF(TODAY()&gt;H33,INDEX(_ゴミ箱_Backup!$B$92:$D$92,1,MATCH(言語切替!$B$3,_ゴミ箱_Backup!$B$1:$D$1,0)),IF(H33-TODAY()&lt;=7,INDEX(_ゴミ箱_Backup!$B$91:$D$91,1,MATCH(言語切替!$B$3,_ゴミ箱_Backup!$B$1:$D$1,0)),INDEX(_ゴミ箱_Backup!$B$90:$D$90,1,MATCH(言語切替!$B$3,_ゴミ箱_Backup!$B$1:$D$1,0))))))</f>
        <v/>
      </c>
      <c r="O33" s="41"/>
      <c r="P33" s="43"/>
      <c r="Q33" s="61" t="str">
        <f t="shared" si="2"/>
        <v/>
      </c>
      <c r="R33" s="61" t="str">
        <f t="shared" si="3"/>
        <v/>
      </c>
      <c r="S33" s="61" t="str">
        <f t="shared" si="4"/>
        <v/>
      </c>
      <c r="T33" s="61" t="str">
        <f t="shared" si="5"/>
        <v/>
      </c>
      <c r="U33" s="61" t="str">
        <f t="shared" si="6"/>
        <v/>
      </c>
      <c r="V33" s="61" t="str">
        <f t="shared" si="7"/>
        <v/>
      </c>
    </row>
    <row r="34" spans="1:22" x14ac:dyDescent="0.25">
      <c r="A34" s="36"/>
      <c r="B34" s="37"/>
      <c r="C34" s="37"/>
      <c r="D34" s="37"/>
      <c r="E34" s="37"/>
      <c r="F34" s="37"/>
      <c r="G34" s="38"/>
      <c r="H34" s="38"/>
      <c r="I34" s="38"/>
      <c r="J34" s="38"/>
      <c r="K34" s="29" t="str">
        <f t="shared" ca="1" si="0"/>
        <v/>
      </c>
      <c r="L34" s="37"/>
      <c r="M34" s="13" t="str">
        <f t="shared" ca="1" si="1"/>
        <v/>
      </c>
      <c r="N34" s="13" t="str">
        <f ca="1">IF(H34="","",IF(J34&lt;&gt;"",INDEX(_ゴミ箱_Backup!$B$75:$D$75,1,MATCH(言語切替!$B$3,_ゴミ箱_Backup!$B$1:$D$1,0)),IF(TODAY()&gt;H34,INDEX(_ゴミ箱_Backup!$B$92:$D$92,1,MATCH(言語切替!$B$3,_ゴミ箱_Backup!$B$1:$D$1,0)),IF(H34-TODAY()&lt;=7,INDEX(_ゴミ箱_Backup!$B$91:$D$91,1,MATCH(言語切替!$B$3,_ゴミ箱_Backup!$B$1:$D$1,0)),INDEX(_ゴミ箱_Backup!$B$90:$D$90,1,MATCH(言語切替!$B$3,_ゴミ箱_Backup!$B$1:$D$1,0))))))</f>
        <v/>
      </c>
      <c r="O34" s="37"/>
      <c r="P34" s="39"/>
      <c r="Q34" s="61" t="str">
        <f t="shared" si="2"/>
        <v/>
      </c>
      <c r="R34" s="61" t="str">
        <f t="shared" si="3"/>
        <v/>
      </c>
      <c r="S34" s="61" t="str">
        <f t="shared" si="4"/>
        <v/>
      </c>
      <c r="T34" s="61" t="str">
        <f t="shared" si="5"/>
        <v/>
      </c>
      <c r="U34" s="61" t="str">
        <f t="shared" si="6"/>
        <v/>
      </c>
      <c r="V34" s="61" t="str">
        <f t="shared" si="7"/>
        <v/>
      </c>
    </row>
    <row r="35" spans="1:22" x14ac:dyDescent="0.25">
      <c r="A35" s="40"/>
      <c r="B35" s="41"/>
      <c r="C35" s="41"/>
      <c r="D35" s="41"/>
      <c r="E35" s="41"/>
      <c r="F35" s="41"/>
      <c r="G35" s="42"/>
      <c r="H35" s="42"/>
      <c r="I35" s="42"/>
      <c r="J35" s="42"/>
      <c r="K35" s="34" t="str">
        <f t="shared" ca="1" si="0"/>
        <v/>
      </c>
      <c r="L35" s="41"/>
      <c r="M35" s="16" t="str">
        <f t="shared" ca="1" si="1"/>
        <v/>
      </c>
      <c r="N35" s="16" t="str">
        <f ca="1">IF(H35="","",IF(J35&lt;&gt;"",INDEX(_ゴミ箱_Backup!$B$75:$D$75,1,MATCH(言語切替!$B$3,_ゴミ箱_Backup!$B$1:$D$1,0)),IF(TODAY()&gt;H35,INDEX(_ゴミ箱_Backup!$B$92:$D$92,1,MATCH(言語切替!$B$3,_ゴミ箱_Backup!$B$1:$D$1,0)),IF(H35-TODAY()&lt;=7,INDEX(_ゴミ箱_Backup!$B$91:$D$91,1,MATCH(言語切替!$B$3,_ゴミ箱_Backup!$B$1:$D$1,0)),INDEX(_ゴミ箱_Backup!$B$90:$D$90,1,MATCH(言語切替!$B$3,_ゴミ箱_Backup!$B$1:$D$1,0))))))</f>
        <v/>
      </c>
      <c r="O35" s="41"/>
      <c r="P35" s="43"/>
      <c r="Q35" s="61" t="str">
        <f t="shared" si="2"/>
        <v/>
      </c>
      <c r="R35" s="61" t="str">
        <f t="shared" si="3"/>
        <v/>
      </c>
      <c r="S35" s="61" t="str">
        <f t="shared" si="4"/>
        <v/>
      </c>
      <c r="T35" s="61" t="str">
        <f t="shared" si="5"/>
        <v/>
      </c>
      <c r="U35" s="61" t="str">
        <f t="shared" si="6"/>
        <v/>
      </c>
      <c r="V35" s="61" t="str">
        <f t="shared" si="7"/>
        <v/>
      </c>
    </row>
    <row r="36" spans="1:22" x14ac:dyDescent="0.25">
      <c r="A36" s="36"/>
      <c r="B36" s="37"/>
      <c r="C36" s="37"/>
      <c r="D36" s="37"/>
      <c r="E36" s="37"/>
      <c r="F36" s="37"/>
      <c r="G36" s="38"/>
      <c r="H36" s="38"/>
      <c r="I36" s="38"/>
      <c r="J36" s="38"/>
      <c r="K36" s="29" t="str">
        <f t="shared" ca="1" si="0"/>
        <v/>
      </c>
      <c r="L36" s="37"/>
      <c r="M36" s="13" t="str">
        <f t="shared" ca="1" si="1"/>
        <v/>
      </c>
      <c r="N36" s="13" t="str">
        <f ca="1">IF(H36="","",IF(J36&lt;&gt;"",INDEX(_ゴミ箱_Backup!$B$75:$D$75,1,MATCH(言語切替!$B$3,_ゴミ箱_Backup!$B$1:$D$1,0)),IF(TODAY()&gt;H36,INDEX(_ゴミ箱_Backup!$B$92:$D$92,1,MATCH(言語切替!$B$3,_ゴミ箱_Backup!$B$1:$D$1,0)),IF(H36-TODAY()&lt;=7,INDEX(_ゴミ箱_Backup!$B$91:$D$91,1,MATCH(言語切替!$B$3,_ゴミ箱_Backup!$B$1:$D$1,0)),INDEX(_ゴミ箱_Backup!$B$90:$D$90,1,MATCH(言語切替!$B$3,_ゴミ箱_Backup!$B$1:$D$1,0))))))</f>
        <v/>
      </c>
      <c r="O36" s="37"/>
      <c r="P36" s="39"/>
      <c r="Q36" s="61" t="str">
        <f t="shared" si="2"/>
        <v/>
      </c>
      <c r="R36" s="61" t="str">
        <f t="shared" si="3"/>
        <v/>
      </c>
      <c r="S36" s="61" t="str">
        <f t="shared" si="4"/>
        <v/>
      </c>
      <c r="T36" s="61" t="str">
        <f t="shared" si="5"/>
        <v/>
      </c>
      <c r="U36" s="61" t="str">
        <f t="shared" si="6"/>
        <v/>
      </c>
      <c r="V36" s="61" t="str">
        <f t="shared" si="7"/>
        <v/>
      </c>
    </row>
    <row r="37" spans="1:22" x14ac:dyDescent="0.25">
      <c r="A37" s="40"/>
      <c r="B37" s="41"/>
      <c r="C37" s="41"/>
      <c r="D37" s="41"/>
      <c r="E37" s="41"/>
      <c r="F37" s="41"/>
      <c r="G37" s="42"/>
      <c r="H37" s="42"/>
      <c r="I37" s="42"/>
      <c r="J37" s="42"/>
      <c r="K37" s="34" t="str">
        <f t="shared" ref="K37:K68" ca="1" si="8">IF(OR(G37="",H37=""),"",IF(J37&lt;&gt;"",1,IF(I37="",0,MAX(0,MIN(1,(TODAY()-G37)/(H37-G37+1))))))</f>
        <v/>
      </c>
      <c r="L37" s="41"/>
      <c r="M37" s="16" t="str">
        <f t="shared" ref="M37:M68" ca="1" si="9">IF(H37="","",H37-TODAY())</f>
        <v/>
      </c>
      <c r="N37" s="16" t="str">
        <f ca="1">IF(H37="","",IF(J37&lt;&gt;"",INDEX(_ゴミ箱_Backup!$B$75:$D$75,1,MATCH(言語切替!$B$3,_ゴミ箱_Backup!$B$1:$D$1,0)),IF(TODAY()&gt;H37,INDEX(_ゴミ箱_Backup!$B$92:$D$92,1,MATCH(言語切替!$B$3,_ゴミ箱_Backup!$B$1:$D$1,0)),IF(H37-TODAY()&lt;=7,INDEX(_ゴミ箱_Backup!$B$91:$D$91,1,MATCH(言語切替!$B$3,_ゴミ箱_Backup!$B$1:$D$1,0)),INDEX(_ゴミ箱_Backup!$B$90:$D$90,1,MATCH(言語切替!$B$3,_ゴミ箱_Backup!$B$1:$D$1,0))))))</f>
        <v/>
      </c>
      <c r="O37" s="41"/>
      <c r="P37" s="43"/>
      <c r="Q37" s="61" t="str">
        <f t="shared" ref="Q37:Q68" si="10">IF(E37="","",IFERROR(_xlfn.TRANSLATE(E37,,"ja"),""))</f>
        <v/>
      </c>
      <c r="R37" s="61" t="str">
        <f t="shared" ref="R37:R68" si="11">IF(E37="","",IFERROR(_xlfn.TRANSLATE(E37,,"zh-Hans"),""))</f>
        <v/>
      </c>
      <c r="S37" s="61" t="str">
        <f t="shared" ref="S37:S68" si="12">IF(E37="","",IFERROR(_xlfn.TRANSLATE(E37,,"vi"),""))</f>
        <v/>
      </c>
      <c r="T37" s="61" t="str">
        <f t="shared" ref="T37:T68" si="13">IF(P37="","",IFERROR(_xlfn.TRANSLATE(P37,,"ja"),""))</f>
        <v/>
      </c>
      <c r="U37" s="61" t="str">
        <f t="shared" ref="U37:U68" si="14">IF(P37="","",IFERROR(_xlfn.TRANSLATE(P37,,"zh-Hans"),""))</f>
        <v/>
      </c>
      <c r="V37" s="61" t="str">
        <f t="shared" ref="V37:V68" si="15">IF(P37="","",IFERROR(_xlfn.TRANSLATE(P37,,"vi"),""))</f>
        <v/>
      </c>
    </row>
    <row r="38" spans="1:22" x14ac:dyDescent="0.25">
      <c r="A38" s="36"/>
      <c r="B38" s="37"/>
      <c r="C38" s="37"/>
      <c r="D38" s="37"/>
      <c r="E38" s="37"/>
      <c r="F38" s="37"/>
      <c r="G38" s="38"/>
      <c r="H38" s="38"/>
      <c r="I38" s="38"/>
      <c r="J38" s="38"/>
      <c r="K38" s="29" t="str">
        <f t="shared" ca="1" si="8"/>
        <v/>
      </c>
      <c r="L38" s="37"/>
      <c r="M38" s="13" t="str">
        <f t="shared" ca="1" si="9"/>
        <v/>
      </c>
      <c r="N38" s="13" t="str">
        <f ca="1">IF(H38="","",IF(J38&lt;&gt;"",INDEX(_ゴミ箱_Backup!$B$75:$D$75,1,MATCH(言語切替!$B$3,_ゴミ箱_Backup!$B$1:$D$1,0)),IF(TODAY()&gt;H38,INDEX(_ゴミ箱_Backup!$B$92:$D$92,1,MATCH(言語切替!$B$3,_ゴミ箱_Backup!$B$1:$D$1,0)),IF(H38-TODAY()&lt;=7,INDEX(_ゴミ箱_Backup!$B$91:$D$91,1,MATCH(言語切替!$B$3,_ゴミ箱_Backup!$B$1:$D$1,0)),INDEX(_ゴミ箱_Backup!$B$90:$D$90,1,MATCH(言語切替!$B$3,_ゴミ箱_Backup!$B$1:$D$1,0))))))</f>
        <v/>
      </c>
      <c r="O38" s="37"/>
      <c r="P38" s="39"/>
      <c r="Q38" s="61" t="str">
        <f t="shared" si="10"/>
        <v/>
      </c>
      <c r="R38" s="61" t="str">
        <f t="shared" si="11"/>
        <v/>
      </c>
      <c r="S38" s="61" t="str">
        <f t="shared" si="12"/>
        <v/>
      </c>
      <c r="T38" s="61" t="str">
        <f t="shared" si="13"/>
        <v/>
      </c>
      <c r="U38" s="61" t="str">
        <f t="shared" si="14"/>
        <v/>
      </c>
      <c r="V38" s="61" t="str">
        <f t="shared" si="15"/>
        <v/>
      </c>
    </row>
    <row r="39" spans="1:22" x14ac:dyDescent="0.25">
      <c r="A39" s="40"/>
      <c r="B39" s="41"/>
      <c r="C39" s="41"/>
      <c r="D39" s="41"/>
      <c r="E39" s="41"/>
      <c r="F39" s="41"/>
      <c r="G39" s="42"/>
      <c r="H39" s="42"/>
      <c r="I39" s="42"/>
      <c r="J39" s="42"/>
      <c r="K39" s="34" t="str">
        <f t="shared" ca="1" si="8"/>
        <v/>
      </c>
      <c r="L39" s="41"/>
      <c r="M39" s="16" t="str">
        <f t="shared" ca="1" si="9"/>
        <v/>
      </c>
      <c r="N39" s="16" t="str">
        <f ca="1">IF(H39="","",IF(J39&lt;&gt;"",INDEX(_ゴミ箱_Backup!$B$75:$D$75,1,MATCH(言語切替!$B$3,_ゴミ箱_Backup!$B$1:$D$1,0)),IF(TODAY()&gt;H39,INDEX(_ゴミ箱_Backup!$B$92:$D$92,1,MATCH(言語切替!$B$3,_ゴミ箱_Backup!$B$1:$D$1,0)),IF(H39-TODAY()&lt;=7,INDEX(_ゴミ箱_Backup!$B$91:$D$91,1,MATCH(言語切替!$B$3,_ゴミ箱_Backup!$B$1:$D$1,0)),INDEX(_ゴミ箱_Backup!$B$90:$D$90,1,MATCH(言語切替!$B$3,_ゴミ箱_Backup!$B$1:$D$1,0))))))</f>
        <v/>
      </c>
      <c r="O39" s="41"/>
      <c r="P39" s="43"/>
      <c r="Q39" s="61" t="str">
        <f t="shared" si="10"/>
        <v/>
      </c>
      <c r="R39" s="61" t="str">
        <f t="shared" si="11"/>
        <v/>
      </c>
      <c r="S39" s="61" t="str">
        <f t="shared" si="12"/>
        <v/>
      </c>
      <c r="T39" s="61" t="str">
        <f t="shared" si="13"/>
        <v/>
      </c>
      <c r="U39" s="61" t="str">
        <f t="shared" si="14"/>
        <v/>
      </c>
      <c r="V39" s="61" t="str">
        <f t="shared" si="15"/>
        <v/>
      </c>
    </row>
    <row r="40" spans="1:22" x14ac:dyDescent="0.25">
      <c r="A40" s="36"/>
      <c r="B40" s="37"/>
      <c r="C40" s="37"/>
      <c r="D40" s="37"/>
      <c r="E40" s="37"/>
      <c r="F40" s="37"/>
      <c r="G40" s="38"/>
      <c r="H40" s="38"/>
      <c r="I40" s="38"/>
      <c r="J40" s="38"/>
      <c r="K40" s="29" t="str">
        <f t="shared" ca="1" si="8"/>
        <v/>
      </c>
      <c r="L40" s="37"/>
      <c r="M40" s="13" t="str">
        <f t="shared" ca="1" si="9"/>
        <v/>
      </c>
      <c r="N40" s="13" t="str">
        <f ca="1">IF(H40="","",IF(J40&lt;&gt;"",INDEX(_ゴミ箱_Backup!$B$75:$D$75,1,MATCH(言語切替!$B$3,_ゴミ箱_Backup!$B$1:$D$1,0)),IF(TODAY()&gt;H40,INDEX(_ゴミ箱_Backup!$B$92:$D$92,1,MATCH(言語切替!$B$3,_ゴミ箱_Backup!$B$1:$D$1,0)),IF(H40-TODAY()&lt;=7,INDEX(_ゴミ箱_Backup!$B$91:$D$91,1,MATCH(言語切替!$B$3,_ゴミ箱_Backup!$B$1:$D$1,0)),INDEX(_ゴミ箱_Backup!$B$90:$D$90,1,MATCH(言語切替!$B$3,_ゴミ箱_Backup!$B$1:$D$1,0))))))</f>
        <v/>
      </c>
      <c r="O40" s="37"/>
      <c r="P40" s="39"/>
      <c r="Q40" s="61" t="str">
        <f t="shared" si="10"/>
        <v/>
      </c>
      <c r="R40" s="61" t="str">
        <f t="shared" si="11"/>
        <v/>
      </c>
      <c r="S40" s="61" t="str">
        <f t="shared" si="12"/>
        <v/>
      </c>
      <c r="T40" s="61" t="str">
        <f t="shared" si="13"/>
        <v/>
      </c>
      <c r="U40" s="61" t="str">
        <f t="shared" si="14"/>
        <v/>
      </c>
      <c r="V40" s="61" t="str">
        <f t="shared" si="15"/>
        <v/>
      </c>
    </row>
    <row r="41" spans="1:22" x14ac:dyDescent="0.25">
      <c r="A41" s="40"/>
      <c r="B41" s="41"/>
      <c r="C41" s="41"/>
      <c r="D41" s="41"/>
      <c r="E41" s="41"/>
      <c r="F41" s="41"/>
      <c r="G41" s="42"/>
      <c r="H41" s="42"/>
      <c r="I41" s="42"/>
      <c r="J41" s="42"/>
      <c r="K41" s="34" t="str">
        <f t="shared" ca="1" si="8"/>
        <v/>
      </c>
      <c r="L41" s="41"/>
      <c r="M41" s="16" t="str">
        <f t="shared" ca="1" si="9"/>
        <v/>
      </c>
      <c r="N41" s="16" t="str">
        <f ca="1">IF(H41="","",IF(J41&lt;&gt;"",INDEX(_ゴミ箱_Backup!$B$75:$D$75,1,MATCH(言語切替!$B$3,_ゴミ箱_Backup!$B$1:$D$1,0)),IF(TODAY()&gt;H41,INDEX(_ゴミ箱_Backup!$B$92:$D$92,1,MATCH(言語切替!$B$3,_ゴミ箱_Backup!$B$1:$D$1,0)),IF(H41-TODAY()&lt;=7,INDEX(_ゴミ箱_Backup!$B$91:$D$91,1,MATCH(言語切替!$B$3,_ゴミ箱_Backup!$B$1:$D$1,0)),INDEX(_ゴミ箱_Backup!$B$90:$D$90,1,MATCH(言語切替!$B$3,_ゴミ箱_Backup!$B$1:$D$1,0))))))</f>
        <v/>
      </c>
      <c r="O41" s="41"/>
      <c r="P41" s="43"/>
      <c r="Q41" s="61" t="str">
        <f t="shared" si="10"/>
        <v/>
      </c>
      <c r="R41" s="61" t="str">
        <f t="shared" si="11"/>
        <v/>
      </c>
      <c r="S41" s="61" t="str">
        <f t="shared" si="12"/>
        <v/>
      </c>
      <c r="T41" s="61" t="str">
        <f t="shared" si="13"/>
        <v/>
      </c>
      <c r="U41" s="61" t="str">
        <f t="shared" si="14"/>
        <v/>
      </c>
      <c r="V41" s="61" t="str">
        <f t="shared" si="15"/>
        <v/>
      </c>
    </row>
    <row r="42" spans="1:22" x14ac:dyDescent="0.25">
      <c r="A42" s="36"/>
      <c r="B42" s="37"/>
      <c r="C42" s="37"/>
      <c r="D42" s="37"/>
      <c r="E42" s="37"/>
      <c r="F42" s="37"/>
      <c r="G42" s="38"/>
      <c r="H42" s="38"/>
      <c r="I42" s="38"/>
      <c r="J42" s="38"/>
      <c r="K42" s="29" t="str">
        <f t="shared" ca="1" si="8"/>
        <v/>
      </c>
      <c r="L42" s="37"/>
      <c r="M42" s="13" t="str">
        <f t="shared" ca="1" si="9"/>
        <v/>
      </c>
      <c r="N42" s="13" t="str">
        <f ca="1">IF(H42="","",IF(J42&lt;&gt;"",INDEX(_ゴミ箱_Backup!$B$75:$D$75,1,MATCH(言語切替!$B$3,_ゴミ箱_Backup!$B$1:$D$1,0)),IF(TODAY()&gt;H42,INDEX(_ゴミ箱_Backup!$B$92:$D$92,1,MATCH(言語切替!$B$3,_ゴミ箱_Backup!$B$1:$D$1,0)),IF(H42-TODAY()&lt;=7,INDEX(_ゴミ箱_Backup!$B$91:$D$91,1,MATCH(言語切替!$B$3,_ゴミ箱_Backup!$B$1:$D$1,0)),INDEX(_ゴミ箱_Backup!$B$90:$D$90,1,MATCH(言語切替!$B$3,_ゴミ箱_Backup!$B$1:$D$1,0))))))</f>
        <v/>
      </c>
      <c r="O42" s="37"/>
      <c r="P42" s="39"/>
      <c r="Q42" s="61" t="str">
        <f t="shared" si="10"/>
        <v/>
      </c>
      <c r="R42" s="61" t="str">
        <f t="shared" si="11"/>
        <v/>
      </c>
      <c r="S42" s="61" t="str">
        <f t="shared" si="12"/>
        <v/>
      </c>
      <c r="T42" s="61" t="str">
        <f t="shared" si="13"/>
        <v/>
      </c>
      <c r="U42" s="61" t="str">
        <f t="shared" si="14"/>
        <v/>
      </c>
      <c r="V42" s="61" t="str">
        <f t="shared" si="15"/>
        <v/>
      </c>
    </row>
    <row r="43" spans="1:22" x14ac:dyDescent="0.25">
      <c r="A43" s="40"/>
      <c r="B43" s="41"/>
      <c r="C43" s="41"/>
      <c r="D43" s="41"/>
      <c r="E43" s="41"/>
      <c r="F43" s="41"/>
      <c r="G43" s="42"/>
      <c r="H43" s="42"/>
      <c r="I43" s="42"/>
      <c r="J43" s="42"/>
      <c r="K43" s="34" t="str">
        <f t="shared" ca="1" si="8"/>
        <v/>
      </c>
      <c r="L43" s="41"/>
      <c r="M43" s="16" t="str">
        <f t="shared" ca="1" si="9"/>
        <v/>
      </c>
      <c r="N43" s="16" t="str">
        <f ca="1">IF(H43="","",IF(J43&lt;&gt;"",INDEX(_ゴミ箱_Backup!$B$75:$D$75,1,MATCH(言語切替!$B$3,_ゴミ箱_Backup!$B$1:$D$1,0)),IF(TODAY()&gt;H43,INDEX(_ゴミ箱_Backup!$B$92:$D$92,1,MATCH(言語切替!$B$3,_ゴミ箱_Backup!$B$1:$D$1,0)),IF(H43-TODAY()&lt;=7,INDEX(_ゴミ箱_Backup!$B$91:$D$91,1,MATCH(言語切替!$B$3,_ゴミ箱_Backup!$B$1:$D$1,0)),INDEX(_ゴミ箱_Backup!$B$90:$D$90,1,MATCH(言語切替!$B$3,_ゴミ箱_Backup!$B$1:$D$1,0))))))</f>
        <v/>
      </c>
      <c r="O43" s="41"/>
      <c r="P43" s="43"/>
      <c r="Q43" s="61" t="str">
        <f t="shared" si="10"/>
        <v/>
      </c>
      <c r="R43" s="61" t="str">
        <f t="shared" si="11"/>
        <v/>
      </c>
      <c r="S43" s="61" t="str">
        <f t="shared" si="12"/>
        <v/>
      </c>
      <c r="T43" s="61" t="str">
        <f t="shared" si="13"/>
        <v/>
      </c>
      <c r="U43" s="61" t="str">
        <f t="shared" si="14"/>
        <v/>
      </c>
      <c r="V43" s="61" t="str">
        <f t="shared" si="15"/>
        <v/>
      </c>
    </row>
    <row r="44" spans="1:22" x14ac:dyDescent="0.25">
      <c r="A44" s="36"/>
      <c r="B44" s="37"/>
      <c r="C44" s="37"/>
      <c r="D44" s="37"/>
      <c r="E44" s="37"/>
      <c r="F44" s="37"/>
      <c r="G44" s="38"/>
      <c r="H44" s="38"/>
      <c r="I44" s="38"/>
      <c r="J44" s="38"/>
      <c r="K44" s="29" t="str">
        <f t="shared" ca="1" si="8"/>
        <v/>
      </c>
      <c r="L44" s="37"/>
      <c r="M44" s="13" t="str">
        <f t="shared" ca="1" si="9"/>
        <v/>
      </c>
      <c r="N44" s="13" t="str">
        <f ca="1">IF(H44="","",IF(J44&lt;&gt;"",INDEX(_ゴミ箱_Backup!$B$75:$D$75,1,MATCH(言語切替!$B$3,_ゴミ箱_Backup!$B$1:$D$1,0)),IF(TODAY()&gt;H44,INDEX(_ゴミ箱_Backup!$B$92:$D$92,1,MATCH(言語切替!$B$3,_ゴミ箱_Backup!$B$1:$D$1,0)),IF(H44-TODAY()&lt;=7,INDEX(_ゴミ箱_Backup!$B$91:$D$91,1,MATCH(言語切替!$B$3,_ゴミ箱_Backup!$B$1:$D$1,0)),INDEX(_ゴミ箱_Backup!$B$90:$D$90,1,MATCH(言語切替!$B$3,_ゴミ箱_Backup!$B$1:$D$1,0))))))</f>
        <v/>
      </c>
      <c r="O44" s="37"/>
      <c r="P44" s="39"/>
      <c r="Q44" s="61" t="str">
        <f t="shared" si="10"/>
        <v/>
      </c>
      <c r="R44" s="61" t="str">
        <f t="shared" si="11"/>
        <v/>
      </c>
      <c r="S44" s="61" t="str">
        <f t="shared" si="12"/>
        <v/>
      </c>
      <c r="T44" s="61" t="str">
        <f t="shared" si="13"/>
        <v/>
      </c>
      <c r="U44" s="61" t="str">
        <f t="shared" si="14"/>
        <v/>
      </c>
      <c r="V44" s="61" t="str">
        <f t="shared" si="15"/>
        <v/>
      </c>
    </row>
    <row r="45" spans="1:22" x14ac:dyDescent="0.25">
      <c r="A45" s="40"/>
      <c r="B45" s="41"/>
      <c r="C45" s="41"/>
      <c r="D45" s="41"/>
      <c r="E45" s="41"/>
      <c r="F45" s="41"/>
      <c r="G45" s="42"/>
      <c r="H45" s="42"/>
      <c r="I45" s="42"/>
      <c r="J45" s="42"/>
      <c r="K45" s="34" t="str">
        <f t="shared" ca="1" si="8"/>
        <v/>
      </c>
      <c r="L45" s="41"/>
      <c r="M45" s="16" t="str">
        <f t="shared" ca="1" si="9"/>
        <v/>
      </c>
      <c r="N45" s="16" t="str">
        <f ca="1">IF(H45="","",IF(J45&lt;&gt;"",INDEX(_ゴミ箱_Backup!$B$75:$D$75,1,MATCH(言語切替!$B$3,_ゴミ箱_Backup!$B$1:$D$1,0)),IF(TODAY()&gt;H45,INDEX(_ゴミ箱_Backup!$B$92:$D$92,1,MATCH(言語切替!$B$3,_ゴミ箱_Backup!$B$1:$D$1,0)),IF(H45-TODAY()&lt;=7,INDEX(_ゴミ箱_Backup!$B$91:$D$91,1,MATCH(言語切替!$B$3,_ゴミ箱_Backup!$B$1:$D$1,0)),INDEX(_ゴミ箱_Backup!$B$90:$D$90,1,MATCH(言語切替!$B$3,_ゴミ箱_Backup!$B$1:$D$1,0))))))</f>
        <v/>
      </c>
      <c r="O45" s="41"/>
      <c r="P45" s="43"/>
      <c r="Q45" s="61" t="str">
        <f t="shared" si="10"/>
        <v/>
      </c>
      <c r="R45" s="61" t="str">
        <f t="shared" si="11"/>
        <v/>
      </c>
      <c r="S45" s="61" t="str">
        <f t="shared" si="12"/>
        <v/>
      </c>
      <c r="T45" s="61" t="str">
        <f t="shared" si="13"/>
        <v/>
      </c>
      <c r="U45" s="61" t="str">
        <f t="shared" si="14"/>
        <v/>
      </c>
      <c r="V45" s="61" t="str">
        <f t="shared" si="15"/>
        <v/>
      </c>
    </row>
    <row r="46" spans="1:22" x14ac:dyDescent="0.25">
      <c r="A46" s="36"/>
      <c r="B46" s="37"/>
      <c r="C46" s="37"/>
      <c r="D46" s="37"/>
      <c r="E46" s="37"/>
      <c r="F46" s="37"/>
      <c r="G46" s="38"/>
      <c r="H46" s="38"/>
      <c r="I46" s="38"/>
      <c r="J46" s="38"/>
      <c r="K46" s="29" t="str">
        <f t="shared" ca="1" si="8"/>
        <v/>
      </c>
      <c r="L46" s="37"/>
      <c r="M46" s="13" t="str">
        <f t="shared" ca="1" si="9"/>
        <v/>
      </c>
      <c r="N46" s="13" t="str">
        <f ca="1">IF(H46="","",IF(J46&lt;&gt;"",INDEX(_ゴミ箱_Backup!$B$75:$D$75,1,MATCH(言語切替!$B$3,_ゴミ箱_Backup!$B$1:$D$1,0)),IF(TODAY()&gt;H46,INDEX(_ゴミ箱_Backup!$B$92:$D$92,1,MATCH(言語切替!$B$3,_ゴミ箱_Backup!$B$1:$D$1,0)),IF(H46-TODAY()&lt;=7,INDEX(_ゴミ箱_Backup!$B$91:$D$91,1,MATCH(言語切替!$B$3,_ゴミ箱_Backup!$B$1:$D$1,0)),INDEX(_ゴミ箱_Backup!$B$90:$D$90,1,MATCH(言語切替!$B$3,_ゴミ箱_Backup!$B$1:$D$1,0))))))</f>
        <v/>
      </c>
      <c r="O46" s="37"/>
      <c r="P46" s="39"/>
      <c r="Q46" s="61" t="str">
        <f t="shared" si="10"/>
        <v/>
      </c>
      <c r="R46" s="61" t="str">
        <f t="shared" si="11"/>
        <v/>
      </c>
      <c r="S46" s="61" t="str">
        <f t="shared" si="12"/>
        <v/>
      </c>
      <c r="T46" s="61" t="str">
        <f t="shared" si="13"/>
        <v/>
      </c>
      <c r="U46" s="61" t="str">
        <f t="shared" si="14"/>
        <v/>
      </c>
      <c r="V46" s="61" t="str">
        <f t="shared" si="15"/>
        <v/>
      </c>
    </row>
    <row r="47" spans="1:22" x14ac:dyDescent="0.25">
      <c r="A47" s="40"/>
      <c r="B47" s="41"/>
      <c r="C47" s="41"/>
      <c r="D47" s="41"/>
      <c r="E47" s="41"/>
      <c r="F47" s="41"/>
      <c r="G47" s="42"/>
      <c r="H47" s="42"/>
      <c r="I47" s="42"/>
      <c r="J47" s="42"/>
      <c r="K47" s="34" t="str">
        <f t="shared" ca="1" si="8"/>
        <v/>
      </c>
      <c r="L47" s="41"/>
      <c r="M47" s="16" t="str">
        <f t="shared" ca="1" si="9"/>
        <v/>
      </c>
      <c r="N47" s="16" t="str">
        <f ca="1">IF(H47="","",IF(J47&lt;&gt;"",INDEX(_ゴミ箱_Backup!$B$75:$D$75,1,MATCH(言語切替!$B$3,_ゴミ箱_Backup!$B$1:$D$1,0)),IF(TODAY()&gt;H47,INDEX(_ゴミ箱_Backup!$B$92:$D$92,1,MATCH(言語切替!$B$3,_ゴミ箱_Backup!$B$1:$D$1,0)),IF(H47-TODAY()&lt;=7,INDEX(_ゴミ箱_Backup!$B$91:$D$91,1,MATCH(言語切替!$B$3,_ゴミ箱_Backup!$B$1:$D$1,0)),INDEX(_ゴミ箱_Backup!$B$90:$D$90,1,MATCH(言語切替!$B$3,_ゴミ箱_Backup!$B$1:$D$1,0))))))</f>
        <v/>
      </c>
      <c r="O47" s="41"/>
      <c r="P47" s="43"/>
      <c r="Q47" s="61" t="str">
        <f t="shared" si="10"/>
        <v/>
      </c>
      <c r="R47" s="61" t="str">
        <f t="shared" si="11"/>
        <v/>
      </c>
      <c r="S47" s="61" t="str">
        <f t="shared" si="12"/>
        <v/>
      </c>
      <c r="T47" s="61" t="str">
        <f t="shared" si="13"/>
        <v/>
      </c>
      <c r="U47" s="61" t="str">
        <f t="shared" si="14"/>
        <v/>
      </c>
      <c r="V47" s="61" t="str">
        <f t="shared" si="15"/>
        <v/>
      </c>
    </row>
    <row r="48" spans="1:22" x14ac:dyDescent="0.25">
      <c r="A48" s="36"/>
      <c r="B48" s="37"/>
      <c r="C48" s="37"/>
      <c r="D48" s="37"/>
      <c r="E48" s="37"/>
      <c r="F48" s="37"/>
      <c r="G48" s="38"/>
      <c r="H48" s="38"/>
      <c r="I48" s="38"/>
      <c r="J48" s="38"/>
      <c r="K48" s="29" t="str">
        <f t="shared" ca="1" si="8"/>
        <v/>
      </c>
      <c r="L48" s="37"/>
      <c r="M48" s="13" t="str">
        <f t="shared" ca="1" si="9"/>
        <v/>
      </c>
      <c r="N48" s="13" t="str">
        <f ca="1">IF(H48="","",IF(J48&lt;&gt;"",INDEX(_ゴミ箱_Backup!$B$75:$D$75,1,MATCH(言語切替!$B$3,_ゴミ箱_Backup!$B$1:$D$1,0)),IF(TODAY()&gt;H48,INDEX(_ゴミ箱_Backup!$B$92:$D$92,1,MATCH(言語切替!$B$3,_ゴミ箱_Backup!$B$1:$D$1,0)),IF(H48-TODAY()&lt;=7,INDEX(_ゴミ箱_Backup!$B$91:$D$91,1,MATCH(言語切替!$B$3,_ゴミ箱_Backup!$B$1:$D$1,0)),INDEX(_ゴミ箱_Backup!$B$90:$D$90,1,MATCH(言語切替!$B$3,_ゴミ箱_Backup!$B$1:$D$1,0))))))</f>
        <v/>
      </c>
      <c r="O48" s="37"/>
      <c r="P48" s="39"/>
      <c r="Q48" s="61" t="str">
        <f t="shared" si="10"/>
        <v/>
      </c>
      <c r="R48" s="61" t="str">
        <f t="shared" si="11"/>
        <v/>
      </c>
      <c r="S48" s="61" t="str">
        <f t="shared" si="12"/>
        <v/>
      </c>
      <c r="T48" s="61" t="str">
        <f t="shared" si="13"/>
        <v/>
      </c>
      <c r="U48" s="61" t="str">
        <f t="shared" si="14"/>
        <v/>
      </c>
      <c r="V48" s="61" t="str">
        <f t="shared" si="15"/>
        <v/>
      </c>
    </row>
    <row r="49" spans="1:22" x14ac:dyDescent="0.25">
      <c r="A49" s="40"/>
      <c r="B49" s="41"/>
      <c r="C49" s="41"/>
      <c r="D49" s="41"/>
      <c r="E49" s="41"/>
      <c r="F49" s="41"/>
      <c r="G49" s="42"/>
      <c r="H49" s="42"/>
      <c r="I49" s="42"/>
      <c r="J49" s="42"/>
      <c r="K49" s="34" t="str">
        <f t="shared" ca="1" si="8"/>
        <v/>
      </c>
      <c r="L49" s="41"/>
      <c r="M49" s="16" t="str">
        <f t="shared" ca="1" si="9"/>
        <v/>
      </c>
      <c r="N49" s="16" t="str">
        <f ca="1">IF(H49="","",IF(J49&lt;&gt;"",INDEX(_ゴミ箱_Backup!$B$75:$D$75,1,MATCH(言語切替!$B$3,_ゴミ箱_Backup!$B$1:$D$1,0)),IF(TODAY()&gt;H49,INDEX(_ゴミ箱_Backup!$B$92:$D$92,1,MATCH(言語切替!$B$3,_ゴミ箱_Backup!$B$1:$D$1,0)),IF(H49-TODAY()&lt;=7,INDEX(_ゴミ箱_Backup!$B$91:$D$91,1,MATCH(言語切替!$B$3,_ゴミ箱_Backup!$B$1:$D$1,0)),INDEX(_ゴミ箱_Backup!$B$90:$D$90,1,MATCH(言語切替!$B$3,_ゴミ箱_Backup!$B$1:$D$1,0))))))</f>
        <v/>
      </c>
      <c r="O49" s="41"/>
      <c r="P49" s="43"/>
      <c r="Q49" s="61" t="str">
        <f t="shared" si="10"/>
        <v/>
      </c>
      <c r="R49" s="61" t="str">
        <f t="shared" si="11"/>
        <v/>
      </c>
      <c r="S49" s="61" t="str">
        <f t="shared" si="12"/>
        <v/>
      </c>
      <c r="T49" s="61" t="str">
        <f t="shared" si="13"/>
        <v/>
      </c>
      <c r="U49" s="61" t="str">
        <f t="shared" si="14"/>
        <v/>
      </c>
      <c r="V49" s="61" t="str">
        <f t="shared" si="15"/>
        <v/>
      </c>
    </row>
    <row r="50" spans="1:22" x14ac:dyDescent="0.25">
      <c r="A50" s="36"/>
      <c r="B50" s="37"/>
      <c r="C50" s="37"/>
      <c r="D50" s="37"/>
      <c r="E50" s="37"/>
      <c r="F50" s="37"/>
      <c r="G50" s="38"/>
      <c r="H50" s="38"/>
      <c r="I50" s="38"/>
      <c r="J50" s="38"/>
      <c r="K50" s="29" t="str">
        <f t="shared" ca="1" si="8"/>
        <v/>
      </c>
      <c r="L50" s="37"/>
      <c r="M50" s="13" t="str">
        <f t="shared" ca="1" si="9"/>
        <v/>
      </c>
      <c r="N50" s="13" t="str">
        <f ca="1">IF(H50="","",IF(J50&lt;&gt;"",INDEX(_ゴミ箱_Backup!$B$75:$D$75,1,MATCH(言語切替!$B$3,_ゴミ箱_Backup!$B$1:$D$1,0)),IF(TODAY()&gt;H50,INDEX(_ゴミ箱_Backup!$B$92:$D$92,1,MATCH(言語切替!$B$3,_ゴミ箱_Backup!$B$1:$D$1,0)),IF(H50-TODAY()&lt;=7,INDEX(_ゴミ箱_Backup!$B$91:$D$91,1,MATCH(言語切替!$B$3,_ゴミ箱_Backup!$B$1:$D$1,0)),INDEX(_ゴミ箱_Backup!$B$90:$D$90,1,MATCH(言語切替!$B$3,_ゴミ箱_Backup!$B$1:$D$1,0))))))</f>
        <v/>
      </c>
      <c r="O50" s="37"/>
      <c r="P50" s="39"/>
      <c r="Q50" s="61" t="str">
        <f t="shared" si="10"/>
        <v/>
      </c>
      <c r="R50" s="61" t="str">
        <f t="shared" si="11"/>
        <v/>
      </c>
      <c r="S50" s="61" t="str">
        <f t="shared" si="12"/>
        <v/>
      </c>
      <c r="T50" s="61" t="str">
        <f t="shared" si="13"/>
        <v/>
      </c>
      <c r="U50" s="61" t="str">
        <f t="shared" si="14"/>
        <v/>
      </c>
      <c r="V50" s="61" t="str">
        <f t="shared" si="15"/>
        <v/>
      </c>
    </row>
    <row r="51" spans="1:22" x14ac:dyDescent="0.25">
      <c r="A51" s="40"/>
      <c r="B51" s="41"/>
      <c r="C51" s="41"/>
      <c r="D51" s="41"/>
      <c r="E51" s="41"/>
      <c r="F51" s="41"/>
      <c r="G51" s="42"/>
      <c r="H51" s="42"/>
      <c r="I51" s="42"/>
      <c r="J51" s="42"/>
      <c r="K51" s="34" t="str">
        <f t="shared" ca="1" si="8"/>
        <v/>
      </c>
      <c r="L51" s="41"/>
      <c r="M51" s="16" t="str">
        <f t="shared" ca="1" si="9"/>
        <v/>
      </c>
      <c r="N51" s="16" t="str">
        <f ca="1">IF(H51="","",IF(J51&lt;&gt;"",INDEX(_ゴミ箱_Backup!$B$75:$D$75,1,MATCH(言語切替!$B$3,_ゴミ箱_Backup!$B$1:$D$1,0)),IF(TODAY()&gt;H51,INDEX(_ゴミ箱_Backup!$B$92:$D$92,1,MATCH(言語切替!$B$3,_ゴミ箱_Backup!$B$1:$D$1,0)),IF(H51-TODAY()&lt;=7,INDEX(_ゴミ箱_Backup!$B$91:$D$91,1,MATCH(言語切替!$B$3,_ゴミ箱_Backup!$B$1:$D$1,0)),INDEX(_ゴミ箱_Backup!$B$90:$D$90,1,MATCH(言語切替!$B$3,_ゴミ箱_Backup!$B$1:$D$1,0))))))</f>
        <v/>
      </c>
      <c r="O51" s="41"/>
      <c r="P51" s="43"/>
      <c r="Q51" s="61" t="str">
        <f t="shared" si="10"/>
        <v/>
      </c>
      <c r="R51" s="61" t="str">
        <f t="shared" si="11"/>
        <v/>
      </c>
      <c r="S51" s="61" t="str">
        <f t="shared" si="12"/>
        <v/>
      </c>
      <c r="T51" s="61" t="str">
        <f t="shared" si="13"/>
        <v/>
      </c>
      <c r="U51" s="61" t="str">
        <f t="shared" si="14"/>
        <v/>
      </c>
      <c r="V51" s="61" t="str">
        <f t="shared" si="15"/>
        <v/>
      </c>
    </row>
    <row r="52" spans="1:22" x14ac:dyDescent="0.25">
      <c r="A52" s="36"/>
      <c r="B52" s="37"/>
      <c r="C52" s="37"/>
      <c r="D52" s="37"/>
      <c r="E52" s="37"/>
      <c r="F52" s="37"/>
      <c r="G52" s="38"/>
      <c r="H52" s="38"/>
      <c r="I52" s="38"/>
      <c r="J52" s="38"/>
      <c r="K52" s="29" t="str">
        <f t="shared" ca="1" si="8"/>
        <v/>
      </c>
      <c r="L52" s="37"/>
      <c r="M52" s="13" t="str">
        <f t="shared" ca="1" si="9"/>
        <v/>
      </c>
      <c r="N52" s="13" t="str">
        <f ca="1">IF(H52="","",IF(J52&lt;&gt;"",INDEX(_ゴミ箱_Backup!$B$75:$D$75,1,MATCH(言語切替!$B$3,_ゴミ箱_Backup!$B$1:$D$1,0)),IF(TODAY()&gt;H52,INDEX(_ゴミ箱_Backup!$B$92:$D$92,1,MATCH(言語切替!$B$3,_ゴミ箱_Backup!$B$1:$D$1,0)),IF(H52-TODAY()&lt;=7,INDEX(_ゴミ箱_Backup!$B$91:$D$91,1,MATCH(言語切替!$B$3,_ゴミ箱_Backup!$B$1:$D$1,0)),INDEX(_ゴミ箱_Backup!$B$90:$D$90,1,MATCH(言語切替!$B$3,_ゴミ箱_Backup!$B$1:$D$1,0))))))</f>
        <v/>
      </c>
      <c r="O52" s="37"/>
      <c r="P52" s="39"/>
      <c r="Q52" s="61" t="str">
        <f t="shared" si="10"/>
        <v/>
      </c>
      <c r="R52" s="61" t="str">
        <f t="shared" si="11"/>
        <v/>
      </c>
      <c r="S52" s="61" t="str">
        <f t="shared" si="12"/>
        <v/>
      </c>
      <c r="T52" s="61" t="str">
        <f t="shared" si="13"/>
        <v/>
      </c>
      <c r="U52" s="61" t="str">
        <f t="shared" si="14"/>
        <v/>
      </c>
      <c r="V52" s="61" t="str">
        <f t="shared" si="15"/>
        <v/>
      </c>
    </row>
    <row r="53" spans="1:22" x14ac:dyDescent="0.25">
      <c r="A53" s="40"/>
      <c r="B53" s="41"/>
      <c r="C53" s="41"/>
      <c r="D53" s="41"/>
      <c r="E53" s="41"/>
      <c r="F53" s="41"/>
      <c r="G53" s="42"/>
      <c r="H53" s="42"/>
      <c r="I53" s="42"/>
      <c r="J53" s="42"/>
      <c r="K53" s="34" t="str">
        <f t="shared" ca="1" si="8"/>
        <v/>
      </c>
      <c r="L53" s="41"/>
      <c r="M53" s="16" t="str">
        <f t="shared" ca="1" si="9"/>
        <v/>
      </c>
      <c r="N53" s="16" t="str">
        <f ca="1">IF(H53="","",IF(J53&lt;&gt;"",INDEX(_ゴミ箱_Backup!$B$75:$D$75,1,MATCH(言語切替!$B$3,_ゴミ箱_Backup!$B$1:$D$1,0)),IF(TODAY()&gt;H53,INDEX(_ゴミ箱_Backup!$B$92:$D$92,1,MATCH(言語切替!$B$3,_ゴミ箱_Backup!$B$1:$D$1,0)),IF(H53-TODAY()&lt;=7,INDEX(_ゴミ箱_Backup!$B$91:$D$91,1,MATCH(言語切替!$B$3,_ゴミ箱_Backup!$B$1:$D$1,0)),INDEX(_ゴミ箱_Backup!$B$90:$D$90,1,MATCH(言語切替!$B$3,_ゴミ箱_Backup!$B$1:$D$1,0))))))</f>
        <v/>
      </c>
      <c r="O53" s="41"/>
      <c r="P53" s="43"/>
      <c r="Q53" s="61" t="str">
        <f t="shared" si="10"/>
        <v/>
      </c>
      <c r="R53" s="61" t="str">
        <f t="shared" si="11"/>
        <v/>
      </c>
      <c r="S53" s="61" t="str">
        <f t="shared" si="12"/>
        <v/>
      </c>
      <c r="T53" s="61" t="str">
        <f t="shared" si="13"/>
        <v/>
      </c>
      <c r="U53" s="61" t="str">
        <f t="shared" si="14"/>
        <v/>
      </c>
      <c r="V53" s="61" t="str">
        <f t="shared" si="15"/>
        <v/>
      </c>
    </row>
    <row r="54" spans="1:22" x14ac:dyDescent="0.25">
      <c r="A54" s="36"/>
      <c r="B54" s="37"/>
      <c r="C54" s="37"/>
      <c r="D54" s="37"/>
      <c r="E54" s="37"/>
      <c r="F54" s="37"/>
      <c r="G54" s="38"/>
      <c r="H54" s="38"/>
      <c r="I54" s="38"/>
      <c r="J54" s="38"/>
      <c r="K54" s="29" t="str">
        <f t="shared" ca="1" si="8"/>
        <v/>
      </c>
      <c r="L54" s="37"/>
      <c r="M54" s="13" t="str">
        <f t="shared" ca="1" si="9"/>
        <v/>
      </c>
      <c r="N54" s="13" t="str">
        <f ca="1">IF(H54="","",IF(J54&lt;&gt;"",INDEX(_ゴミ箱_Backup!$B$75:$D$75,1,MATCH(言語切替!$B$3,_ゴミ箱_Backup!$B$1:$D$1,0)),IF(TODAY()&gt;H54,INDEX(_ゴミ箱_Backup!$B$92:$D$92,1,MATCH(言語切替!$B$3,_ゴミ箱_Backup!$B$1:$D$1,0)),IF(H54-TODAY()&lt;=7,INDEX(_ゴミ箱_Backup!$B$91:$D$91,1,MATCH(言語切替!$B$3,_ゴミ箱_Backup!$B$1:$D$1,0)),INDEX(_ゴミ箱_Backup!$B$90:$D$90,1,MATCH(言語切替!$B$3,_ゴミ箱_Backup!$B$1:$D$1,0))))))</f>
        <v/>
      </c>
      <c r="O54" s="37"/>
      <c r="P54" s="39"/>
      <c r="Q54" s="61" t="str">
        <f t="shared" si="10"/>
        <v/>
      </c>
      <c r="R54" s="61" t="str">
        <f t="shared" si="11"/>
        <v/>
      </c>
      <c r="S54" s="61" t="str">
        <f t="shared" si="12"/>
        <v/>
      </c>
      <c r="T54" s="61" t="str">
        <f t="shared" si="13"/>
        <v/>
      </c>
      <c r="U54" s="61" t="str">
        <f t="shared" si="14"/>
        <v/>
      </c>
      <c r="V54" s="61" t="str">
        <f t="shared" si="15"/>
        <v/>
      </c>
    </row>
    <row r="55" spans="1:22" x14ac:dyDescent="0.25">
      <c r="A55" s="40"/>
      <c r="B55" s="41"/>
      <c r="C55" s="41"/>
      <c r="D55" s="41"/>
      <c r="E55" s="41"/>
      <c r="F55" s="41"/>
      <c r="G55" s="42"/>
      <c r="H55" s="42"/>
      <c r="I55" s="42"/>
      <c r="J55" s="42"/>
      <c r="K55" s="34" t="str">
        <f t="shared" ca="1" si="8"/>
        <v/>
      </c>
      <c r="L55" s="41"/>
      <c r="M55" s="16" t="str">
        <f t="shared" ca="1" si="9"/>
        <v/>
      </c>
      <c r="N55" s="16" t="str">
        <f ca="1">IF(H55="","",IF(J55&lt;&gt;"",INDEX(_ゴミ箱_Backup!$B$75:$D$75,1,MATCH(言語切替!$B$3,_ゴミ箱_Backup!$B$1:$D$1,0)),IF(TODAY()&gt;H55,INDEX(_ゴミ箱_Backup!$B$92:$D$92,1,MATCH(言語切替!$B$3,_ゴミ箱_Backup!$B$1:$D$1,0)),IF(H55-TODAY()&lt;=7,INDEX(_ゴミ箱_Backup!$B$91:$D$91,1,MATCH(言語切替!$B$3,_ゴミ箱_Backup!$B$1:$D$1,0)),INDEX(_ゴミ箱_Backup!$B$90:$D$90,1,MATCH(言語切替!$B$3,_ゴミ箱_Backup!$B$1:$D$1,0))))))</f>
        <v/>
      </c>
      <c r="O55" s="41"/>
      <c r="P55" s="43"/>
      <c r="Q55" s="61" t="str">
        <f t="shared" si="10"/>
        <v/>
      </c>
      <c r="R55" s="61" t="str">
        <f t="shared" si="11"/>
        <v/>
      </c>
      <c r="S55" s="61" t="str">
        <f t="shared" si="12"/>
        <v/>
      </c>
      <c r="T55" s="61" t="str">
        <f t="shared" si="13"/>
        <v/>
      </c>
      <c r="U55" s="61" t="str">
        <f t="shared" si="14"/>
        <v/>
      </c>
      <c r="V55" s="61" t="str">
        <f t="shared" si="15"/>
        <v/>
      </c>
    </row>
    <row r="56" spans="1:22" x14ac:dyDescent="0.25">
      <c r="A56" s="36"/>
      <c r="B56" s="37"/>
      <c r="C56" s="37"/>
      <c r="D56" s="37"/>
      <c r="E56" s="37"/>
      <c r="F56" s="37"/>
      <c r="G56" s="38"/>
      <c r="H56" s="38"/>
      <c r="I56" s="38"/>
      <c r="J56" s="38"/>
      <c r="K56" s="29" t="str">
        <f t="shared" ca="1" si="8"/>
        <v/>
      </c>
      <c r="L56" s="37"/>
      <c r="M56" s="13" t="str">
        <f t="shared" ca="1" si="9"/>
        <v/>
      </c>
      <c r="N56" s="13" t="str">
        <f ca="1">IF(H56="","",IF(J56&lt;&gt;"",INDEX(_ゴミ箱_Backup!$B$75:$D$75,1,MATCH(言語切替!$B$3,_ゴミ箱_Backup!$B$1:$D$1,0)),IF(TODAY()&gt;H56,INDEX(_ゴミ箱_Backup!$B$92:$D$92,1,MATCH(言語切替!$B$3,_ゴミ箱_Backup!$B$1:$D$1,0)),IF(H56-TODAY()&lt;=7,INDEX(_ゴミ箱_Backup!$B$91:$D$91,1,MATCH(言語切替!$B$3,_ゴミ箱_Backup!$B$1:$D$1,0)),INDEX(_ゴミ箱_Backup!$B$90:$D$90,1,MATCH(言語切替!$B$3,_ゴミ箱_Backup!$B$1:$D$1,0))))))</f>
        <v/>
      </c>
      <c r="O56" s="37"/>
      <c r="P56" s="39"/>
      <c r="Q56" s="61" t="str">
        <f t="shared" si="10"/>
        <v/>
      </c>
      <c r="R56" s="61" t="str">
        <f t="shared" si="11"/>
        <v/>
      </c>
      <c r="S56" s="61" t="str">
        <f t="shared" si="12"/>
        <v/>
      </c>
      <c r="T56" s="61" t="str">
        <f t="shared" si="13"/>
        <v/>
      </c>
      <c r="U56" s="61" t="str">
        <f t="shared" si="14"/>
        <v/>
      </c>
      <c r="V56" s="61" t="str">
        <f t="shared" si="15"/>
        <v/>
      </c>
    </row>
    <row r="57" spans="1:22" x14ac:dyDescent="0.25">
      <c r="A57" s="40"/>
      <c r="B57" s="41"/>
      <c r="C57" s="41"/>
      <c r="D57" s="41"/>
      <c r="E57" s="41"/>
      <c r="F57" s="41"/>
      <c r="G57" s="42"/>
      <c r="H57" s="42"/>
      <c r="I57" s="42"/>
      <c r="J57" s="42"/>
      <c r="K57" s="34" t="str">
        <f t="shared" ca="1" si="8"/>
        <v/>
      </c>
      <c r="L57" s="41"/>
      <c r="M57" s="16" t="str">
        <f t="shared" ca="1" si="9"/>
        <v/>
      </c>
      <c r="N57" s="16" t="str">
        <f ca="1">IF(H57="","",IF(J57&lt;&gt;"",INDEX(_ゴミ箱_Backup!$B$75:$D$75,1,MATCH(言語切替!$B$3,_ゴミ箱_Backup!$B$1:$D$1,0)),IF(TODAY()&gt;H57,INDEX(_ゴミ箱_Backup!$B$92:$D$92,1,MATCH(言語切替!$B$3,_ゴミ箱_Backup!$B$1:$D$1,0)),IF(H57-TODAY()&lt;=7,INDEX(_ゴミ箱_Backup!$B$91:$D$91,1,MATCH(言語切替!$B$3,_ゴミ箱_Backup!$B$1:$D$1,0)),INDEX(_ゴミ箱_Backup!$B$90:$D$90,1,MATCH(言語切替!$B$3,_ゴミ箱_Backup!$B$1:$D$1,0))))))</f>
        <v/>
      </c>
      <c r="O57" s="41"/>
      <c r="P57" s="43"/>
      <c r="Q57" s="61" t="str">
        <f t="shared" si="10"/>
        <v/>
      </c>
      <c r="R57" s="61" t="str">
        <f t="shared" si="11"/>
        <v/>
      </c>
      <c r="S57" s="61" t="str">
        <f t="shared" si="12"/>
        <v/>
      </c>
      <c r="T57" s="61" t="str">
        <f t="shared" si="13"/>
        <v/>
      </c>
      <c r="U57" s="61" t="str">
        <f t="shared" si="14"/>
        <v/>
      </c>
      <c r="V57" s="61" t="str">
        <f t="shared" si="15"/>
        <v/>
      </c>
    </row>
    <row r="58" spans="1:22" x14ac:dyDescent="0.25">
      <c r="A58" s="36"/>
      <c r="B58" s="37"/>
      <c r="C58" s="37"/>
      <c r="D58" s="37"/>
      <c r="E58" s="37"/>
      <c r="F58" s="37"/>
      <c r="G58" s="38"/>
      <c r="H58" s="38"/>
      <c r="I58" s="38"/>
      <c r="J58" s="38"/>
      <c r="K58" s="29" t="str">
        <f t="shared" ca="1" si="8"/>
        <v/>
      </c>
      <c r="L58" s="37"/>
      <c r="M58" s="13" t="str">
        <f t="shared" ca="1" si="9"/>
        <v/>
      </c>
      <c r="N58" s="13" t="str">
        <f ca="1">IF(H58="","",IF(J58&lt;&gt;"",INDEX(_ゴミ箱_Backup!$B$75:$D$75,1,MATCH(言語切替!$B$3,_ゴミ箱_Backup!$B$1:$D$1,0)),IF(TODAY()&gt;H58,INDEX(_ゴミ箱_Backup!$B$92:$D$92,1,MATCH(言語切替!$B$3,_ゴミ箱_Backup!$B$1:$D$1,0)),IF(H58-TODAY()&lt;=7,INDEX(_ゴミ箱_Backup!$B$91:$D$91,1,MATCH(言語切替!$B$3,_ゴミ箱_Backup!$B$1:$D$1,0)),INDEX(_ゴミ箱_Backup!$B$90:$D$90,1,MATCH(言語切替!$B$3,_ゴミ箱_Backup!$B$1:$D$1,0))))))</f>
        <v/>
      </c>
      <c r="O58" s="37"/>
      <c r="P58" s="39"/>
      <c r="Q58" s="61" t="str">
        <f t="shared" si="10"/>
        <v/>
      </c>
      <c r="R58" s="61" t="str">
        <f t="shared" si="11"/>
        <v/>
      </c>
      <c r="S58" s="61" t="str">
        <f t="shared" si="12"/>
        <v/>
      </c>
      <c r="T58" s="61" t="str">
        <f t="shared" si="13"/>
        <v/>
      </c>
      <c r="U58" s="61" t="str">
        <f t="shared" si="14"/>
        <v/>
      </c>
      <c r="V58" s="61" t="str">
        <f t="shared" si="15"/>
        <v/>
      </c>
    </row>
    <row r="59" spans="1:22" x14ac:dyDescent="0.25">
      <c r="A59" s="40"/>
      <c r="B59" s="41"/>
      <c r="C59" s="41"/>
      <c r="D59" s="41"/>
      <c r="E59" s="41"/>
      <c r="F59" s="41"/>
      <c r="G59" s="42"/>
      <c r="H59" s="42"/>
      <c r="I59" s="42"/>
      <c r="J59" s="42"/>
      <c r="K59" s="34" t="str">
        <f t="shared" ca="1" si="8"/>
        <v/>
      </c>
      <c r="L59" s="41"/>
      <c r="M59" s="16" t="str">
        <f t="shared" ca="1" si="9"/>
        <v/>
      </c>
      <c r="N59" s="16" t="str">
        <f ca="1">IF(H59="","",IF(J59&lt;&gt;"",INDEX(_ゴミ箱_Backup!$B$75:$D$75,1,MATCH(言語切替!$B$3,_ゴミ箱_Backup!$B$1:$D$1,0)),IF(TODAY()&gt;H59,INDEX(_ゴミ箱_Backup!$B$92:$D$92,1,MATCH(言語切替!$B$3,_ゴミ箱_Backup!$B$1:$D$1,0)),IF(H59-TODAY()&lt;=7,INDEX(_ゴミ箱_Backup!$B$91:$D$91,1,MATCH(言語切替!$B$3,_ゴミ箱_Backup!$B$1:$D$1,0)),INDEX(_ゴミ箱_Backup!$B$90:$D$90,1,MATCH(言語切替!$B$3,_ゴミ箱_Backup!$B$1:$D$1,0))))))</f>
        <v/>
      </c>
      <c r="O59" s="41"/>
      <c r="P59" s="43"/>
      <c r="Q59" s="61" t="str">
        <f t="shared" si="10"/>
        <v/>
      </c>
      <c r="R59" s="61" t="str">
        <f t="shared" si="11"/>
        <v/>
      </c>
      <c r="S59" s="61" t="str">
        <f t="shared" si="12"/>
        <v/>
      </c>
      <c r="T59" s="61" t="str">
        <f t="shared" si="13"/>
        <v/>
      </c>
      <c r="U59" s="61" t="str">
        <f t="shared" si="14"/>
        <v/>
      </c>
      <c r="V59" s="61" t="str">
        <f t="shared" si="15"/>
        <v/>
      </c>
    </row>
    <row r="60" spans="1:22" x14ac:dyDescent="0.25">
      <c r="A60" s="36"/>
      <c r="B60" s="37"/>
      <c r="C60" s="37"/>
      <c r="D60" s="37"/>
      <c r="E60" s="37"/>
      <c r="F60" s="37"/>
      <c r="G60" s="38"/>
      <c r="H60" s="38"/>
      <c r="I60" s="38"/>
      <c r="J60" s="38"/>
      <c r="K60" s="29" t="str">
        <f t="shared" ca="1" si="8"/>
        <v/>
      </c>
      <c r="L60" s="37"/>
      <c r="M60" s="13" t="str">
        <f t="shared" ca="1" si="9"/>
        <v/>
      </c>
      <c r="N60" s="13" t="str">
        <f ca="1">IF(H60="","",IF(J60&lt;&gt;"",INDEX(_ゴミ箱_Backup!$B$75:$D$75,1,MATCH(言語切替!$B$3,_ゴミ箱_Backup!$B$1:$D$1,0)),IF(TODAY()&gt;H60,INDEX(_ゴミ箱_Backup!$B$92:$D$92,1,MATCH(言語切替!$B$3,_ゴミ箱_Backup!$B$1:$D$1,0)),IF(H60-TODAY()&lt;=7,INDEX(_ゴミ箱_Backup!$B$91:$D$91,1,MATCH(言語切替!$B$3,_ゴミ箱_Backup!$B$1:$D$1,0)),INDEX(_ゴミ箱_Backup!$B$90:$D$90,1,MATCH(言語切替!$B$3,_ゴミ箱_Backup!$B$1:$D$1,0))))))</f>
        <v/>
      </c>
      <c r="O60" s="37"/>
      <c r="P60" s="39"/>
      <c r="Q60" s="61" t="str">
        <f t="shared" si="10"/>
        <v/>
      </c>
      <c r="R60" s="61" t="str">
        <f t="shared" si="11"/>
        <v/>
      </c>
      <c r="S60" s="61" t="str">
        <f t="shared" si="12"/>
        <v/>
      </c>
      <c r="T60" s="61" t="str">
        <f t="shared" si="13"/>
        <v/>
      </c>
      <c r="U60" s="61" t="str">
        <f t="shared" si="14"/>
        <v/>
      </c>
      <c r="V60" s="61" t="str">
        <f t="shared" si="15"/>
        <v/>
      </c>
    </row>
    <row r="61" spans="1:22" x14ac:dyDescent="0.25">
      <c r="A61" s="40"/>
      <c r="B61" s="41"/>
      <c r="C61" s="41"/>
      <c r="D61" s="41"/>
      <c r="E61" s="41"/>
      <c r="F61" s="41"/>
      <c r="G61" s="42"/>
      <c r="H61" s="42"/>
      <c r="I61" s="42"/>
      <c r="J61" s="42"/>
      <c r="K61" s="34" t="str">
        <f t="shared" ca="1" si="8"/>
        <v/>
      </c>
      <c r="L61" s="41"/>
      <c r="M61" s="16" t="str">
        <f t="shared" ca="1" si="9"/>
        <v/>
      </c>
      <c r="N61" s="16" t="str">
        <f ca="1">IF(H61="","",IF(J61&lt;&gt;"",INDEX(_ゴミ箱_Backup!$B$75:$D$75,1,MATCH(言語切替!$B$3,_ゴミ箱_Backup!$B$1:$D$1,0)),IF(TODAY()&gt;H61,INDEX(_ゴミ箱_Backup!$B$92:$D$92,1,MATCH(言語切替!$B$3,_ゴミ箱_Backup!$B$1:$D$1,0)),IF(H61-TODAY()&lt;=7,INDEX(_ゴミ箱_Backup!$B$91:$D$91,1,MATCH(言語切替!$B$3,_ゴミ箱_Backup!$B$1:$D$1,0)),INDEX(_ゴミ箱_Backup!$B$90:$D$90,1,MATCH(言語切替!$B$3,_ゴミ箱_Backup!$B$1:$D$1,0))))))</f>
        <v/>
      </c>
      <c r="O61" s="41"/>
      <c r="P61" s="43"/>
      <c r="Q61" s="61" t="str">
        <f t="shared" si="10"/>
        <v/>
      </c>
      <c r="R61" s="61" t="str">
        <f t="shared" si="11"/>
        <v/>
      </c>
      <c r="S61" s="61" t="str">
        <f t="shared" si="12"/>
        <v/>
      </c>
      <c r="T61" s="61" t="str">
        <f t="shared" si="13"/>
        <v/>
      </c>
      <c r="U61" s="61" t="str">
        <f t="shared" si="14"/>
        <v/>
      </c>
      <c r="V61" s="61" t="str">
        <f t="shared" si="15"/>
        <v/>
      </c>
    </row>
    <row r="62" spans="1:22" x14ac:dyDescent="0.25">
      <c r="A62" s="36"/>
      <c r="B62" s="37"/>
      <c r="C62" s="37"/>
      <c r="D62" s="37"/>
      <c r="E62" s="37"/>
      <c r="F62" s="37"/>
      <c r="G62" s="38"/>
      <c r="H62" s="38"/>
      <c r="I62" s="38"/>
      <c r="J62" s="38"/>
      <c r="K62" s="29" t="str">
        <f t="shared" ca="1" si="8"/>
        <v/>
      </c>
      <c r="L62" s="37"/>
      <c r="M62" s="13" t="str">
        <f t="shared" ca="1" si="9"/>
        <v/>
      </c>
      <c r="N62" s="13" t="str">
        <f ca="1">IF(H62="","",IF(J62&lt;&gt;"",INDEX(_ゴミ箱_Backup!$B$75:$D$75,1,MATCH(言語切替!$B$3,_ゴミ箱_Backup!$B$1:$D$1,0)),IF(TODAY()&gt;H62,INDEX(_ゴミ箱_Backup!$B$92:$D$92,1,MATCH(言語切替!$B$3,_ゴミ箱_Backup!$B$1:$D$1,0)),IF(H62-TODAY()&lt;=7,INDEX(_ゴミ箱_Backup!$B$91:$D$91,1,MATCH(言語切替!$B$3,_ゴミ箱_Backup!$B$1:$D$1,0)),INDEX(_ゴミ箱_Backup!$B$90:$D$90,1,MATCH(言語切替!$B$3,_ゴミ箱_Backup!$B$1:$D$1,0))))))</f>
        <v/>
      </c>
      <c r="O62" s="37"/>
      <c r="P62" s="39"/>
      <c r="Q62" s="61" t="str">
        <f t="shared" si="10"/>
        <v/>
      </c>
      <c r="R62" s="61" t="str">
        <f t="shared" si="11"/>
        <v/>
      </c>
      <c r="S62" s="61" t="str">
        <f t="shared" si="12"/>
        <v/>
      </c>
      <c r="T62" s="61" t="str">
        <f t="shared" si="13"/>
        <v/>
      </c>
      <c r="U62" s="61" t="str">
        <f t="shared" si="14"/>
        <v/>
      </c>
      <c r="V62" s="61" t="str">
        <f t="shared" si="15"/>
        <v/>
      </c>
    </row>
    <row r="63" spans="1:22" x14ac:dyDescent="0.25">
      <c r="A63" s="40"/>
      <c r="B63" s="41"/>
      <c r="C63" s="41"/>
      <c r="D63" s="41"/>
      <c r="E63" s="41"/>
      <c r="F63" s="41"/>
      <c r="G63" s="42"/>
      <c r="H63" s="42"/>
      <c r="I63" s="42"/>
      <c r="J63" s="42"/>
      <c r="K63" s="34" t="str">
        <f t="shared" ca="1" si="8"/>
        <v/>
      </c>
      <c r="L63" s="41"/>
      <c r="M63" s="16" t="str">
        <f t="shared" ca="1" si="9"/>
        <v/>
      </c>
      <c r="N63" s="16" t="str">
        <f ca="1">IF(H63="","",IF(J63&lt;&gt;"",INDEX(_ゴミ箱_Backup!$B$75:$D$75,1,MATCH(言語切替!$B$3,_ゴミ箱_Backup!$B$1:$D$1,0)),IF(TODAY()&gt;H63,INDEX(_ゴミ箱_Backup!$B$92:$D$92,1,MATCH(言語切替!$B$3,_ゴミ箱_Backup!$B$1:$D$1,0)),IF(H63-TODAY()&lt;=7,INDEX(_ゴミ箱_Backup!$B$91:$D$91,1,MATCH(言語切替!$B$3,_ゴミ箱_Backup!$B$1:$D$1,0)),INDEX(_ゴミ箱_Backup!$B$90:$D$90,1,MATCH(言語切替!$B$3,_ゴミ箱_Backup!$B$1:$D$1,0))))))</f>
        <v/>
      </c>
      <c r="O63" s="41"/>
      <c r="P63" s="43"/>
      <c r="Q63" s="61" t="str">
        <f t="shared" si="10"/>
        <v/>
      </c>
      <c r="R63" s="61" t="str">
        <f t="shared" si="11"/>
        <v/>
      </c>
      <c r="S63" s="61" t="str">
        <f t="shared" si="12"/>
        <v/>
      </c>
      <c r="T63" s="61" t="str">
        <f t="shared" si="13"/>
        <v/>
      </c>
      <c r="U63" s="61" t="str">
        <f t="shared" si="14"/>
        <v/>
      </c>
      <c r="V63" s="61" t="str">
        <f t="shared" si="15"/>
        <v/>
      </c>
    </row>
    <row r="64" spans="1:22" x14ac:dyDescent="0.25">
      <c r="A64" s="36"/>
      <c r="B64" s="37"/>
      <c r="C64" s="37"/>
      <c r="D64" s="37"/>
      <c r="E64" s="37"/>
      <c r="F64" s="37"/>
      <c r="G64" s="38"/>
      <c r="H64" s="38"/>
      <c r="I64" s="38"/>
      <c r="J64" s="38"/>
      <c r="K64" s="29" t="str">
        <f t="shared" ca="1" si="8"/>
        <v/>
      </c>
      <c r="L64" s="37"/>
      <c r="M64" s="13" t="str">
        <f t="shared" ca="1" si="9"/>
        <v/>
      </c>
      <c r="N64" s="13" t="str">
        <f ca="1">IF(H64="","",IF(J64&lt;&gt;"",INDEX(_ゴミ箱_Backup!$B$75:$D$75,1,MATCH(言語切替!$B$3,_ゴミ箱_Backup!$B$1:$D$1,0)),IF(TODAY()&gt;H64,INDEX(_ゴミ箱_Backup!$B$92:$D$92,1,MATCH(言語切替!$B$3,_ゴミ箱_Backup!$B$1:$D$1,0)),IF(H64-TODAY()&lt;=7,INDEX(_ゴミ箱_Backup!$B$91:$D$91,1,MATCH(言語切替!$B$3,_ゴミ箱_Backup!$B$1:$D$1,0)),INDEX(_ゴミ箱_Backup!$B$90:$D$90,1,MATCH(言語切替!$B$3,_ゴミ箱_Backup!$B$1:$D$1,0))))))</f>
        <v/>
      </c>
      <c r="O64" s="37"/>
      <c r="P64" s="39"/>
      <c r="Q64" s="61" t="str">
        <f t="shared" si="10"/>
        <v/>
      </c>
      <c r="R64" s="61" t="str">
        <f t="shared" si="11"/>
        <v/>
      </c>
      <c r="S64" s="61" t="str">
        <f t="shared" si="12"/>
        <v/>
      </c>
      <c r="T64" s="61" t="str">
        <f t="shared" si="13"/>
        <v/>
      </c>
      <c r="U64" s="61" t="str">
        <f t="shared" si="14"/>
        <v/>
      </c>
      <c r="V64" s="61" t="str">
        <f t="shared" si="15"/>
        <v/>
      </c>
    </row>
    <row r="65" spans="1:22" x14ac:dyDescent="0.25">
      <c r="A65" s="40"/>
      <c r="B65" s="41"/>
      <c r="C65" s="41"/>
      <c r="D65" s="41"/>
      <c r="E65" s="41"/>
      <c r="F65" s="41"/>
      <c r="G65" s="42"/>
      <c r="H65" s="42"/>
      <c r="I65" s="42"/>
      <c r="J65" s="42"/>
      <c r="K65" s="34" t="str">
        <f t="shared" ca="1" si="8"/>
        <v/>
      </c>
      <c r="L65" s="41"/>
      <c r="M65" s="16" t="str">
        <f t="shared" ca="1" si="9"/>
        <v/>
      </c>
      <c r="N65" s="16" t="str">
        <f ca="1">IF(H65="","",IF(J65&lt;&gt;"",INDEX(_ゴミ箱_Backup!$B$75:$D$75,1,MATCH(言語切替!$B$3,_ゴミ箱_Backup!$B$1:$D$1,0)),IF(TODAY()&gt;H65,INDEX(_ゴミ箱_Backup!$B$92:$D$92,1,MATCH(言語切替!$B$3,_ゴミ箱_Backup!$B$1:$D$1,0)),IF(H65-TODAY()&lt;=7,INDEX(_ゴミ箱_Backup!$B$91:$D$91,1,MATCH(言語切替!$B$3,_ゴミ箱_Backup!$B$1:$D$1,0)),INDEX(_ゴミ箱_Backup!$B$90:$D$90,1,MATCH(言語切替!$B$3,_ゴミ箱_Backup!$B$1:$D$1,0))))))</f>
        <v/>
      </c>
      <c r="O65" s="41"/>
      <c r="P65" s="43"/>
      <c r="Q65" s="61" t="str">
        <f t="shared" si="10"/>
        <v/>
      </c>
      <c r="R65" s="61" t="str">
        <f t="shared" si="11"/>
        <v/>
      </c>
      <c r="S65" s="61" t="str">
        <f t="shared" si="12"/>
        <v/>
      </c>
      <c r="T65" s="61" t="str">
        <f t="shared" si="13"/>
        <v/>
      </c>
      <c r="U65" s="61" t="str">
        <f t="shared" si="14"/>
        <v/>
      </c>
      <c r="V65" s="61" t="str">
        <f t="shared" si="15"/>
        <v/>
      </c>
    </row>
    <row r="66" spans="1:22" x14ac:dyDescent="0.25">
      <c r="A66" s="36"/>
      <c r="B66" s="37"/>
      <c r="C66" s="37"/>
      <c r="D66" s="37"/>
      <c r="E66" s="37"/>
      <c r="F66" s="37"/>
      <c r="G66" s="38"/>
      <c r="H66" s="38"/>
      <c r="I66" s="38"/>
      <c r="J66" s="38"/>
      <c r="K66" s="29" t="str">
        <f t="shared" ca="1" si="8"/>
        <v/>
      </c>
      <c r="L66" s="37"/>
      <c r="M66" s="13" t="str">
        <f t="shared" ca="1" si="9"/>
        <v/>
      </c>
      <c r="N66" s="13" t="str">
        <f ca="1">IF(H66="","",IF(J66&lt;&gt;"",INDEX(_ゴミ箱_Backup!$B$75:$D$75,1,MATCH(言語切替!$B$3,_ゴミ箱_Backup!$B$1:$D$1,0)),IF(TODAY()&gt;H66,INDEX(_ゴミ箱_Backup!$B$92:$D$92,1,MATCH(言語切替!$B$3,_ゴミ箱_Backup!$B$1:$D$1,0)),IF(H66-TODAY()&lt;=7,INDEX(_ゴミ箱_Backup!$B$91:$D$91,1,MATCH(言語切替!$B$3,_ゴミ箱_Backup!$B$1:$D$1,0)),INDEX(_ゴミ箱_Backup!$B$90:$D$90,1,MATCH(言語切替!$B$3,_ゴミ箱_Backup!$B$1:$D$1,0))))))</f>
        <v/>
      </c>
      <c r="O66" s="37"/>
      <c r="P66" s="39"/>
      <c r="Q66" s="61" t="str">
        <f t="shared" si="10"/>
        <v/>
      </c>
      <c r="R66" s="61" t="str">
        <f t="shared" si="11"/>
        <v/>
      </c>
      <c r="S66" s="61" t="str">
        <f t="shared" si="12"/>
        <v/>
      </c>
      <c r="T66" s="61" t="str">
        <f t="shared" si="13"/>
        <v/>
      </c>
      <c r="U66" s="61" t="str">
        <f t="shared" si="14"/>
        <v/>
      </c>
      <c r="V66" s="61" t="str">
        <f t="shared" si="15"/>
        <v/>
      </c>
    </row>
    <row r="67" spans="1:22" x14ac:dyDescent="0.25">
      <c r="A67" s="40"/>
      <c r="B67" s="41"/>
      <c r="C67" s="41"/>
      <c r="D67" s="41"/>
      <c r="E67" s="41"/>
      <c r="F67" s="41"/>
      <c r="G67" s="42"/>
      <c r="H67" s="42"/>
      <c r="I67" s="42"/>
      <c r="J67" s="42"/>
      <c r="K67" s="34" t="str">
        <f t="shared" ca="1" si="8"/>
        <v/>
      </c>
      <c r="L67" s="41"/>
      <c r="M67" s="16" t="str">
        <f t="shared" ca="1" si="9"/>
        <v/>
      </c>
      <c r="N67" s="16" t="str">
        <f ca="1">IF(H67="","",IF(J67&lt;&gt;"",INDEX(_ゴミ箱_Backup!$B$75:$D$75,1,MATCH(言語切替!$B$3,_ゴミ箱_Backup!$B$1:$D$1,0)),IF(TODAY()&gt;H67,INDEX(_ゴミ箱_Backup!$B$92:$D$92,1,MATCH(言語切替!$B$3,_ゴミ箱_Backup!$B$1:$D$1,0)),IF(H67-TODAY()&lt;=7,INDEX(_ゴミ箱_Backup!$B$91:$D$91,1,MATCH(言語切替!$B$3,_ゴミ箱_Backup!$B$1:$D$1,0)),INDEX(_ゴミ箱_Backup!$B$90:$D$90,1,MATCH(言語切替!$B$3,_ゴミ箱_Backup!$B$1:$D$1,0))))))</f>
        <v/>
      </c>
      <c r="O67" s="41"/>
      <c r="P67" s="43"/>
      <c r="Q67" s="61" t="str">
        <f t="shared" si="10"/>
        <v/>
      </c>
      <c r="R67" s="61" t="str">
        <f t="shared" si="11"/>
        <v/>
      </c>
      <c r="S67" s="61" t="str">
        <f t="shared" si="12"/>
        <v/>
      </c>
      <c r="T67" s="61" t="str">
        <f t="shared" si="13"/>
        <v/>
      </c>
      <c r="U67" s="61" t="str">
        <f t="shared" si="14"/>
        <v/>
      </c>
      <c r="V67" s="61" t="str">
        <f t="shared" si="15"/>
        <v/>
      </c>
    </row>
    <row r="68" spans="1:22" x14ac:dyDescent="0.25">
      <c r="A68" s="36"/>
      <c r="B68" s="37"/>
      <c r="C68" s="37"/>
      <c r="D68" s="37"/>
      <c r="E68" s="37"/>
      <c r="F68" s="37"/>
      <c r="G68" s="38"/>
      <c r="H68" s="38"/>
      <c r="I68" s="38"/>
      <c r="J68" s="38"/>
      <c r="K68" s="29" t="str">
        <f t="shared" ca="1" si="8"/>
        <v/>
      </c>
      <c r="L68" s="37"/>
      <c r="M68" s="13" t="str">
        <f t="shared" ca="1" si="9"/>
        <v/>
      </c>
      <c r="N68" s="13" t="str">
        <f ca="1">IF(H68="","",IF(J68&lt;&gt;"",INDEX(_ゴミ箱_Backup!$B$75:$D$75,1,MATCH(言語切替!$B$3,_ゴミ箱_Backup!$B$1:$D$1,0)),IF(TODAY()&gt;H68,INDEX(_ゴミ箱_Backup!$B$92:$D$92,1,MATCH(言語切替!$B$3,_ゴミ箱_Backup!$B$1:$D$1,0)),IF(H68-TODAY()&lt;=7,INDEX(_ゴミ箱_Backup!$B$91:$D$91,1,MATCH(言語切替!$B$3,_ゴミ箱_Backup!$B$1:$D$1,0)),INDEX(_ゴミ箱_Backup!$B$90:$D$90,1,MATCH(言語切替!$B$3,_ゴミ箱_Backup!$B$1:$D$1,0))))))</f>
        <v/>
      </c>
      <c r="O68" s="37"/>
      <c r="P68" s="39"/>
      <c r="Q68" s="61" t="str">
        <f t="shared" si="10"/>
        <v/>
      </c>
      <c r="R68" s="61" t="str">
        <f t="shared" si="11"/>
        <v/>
      </c>
      <c r="S68" s="61" t="str">
        <f t="shared" si="12"/>
        <v/>
      </c>
      <c r="T68" s="61" t="str">
        <f t="shared" si="13"/>
        <v/>
      </c>
      <c r="U68" s="61" t="str">
        <f t="shared" si="14"/>
        <v/>
      </c>
      <c r="V68" s="61" t="str">
        <f t="shared" si="15"/>
        <v/>
      </c>
    </row>
    <row r="69" spans="1:22" x14ac:dyDescent="0.25">
      <c r="A69" s="40"/>
      <c r="B69" s="41"/>
      <c r="C69" s="41"/>
      <c r="D69" s="41"/>
      <c r="E69" s="41"/>
      <c r="F69" s="41"/>
      <c r="G69" s="42"/>
      <c r="H69" s="42"/>
      <c r="I69" s="42"/>
      <c r="J69" s="42"/>
      <c r="K69" s="34" t="str">
        <f t="shared" ref="K69:K100" ca="1" si="16">IF(OR(G69="",H69=""),"",IF(J69&lt;&gt;"",1,IF(I69="",0,MAX(0,MIN(1,(TODAY()-G69)/(H69-G69+1))))))</f>
        <v/>
      </c>
      <c r="L69" s="41"/>
      <c r="M69" s="16" t="str">
        <f t="shared" ref="M69:M100" ca="1" si="17">IF(H69="","",H69-TODAY())</f>
        <v/>
      </c>
      <c r="N69" s="16" t="str">
        <f ca="1">IF(H69="","",IF(J69&lt;&gt;"",INDEX(_ゴミ箱_Backup!$B$75:$D$75,1,MATCH(言語切替!$B$3,_ゴミ箱_Backup!$B$1:$D$1,0)),IF(TODAY()&gt;H69,INDEX(_ゴミ箱_Backup!$B$92:$D$92,1,MATCH(言語切替!$B$3,_ゴミ箱_Backup!$B$1:$D$1,0)),IF(H69-TODAY()&lt;=7,INDEX(_ゴミ箱_Backup!$B$91:$D$91,1,MATCH(言語切替!$B$3,_ゴミ箱_Backup!$B$1:$D$1,0)),INDEX(_ゴミ箱_Backup!$B$90:$D$90,1,MATCH(言語切替!$B$3,_ゴミ箱_Backup!$B$1:$D$1,0))))))</f>
        <v/>
      </c>
      <c r="O69" s="41"/>
      <c r="P69" s="43"/>
      <c r="Q69" s="61" t="str">
        <f t="shared" ref="Q69:Q100" si="18">IF(E69="","",IFERROR(_xlfn.TRANSLATE(E69,,"ja"),""))</f>
        <v/>
      </c>
      <c r="R69" s="61" t="str">
        <f t="shared" ref="R69:R100" si="19">IF(E69="","",IFERROR(_xlfn.TRANSLATE(E69,,"zh-Hans"),""))</f>
        <v/>
      </c>
      <c r="S69" s="61" t="str">
        <f t="shared" ref="S69:S100" si="20">IF(E69="","",IFERROR(_xlfn.TRANSLATE(E69,,"vi"),""))</f>
        <v/>
      </c>
      <c r="T69" s="61" t="str">
        <f t="shared" ref="T69:T100" si="21">IF(P69="","",IFERROR(_xlfn.TRANSLATE(P69,,"ja"),""))</f>
        <v/>
      </c>
      <c r="U69" s="61" t="str">
        <f t="shared" ref="U69:U100" si="22">IF(P69="","",IFERROR(_xlfn.TRANSLATE(P69,,"zh-Hans"),""))</f>
        <v/>
      </c>
      <c r="V69" s="61" t="str">
        <f t="shared" ref="V69:V100" si="23">IF(P69="","",IFERROR(_xlfn.TRANSLATE(P69,,"vi"),""))</f>
        <v/>
      </c>
    </row>
    <row r="70" spans="1:22" x14ac:dyDescent="0.25">
      <c r="A70" s="36"/>
      <c r="B70" s="37"/>
      <c r="C70" s="37"/>
      <c r="D70" s="37"/>
      <c r="E70" s="37"/>
      <c r="F70" s="37"/>
      <c r="G70" s="38"/>
      <c r="H70" s="38"/>
      <c r="I70" s="38"/>
      <c r="J70" s="38"/>
      <c r="K70" s="29" t="str">
        <f t="shared" ca="1" si="16"/>
        <v/>
      </c>
      <c r="L70" s="37"/>
      <c r="M70" s="13" t="str">
        <f t="shared" ca="1" si="17"/>
        <v/>
      </c>
      <c r="N70" s="13" t="str">
        <f ca="1">IF(H70="","",IF(J70&lt;&gt;"",INDEX(_ゴミ箱_Backup!$B$75:$D$75,1,MATCH(言語切替!$B$3,_ゴミ箱_Backup!$B$1:$D$1,0)),IF(TODAY()&gt;H70,INDEX(_ゴミ箱_Backup!$B$92:$D$92,1,MATCH(言語切替!$B$3,_ゴミ箱_Backup!$B$1:$D$1,0)),IF(H70-TODAY()&lt;=7,INDEX(_ゴミ箱_Backup!$B$91:$D$91,1,MATCH(言語切替!$B$3,_ゴミ箱_Backup!$B$1:$D$1,0)),INDEX(_ゴミ箱_Backup!$B$90:$D$90,1,MATCH(言語切替!$B$3,_ゴミ箱_Backup!$B$1:$D$1,0))))))</f>
        <v/>
      </c>
      <c r="O70" s="37"/>
      <c r="P70" s="39"/>
      <c r="Q70" s="61" t="str">
        <f t="shared" si="18"/>
        <v/>
      </c>
      <c r="R70" s="61" t="str">
        <f t="shared" si="19"/>
        <v/>
      </c>
      <c r="S70" s="61" t="str">
        <f t="shared" si="20"/>
        <v/>
      </c>
      <c r="T70" s="61" t="str">
        <f t="shared" si="21"/>
        <v/>
      </c>
      <c r="U70" s="61" t="str">
        <f t="shared" si="22"/>
        <v/>
      </c>
      <c r="V70" s="61" t="str">
        <f t="shared" si="23"/>
        <v/>
      </c>
    </row>
    <row r="71" spans="1:22" x14ac:dyDescent="0.25">
      <c r="A71" s="40"/>
      <c r="B71" s="41"/>
      <c r="C71" s="41"/>
      <c r="D71" s="41"/>
      <c r="E71" s="41"/>
      <c r="F71" s="41"/>
      <c r="G71" s="42"/>
      <c r="H71" s="42"/>
      <c r="I71" s="42"/>
      <c r="J71" s="42"/>
      <c r="K71" s="34" t="str">
        <f t="shared" ca="1" si="16"/>
        <v/>
      </c>
      <c r="L71" s="41"/>
      <c r="M71" s="16" t="str">
        <f t="shared" ca="1" si="17"/>
        <v/>
      </c>
      <c r="N71" s="16" t="str">
        <f ca="1">IF(H71="","",IF(J71&lt;&gt;"",INDEX(_ゴミ箱_Backup!$B$75:$D$75,1,MATCH(言語切替!$B$3,_ゴミ箱_Backup!$B$1:$D$1,0)),IF(TODAY()&gt;H71,INDEX(_ゴミ箱_Backup!$B$92:$D$92,1,MATCH(言語切替!$B$3,_ゴミ箱_Backup!$B$1:$D$1,0)),IF(H71-TODAY()&lt;=7,INDEX(_ゴミ箱_Backup!$B$91:$D$91,1,MATCH(言語切替!$B$3,_ゴミ箱_Backup!$B$1:$D$1,0)),INDEX(_ゴミ箱_Backup!$B$90:$D$90,1,MATCH(言語切替!$B$3,_ゴミ箱_Backup!$B$1:$D$1,0))))))</f>
        <v/>
      </c>
      <c r="O71" s="41"/>
      <c r="P71" s="43"/>
      <c r="Q71" s="61" t="str">
        <f t="shared" si="18"/>
        <v/>
      </c>
      <c r="R71" s="61" t="str">
        <f t="shared" si="19"/>
        <v/>
      </c>
      <c r="S71" s="61" t="str">
        <f t="shared" si="20"/>
        <v/>
      </c>
      <c r="T71" s="61" t="str">
        <f t="shared" si="21"/>
        <v/>
      </c>
      <c r="U71" s="61" t="str">
        <f t="shared" si="22"/>
        <v/>
      </c>
      <c r="V71" s="61" t="str">
        <f t="shared" si="23"/>
        <v/>
      </c>
    </row>
    <row r="72" spans="1:22" x14ac:dyDescent="0.25">
      <c r="A72" s="36"/>
      <c r="B72" s="37"/>
      <c r="C72" s="37"/>
      <c r="D72" s="37"/>
      <c r="E72" s="37"/>
      <c r="F72" s="37"/>
      <c r="G72" s="38"/>
      <c r="H72" s="38"/>
      <c r="I72" s="38"/>
      <c r="J72" s="38"/>
      <c r="K72" s="29" t="str">
        <f t="shared" ca="1" si="16"/>
        <v/>
      </c>
      <c r="L72" s="37"/>
      <c r="M72" s="13" t="str">
        <f t="shared" ca="1" si="17"/>
        <v/>
      </c>
      <c r="N72" s="13" t="str">
        <f ca="1">IF(H72="","",IF(J72&lt;&gt;"",INDEX(_ゴミ箱_Backup!$B$75:$D$75,1,MATCH(言語切替!$B$3,_ゴミ箱_Backup!$B$1:$D$1,0)),IF(TODAY()&gt;H72,INDEX(_ゴミ箱_Backup!$B$92:$D$92,1,MATCH(言語切替!$B$3,_ゴミ箱_Backup!$B$1:$D$1,0)),IF(H72-TODAY()&lt;=7,INDEX(_ゴミ箱_Backup!$B$91:$D$91,1,MATCH(言語切替!$B$3,_ゴミ箱_Backup!$B$1:$D$1,0)),INDEX(_ゴミ箱_Backup!$B$90:$D$90,1,MATCH(言語切替!$B$3,_ゴミ箱_Backup!$B$1:$D$1,0))))))</f>
        <v/>
      </c>
      <c r="O72" s="37"/>
      <c r="P72" s="39"/>
      <c r="Q72" s="61" t="str">
        <f t="shared" si="18"/>
        <v/>
      </c>
      <c r="R72" s="61" t="str">
        <f t="shared" si="19"/>
        <v/>
      </c>
      <c r="S72" s="61" t="str">
        <f t="shared" si="20"/>
        <v/>
      </c>
      <c r="T72" s="61" t="str">
        <f t="shared" si="21"/>
        <v/>
      </c>
      <c r="U72" s="61" t="str">
        <f t="shared" si="22"/>
        <v/>
      </c>
      <c r="V72" s="61" t="str">
        <f t="shared" si="23"/>
        <v/>
      </c>
    </row>
    <row r="73" spans="1:22" x14ac:dyDescent="0.25">
      <c r="A73" s="40"/>
      <c r="B73" s="41"/>
      <c r="C73" s="41"/>
      <c r="D73" s="41"/>
      <c r="E73" s="41"/>
      <c r="F73" s="41"/>
      <c r="G73" s="42"/>
      <c r="H73" s="42"/>
      <c r="I73" s="42"/>
      <c r="J73" s="42"/>
      <c r="K73" s="34" t="str">
        <f t="shared" ca="1" si="16"/>
        <v/>
      </c>
      <c r="L73" s="41"/>
      <c r="M73" s="16" t="str">
        <f t="shared" ca="1" si="17"/>
        <v/>
      </c>
      <c r="N73" s="16" t="str">
        <f ca="1">IF(H73="","",IF(J73&lt;&gt;"",INDEX(_ゴミ箱_Backup!$B$75:$D$75,1,MATCH(言語切替!$B$3,_ゴミ箱_Backup!$B$1:$D$1,0)),IF(TODAY()&gt;H73,INDEX(_ゴミ箱_Backup!$B$92:$D$92,1,MATCH(言語切替!$B$3,_ゴミ箱_Backup!$B$1:$D$1,0)),IF(H73-TODAY()&lt;=7,INDEX(_ゴミ箱_Backup!$B$91:$D$91,1,MATCH(言語切替!$B$3,_ゴミ箱_Backup!$B$1:$D$1,0)),INDEX(_ゴミ箱_Backup!$B$90:$D$90,1,MATCH(言語切替!$B$3,_ゴミ箱_Backup!$B$1:$D$1,0))))))</f>
        <v/>
      </c>
      <c r="O73" s="41"/>
      <c r="P73" s="43"/>
      <c r="Q73" s="61" t="str">
        <f t="shared" si="18"/>
        <v/>
      </c>
      <c r="R73" s="61" t="str">
        <f t="shared" si="19"/>
        <v/>
      </c>
      <c r="S73" s="61" t="str">
        <f t="shared" si="20"/>
        <v/>
      </c>
      <c r="T73" s="61" t="str">
        <f t="shared" si="21"/>
        <v/>
      </c>
      <c r="U73" s="61" t="str">
        <f t="shared" si="22"/>
        <v/>
      </c>
      <c r="V73" s="61" t="str">
        <f t="shared" si="23"/>
        <v/>
      </c>
    </row>
    <row r="74" spans="1:22" x14ac:dyDescent="0.25">
      <c r="A74" s="36"/>
      <c r="B74" s="37"/>
      <c r="C74" s="37"/>
      <c r="D74" s="37"/>
      <c r="E74" s="37"/>
      <c r="F74" s="37"/>
      <c r="G74" s="38"/>
      <c r="H74" s="38"/>
      <c r="I74" s="38"/>
      <c r="J74" s="38"/>
      <c r="K74" s="29" t="str">
        <f t="shared" ca="1" si="16"/>
        <v/>
      </c>
      <c r="L74" s="37"/>
      <c r="M74" s="13" t="str">
        <f t="shared" ca="1" si="17"/>
        <v/>
      </c>
      <c r="N74" s="13" t="str">
        <f ca="1">IF(H74="","",IF(J74&lt;&gt;"",INDEX(_ゴミ箱_Backup!$B$75:$D$75,1,MATCH(言語切替!$B$3,_ゴミ箱_Backup!$B$1:$D$1,0)),IF(TODAY()&gt;H74,INDEX(_ゴミ箱_Backup!$B$92:$D$92,1,MATCH(言語切替!$B$3,_ゴミ箱_Backup!$B$1:$D$1,0)),IF(H74-TODAY()&lt;=7,INDEX(_ゴミ箱_Backup!$B$91:$D$91,1,MATCH(言語切替!$B$3,_ゴミ箱_Backup!$B$1:$D$1,0)),INDEX(_ゴミ箱_Backup!$B$90:$D$90,1,MATCH(言語切替!$B$3,_ゴミ箱_Backup!$B$1:$D$1,0))))))</f>
        <v/>
      </c>
      <c r="O74" s="37"/>
      <c r="P74" s="39"/>
      <c r="Q74" s="61" t="str">
        <f t="shared" si="18"/>
        <v/>
      </c>
      <c r="R74" s="61" t="str">
        <f t="shared" si="19"/>
        <v/>
      </c>
      <c r="S74" s="61" t="str">
        <f t="shared" si="20"/>
        <v/>
      </c>
      <c r="T74" s="61" t="str">
        <f t="shared" si="21"/>
        <v/>
      </c>
      <c r="U74" s="61" t="str">
        <f t="shared" si="22"/>
        <v/>
      </c>
      <c r="V74" s="61" t="str">
        <f t="shared" si="23"/>
        <v/>
      </c>
    </row>
    <row r="75" spans="1:22" x14ac:dyDescent="0.25">
      <c r="A75" s="40"/>
      <c r="B75" s="41"/>
      <c r="C75" s="41"/>
      <c r="D75" s="41"/>
      <c r="E75" s="41"/>
      <c r="F75" s="41"/>
      <c r="G75" s="42"/>
      <c r="H75" s="42"/>
      <c r="I75" s="42"/>
      <c r="J75" s="42"/>
      <c r="K75" s="34" t="str">
        <f t="shared" ca="1" si="16"/>
        <v/>
      </c>
      <c r="L75" s="41"/>
      <c r="M75" s="16" t="str">
        <f t="shared" ca="1" si="17"/>
        <v/>
      </c>
      <c r="N75" s="16" t="str">
        <f ca="1">IF(H75="","",IF(J75&lt;&gt;"",INDEX(_ゴミ箱_Backup!$B$75:$D$75,1,MATCH(言語切替!$B$3,_ゴミ箱_Backup!$B$1:$D$1,0)),IF(TODAY()&gt;H75,INDEX(_ゴミ箱_Backup!$B$92:$D$92,1,MATCH(言語切替!$B$3,_ゴミ箱_Backup!$B$1:$D$1,0)),IF(H75-TODAY()&lt;=7,INDEX(_ゴミ箱_Backup!$B$91:$D$91,1,MATCH(言語切替!$B$3,_ゴミ箱_Backup!$B$1:$D$1,0)),INDEX(_ゴミ箱_Backup!$B$90:$D$90,1,MATCH(言語切替!$B$3,_ゴミ箱_Backup!$B$1:$D$1,0))))))</f>
        <v/>
      </c>
      <c r="O75" s="41"/>
      <c r="P75" s="43"/>
      <c r="Q75" s="61" t="str">
        <f t="shared" si="18"/>
        <v/>
      </c>
      <c r="R75" s="61" t="str">
        <f t="shared" si="19"/>
        <v/>
      </c>
      <c r="S75" s="61" t="str">
        <f t="shared" si="20"/>
        <v/>
      </c>
      <c r="T75" s="61" t="str">
        <f t="shared" si="21"/>
        <v/>
      </c>
      <c r="U75" s="61" t="str">
        <f t="shared" si="22"/>
        <v/>
      </c>
      <c r="V75" s="61" t="str">
        <f t="shared" si="23"/>
        <v/>
      </c>
    </row>
    <row r="76" spans="1:22" x14ac:dyDescent="0.25">
      <c r="A76" s="36"/>
      <c r="B76" s="37"/>
      <c r="C76" s="37"/>
      <c r="D76" s="37"/>
      <c r="E76" s="37"/>
      <c r="F76" s="37"/>
      <c r="G76" s="38"/>
      <c r="H76" s="38"/>
      <c r="I76" s="38"/>
      <c r="J76" s="38"/>
      <c r="K76" s="29" t="str">
        <f t="shared" ca="1" si="16"/>
        <v/>
      </c>
      <c r="L76" s="37"/>
      <c r="M76" s="13" t="str">
        <f t="shared" ca="1" si="17"/>
        <v/>
      </c>
      <c r="N76" s="13" t="str">
        <f ca="1">IF(H76="","",IF(J76&lt;&gt;"",INDEX(_ゴミ箱_Backup!$B$75:$D$75,1,MATCH(言語切替!$B$3,_ゴミ箱_Backup!$B$1:$D$1,0)),IF(TODAY()&gt;H76,INDEX(_ゴミ箱_Backup!$B$92:$D$92,1,MATCH(言語切替!$B$3,_ゴミ箱_Backup!$B$1:$D$1,0)),IF(H76-TODAY()&lt;=7,INDEX(_ゴミ箱_Backup!$B$91:$D$91,1,MATCH(言語切替!$B$3,_ゴミ箱_Backup!$B$1:$D$1,0)),INDEX(_ゴミ箱_Backup!$B$90:$D$90,1,MATCH(言語切替!$B$3,_ゴミ箱_Backup!$B$1:$D$1,0))))))</f>
        <v/>
      </c>
      <c r="O76" s="37"/>
      <c r="P76" s="39"/>
      <c r="Q76" s="61" t="str">
        <f t="shared" si="18"/>
        <v/>
      </c>
      <c r="R76" s="61" t="str">
        <f t="shared" si="19"/>
        <v/>
      </c>
      <c r="S76" s="61" t="str">
        <f t="shared" si="20"/>
        <v/>
      </c>
      <c r="T76" s="61" t="str">
        <f t="shared" si="21"/>
        <v/>
      </c>
      <c r="U76" s="61" t="str">
        <f t="shared" si="22"/>
        <v/>
      </c>
      <c r="V76" s="61" t="str">
        <f t="shared" si="23"/>
        <v/>
      </c>
    </row>
    <row r="77" spans="1:22" x14ac:dyDescent="0.25">
      <c r="A77" s="40"/>
      <c r="B77" s="41"/>
      <c r="C77" s="41"/>
      <c r="D77" s="41"/>
      <c r="E77" s="41"/>
      <c r="F77" s="41"/>
      <c r="G77" s="42"/>
      <c r="H77" s="42"/>
      <c r="I77" s="42"/>
      <c r="J77" s="42"/>
      <c r="K77" s="34" t="str">
        <f t="shared" ca="1" si="16"/>
        <v/>
      </c>
      <c r="L77" s="41"/>
      <c r="M77" s="16" t="str">
        <f t="shared" ca="1" si="17"/>
        <v/>
      </c>
      <c r="N77" s="16" t="str">
        <f ca="1">IF(H77="","",IF(J77&lt;&gt;"",INDEX(_ゴミ箱_Backup!$B$75:$D$75,1,MATCH(言語切替!$B$3,_ゴミ箱_Backup!$B$1:$D$1,0)),IF(TODAY()&gt;H77,INDEX(_ゴミ箱_Backup!$B$92:$D$92,1,MATCH(言語切替!$B$3,_ゴミ箱_Backup!$B$1:$D$1,0)),IF(H77-TODAY()&lt;=7,INDEX(_ゴミ箱_Backup!$B$91:$D$91,1,MATCH(言語切替!$B$3,_ゴミ箱_Backup!$B$1:$D$1,0)),INDEX(_ゴミ箱_Backup!$B$90:$D$90,1,MATCH(言語切替!$B$3,_ゴミ箱_Backup!$B$1:$D$1,0))))))</f>
        <v/>
      </c>
      <c r="O77" s="41"/>
      <c r="P77" s="43"/>
      <c r="Q77" s="61" t="str">
        <f t="shared" si="18"/>
        <v/>
      </c>
      <c r="R77" s="61" t="str">
        <f t="shared" si="19"/>
        <v/>
      </c>
      <c r="S77" s="61" t="str">
        <f t="shared" si="20"/>
        <v/>
      </c>
      <c r="T77" s="61" t="str">
        <f t="shared" si="21"/>
        <v/>
      </c>
      <c r="U77" s="61" t="str">
        <f t="shared" si="22"/>
        <v/>
      </c>
      <c r="V77" s="61" t="str">
        <f t="shared" si="23"/>
        <v/>
      </c>
    </row>
    <row r="78" spans="1:22" x14ac:dyDescent="0.25">
      <c r="A78" s="36"/>
      <c r="B78" s="37"/>
      <c r="C78" s="37"/>
      <c r="D78" s="37"/>
      <c r="E78" s="37"/>
      <c r="F78" s="37"/>
      <c r="G78" s="38"/>
      <c r="H78" s="38"/>
      <c r="I78" s="38"/>
      <c r="J78" s="38"/>
      <c r="K78" s="29" t="str">
        <f t="shared" ca="1" si="16"/>
        <v/>
      </c>
      <c r="L78" s="37"/>
      <c r="M78" s="13" t="str">
        <f t="shared" ca="1" si="17"/>
        <v/>
      </c>
      <c r="N78" s="13" t="str">
        <f ca="1">IF(H78="","",IF(J78&lt;&gt;"",INDEX(_ゴミ箱_Backup!$B$75:$D$75,1,MATCH(言語切替!$B$3,_ゴミ箱_Backup!$B$1:$D$1,0)),IF(TODAY()&gt;H78,INDEX(_ゴミ箱_Backup!$B$92:$D$92,1,MATCH(言語切替!$B$3,_ゴミ箱_Backup!$B$1:$D$1,0)),IF(H78-TODAY()&lt;=7,INDEX(_ゴミ箱_Backup!$B$91:$D$91,1,MATCH(言語切替!$B$3,_ゴミ箱_Backup!$B$1:$D$1,0)),INDEX(_ゴミ箱_Backup!$B$90:$D$90,1,MATCH(言語切替!$B$3,_ゴミ箱_Backup!$B$1:$D$1,0))))))</f>
        <v/>
      </c>
      <c r="O78" s="37"/>
      <c r="P78" s="39"/>
      <c r="Q78" s="61" t="str">
        <f t="shared" si="18"/>
        <v/>
      </c>
      <c r="R78" s="61" t="str">
        <f t="shared" si="19"/>
        <v/>
      </c>
      <c r="S78" s="61" t="str">
        <f t="shared" si="20"/>
        <v/>
      </c>
      <c r="T78" s="61" t="str">
        <f t="shared" si="21"/>
        <v/>
      </c>
      <c r="U78" s="61" t="str">
        <f t="shared" si="22"/>
        <v/>
      </c>
      <c r="V78" s="61" t="str">
        <f t="shared" si="23"/>
        <v/>
      </c>
    </row>
    <row r="79" spans="1:22" x14ac:dyDescent="0.25">
      <c r="A79" s="40"/>
      <c r="B79" s="41"/>
      <c r="C79" s="41"/>
      <c r="D79" s="41"/>
      <c r="E79" s="41"/>
      <c r="F79" s="41"/>
      <c r="G79" s="42"/>
      <c r="H79" s="42"/>
      <c r="I79" s="42"/>
      <c r="J79" s="42"/>
      <c r="K79" s="34" t="str">
        <f t="shared" ca="1" si="16"/>
        <v/>
      </c>
      <c r="L79" s="41"/>
      <c r="M79" s="16" t="str">
        <f t="shared" ca="1" si="17"/>
        <v/>
      </c>
      <c r="N79" s="16" t="str">
        <f ca="1">IF(H79="","",IF(J79&lt;&gt;"",INDEX(_ゴミ箱_Backup!$B$75:$D$75,1,MATCH(言語切替!$B$3,_ゴミ箱_Backup!$B$1:$D$1,0)),IF(TODAY()&gt;H79,INDEX(_ゴミ箱_Backup!$B$92:$D$92,1,MATCH(言語切替!$B$3,_ゴミ箱_Backup!$B$1:$D$1,0)),IF(H79-TODAY()&lt;=7,INDEX(_ゴミ箱_Backup!$B$91:$D$91,1,MATCH(言語切替!$B$3,_ゴミ箱_Backup!$B$1:$D$1,0)),INDEX(_ゴミ箱_Backup!$B$90:$D$90,1,MATCH(言語切替!$B$3,_ゴミ箱_Backup!$B$1:$D$1,0))))))</f>
        <v/>
      </c>
      <c r="O79" s="41"/>
      <c r="P79" s="43"/>
      <c r="Q79" s="61" t="str">
        <f t="shared" si="18"/>
        <v/>
      </c>
      <c r="R79" s="61" t="str">
        <f t="shared" si="19"/>
        <v/>
      </c>
      <c r="S79" s="61" t="str">
        <f t="shared" si="20"/>
        <v/>
      </c>
      <c r="T79" s="61" t="str">
        <f t="shared" si="21"/>
        <v/>
      </c>
      <c r="U79" s="61" t="str">
        <f t="shared" si="22"/>
        <v/>
      </c>
      <c r="V79" s="61" t="str">
        <f t="shared" si="23"/>
        <v/>
      </c>
    </row>
    <row r="80" spans="1:22" x14ac:dyDescent="0.25">
      <c r="A80" s="36"/>
      <c r="B80" s="37"/>
      <c r="C80" s="37"/>
      <c r="D80" s="37"/>
      <c r="E80" s="37"/>
      <c r="F80" s="37"/>
      <c r="G80" s="38"/>
      <c r="H80" s="38"/>
      <c r="I80" s="38"/>
      <c r="J80" s="38"/>
      <c r="K80" s="29" t="str">
        <f t="shared" ca="1" si="16"/>
        <v/>
      </c>
      <c r="L80" s="37"/>
      <c r="M80" s="13" t="str">
        <f t="shared" ca="1" si="17"/>
        <v/>
      </c>
      <c r="N80" s="13" t="str">
        <f ca="1">IF(H80="","",IF(J80&lt;&gt;"",INDEX(_ゴミ箱_Backup!$B$75:$D$75,1,MATCH(言語切替!$B$3,_ゴミ箱_Backup!$B$1:$D$1,0)),IF(TODAY()&gt;H80,INDEX(_ゴミ箱_Backup!$B$92:$D$92,1,MATCH(言語切替!$B$3,_ゴミ箱_Backup!$B$1:$D$1,0)),IF(H80-TODAY()&lt;=7,INDEX(_ゴミ箱_Backup!$B$91:$D$91,1,MATCH(言語切替!$B$3,_ゴミ箱_Backup!$B$1:$D$1,0)),INDEX(_ゴミ箱_Backup!$B$90:$D$90,1,MATCH(言語切替!$B$3,_ゴミ箱_Backup!$B$1:$D$1,0))))))</f>
        <v/>
      </c>
      <c r="O80" s="37"/>
      <c r="P80" s="39"/>
      <c r="Q80" s="61" t="str">
        <f t="shared" si="18"/>
        <v/>
      </c>
      <c r="R80" s="61" t="str">
        <f t="shared" si="19"/>
        <v/>
      </c>
      <c r="S80" s="61" t="str">
        <f t="shared" si="20"/>
        <v/>
      </c>
      <c r="T80" s="61" t="str">
        <f t="shared" si="21"/>
        <v/>
      </c>
      <c r="U80" s="61" t="str">
        <f t="shared" si="22"/>
        <v/>
      </c>
      <c r="V80" s="61" t="str">
        <f t="shared" si="23"/>
        <v/>
      </c>
    </row>
    <row r="81" spans="1:22" x14ac:dyDescent="0.25">
      <c r="A81" s="40"/>
      <c r="B81" s="41"/>
      <c r="C81" s="41"/>
      <c r="D81" s="41"/>
      <c r="E81" s="41"/>
      <c r="F81" s="41"/>
      <c r="G81" s="42"/>
      <c r="H81" s="42"/>
      <c r="I81" s="42"/>
      <c r="J81" s="42"/>
      <c r="K81" s="34" t="str">
        <f t="shared" ca="1" si="16"/>
        <v/>
      </c>
      <c r="L81" s="41"/>
      <c r="M81" s="16" t="str">
        <f t="shared" ca="1" si="17"/>
        <v/>
      </c>
      <c r="N81" s="16" t="str">
        <f ca="1">IF(H81="","",IF(J81&lt;&gt;"",INDEX(_ゴミ箱_Backup!$B$75:$D$75,1,MATCH(言語切替!$B$3,_ゴミ箱_Backup!$B$1:$D$1,0)),IF(TODAY()&gt;H81,INDEX(_ゴミ箱_Backup!$B$92:$D$92,1,MATCH(言語切替!$B$3,_ゴミ箱_Backup!$B$1:$D$1,0)),IF(H81-TODAY()&lt;=7,INDEX(_ゴミ箱_Backup!$B$91:$D$91,1,MATCH(言語切替!$B$3,_ゴミ箱_Backup!$B$1:$D$1,0)),INDEX(_ゴミ箱_Backup!$B$90:$D$90,1,MATCH(言語切替!$B$3,_ゴミ箱_Backup!$B$1:$D$1,0))))))</f>
        <v/>
      </c>
      <c r="O81" s="41"/>
      <c r="P81" s="43"/>
      <c r="Q81" s="61" t="str">
        <f t="shared" si="18"/>
        <v/>
      </c>
      <c r="R81" s="61" t="str">
        <f t="shared" si="19"/>
        <v/>
      </c>
      <c r="S81" s="61" t="str">
        <f t="shared" si="20"/>
        <v/>
      </c>
      <c r="T81" s="61" t="str">
        <f t="shared" si="21"/>
        <v/>
      </c>
      <c r="U81" s="61" t="str">
        <f t="shared" si="22"/>
        <v/>
      </c>
      <c r="V81" s="61" t="str">
        <f t="shared" si="23"/>
        <v/>
      </c>
    </row>
    <row r="82" spans="1:22" x14ac:dyDescent="0.25">
      <c r="A82" s="36"/>
      <c r="B82" s="37"/>
      <c r="C82" s="37"/>
      <c r="D82" s="37"/>
      <c r="E82" s="37"/>
      <c r="F82" s="37"/>
      <c r="G82" s="38"/>
      <c r="H82" s="38"/>
      <c r="I82" s="38"/>
      <c r="J82" s="38"/>
      <c r="K82" s="29" t="str">
        <f t="shared" ca="1" si="16"/>
        <v/>
      </c>
      <c r="L82" s="37"/>
      <c r="M82" s="13" t="str">
        <f t="shared" ca="1" si="17"/>
        <v/>
      </c>
      <c r="N82" s="13" t="str">
        <f ca="1">IF(H82="","",IF(J82&lt;&gt;"",INDEX(_ゴミ箱_Backup!$B$75:$D$75,1,MATCH(言語切替!$B$3,_ゴミ箱_Backup!$B$1:$D$1,0)),IF(TODAY()&gt;H82,INDEX(_ゴミ箱_Backup!$B$92:$D$92,1,MATCH(言語切替!$B$3,_ゴミ箱_Backup!$B$1:$D$1,0)),IF(H82-TODAY()&lt;=7,INDEX(_ゴミ箱_Backup!$B$91:$D$91,1,MATCH(言語切替!$B$3,_ゴミ箱_Backup!$B$1:$D$1,0)),INDEX(_ゴミ箱_Backup!$B$90:$D$90,1,MATCH(言語切替!$B$3,_ゴミ箱_Backup!$B$1:$D$1,0))))))</f>
        <v/>
      </c>
      <c r="O82" s="37"/>
      <c r="P82" s="39"/>
      <c r="Q82" s="61" t="str">
        <f t="shared" si="18"/>
        <v/>
      </c>
      <c r="R82" s="61" t="str">
        <f t="shared" si="19"/>
        <v/>
      </c>
      <c r="S82" s="61" t="str">
        <f t="shared" si="20"/>
        <v/>
      </c>
      <c r="T82" s="61" t="str">
        <f t="shared" si="21"/>
        <v/>
      </c>
      <c r="U82" s="61" t="str">
        <f t="shared" si="22"/>
        <v/>
      </c>
      <c r="V82" s="61" t="str">
        <f t="shared" si="23"/>
        <v/>
      </c>
    </row>
    <row r="83" spans="1:22" x14ac:dyDescent="0.25">
      <c r="A83" s="40"/>
      <c r="B83" s="41"/>
      <c r="C83" s="41"/>
      <c r="D83" s="41"/>
      <c r="E83" s="41"/>
      <c r="F83" s="41"/>
      <c r="G83" s="42"/>
      <c r="H83" s="42"/>
      <c r="I83" s="42"/>
      <c r="J83" s="42"/>
      <c r="K83" s="34" t="str">
        <f t="shared" ca="1" si="16"/>
        <v/>
      </c>
      <c r="L83" s="41"/>
      <c r="M83" s="16" t="str">
        <f t="shared" ca="1" si="17"/>
        <v/>
      </c>
      <c r="N83" s="16" t="str">
        <f ca="1">IF(H83="","",IF(J83&lt;&gt;"",INDEX(_ゴミ箱_Backup!$B$75:$D$75,1,MATCH(言語切替!$B$3,_ゴミ箱_Backup!$B$1:$D$1,0)),IF(TODAY()&gt;H83,INDEX(_ゴミ箱_Backup!$B$92:$D$92,1,MATCH(言語切替!$B$3,_ゴミ箱_Backup!$B$1:$D$1,0)),IF(H83-TODAY()&lt;=7,INDEX(_ゴミ箱_Backup!$B$91:$D$91,1,MATCH(言語切替!$B$3,_ゴミ箱_Backup!$B$1:$D$1,0)),INDEX(_ゴミ箱_Backup!$B$90:$D$90,1,MATCH(言語切替!$B$3,_ゴミ箱_Backup!$B$1:$D$1,0))))))</f>
        <v/>
      </c>
      <c r="O83" s="41"/>
      <c r="P83" s="43"/>
      <c r="Q83" s="61" t="str">
        <f t="shared" si="18"/>
        <v/>
      </c>
      <c r="R83" s="61" t="str">
        <f t="shared" si="19"/>
        <v/>
      </c>
      <c r="S83" s="61" t="str">
        <f t="shared" si="20"/>
        <v/>
      </c>
      <c r="T83" s="61" t="str">
        <f t="shared" si="21"/>
        <v/>
      </c>
      <c r="U83" s="61" t="str">
        <f t="shared" si="22"/>
        <v/>
      </c>
      <c r="V83" s="61" t="str">
        <f t="shared" si="23"/>
        <v/>
      </c>
    </row>
    <row r="84" spans="1:22" x14ac:dyDescent="0.25">
      <c r="A84" s="36"/>
      <c r="B84" s="37"/>
      <c r="C84" s="37"/>
      <c r="D84" s="37"/>
      <c r="E84" s="37"/>
      <c r="F84" s="37"/>
      <c r="G84" s="38"/>
      <c r="H84" s="38"/>
      <c r="I84" s="38"/>
      <c r="J84" s="38"/>
      <c r="K84" s="29" t="str">
        <f t="shared" ca="1" si="16"/>
        <v/>
      </c>
      <c r="L84" s="37"/>
      <c r="M84" s="13" t="str">
        <f t="shared" ca="1" si="17"/>
        <v/>
      </c>
      <c r="N84" s="13" t="str">
        <f ca="1">IF(H84="","",IF(J84&lt;&gt;"",INDEX(_ゴミ箱_Backup!$B$75:$D$75,1,MATCH(言語切替!$B$3,_ゴミ箱_Backup!$B$1:$D$1,0)),IF(TODAY()&gt;H84,INDEX(_ゴミ箱_Backup!$B$92:$D$92,1,MATCH(言語切替!$B$3,_ゴミ箱_Backup!$B$1:$D$1,0)),IF(H84-TODAY()&lt;=7,INDEX(_ゴミ箱_Backup!$B$91:$D$91,1,MATCH(言語切替!$B$3,_ゴミ箱_Backup!$B$1:$D$1,0)),INDEX(_ゴミ箱_Backup!$B$90:$D$90,1,MATCH(言語切替!$B$3,_ゴミ箱_Backup!$B$1:$D$1,0))))))</f>
        <v/>
      </c>
      <c r="O84" s="37"/>
      <c r="P84" s="39"/>
      <c r="Q84" s="61" t="str">
        <f t="shared" si="18"/>
        <v/>
      </c>
      <c r="R84" s="61" t="str">
        <f t="shared" si="19"/>
        <v/>
      </c>
      <c r="S84" s="61" t="str">
        <f t="shared" si="20"/>
        <v/>
      </c>
      <c r="T84" s="61" t="str">
        <f t="shared" si="21"/>
        <v/>
      </c>
      <c r="U84" s="61" t="str">
        <f t="shared" si="22"/>
        <v/>
      </c>
      <c r="V84" s="61" t="str">
        <f t="shared" si="23"/>
        <v/>
      </c>
    </row>
    <row r="85" spans="1:22" x14ac:dyDescent="0.25">
      <c r="A85" s="40"/>
      <c r="B85" s="41"/>
      <c r="C85" s="41"/>
      <c r="D85" s="41"/>
      <c r="E85" s="41"/>
      <c r="F85" s="41"/>
      <c r="G85" s="42"/>
      <c r="H85" s="42"/>
      <c r="I85" s="42"/>
      <c r="J85" s="42"/>
      <c r="K85" s="34" t="str">
        <f t="shared" ca="1" si="16"/>
        <v/>
      </c>
      <c r="L85" s="41"/>
      <c r="M85" s="16" t="str">
        <f t="shared" ca="1" si="17"/>
        <v/>
      </c>
      <c r="N85" s="16" t="str">
        <f ca="1">IF(H85="","",IF(J85&lt;&gt;"",INDEX(_ゴミ箱_Backup!$B$75:$D$75,1,MATCH(言語切替!$B$3,_ゴミ箱_Backup!$B$1:$D$1,0)),IF(TODAY()&gt;H85,INDEX(_ゴミ箱_Backup!$B$92:$D$92,1,MATCH(言語切替!$B$3,_ゴミ箱_Backup!$B$1:$D$1,0)),IF(H85-TODAY()&lt;=7,INDEX(_ゴミ箱_Backup!$B$91:$D$91,1,MATCH(言語切替!$B$3,_ゴミ箱_Backup!$B$1:$D$1,0)),INDEX(_ゴミ箱_Backup!$B$90:$D$90,1,MATCH(言語切替!$B$3,_ゴミ箱_Backup!$B$1:$D$1,0))))))</f>
        <v/>
      </c>
      <c r="O85" s="41"/>
      <c r="P85" s="43"/>
      <c r="Q85" s="61" t="str">
        <f t="shared" si="18"/>
        <v/>
      </c>
      <c r="R85" s="61" t="str">
        <f t="shared" si="19"/>
        <v/>
      </c>
      <c r="S85" s="61" t="str">
        <f t="shared" si="20"/>
        <v/>
      </c>
      <c r="T85" s="61" t="str">
        <f t="shared" si="21"/>
        <v/>
      </c>
      <c r="U85" s="61" t="str">
        <f t="shared" si="22"/>
        <v/>
      </c>
      <c r="V85" s="61" t="str">
        <f t="shared" si="23"/>
        <v/>
      </c>
    </row>
    <row r="86" spans="1:22" x14ac:dyDescent="0.25">
      <c r="A86" s="36"/>
      <c r="B86" s="37"/>
      <c r="C86" s="37"/>
      <c r="D86" s="37"/>
      <c r="E86" s="37"/>
      <c r="F86" s="37"/>
      <c r="G86" s="38"/>
      <c r="H86" s="38"/>
      <c r="I86" s="38"/>
      <c r="J86" s="38"/>
      <c r="K86" s="29" t="str">
        <f t="shared" ca="1" si="16"/>
        <v/>
      </c>
      <c r="L86" s="37"/>
      <c r="M86" s="13" t="str">
        <f t="shared" ca="1" si="17"/>
        <v/>
      </c>
      <c r="N86" s="13" t="str">
        <f ca="1">IF(H86="","",IF(J86&lt;&gt;"",INDEX(_ゴミ箱_Backup!$B$75:$D$75,1,MATCH(言語切替!$B$3,_ゴミ箱_Backup!$B$1:$D$1,0)),IF(TODAY()&gt;H86,INDEX(_ゴミ箱_Backup!$B$92:$D$92,1,MATCH(言語切替!$B$3,_ゴミ箱_Backup!$B$1:$D$1,0)),IF(H86-TODAY()&lt;=7,INDEX(_ゴミ箱_Backup!$B$91:$D$91,1,MATCH(言語切替!$B$3,_ゴミ箱_Backup!$B$1:$D$1,0)),INDEX(_ゴミ箱_Backup!$B$90:$D$90,1,MATCH(言語切替!$B$3,_ゴミ箱_Backup!$B$1:$D$1,0))))))</f>
        <v/>
      </c>
      <c r="O86" s="37"/>
      <c r="P86" s="39"/>
      <c r="Q86" s="61" t="str">
        <f t="shared" si="18"/>
        <v/>
      </c>
      <c r="R86" s="61" t="str">
        <f t="shared" si="19"/>
        <v/>
      </c>
      <c r="S86" s="61" t="str">
        <f t="shared" si="20"/>
        <v/>
      </c>
      <c r="T86" s="61" t="str">
        <f t="shared" si="21"/>
        <v/>
      </c>
      <c r="U86" s="61" t="str">
        <f t="shared" si="22"/>
        <v/>
      </c>
      <c r="V86" s="61" t="str">
        <f t="shared" si="23"/>
        <v/>
      </c>
    </row>
    <row r="87" spans="1:22" x14ac:dyDescent="0.25">
      <c r="A87" s="40"/>
      <c r="B87" s="41"/>
      <c r="C87" s="41"/>
      <c r="D87" s="41"/>
      <c r="E87" s="41"/>
      <c r="F87" s="41"/>
      <c r="G87" s="42"/>
      <c r="H87" s="42"/>
      <c r="I87" s="42"/>
      <c r="J87" s="42"/>
      <c r="K87" s="34" t="str">
        <f t="shared" ca="1" si="16"/>
        <v/>
      </c>
      <c r="L87" s="41"/>
      <c r="M87" s="16" t="str">
        <f t="shared" ca="1" si="17"/>
        <v/>
      </c>
      <c r="N87" s="16" t="str">
        <f ca="1">IF(H87="","",IF(J87&lt;&gt;"",INDEX(_ゴミ箱_Backup!$B$75:$D$75,1,MATCH(言語切替!$B$3,_ゴミ箱_Backup!$B$1:$D$1,0)),IF(TODAY()&gt;H87,INDEX(_ゴミ箱_Backup!$B$92:$D$92,1,MATCH(言語切替!$B$3,_ゴミ箱_Backup!$B$1:$D$1,0)),IF(H87-TODAY()&lt;=7,INDEX(_ゴミ箱_Backup!$B$91:$D$91,1,MATCH(言語切替!$B$3,_ゴミ箱_Backup!$B$1:$D$1,0)),INDEX(_ゴミ箱_Backup!$B$90:$D$90,1,MATCH(言語切替!$B$3,_ゴミ箱_Backup!$B$1:$D$1,0))))))</f>
        <v/>
      </c>
      <c r="O87" s="41"/>
      <c r="P87" s="43"/>
      <c r="Q87" s="61" t="str">
        <f t="shared" si="18"/>
        <v/>
      </c>
      <c r="R87" s="61" t="str">
        <f t="shared" si="19"/>
        <v/>
      </c>
      <c r="S87" s="61" t="str">
        <f t="shared" si="20"/>
        <v/>
      </c>
      <c r="T87" s="61" t="str">
        <f t="shared" si="21"/>
        <v/>
      </c>
      <c r="U87" s="61" t="str">
        <f t="shared" si="22"/>
        <v/>
      </c>
      <c r="V87" s="61" t="str">
        <f t="shared" si="23"/>
        <v/>
      </c>
    </row>
    <row r="88" spans="1:22" x14ac:dyDescent="0.25">
      <c r="A88" s="36"/>
      <c r="B88" s="37"/>
      <c r="C88" s="37"/>
      <c r="D88" s="37"/>
      <c r="E88" s="37"/>
      <c r="F88" s="37"/>
      <c r="G88" s="38"/>
      <c r="H88" s="38"/>
      <c r="I88" s="38"/>
      <c r="J88" s="38"/>
      <c r="K88" s="29" t="str">
        <f t="shared" ca="1" si="16"/>
        <v/>
      </c>
      <c r="L88" s="37"/>
      <c r="M88" s="13" t="str">
        <f t="shared" ca="1" si="17"/>
        <v/>
      </c>
      <c r="N88" s="13" t="str">
        <f ca="1">IF(H88="","",IF(J88&lt;&gt;"",INDEX(_ゴミ箱_Backup!$B$75:$D$75,1,MATCH(言語切替!$B$3,_ゴミ箱_Backup!$B$1:$D$1,0)),IF(TODAY()&gt;H88,INDEX(_ゴミ箱_Backup!$B$92:$D$92,1,MATCH(言語切替!$B$3,_ゴミ箱_Backup!$B$1:$D$1,0)),IF(H88-TODAY()&lt;=7,INDEX(_ゴミ箱_Backup!$B$91:$D$91,1,MATCH(言語切替!$B$3,_ゴミ箱_Backup!$B$1:$D$1,0)),INDEX(_ゴミ箱_Backup!$B$90:$D$90,1,MATCH(言語切替!$B$3,_ゴミ箱_Backup!$B$1:$D$1,0))))))</f>
        <v/>
      </c>
      <c r="O88" s="37"/>
      <c r="P88" s="39"/>
      <c r="Q88" s="61" t="str">
        <f t="shared" si="18"/>
        <v/>
      </c>
      <c r="R88" s="61" t="str">
        <f t="shared" si="19"/>
        <v/>
      </c>
      <c r="S88" s="61" t="str">
        <f t="shared" si="20"/>
        <v/>
      </c>
      <c r="T88" s="61" t="str">
        <f t="shared" si="21"/>
        <v/>
      </c>
      <c r="U88" s="61" t="str">
        <f t="shared" si="22"/>
        <v/>
      </c>
      <c r="V88" s="61" t="str">
        <f t="shared" si="23"/>
        <v/>
      </c>
    </row>
    <row r="89" spans="1:22" x14ac:dyDescent="0.25">
      <c r="A89" s="40"/>
      <c r="B89" s="41"/>
      <c r="C89" s="41"/>
      <c r="D89" s="41"/>
      <c r="E89" s="41"/>
      <c r="F89" s="41"/>
      <c r="G89" s="42"/>
      <c r="H89" s="42"/>
      <c r="I89" s="42"/>
      <c r="J89" s="42"/>
      <c r="K89" s="34" t="str">
        <f t="shared" ca="1" si="16"/>
        <v/>
      </c>
      <c r="L89" s="41"/>
      <c r="M89" s="16" t="str">
        <f t="shared" ca="1" si="17"/>
        <v/>
      </c>
      <c r="N89" s="16" t="str">
        <f ca="1">IF(H89="","",IF(J89&lt;&gt;"",INDEX(_ゴミ箱_Backup!$B$75:$D$75,1,MATCH(言語切替!$B$3,_ゴミ箱_Backup!$B$1:$D$1,0)),IF(TODAY()&gt;H89,INDEX(_ゴミ箱_Backup!$B$92:$D$92,1,MATCH(言語切替!$B$3,_ゴミ箱_Backup!$B$1:$D$1,0)),IF(H89-TODAY()&lt;=7,INDEX(_ゴミ箱_Backup!$B$91:$D$91,1,MATCH(言語切替!$B$3,_ゴミ箱_Backup!$B$1:$D$1,0)),INDEX(_ゴミ箱_Backup!$B$90:$D$90,1,MATCH(言語切替!$B$3,_ゴミ箱_Backup!$B$1:$D$1,0))))))</f>
        <v/>
      </c>
      <c r="O89" s="41"/>
      <c r="P89" s="43"/>
      <c r="Q89" s="61" t="str">
        <f t="shared" si="18"/>
        <v/>
      </c>
      <c r="R89" s="61" t="str">
        <f t="shared" si="19"/>
        <v/>
      </c>
      <c r="S89" s="61" t="str">
        <f t="shared" si="20"/>
        <v/>
      </c>
      <c r="T89" s="61" t="str">
        <f t="shared" si="21"/>
        <v/>
      </c>
      <c r="U89" s="61" t="str">
        <f t="shared" si="22"/>
        <v/>
      </c>
      <c r="V89" s="61" t="str">
        <f t="shared" si="23"/>
        <v/>
      </c>
    </row>
    <row r="90" spans="1:22" x14ac:dyDescent="0.25">
      <c r="A90" s="36"/>
      <c r="B90" s="37"/>
      <c r="C90" s="37"/>
      <c r="D90" s="37"/>
      <c r="E90" s="37"/>
      <c r="F90" s="37"/>
      <c r="G90" s="38"/>
      <c r="H90" s="38"/>
      <c r="I90" s="38"/>
      <c r="J90" s="38"/>
      <c r="K90" s="29" t="str">
        <f t="shared" ca="1" si="16"/>
        <v/>
      </c>
      <c r="L90" s="37"/>
      <c r="M90" s="13" t="str">
        <f t="shared" ca="1" si="17"/>
        <v/>
      </c>
      <c r="N90" s="13" t="str">
        <f ca="1">IF(H90="","",IF(J90&lt;&gt;"",INDEX(_ゴミ箱_Backup!$B$75:$D$75,1,MATCH(言語切替!$B$3,_ゴミ箱_Backup!$B$1:$D$1,0)),IF(TODAY()&gt;H90,INDEX(_ゴミ箱_Backup!$B$92:$D$92,1,MATCH(言語切替!$B$3,_ゴミ箱_Backup!$B$1:$D$1,0)),IF(H90-TODAY()&lt;=7,INDEX(_ゴミ箱_Backup!$B$91:$D$91,1,MATCH(言語切替!$B$3,_ゴミ箱_Backup!$B$1:$D$1,0)),INDEX(_ゴミ箱_Backup!$B$90:$D$90,1,MATCH(言語切替!$B$3,_ゴミ箱_Backup!$B$1:$D$1,0))))))</f>
        <v/>
      </c>
      <c r="O90" s="37"/>
      <c r="P90" s="39"/>
      <c r="Q90" s="61" t="str">
        <f t="shared" si="18"/>
        <v/>
      </c>
      <c r="R90" s="61" t="str">
        <f t="shared" si="19"/>
        <v/>
      </c>
      <c r="S90" s="61" t="str">
        <f t="shared" si="20"/>
        <v/>
      </c>
      <c r="T90" s="61" t="str">
        <f t="shared" si="21"/>
        <v/>
      </c>
      <c r="U90" s="61" t="str">
        <f t="shared" si="22"/>
        <v/>
      </c>
      <c r="V90" s="61" t="str">
        <f t="shared" si="23"/>
        <v/>
      </c>
    </row>
    <row r="91" spans="1:22" x14ac:dyDescent="0.25">
      <c r="A91" s="40"/>
      <c r="B91" s="41"/>
      <c r="C91" s="41"/>
      <c r="D91" s="41"/>
      <c r="E91" s="41"/>
      <c r="F91" s="41"/>
      <c r="G91" s="42"/>
      <c r="H91" s="42"/>
      <c r="I91" s="42"/>
      <c r="J91" s="42"/>
      <c r="K91" s="34" t="str">
        <f t="shared" ca="1" si="16"/>
        <v/>
      </c>
      <c r="L91" s="41"/>
      <c r="M91" s="16" t="str">
        <f t="shared" ca="1" si="17"/>
        <v/>
      </c>
      <c r="N91" s="16" t="str">
        <f ca="1">IF(H91="","",IF(J91&lt;&gt;"",INDEX(_ゴミ箱_Backup!$B$75:$D$75,1,MATCH(言語切替!$B$3,_ゴミ箱_Backup!$B$1:$D$1,0)),IF(TODAY()&gt;H91,INDEX(_ゴミ箱_Backup!$B$92:$D$92,1,MATCH(言語切替!$B$3,_ゴミ箱_Backup!$B$1:$D$1,0)),IF(H91-TODAY()&lt;=7,INDEX(_ゴミ箱_Backup!$B$91:$D$91,1,MATCH(言語切替!$B$3,_ゴミ箱_Backup!$B$1:$D$1,0)),INDEX(_ゴミ箱_Backup!$B$90:$D$90,1,MATCH(言語切替!$B$3,_ゴミ箱_Backup!$B$1:$D$1,0))))))</f>
        <v/>
      </c>
      <c r="O91" s="41"/>
      <c r="P91" s="43"/>
      <c r="Q91" s="61" t="str">
        <f t="shared" si="18"/>
        <v/>
      </c>
      <c r="R91" s="61" t="str">
        <f t="shared" si="19"/>
        <v/>
      </c>
      <c r="S91" s="61" t="str">
        <f t="shared" si="20"/>
        <v/>
      </c>
      <c r="T91" s="61" t="str">
        <f t="shared" si="21"/>
        <v/>
      </c>
      <c r="U91" s="61" t="str">
        <f t="shared" si="22"/>
        <v/>
      </c>
      <c r="V91" s="61" t="str">
        <f t="shared" si="23"/>
        <v/>
      </c>
    </row>
    <row r="92" spans="1:22" x14ac:dyDescent="0.25">
      <c r="A92" s="36"/>
      <c r="B92" s="37"/>
      <c r="C92" s="37"/>
      <c r="D92" s="37"/>
      <c r="E92" s="37"/>
      <c r="F92" s="37"/>
      <c r="G92" s="38"/>
      <c r="H92" s="38"/>
      <c r="I92" s="38"/>
      <c r="J92" s="38"/>
      <c r="K92" s="29" t="str">
        <f t="shared" ca="1" si="16"/>
        <v/>
      </c>
      <c r="L92" s="37"/>
      <c r="M92" s="13" t="str">
        <f t="shared" ca="1" si="17"/>
        <v/>
      </c>
      <c r="N92" s="13" t="str">
        <f ca="1">IF(H92="","",IF(J92&lt;&gt;"",INDEX(_ゴミ箱_Backup!$B$75:$D$75,1,MATCH(言語切替!$B$3,_ゴミ箱_Backup!$B$1:$D$1,0)),IF(TODAY()&gt;H92,INDEX(_ゴミ箱_Backup!$B$92:$D$92,1,MATCH(言語切替!$B$3,_ゴミ箱_Backup!$B$1:$D$1,0)),IF(H92-TODAY()&lt;=7,INDEX(_ゴミ箱_Backup!$B$91:$D$91,1,MATCH(言語切替!$B$3,_ゴミ箱_Backup!$B$1:$D$1,0)),INDEX(_ゴミ箱_Backup!$B$90:$D$90,1,MATCH(言語切替!$B$3,_ゴミ箱_Backup!$B$1:$D$1,0))))))</f>
        <v/>
      </c>
      <c r="O92" s="37"/>
      <c r="P92" s="39"/>
      <c r="Q92" s="61" t="str">
        <f t="shared" si="18"/>
        <v/>
      </c>
      <c r="R92" s="61" t="str">
        <f t="shared" si="19"/>
        <v/>
      </c>
      <c r="S92" s="61" t="str">
        <f t="shared" si="20"/>
        <v/>
      </c>
      <c r="T92" s="61" t="str">
        <f t="shared" si="21"/>
        <v/>
      </c>
      <c r="U92" s="61" t="str">
        <f t="shared" si="22"/>
        <v/>
      </c>
      <c r="V92" s="61" t="str">
        <f t="shared" si="23"/>
        <v/>
      </c>
    </row>
    <row r="93" spans="1:22" x14ac:dyDescent="0.25">
      <c r="A93" s="40"/>
      <c r="B93" s="41"/>
      <c r="C93" s="41"/>
      <c r="D93" s="41"/>
      <c r="E93" s="41"/>
      <c r="F93" s="41"/>
      <c r="G93" s="42"/>
      <c r="H93" s="42"/>
      <c r="I93" s="42"/>
      <c r="J93" s="42"/>
      <c r="K93" s="34" t="str">
        <f t="shared" ca="1" si="16"/>
        <v/>
      </c>
      <c r="L93" s="41"/>
      <c r="M93" s="16" t="str">
        <f t="shared" ca="1" si="17"/>
        <v/>
      </c>
      <c r="N93" s="16" t="str">
        <f ca="1">IF(H93="","",IF(J93&lt;&gt;"",INDEX(_ゴミ箱_Backup!$B$75:$D$75,1,MATCH(言語切替!$B$3,_ゴミ箱_Backup!$B$1:$D$1,0)),IF(TODAY()&gt;H93,INDEX(_ゴミ箱_Backup!$B$92:$D$92,1,MATCH(言語切替!$B$3,_ゴミ箱_Backup!$B$1:$D$1,0)),IF(H93-TODAY()&lt;=7,INDEX(_ゴミ箱_Backup!$B$91:$D$91,1,MATCH(言語切替!$B$3,_ゴミ箱_Backup!$B$1:$D$1,0)),INDEX(_ゴミ箱_Backup!$B$90:$D$90,1,MATCH(言語切替!$B$3,_ゴミ箱_Backup!$B$1:$D$1,0))))))</f>
        <v/>
      </c>
      <c r="O93" s="41"/>
      <c r="P93" s="43"/>
      <c r="Q93" s="61" t="str">
        <f t="shared" si="18"/>
        <v/>
      </c>
      <c r="R93" s="61" t="str">
        <f t="shared" si="19"/>
        <v/>
      </c>
      <c r="S93" s="61" t="str">
        <f t="shared" si="20"/>
        <v/>
      </c>
      <c r="T93" s="61" t="str">
        <f t="shared" si="21"/>
        <v/>
      </c>
      <c r="U93" s="61" t="str">
        <f t="shared" si="22"/>
        <v/>
      </c>
      <c r="V93" s="61" t="str">
        <f t="shared" si="23"/>
        <v/>
      </c>
    </row>
    <row r="94" spans="1:22" x14ac:dyDescent="0.25">
      <c r="A94" s="36"/>
      <c r="B94" s="37"/>
      <c r="C94" s="37"/>
      <c r="D94" s="37"/>
      <c r="E94" s="37"/>
      <c r="F94" s="37"/>
      <c r="G94" s="38"/>
      <c r="H94" s="38"/>
      <c r="I94" s="38"/>
      <c r="J94" s="38"/>
      <c r="K94" s="29" t="str">
        <f t="shared" ca="1" si="16"/>
        <v/>
      </c>
      <c r="L94" s="37"/>
      <c r="M94" s="13" t="str">
        <f t="shared" ca="1" si="17"/>
        <v/>
      </c>
      <c r="N94" s="13" t="str">
        <f ca="1">IF(H94="","",IF(J94&lt;&gt;"",INDEX(_ゴミ箱_Backup!$B$75:$D$75,1,MATCH(言語切替!$B$3,_ゴミ箱_Backup!$B$1:$D$1,0)),IF(TODAY()&gt;H94,INDEX(_ゴミ箱_Backup!$B$92:$D$92,1,MATCH(言語切替!$B$3,_ゴミ箱_Backup!$B$1:$D$1,0)),IF(H94-TODAY()&lt;=7,INDEX(_ゴミ箱_Backup!$B$91:$D$91,1,MATCH(言語切替!$B$3,_ゴミ箱_Backup!$B$1:$D$1,0)),INDEX(_ゴミ箱_Backup!$B$90:$D$90,1,MATCH(言語切替!$B$3,_ゴミ箱_Backup!$B$1:$D$1,0))))))</f>
        <v/>
      </c>
      <c r="O94" s="37"/>
      <c r="P94" s="39"/>
      <c r="Q94" s="61" t="str">
        <f t="shared" si="18"/>
        <v/>
      </c>
      <c r="R94" s="61" t="str">
        <f t="shared" si="19"/>
        <v/>
      </c>
      <c r="S94" s="61" t="str">
        <f t="shared" si="20"/>
        <v/>
      </c>
      <c r="T94" s="61" t="str">
        <f t="shared" si="21"/>
        <v/>
      </c>
      <c r="U94" s="61" t="str">
        <f t="shared" si="22"/>
        <v/>
      </c>
      <c r="V94" s="61" t="str">
        <f t="shared" si="23"/>
        <v/>
      </c>
    </row>
    <row r="95" spans="1:22" x14ac:dyDescent="0.25">
      <c r="A95" s="40"/>
      <c r="B95" s="41"/>
      <c r="C95" s="41"/>
      <c r="D95" s="41"/>
      <c r="E95" s="41"/>
      <c r="F95" s="41"/>
      <c r="G95" s="42"/>
      <c r="H95" s="42"/>
      <c r="I95" s="42"/>
      <c r="J95" s="42"/>
      <c r="K95" s="34" t="str">
        <f t="shared" ca="1" si="16"/>
        <v/>
      </c>
      <c r="L95" s="41"/>
      <c r="M95" s="16" t="str">
        <f t="shared" ca="1" si="17"/>
        <v/>
      </c>
      <c r="N95" s="16" t="str">
        <f ca="1">IF(H95="","",IF(J95&lt;&gt;"",INDEX(_ゴミ箱_Backup!$B$75:$D$75,1,MATCH(言語切替!$B$3,_ゴミ箱_Backup!$B$1:$D$1,0)),IF(TODAY()&gt;H95,INDEX(_ゴミ箱_Backup!$B$92:$D$92,1,MATCH(言語切替!$B$3,_ゴミ箱_Backup!$B$1:$D$1,0)),IF(H95-TODAY()&lt;=7,INDEX(_ゴミ箱_Backup!$B$91:$D$91,1,MATCH(言語切替!$B$3,_ゴミ箱_Backup!$B$1:$D$1,0)),INDEX(_ゴミ箱_Backup!$B$90:$D$90,1,MATCH(言語切替!$B$3,_ゴミ箱_Backup!$B$1:$D$1,0))))))</f>
        <v/>
      </c>
      <c r="O95" s="41"/>
      <c r="P95" s="43"/>
      <c r="Q95" s="61" t="str">
        <f t="shared" si="18"/>
        <v/>
      </c>
      <c r="R95" s="61" t="str">
        <f t="shared" si="19"/>
        <v/>
      </c>
      <c r="S95" s="61" t="str">
        <f t="shared" si="20"/>
        <v/>
      </c>
      <c r="T95" s="61" t="str">
        <f t="shared" si="21"/>
        <v/>
      </c>
      <c r="U95" s="61" t="str">
        <f t="shared" si="22"/>
        <v/>
      </c>
      <c r="V95" s="61" t="str">
        <f t="shared" si="23"/>
        <v/>
      </c>
    </row>
    <row r="96" spans="1:22" x14ac:dyDescent="0.25">
      <c r="A96" s="36"/>
      <c r="B96" s="37"/>
      <c r="C96" s="37"/>
      <c r="D96" s="37"/>
      <c r="E96" s="37"/>
      <c r="F96" s="37"/>
      <c r="G96" s="38"/>
      <c r="H96" s="38"/>
      <c r="I96" s="38"/>
      <c r="J96" s="38"/>
      <c r="K96" s="29" t="str">
        <f t="shared" ca="1" si="16"/>
        <v/>
      </c>
      <c r="L96" s="37"/>
      <c r="M96" s="13" t="str">
        <f t="shared" ca="1" si="17"/>
        <v/>
      </c>
      <c r="N96" s="13" t="str">
        <f ca="1">IF(H96="","",IF(J96&lt;&gt;"",INDEX(_ゴミ箱_Backup!$B$75:$D$75,1,MATCH(言語切替!$B$3,_ゴミ箱_Backup!$B$1:$D$1,0)),IF(TODAY()&gt;H96,INDEX(_ゴミ箱_Backup!$B$92:$D$92,1,MATCH(言語切替!$B$3,_ゴミ箱_Backup!$B$1:$D$1,0)),IF(H96-TODAY()&lt;=7,INDEX(_ゴミ箱_Backup!$B$91:$D$91,1,MATCH(言語切替!$B$3,_ゴミ箱_Backup!$B$1:$D$1,0)),INDEX(_ゴミ箱_Backup!$B$90:$D$90,1,MATCH(言語切替!$B$3,_ゴミ箱_Backup!$B$1:$D$1,0))))))</f>
        <v/>
      </c>
      <c r="O96" s="37"/>
      <c r="P96" s="39"/>
      <c r="Q96" s="61" t="str">
        <f t="shared" si="18"/>
        <v/>
      </c>
      <c r="R96" s="61" t="str">
        <f t="shared" si="19"/>
        <v/>
      </c>
      <c r="S96" s="61" t="str">
        <f t="shared" si="20"/>
        <v/>
      </c>
      <c r="T96" s="61" t="str">
        <f t="shared" si="21"/>
        <v/>
      </c>
      <c r="U96" s="61" t="str">
        <f t="shared" si="22"/>
        <v/>
      </c>
      <c r="V96" s="61" t="str">
        <f t="shared" si="23"/>
        <v/>
      </c>
    </row>
    <row r="97" spans="1:22" x14ac:dyDescent="0.25">
      <c r="A97" s="40"/>
      <c r="B97" s="41"/>
      <c r="C97" s="41"/>
      <c r="D97" s="41"/>
      <c r="E97" s="41"/>
      <c r="F97" s="41"/>
      <c r="G97" s="42"/>
      <c r="H97" s="42"/>
      <c r="I97" s="42"/>
      <c r="J97" s="42"/>
      <c r="K97" s="34" t="str">
        <f t="shared" ca="1" si="16"/>
        <v/>
      </c>
      <c r="L97" s="41"/>
      <c r="M97" s="16" t="str">
        <f t="shared" ca="1" si="17"/>
        <v/>
      </c>
      <c r="N97" s="16" t="str">
        <f ca="1">IF(H97="","",IF(J97&lt;&gt;"",INDEX(_ゴミ箱_Backup!$B$75:$D$75,1,MATCH(言語切替!$B$3,_ゴミ箱_Backup!$B$1:$D$1,0)),IF(TODAY()&gt;H97,INDEX(_ゴミ箱_Backup!$B$92:$D$92,1,MATCH(言語切替!$B$3,_ゴミ箱_Backup!$B$1:$D$1,0)),IF(H97-TODAY()&lt;=7,INDEX(_ゴミ箱_Backup!$B$91:$D$91,1,MATCH(言語切替!$B$3,_ゴミ箱_Backup!$B$1:$D$1,0)),INDEX(_ゴミ箱_Backup!$B$90:$D$90,1,MATCH(言語切替!$B$3,_ゴミ箱_Backup!$B$1:$D$1,0))))))</f>
        <v/>
      </c>
      <c r="O97" s="41"/>
      <c r="P97" s="43"/>
      <c r="Q97" s="61" t="str">
        <f t="shared" si="18"/>
        <v/>
      </c>
      <c r="R97" s="61" t="str">
        <f t="shared" si="19"/>
        <v/>
      </c>
      <c r="S97" s="61" t="str">
        <f t="shared" si="20"/>
        <v/>
      </c>
      <c r="T97" s="61" t="str">
        <f t="shared" si="21"/>
        <v/>
      </c>
      <c r="U97" s="61" t="str">
        <f t="shared" si="22"/>
        <v/>
      </c>
      <c r="V97" s="61" t="str">
        <f t="shared" si="23"/>
        <v/>
      </c>
    </row>
    <row r="98" spans="1:22" x14ac:dyDescent="0.25">
      <c r="A98" s="36"/>
      <c r="B98" s="37"/>
      <c r="C98" s="37"/>
      <c r="D98" s="37"/>
      <c r="E98" s="37"/>
      <c r="F98" s="37"/>
      <c r="G98" s="38"/>
      <c r="H98" s="38"/>
      <c r="I98" s="38"/>
      <c r="J98" s="38"/>
      <c r="K98" s="29" t="str">
        <f t="shared" ca="1" si="16"/>
        <v/>
      </c>
      <c r="L98" s="37"/>
      <c r="M98" s="13" t="str">
        <f t="shared" ca="1" si="17"/>
        <v/>
      </c>
      <c r="N98" s="13" t="str">
        <f ca="1">IF(H98="","",IF(J98&lt;&gt;"",INDEX(_ゴミ箱_Backup!$B$75:$D$75,1,MATCH(言語切替!$B$3,_ゴミ箱_Backup!$B$1:$D$1,0)),IF(TODAY()&gt;H98,INDEX(_ゴミ箱_Backup!$B$92:$D$92,1,MATCH(言語切替!$B$3,_ゴミ箱_Backup!$B$1:$D$1,0)),IF(H98-TODAY()&lt;=7,INDEX(_ゴミ箱_Backup!$B$91:$D$91,1,MATCH(言語切替!$B$3,_ゴミ箱_Backup!$B$1:$D$1,0)),INDEX(_ゴミ箱_Backup!$B$90:$D$90,1,MATCH(言語切替!$B$3,_ゴミ箱_Backup!$B$1:$D$1,0))))))</f>
        <v/>
      </c>
      <c r="O98" s="37"/>
      <c r="P98" s="39"/>
      <c r="Q98" s="61" t="str">
        <f t="shared" si="18"/>
        <v/>
      </c>
      <c r="R98" s="61" t="str">
        <f t="shared" si="19"/>
        <v/>
      </c>
      <c r="S98" s="61" t="str">
        <f t="shared" si="20"/>
        <v/>
      </c>
      <c r="T98" s="61" t="str">
        <f t="shared" si="21"/>
        <v/>
      </c>
      <c r="U98" s="61" t="str">
        <f t="shared" si="22"/>
        <v/>
      </c>
      <c r="V98" s="61" t="str">
        <f t="shared" si="23"/>
        <v/>
      </c>
    </row>
    <row r="99" spans="1:22" x14ac:dyDescent="0.25">
      <c r="A99" s="40"/>
      <c r="B99" s="41"/>
      <c r="C99" s="41"/>
      <c r="D99" s="41"/>
      <c r="E99" s="41"/>
      <c r="F99" s="41"/>
      <c r="G99" s="42"/>
      <c r="H99" s="42"/>
      <c r="I99" s="42"/>
      <c r="J99" s="42"/>
      <c r="K99" s="34" t="str">
        <f t="shared" ca="1" si="16"/>
        <v/>
      </c>
      <c r="L99" s="41"/>
      <c r="M99" s="16" t="str">
        <f t="shared" ca="1" si="17"/>
        <v/>
      </c>
      <c r="N99" s="16" t="str">
        <f ca="1">IF(H99="","",IF(J99&lt;&gt;"",INDEX(_ゴミ箱_Backup!$B$75:$D$75,1,MATCH(言語切替!$B$3,_ゴミ箱_Backup!$B$1:$D$1,0)),IF(TODAY()&gt;H99,INDEX(_ゴミ箱_Backup!$B$92:$D$92,1,MATCH(言語切替!$B$3,_ゴミ箱_Backup!$B$1:$D$1,0)),IF(H99-TODAY()&lt;=7,INDEX(_ゴミ箱_Backup!$B$91:$D$91,1,MATCH(言語切替!$B$3,_ゴミ箱_Backup!$B$1:$D$1,0)),INDEX(_ゴミ箱_Backup!$B$90:$D$90,1,MATCH(言語切替!$B$3,_ゴミ箱_Backup!$B$1:$D$1,0))))))</f>
        <v/>
      </c>
      <c r="O99" s="41"/>
      <c r="P99" s="43"/>
      <c r="Q99" s="61" t="str">
        <f t="shared" si="18"/>
        <v/>
      </c>
      <c r="R99" s="61" t="str">
        <f t="shared" si="19"/>
        <v/>
      </c>
      <c r="S99" s="61" t="str">
        <f t="shared" si="20"/>
        <v/>
      </c>
      <c r="T99" s="61" t="str">
        <f t="shared" si="21"/>
        <v/>
      </c>
      <c r="U99" s="61" t="str">
        <f t="shared" si="22"/>
        <v/>
      </c>
      <c r="V99" s="61" t="str">
        <f t="shared" si="23"/>
        <v/>
      </c>
    </row>
    <row r="100" spans="1:22" x14ac:dyDescent="0.25">
      <c r="A100" s="36"/>
      <c r="B100" s="37"/>
      <c r="C100" s="37"/>
      <c r="D100" s="37"/>
      <c r="E100" s="37"/>
      <c r="F100" s="37"/>
      <c r="G100" s="38"/>
      <c r="H100" s="38"/>
      <c r="I100" s="38"/>
      <c r="J100" s="38"/>
      <c r="K100" s="29" t="str">
        <f t="shared" ca="1" si="16"/>
        <v/>
      </c>
      <c r="L100" s="37"/>
      <c r="M100" s="13" t="str">
        <f t="shared" ca="1" si="17"/>
        <v/>
      </c>
      <c r="N100" s="13" t="str">
        <f ca="1">IF(H100="","",IF(J100&lt;&gt;"",INDEX(_ゴミ箱_Backup!$B$75:$D$75,1,MATCH(言語切替!$B$3,_ゴミ箱_Backup!$B$1:$D$1,0)),IF(TODAY()&gt;H100,INDEX(_ゴミ箱_Backup!$B$92:$D$92,1,MATCH(言語切替!$B$3,_ゴミ箱_Backup!$B$1:$D$1,0)),IF(H100-TODAY()&lt;=7,INDEX(_ゴミ箱_Backup!$B$91:$D$91,1,MATCH(言語切替!$B$3,_ゴミ箱_Backup!$B$1:$D$1,0)),INDEX(_ゴミ箱_Backup!$B$90:$D$90,1,MATCH(言語切替!$B$3,_ゴミ箱_Backup!$B$1:$D$1,0))))))</f>
        <v/>
      </c>
      <c r="O100" s="37"/>
      <c r="P100" s="39"/>
      <c r="Q100" s="61" t="str">
        <f t="shared" si="18"/>
        <v/>
      </c>
      <c r="R100" s="61" t="str">
        <f t="shared" si="19"/>
        <v/>
      </c>
      <c r="S100" s="61" t="str">
        <f t="shared" si="20"/>
        <v/>
      </c>
      <c r="T100" s="61" t="str">
        <f t="shared" si="21"/>
        <v/>
      </c>
      <c r="U100" s="61" t="str">
        <f t="shared" si="22"/>
        <v/>
      </c>
      <c r="V100" s="61" t="str">
        <f t="shared" si="23"/>
        <v/>
      </c>
    </row>
    <row r="101" spans="1:22" x14ac:dyDescent="0.25">
      <c r="A101" s="40"/>
      <c r="B101" s="41"/>
      <c r="C101" s="41"/>
      <c r="D101" s="41"/>
      <c r="E101" s="41"/>
      <c r="F101" s="41"/>
      <c r="G101" s="42"/>
      <c r="H101" s="42"/>
      <c r="I101" s="42"/>
      <c r="J101" s="42"/>
      <c r="K101" s="34" t="str">
        <f t="shared" ref="K101:K132" ca="1" si="24">IF(OR(G101="",H101=""),"",IF(J101&lt;&gt;"",1,IF(I101="",0,MAX(0,MIN(1,(TODAY()-G101)/(H101-G101+1))))))</f>
        <v/>
      </c>
      <c r="L101" s="41"/>
      <c r="M101" s="16" t="str">
        <f t="shared" ref="M101:M132" ca="1" si="25">IF(H101="","",H101-TODAY())</f>
        <v/>
      </c>
      <c r="N101" s="16" t="str">
        <f ca="1">IF(H101="","",IF(J101&lt;&gt;"",INDEX(_ゴミ箱_Backup!$B$75:$D$75,1,MATCH(言語切替!$B$3,_ゴミ箱_Backup!$B$1:$D$1,0)),IF(TODAY()&gt;H101,INDEX(_ゴミ箱_Backup!$B$92:$D$92,1,MATCH(言語切替!$B$3,_ゴミ箱_Backup!$B$1:$D$1,0)),IF(H101-TODAY()&lt;=7,INDEX(_ゴミ箱_Backup!$B$91:$D$91,1,MATCH(言語切替!$B$3,_ゴミ箱_Backup!$B$1:$D$1,0)),INDEX(_ゴミ箱_Backup!$B$90:$D$90,1,MATCH(言語切替!$B$3,_ゴミ箱_Backup!$B$1:$D$1,0))))))</f>
        <v/>
      </c>
      <c r="O101" s="41"/>
      <c r="P101" s="43"/>
      <c r="Q101" s="61" t="str">
        <f t="shared" ref="Q101:Q132" si="26">IF(E101="","",IFERROR(_xlfn.TRANSLATE(E101,,"ja"),""))</f>
        <v/>
      </c>
      <c r="R101" s="61" t="str">
        <f t="shared" ref="R101:R132" si="27">IF(E101="","",IFERROR(_xlfn.TRANSLATE(E101,,"zh-Hans"),""))</f>
        <v/>
      </c>
      <c r="S101" s="61" t="str">
        <f t="shared" ref="S101:S132" si="28">IF(E101="","",IFERROR(_xlfn.TRANSLATE(E101,,"vi"),""))</f>
        <v/>
      </c>
      <c r="T101" s="61" t="str">
        <f t="shared" ref="T101:T132" si="29">IF(P101="","",IFERROR(_xlfn.TRANSLATE(P101,,"ja"),""))</f>
        <v/>
      </c>
      <c r="U101" s="61" t="str">
        <f t="shared" ref="U101:U132" si="30">IF(P101="","",IFERROR(_xlfn.TRANSLATE(P101,,"zh-Hans"),""))</f>
        <v/>
      </c>
      <c r="V101" s="61" t="str">
        <f t="shared" ref="V101:V132" si="31">IF(P101="","",IFERROR(_xlfn.TRANSLATE(P101,,"vi"),""))</f>
        <v/>
      </c>
    </row>
    <row r="102" spans="1:22" x14ac:dyDescent="0.25">
      <c r="A102" s="36"/>
      <c r="B102" s="37"/>
      <c r="C102" s="37"/>
      <c r="D102" s="37"/>
      <c r="E102" s="37"/>
      <c r="F102" s="37"/>
      <c r="G102" s="38"/>
      <c r="H102" s="38"/>
      <c r="I102" s="38"/>
      <c r="J102" s="38"/>
      <c r="K102" s="29" t="str">
        <f t="shared" ca="1" si="24"/>
        <v/>
      </c>
      <c r="L102" s="37"/>
      <c r="M102" s="13" t="str">
        <f t="shared" ca="1" si="25"/>
        <v/>
      </c>
      <c r="N102" s="13" t="str">
        <f ca="1">IF(H102="","",IF(J102&lt;&gt;"",INDEX(_ゴミ箱_Backup!$B$75:$D$75,1,MATCH(言語切替!$B$3,_ゴミ箱_Backup!$B$1:$D$1,0)),IF(TODAY()&gt;H102,INDEX(_ゴミ箱_Backup!$B$92:$D$92,1,MATCH(言語切替!$B$3,_ゴミ箱_Backup!$B$1:$D$1,0)),IF(H102-TODAY()&lt;=7,INDEX(_ゴミ箱_Backup!$B$91:$D$91,1,MATCH(言語切替!$B$3,_ゴミ箱_Backup!$B$1:$D$1,0)),INDEX(_ゴミ箱_Backup!$B$90:$D$90,1,MATCH(言語切替!$B$3,_ゴミ箱_Backup!$B$1:$D$1,0))))))</f>
        <v/>
      </c>
      <c r="O102" s="37"/>
      <c r="P102" s="39"/>
      <c r="Q102" s="61" t="str">
        <f t="shared" si="26"/>
        <v/>
      </c>
      <c r="R102" s="61" t="str">
        <f t="shared" si="27"/>
        <v/>
      </c>
      <c r="S102" s="61" t="str">
        <f t="shared" si="28"/>
        <v/>
      </c>
      <c r="T102" s="61" t="str">
        <f t="shared" si="29"/>
        <v/>
      </c>
      <c r="U102" s="61" t="str">
        <f t="shared" si="30"/>
        <v/>
      </c>
      <c r="V102" s="61" t="str">
        <f t="shared" si="31"/>
        <v/>
      </c>
    </row>
    <row r="103" spans="1:22" x14ac:dyDescent="0.25">
      <c r="A103" s="40"/>
      <c r="B103" s="41"/>
      <c r="C103" s="41"/>
      <c r="D103" s="41"/>
      <c r="E103" s="41"/>
      <c r="F103" s="41"/>
      <c r="G103" s="42"/>
      <c r="H103" s="42"/>
      <c r="I103" s="42"/>
      <c r="J103" s="42"/>
      <c r="K103" s="34" t="str">
        <f t="shared" ca="1" si="24"/>
        <v/>
      </c>
      <c r="L103" s="41"/>
      <c r="M103" s="16" t="str">
        <f t="shared" ca="1" si="25"/>
        <v/>
      </c>
      <c r="N103" s="16" t="str">
        <f ca="1">IF(H103="","",IF(J103&lt;&gt;"",INDEX(_ゴミ箱_Backup!$B$75:$D$75,1,MATCH(言語切替!$B$3,_ゴミ箱_Backup!$B$1:$D$1,0)),IF(TODAY()&gt;H103,INDEX(_ゴミ箱_Backup!$B$92:$D$92,1,MATCH(言語切替!$B$3,_ゴミ箱_Backup!$B$1:$D$1,0)),IF(H103-TODAY()&lt;=7,INDEX(_ゴミ箱_Backup!$B$91:$D$91,1,MATCH(言語切替!$B$3,_ゴミ箱_Backup!$B$1:$D$1,0)),INDEX(_ゴミ箱_Backup!$B$90:$D$90,1,MATCH(言語切替!$B$3,_ゴミ箱_Backup!$B$1:$D$1,0))))))</f>
        <v/>
      </c>
      <c r="O103" s="41"/>
      <c r="P103" s="43"/>
      <c r="Q103" s="61" t="str">
        <f t="shared" si="26"/>
        <v/>
      </c>
      <c r="R103" s="61" t="str">
        <f t="shared" si="27"/>
        <v/>
      </c>
      <c r="S103" s="61" t="str">
        <f t="shared" si="28"/>
        <v/>
      </c>
      <c r="T103" s="61" t="str">
        <f t="shared" si="29"/>
        <v/>
      </c>
      <c r="U103" s="61" t="str">
        <f t="shared" si="30"/>
        <v/>
      </c>
      <c r="V103" s="61" t="str">
        <f t="shared" si="31"/>
        <v/>
      </c>
    </row>
    <row r="104" spans="1:22" x14ac:dyDescent="0.25">
      <c r="A104" s="36"/>
      <c r="B104" s="37"/>
      <c r="C104" s="37"/>
      <c r="D104" s="37"/>
      <c r="E104" s="37"/>
      <c r="F104" s="37"/>
      <c r="G104" s="38"/>
      <c r="H104" s="38"/>
      <c r="I104" s="38"/>
      <c r="J104" s="38"/>
      <c r="K104" s="29" t="str">
        <f t="shared" ca="1" si="24"/>
        <v/>
      </c>
      <c r="L104" s="37"/>
      <c r="M104" s="13" t="str">
        <f t="shared" ca="1" si="25"/>
        <v/>
      </c>
      <c r="N104" s="13" t="str">
        <f ca="1">IF(H104="","",IF(J104&lt;&gt;"",INDEX(_ゴミ箱_Backup!$B$75:$D$75,1,MATCH(言語切替!$B$3,_ゴミ箱_Backup!$B$1:$D$1,0)),IF(TODAY()&gt;H104,INDEX(_ゴミ箱_Backup!$B$92:$D$92,1,MATCH(言語切替!$B$3,_ゴミ箱_Backup!$B$1:$D$1,0)),IF(H104-TODAY()&lt;=7,INDEX(_ゴミ箱_Backup!$B$91:$D$91,1,MATCH(言語切替!$B$3,_ゴミ箱_Backup!$B$1:$D$1,0)),INDEX(_ゴミ箱_Backup!$B$90:$D$90,1,MATCH(言語切替!$B$3,_ゴミ箱_Backup!$B$1:$D$1,0))))))</f>
        <v/>
      </c>
      <c r="O104" s="37"/>
      <c r="P104" s="39"/>
      <c r="Q104" s="61" t="str">
        <f t="shared" si="26"/>
        <v/>
      </c>
      <c r="R104" s="61" t="str">
        <f t="shared" si="27"/>
        <v/>
      </c>
      <c r="S104" s="61" t="str">
        <f t="shared" si="28"/>
        <v/>
      </c>
      <c r="T104" s="61" t="str">
        <f t="shared" si="29"/>
        <v/>
      </c>
      <c r="U104" s="61" t="str">
        <f t="shared" si="30"/>
        <v/>
      </c>
      <c r="V104" s="61" t="str">
        <f t="shared" si="31"/>
        <v/>
      </c>
    </row>
    <row r="105" spans="1:22" x14ac:dyDescent="0.25">
      <c r="A105" s="40"/>
      <c r="B105" s="41"/>
      <c r="C105" s="41"/>
      <c r="D105" s="41"/>
      <c r="E105" s="41"/>
      <c r="F105" s="41"/>
      <c r="G105" s="42"/>
      <c r="H105" s="42"/>
      <c r="I105" s="42"/>
      <c r="J105" s="42"/>
      <c r="K105" s="34" t="str">
        <f t="shared" ca="1" si="24"/>
        <v/>
      </c>
      <c r="L105" s="41"/>
      <c r="M105" s="16" t="str">
        <f t="shared" ca="1" si="25"/>
        <v/>
      </c>
      <c r="N105" s="16" t="str">
        <f ca="1">IF(H105="","",IF(J105&lt;&gt;"",INDEX(_ゴミ箱_Backup!$B$75:$D$75,1,MATCH(言語切替!$B$3,_ゴミ箱_Backup!$B$1:$D$1,0)),IF(TODAY()&gt;H105,INDEX(_ゴミ箱_Backup!$B$92:$D$92,1,MATCH(言語切替!$B$3,_ゴミ箱_Backup!$B$1:$D$1,0)),IF(H105-TODAY()&lt;=7,INDEX(_ゴミ箱_Backup!$B$91:$D$91,1,MATCH(言語切替!$B$3,_ゴミ箱_Backup!$B$1:$D$1,0)),INDEX(_ゴミ箱_Backup!$B$90:$D$90,1,MATCH(言語切替!$B$3,_ゴミ箱_Backup!$B$1:$D$1,0))))))</f>
        <v/>
      </c>
      <c r="O105" s="41"/>
      <c r="P105" s="43"/>
      <c r="Q105" s="61" t="str">
        <f t="shared" si="26"/>
        <v/>
      </c>
      <c r="R105" s="61" t="str">
        <f t="shared" si="27"/>
        <v/>
      </c>
      <c r="S105" s="61" t="str">
        <f t="shared" si="28"/>
        <v/>
      </c>
      <c r="T105" s="61" t="str">
        <f t="shared" si="29"/>
        <v/>
      </c>
      <c r="U105" s="61" t="str">
        <f t="shared" si="30"/>
        <v/>
      </c>
      <c r="V105" s="61" t="str">
        <f t="shared" si="31"/>
        <v/>
      </c>
    </row>
    <row r="106" spans="1:22" x14ac:dyDescent="0.25">
      <c r="A106" s="36"/>
      <c r="B106" s="37"/>
      <c r="C106" s="37"/>
      <c r="D106" s="37"/>
      <c r="E106" s="37"/>
      <c r="F106" s="37"/>
      <c r="G106" s="38"/>
      <c r="H106" s="38"/>
      <c r="I106" s="38"/>
      <c r="J106" s="38"/>
      <c r="K106" s="29" t="str">
        <f t="shared" ca="1" si="24"/>
        <v/>
      </c>
      <c r="L106" s="37"/>
      <c r="M106" s="13" t="str">
        <f t="shared" ca="1" si="25"/>
        <v/>
      </c>
      <c r="N106" s="13" t="str">
        <f ca="1">IF(H106="","",IF(J106&lt;&gt;"",INDEX(_ゴミ箱_Backup!$B$75:$D$75,1,MATCH(言語切替!$B$3,_ゴミ箱_Backup!$B$1:$D$1,0)),IF(TODAY()&gt;H106,INDEX(_ゴミ箱_Backup!$B$92:$D$92,1,MATCH(言語切替!$B$3,_ゴミ箱_Backup!$B$1:$D$1,0)),IF(H106-TODAY()&lt;=7,INDEX(_ゴミ箱_Backup!$B$91:$D$91,1,MATCH(言語切替!$B$3,_ゴミ箱_Backup!$B$1:$D$1,0)),INDEX(_ゴミ箱_Backup!$B$90:$D$90,1,MATCH(言語切替!$B$3,_ゴミ箱_Backup!$B$1:$D$1,0))))))</f>
        <v/>
      </c>
      <c r="O106" s="37"/>
      <c r="P106" s="39"/>
      <c r="Q106" s="61" t="str">
        <f t="shared" si="26"/>
        <v/>
      </c>
      <c r="R106" s="61" t="str">
        <f t="shared" si="27"/>
        <v/>
      </c>
      <c r="S106" s="61" t="str">
        <f t="shared" si="28"/>
        <v/>
      </c>
      <c r="T106" s="61" t="str">
        <f t="shared" si="29"/>
        <v/>
      </c>
      <c r="U106" s="61" t="str">
        <f t="shared" si="30"/>
        <v/>
      </c>
      <c r="V106" s="61" t="str">
        <f t="shared" si="31"/>
        <v/>
      </c>
    </row>
    <row r="107" spans="1:22" x14ac:dyDescent="0.25">
      <c r="A107" s="40"/>
      <c r="B107" s="41"/>
      <c r="C107" s="41"/>
      <c r="D107" s="41"/>
      <c r="E107" s="41"/>
      <c r="F107" s="41"/>
      <c r="G107" s="42"/>
      <c r="H107" s="42"/>
      <c r="I107" s="42"/>
      <c r="J107" s="42"/>
      <c r="K107" s="34" t="str">
        <f t="shared" ca="1" si="24"/>
        <v/>
      </c>
      <c r="L107" s="41"/>
      <c r="M107" s="16" t="str">
        <f t="shared" ca="1" si="25"/>
        <v/>
      </c>
      <c r="N107" s="16" t="str">
        <f ca="1">IF(H107="","",IF(J107&lt;&gt;"",INDEX(_ゴミ箱_Backup!$B$75:$D$75,1,MATCH(言語切替!$B$3,_ゴミ箱_Backup!$B$1:$D$1,0)),IF(TODAY()&gt;H107,INDEX(_ゴミ箱_Backup!$B$92:$D$92,1,MATCH(言語切替!$B$3,_ゴミ箱_Backup!$B$1:$D$1,0)),IF(H107-TODAY()&lt;=7,INDEX(_ゴミ箱_Backup!$B$91:$D$91,1,MATCH(言語切替!$B$3,_ゴミ箱_Backup!$B$1:$D$1,0)),INDEX(_ゴミ箱_Backup!$B$90:$D$90,1,MATCH(言語切替!$B$3,_ゴミ箱_Backup!$B$1:$D$1,0))))))</f>
        <v/>
      </c>
      <c r="O107" s="41"/>
      <c r="P107" s="43"/>
      <c r="Q107" s="61" t="str">
        <f t="shared" si="26"/>
        <v/>
      </c>
      <c r="R107" s="61" t="str">
        <f t="shared" si="27"/>
        <v/>
      </c>
      <c r="S107" s="61" t="str">
        <f t="shared" si="28"/>
        <v/>
      </c>
      <c r="T107" s="61" t="str">
        <f t="shared" si="29"/>
        <v/>
      </c>
      <c r="U107" s="61" t="str">
        <f t="shared" si="30"/>
        <v/>
      </c>
      <c r="V107" s="61" t="str">
        <f t="shared" si="31"/>
        <v/>
      </c>
    </row>
    <row r="108" spans="1:22" x14ac:dyDescent="0.25">
      <c r="A108" s="36"/>
      <c r="B108" s="37"/>
      <c r="C108" s="37"/>
      <c r="D108" s="37"/>
      <c r="E108" s="37"/>
      <c r="F108" s="37"/>
      <c r="G108" s="38"/>
      <c r="H108" s="38"/>
      <c r="I108" s="38"/>
      <c r="J108" s="38"/>
      <c r="K108" s="29" t="str">
        <f t="shared" ca="1" si="24"/>
        <v/>
      </c>
      <c r="L108" s="37"/>
      <c r="M108" s="13" t="str">
        <f t="shared" ca="1" si="25"/>
        <v/>
      </c>
      <c r="N108" s="13" t="str">
        <f ca="1">IF(H108="","",IF(J108&lt;&gt;"",INDEX(_ゴミ箱_Backup!$B$75:$D$75,1,MATCH(言語切替!$B$3,_ゴミ箱_Backup!$B$1:$D$1,0)),IF(TODAY()&gt;H108,INDEX(_ゴミ箱_Backup!$B$92:$D$92,1,MATCH(言語切替!$B$3,_ゴミ箱_Backup!$B$1:$D$1,0)),IF(H108-TODAY()&lt;=7,INDEX(_ゴミ箱_Backup!$B$91:$D$91,1,MATCH(言語切替!$B$3,_ゴミ箱_Backup!$B$1:$D$1,0)),INDEX(_ゴミ箱_Backup!$B$90:$D$90,1,MATCH(言語切替!$B$3,_ゴミ箱_Backup!$B$1:$D$1,0))))))</f>
        <v/>
      </c>
      <c r="O108" s="37"/>
      <c r="P108" s="39"/>
      <c r="Q108" s="61" t="str">
        <f t="shared" si="26"/>
        <v/>
      </c>
      <c r="R108" s="61" t="str">
        <f t="shared" si="27"/>
        <v/>
      </c>
      <c r="S108" s="61" t="str">
        <f t="shared" si="28"/>
        <v/>
      </c>
      <c r="T108" s="61" t="str">
        <f t="shared" si="29"/>
        <v/>
      </c>
      <c r="U108" s="61" t="str">
        <f t="shared" si="30"/>
        <v/>
      </c>
      <c r="V108" s="61" t="str">
        <f t="shared" si="31"/>
        <v/>
      </c>
    </row>
    <row r="109" spans="1:22" x14ac:dyDescent="0.25">
      <c r="A109" s="40"/>
      <c r="B109" s="41"/>
      <c r="C109" s="41"/>
      <c r="D109" s="41"/>
      <c r="E109" s="41"/>
      <c r="F109" s="41"/>
      <c r="G109" s="42"/>
      <c r="H109" s="42"/>
      <c r="I109" s="42"/>
      <c r="J109" s="42"/>
      <c r="K109" s="34" t="str">
        <f t="shared" ca="1" si="24"/>
        <v/>
      </c>
      <c r="L109" s="41"/>
      <c r="M109" s="16" t="str">
        <f t="shared" ca="1" si="25"/>
        <v/>
      </c>
      <c r="N109" s="16" t="str">
        <f ca="1">IF(H109="","",IF(J109&lt;&gt;"",INDEX(_ゴミ箱_Backup!$B$75:$D$75,1,MATCH(言語切替!$B$3,_ゴミ箱_Backup!$B$1:$D$1,0)),IF(TODAY()&gt;H109,INDEX(_ゴミ箱_Backup!$B$92:$D$92,1,MATCH(言語切替!$B$3,_ゴミ箱_Backup!$B$1:$D$1,0)),IF(H109-TODAY()&lt;=7,INDEX(_ゴミ箱_Backup!$B$91:$D$91,1,MATCH(言語切替!$B$3,_ゴミ箱_Backup!$B$1:$D$1,0)),INDEX(_ゴミ箱_Backup!$B$90:$D$90,1,MATCH(言語切替!$B$3,_ゴミ箱_Backup!$B$1:$D$1,0))))))</f>
        <v/>
      </c>
      <c r="O109" s="41"/>
      <c r="P109" s="43"/>
      <c r="Q109" s="61" t="str">
        <f t="shared" si="26"/>
        <v/>
      </c>
      <c r="R109" s="61" t="str">
        <f t="shared" si="27"/>
        <v/>
      </c>
      <c r="S109" s="61" t="str">
        <f t="shared" si="28"/>
        <v/>
      </c>
      <c r="T109" s="61" t="str">
        <f t="shared" si="29"/>
        <v/>
      </c>
      <c r="U109" s="61" t="str">
        <f t="shared" si="30"/>
        <v/>
      </c>
      <c r="V109" s="61" t="str">
        <f t="shared" si="31"/>
        <v/>
      </c>
    </row>
    <row r="110" spans="1:22" x14ac:dyDescent="0.25">
      <c r="A110" s="36"/>
      <c r="B110" s="37"/>
      <c r="C110" s="37"/>
      <c r="D110" s="37"/>
      <c r="E110" s="37"/>
      <c r="F110" s="37"/>
      <c r="G110" s="38"/>
      <c r="H110" s="38"/>
      <c r="I110" s="38"/>
      <c r="J110" s="38"/>
      <c r="K110" s="29" t="str">
        <f t="shared" ca="1" si="24"/>
        <v/>
      </c>
      <c r="L110" s="37"/>
      <c r="M110" s="13" t="str">
        <f t="shared" ca="1" si="25"/>
        <v/>
      </c>
      <c r="N110" s="13" t="str">
        <f ca="1">IF(H110="","",IF(J110&lt;&gt;"",INDEX(_ゴミ箱_Backup!$B$75:$D$75,1,MATCH(言語切替!$B$3,_ゴミ箱_Backup!$B$1:$D$1,0)),IF(TODAY()&gt;H110,INDEX(_ゴミ箱_Backup!$B$92:$D$92,1,MATCH(言語切替!$B$3,_ゴミ箱_Backup!$B$1:$D$1,0)),IF(H110-TODAY()&lt;=7,INDEX(_ゴミ箱_Backup!$B$91:$D$91,1,MATCH(言語切替!$B$3,_ゴミ箱_Backup!$B$1:$D$1,0)),INDEX(_ゴミ箱_Backup!$B$90:$D$90,1,MATCH(言語切替!$B$3,_ゴミ箱_Backup!$B$1:$D$1,0))))))</f>
        <v/>
      </c>
      <c r="O110" s="37"/>
      <c r="P110" s="39"/>
      <c r="Q110" s="61" t="str">
        <f t="shared" si="26"/>
        <v/>
      </c>
      <c r="R110" s="61" t="str">
        <f t="shared" si="27"/>
        <v/>
      </c>
      <c r="S110" s="61" t="str">
        <f t="shared" si="28"/>
        <v/>
      </c>
      <c r="T110" s="61" t="str">
        <f t="shared" si="29"/>
        <v/>
      </c>
      <c r="U110" s="61" t="str">
        <f t="shared" si="30"/>
        <v/>
      </c>
      <c r="V110" s="61" t="str">
        <f t="shared" si="31"/>
        <v/>
      </c>
    </row>
    <row r="111" spans="1:22" x14ac:dyDescent="0.25">
      <c r="A111" s="40"/>
      <c r="B111" s="41"/>
      <c r="C111" s="41"/>
      <c r="D111" s="41"/>
      <c r="E111" s="41"/>
      <c r="F111" s="41"/>
      <c r="G111" s="42"/>
      <c r="H111" s="42"/>
      <c r="I111" s="42"/>
      <c r="J111" s="42"/>
      <c r="K111" s="34" t="str">
        <f t="shared" ca="1" si="24"/>
        <v/>
      </c>
      <c r="L111" s="41"/>
      <c r="M111" s="16" t="str">
        <f t="shared" ca="1" si="25"/>
        <v/>
      </c>
      <c r="N111" s="16" t="str">
        <f ca="1">IF(H111="","",IF(J111&lt;&gt;"",INDEX(_ゴミ箱_Backup!$B$75:$D$75,1,MATCH(言語切替!$B$3,_ゴミ箱_Backup!$B$1:$D$1,0)),IF(TODAY()&gt;H111,INDEX(_ゴミ箱_Backup!$B$92:$D$92,1,MATCH(言語切替!$B$3,_ゴミ箱_Backup!$B$1:$D$1,0)),IF(H111-TODAY()&lt;=7,INDEX(_ゴミ箱_Backup!$B$91:$D$91,1,MATCH(言語切替!$B$3,_ゴミ箱_Backup!$B$1:$D$1,0)),INDEX(_ゴミ箱_Backup!$B$90:$D$90,1,MATCH(言語切替!$B$3,_ゴミ箱_Backup!$B$1:$D$1,0))))))</f>
        <v/>
      </c>
      <c r="O111" s="41"/>
      <c r="P111" s="43"/>
      <c r="Q111" s="61" t="str">
        <f t="shared" si="26"/>
        <v/>
      </c>
      <c r="R111" s="61" t="str">
        <f t="shared" si="27"/>
        <v/>
      </c>
      <c r="S111" s="61" t="str">
        <f t="shared" si="28"/>
        <v/>
      </c>
      <c r="T111" s="61" t="str">
        <f t="shared" si="29"/>
        <v/>
      </c>
      <c r="U111" s="61" t="str">
        <f t="shared" si="30"/>
        <v/>
      </c>
      <c r="V111" s="61" t="str">
        <f t="shared" si="31"/>
        <v/>
      </c>
    </row>
    <row r="112" spans="1:22" x14ac:dyDescent="0.25">
      <c r="A112" s="36"/>
      <c r="B112" s="37"/>
      <c r="C112" s="37"/>
      <c r="D112" s="37"/>
      <c r="E112" s="37"/>
      <c r="F112" s="37"/>
      <c r="G112" s="38"/>
      <c r="H112" s="38"/>
      <c r="I112" s="38"/>
      <c r="J112" s="38"/>
      <c r="K112" s="29" t="str">
        <f t="shared" ca="1" si="24"/>
        <v/>
      </c>
      <c r="L112" s="37"/>
      <c r="M112" s="13" t="str">
        <f t="shared" ca="1" si="25"/>
        <v/>
      </c>
      <c r="N112" s="13" t="str">
        <f ca="1">IF(H112="","",IF(J112&lt;&gt;"",INDEX(_ゴミ箱_Backup!$B$75:$D$75,1,MATCH(言語切替!$B$3,_ゴミ箱_Backup!$B$1:$D$1,0)),IF(TODAY()&gt;H112,INDEX(_ゴミ箱_Backup!$B$92:$D$92,1,MATCH(言語切替!$B$3,_ゴミ箱_Backup!$B$1:$D$1,0)),IF(H112-TODAY()&lt;=7,INDEX(_ゴミ箱_Backup!$B$91:$D$91,1,MATCH(言語切替!$B$3,_ゴミ箱_Backup!$B$1:$D$1,0)),INDEX(_ゴミ箱_Backup!$B$90:$D$90,1,MATCH(言語切替!$B$3,_ゴミ箱_Backup!$B$1:$D$1,0))))))</f>
        <v/>
      </c>
      <c r="O112" s="37"/>
      <c r="P112" s="39"/>
      <c r="Q112" s="61" t="str">
        <f t="shared" si="26"/>
        <v/>
      </c>
      <c r="R112" s="61" t="str">
        <f t="shared" si="27"/>
        <v/>
      </c>
      <c r="S112" s="61" t="str">
        <f t="shared" si="28"/>
        <v/>
      </c>
      <c r="T112" s="61" t="str">
        <f t="shared" si="29"/>
        <v/>
      </c>
      <c r="U112" s="61" t="str">
        <f t="shared" si="30"/>
        <v/>
      </c>
      <c r="V112" s="61" t="str">
        <f t="shared" si="31"/>
        <v/>
      </c>
    </row>
    <row r="113" spans="1:22" x14ac:dyDescent="0.25">
      <c r="A113" s="40"/>
      <c r="B113" s="41"/>
      <c r="C113" s="41"/>
      <c r="D113" s="41"/>
      <c r="E113" s="41"/>
      <c r="F113" s="41"/>
      <c r="G113" s="42"/>
      <c r="H113" s="42"/>
      <c r="I113" s="42"/>
      <c r="J113" s="42"/>
      <c r="K113" s="34" t="str">
        <f t="shared" ca="1" si="24"/>
        <v/>
      </c>
      <c r="L113" s="41"/>
      <c r="M113" s="16" t="str">
        <f t="shared" ca="1" si="25"/>
        <v/>
      </c>
      <c r="N113" s="16" t="str">
        <f ca="1">IF(H113="","",IF(J113&lt;&gt;"",INDEX(_ゴミ箱_Backup!$B$75:$D$75,1,MATCH(言語切替!$B$3,_ゴミ箱_Backup!$B$1:$D$1,0)),IF(TODAY()&gt;H113,INDEX(_ゴミ箱_Backup!$B$92:$D$92,1,MATCH(言語切替!$B$3,_ゴミ箱_Backup!$B$1:$D$1,0)),IF(H113-TODAY()&lt;=7,INDEX(_ゴミ箱_Backup!$B$91:$D$91,1,MATCH(言語切替!$B$3,_ゴミ箱_Backup!$B$1:$D$1,0)),INDEX(_ゴミ箱_Backup!$B$90:$D$90,1,MATCH(言語切替!$B$3,_ゴミ箱_Backup!$B$1:$D$1,0))))))</f>
        <v/>
      </c>
      <c r="O113" s="41"/>
      <c r="P113" s="43"/>
      <c r="Q113" s="61" t="str">
        <f t="shared" si="26"/>
        <v/>
      </c>
      <c r="R113" s="61" t="str">
        <f t="shared" si="27"/>
        <v/>
      </c>
      <c r="S113" s="61" t="str">
        <f t="shared" si="28"/>
        <v/>
      </c>
      <c r="T113" s="61" t="str">
        <f t="shared" si="29"/>
        <v/>
      </c>
      <c r="U113" s="61" t="str">
        <f t="shared" si="30"/>
        <v/>
      </c>
      <c r="V113" s="61" t="str">
        <f t="shared" si="31"/>
        <v/>
      </c>
    </row>
    <row r="114" spans="1:22" x14ac:dyDescent="0.25">
      <c r="A114" s="36"/>
      <c r="B114" s="37"/>
      <c r="C114" s="37"/>
      <c r="D114" s="37"/>
      <c r="E114" s="37"/>
      <c r="F114" s="37"/>
      <c r="G114" s="38"/>
      <c r="H114" s="38"/>
      <c r="I114" s="38"/>
      <c r="J114" s="38"/>
      <c r="K114" s="29" t="str">
        <f t="shared" ca="1" si="24"/>
        <v/>
      </c>
      <c r="L114" s="37"/>
      <c r="M114" s="13" t="str">
        <f t="shared" ca="1" si="25"/>
        <v/>
      </c>
      <c r="N114" s="13" t="str">
        <f ca="1">IF(H114="","",IF(J114&lt;&gt;"",INDEX(_ゴミ箱_Backup!$B$75:$D$75,1,MATCH(言語切替!$B$3,_ゴミ箱_Backup!$B$1:$D$1,0)),IF(TODAY()&gt;H114,INDEX(_ゴミ箱_Backup!$B$92:$D$92,1,MATCH(言語切替!$B$3,_ゴミ箱_Backup!$B$1:$D$1,0)),IF(H114-TODAY()&lt;=7,INDEX(_ゴミ箱_Backup!$B$91:$D$91,1,MATCH(言語切替!$B$3,_ゴミ箱_Backup!$B$1:$D$1,0)),INDEX(_ゴミ箱_Backup!$B$90:$D$90,1,MATCH(言語切替!$B$3,_ゴミ箱_Backup!$B$1:$D$1,0))))))</f>
        <v/>
      </c>
      <c r="O114" s="37"/>
      <c r="P114" s="39"/>
      <c r="Q114" s="61" t="str">
        <f t="shared" si="26"/>
        <v/>
      </c>
      <c r="R114" s="61" t="str">
        <f t="shared" si="27"/>
        <v/>
      </c>
      <c r="S114" s="61" t="str">
        <f t="shared" si="28"/>
        <v/>
      </c>
      <c r="T114" s="61" t="str">
        <f t="shared" si="29"/>
        <v/>
      </c>
      <c r="U114" s="61" t="str">
        <f t="shared" si="30"/>
        <v/>
      </c>
      <c r="V114" s="61" t="str">
        <f t="shared" si="31"/>
        <v/>
      </c>
    </row>
    <row r="115" spans="1:22" x14ac:dyDescent="0.25">
      <c r="A115" s="40"/>
      <c r="B115" s="41"/>
      <c r="C115" s="41"/>
      <c r="D115" s="41"/>
      <c r="E115" s="41"/>
      <c r="F115" s="41"/>
      <c r="G115" s="42"/>
      <c r="H115" s="42"/>
      <c r="I115" s="42"/>
      <c r="J115" s="42"/>
      <c r="K115" s="34" t="str">
        <f t="shared" ca="1" si="24"/>
        <v/>
      </c>
      <c r="L115" s="41"/>
      <c r="M115" s="16" t="str">
        <f t="shared" ca="1" si="25"/>
        <v/>
      </c>
      <c r="N115" s="16" t="str">
        <f ca="1">IF(H115="","",IF(J115&lt;&gt;"",INDEX(_ゴミ箱_Backup!$B$75:$D$75,1,MATCH(言語切替!$B$3,_ゴミ箱_Backup!$B$1:$D$1,0)),IF(TODAY()&gt;H115,INDEX(_ゴミ箱_Backup!$B$92:$D$92,1,MATCH(言語切替!$B$3,_ゴミ箱_Backup!$B$1:$D$1,0)),IF(H115-TODAY()&lt;=7,INDEX(_ゴミ箱_Backup!$B$91:$D$91,1,MATCH(言語切替!$B$3,_ゴミ箱_Backup!$B$1:$D$1,0)),INDEX(_ゴミ箱_Backup!$B$90:$D$90,1,MATCH(言語切替!$B$3,_ゴミ箱_Backup!$B$1:$D$1,0))))))</f>
        <v/>
      </c>
      <c r="O115" s="41"/>
      <c r="P115" s="43"/>
      <c r="Q115" s="61" t="str">
        <f t="shared" si="26"/>
        <v/>
      </c>
      <c r="R115" s="61" t="str">
        <f t="shared" si="27"/>
        <v/>
      </c>
      <c r="S115" s="61" t="str">
        <f t="shared" si="28"/>
        <v/>
      </c>
      <c r="T115" s="61" t="str">
        <f t="shared" si="29"/>
        <v/>
      </c>
      <c r="U115" s="61" t="str">
        <f t="shared" si="30"/>
        <v/>
      </c>
      <c r="V115" s="61" t="str">
        <f t="shared" si="31"/>
        <v/>
      </c>
    </row>
    <row r="116" spans="1:22" x14ac:dyDescent="0.25">
      <c r="A116" s="36"/>
      <c r="B116" s="37"/>
      <c r="C116" s="37"/>
      <c r="D116" s="37"/>
      <c r="E116" s="37"/>
      <c r="F116" s="37"/>
      <c r="G116" s="38"/>
      <c r="H116" s="38"/>
      <c r="I116" s="38"/>
      <c r="J116" s="38"/>
      <c r="K116" s="29" t="str">
        <f t="shared" ca="1" si="24"/>
        <v/>
      </c>
      <c r="L116" s="37"/>
      <c r="M116" s="13" t="str">
        <f t="shared" ca="1" si="25"/>
        <v/>
      </c>
      <c r="N116" s="13" t="str">
        <f ca="1">IF(H116="","",IF(J116&lt;&gt;"",INDEX(_ゴミ箱_Backup!$B$75:$D$75,1,MATCH(言語切替!$B$3,_ゴミ箱_Backup!$B$1:$D$1,0)),IF(TODAY()&gt;H116,INDEX(_ゴミ箱_Backup!$B$92:$D$92,1,MATCH(言語切替!$B$3,_ゴミ箱_Backup!$B$1:$D$1,0)),IF(H116-TODAY()&lt;=7,INDEX(_ゴミ箱_Backup!$B$91:$D$91,1,MATCH(言語切替!$B$3,_ゴミ箱_Backup!$B$1:$D$1,0)),INDEX(_ゴミ箱_Backup!$B$90:$D$90,1,MATCH(言語切替!$B$3,_ゴミ箱_Backup!$B$1:$D$1,0))))))</f>
        <v/>
      </c>
      <c r="O116" s="37"/>
      <c r="P116" s="39"/>
      <c r="Q116" s="61" t="str">
        <f t="shared" si="26"/>
        <v/>
      </c>
      <c r="R116" s="61" t="str">
        <f t="shared" si="27"/>
        <v/>
      </c>
      <c r="S116" s="61" t="str">
        <f t="shared" si="28"/>
        <v/>
      </c>
      <c r="T116" s="61" t="str">
        <f t="shared" si="29"/>
        <v/>
      </c>
      <c r="U116" s="61" t="str">
        <f t="shared" si="30"/>
        <v/>
      </c>
      <c r="V116" s="61" t="str">
        <f t="shared" si="31"/>
        <v/>
      </c>
    </row>
    <row r="117" spans="1:22" x14ac:dyDescent="0.25">
      <c r="A117" s="40"/>
      <c r="B117" s="41"/>
      <c r="C117" s="41"/>
      <c r="D117" s="41"/>
      <c r="E117" s="41"/>
      <c r="F117" s="41"/>
      <c r="G117" s="42"/>
      <c r="H117" s="42"/>
      <c r="I117" s="42"/>
      <c r="J117" s="42"/>
      <c r="K117" s="34" t="str">
        <f t="shared" ca="1" si="24"/>
        <v/>
      </c>
      <c r="L117" s="41"/>
      <c r="M117" s="16" t="str">
        <f t="shared" ca="1" si="25"/>
        <v/>
      </c>
      <c r="N117" s="16" t="str">
        <f ca="1">IF(H117="","",IF(J117&lt;&gt;"",INDEX(_ゴミ箱_Backup!$B$75:$D$75,1,MATCH(言語切替!$B$3,_ゴミ箱_Backup!$B$1:$D$1,0)),IF(TODAY()&gt;H117,INDEX(_ゴミ箱_Backup!$B$92:$D$92,1,MATCH(言語切替!$B$3,_ゴミ箱_Backup!$B$1:$D$1,0)),IF(H117-TODAY()&lt;=7,INDEX(_ゴミ箱_Backup!$B$91:$D$91,1,MATCH(言語切替!$B$3,_ゴミ箱_Backup!$B$1:$D$1,0)),INDEX(_ゴミ箱_Backup!$B$90:$D$90,1,MATCH(言語切替!$B$3,_ゴミ箱_Backup!$B$1:$D$1,0))))))</f>
        <v/>
      </c>
      <c r="O117" s="41"/>
      <c r="P117" s="43"/>
      <c r="Q117" s="61" t="str">
        <f t="shared" si="26"/>
        <v/>
      </c>
      <c r="R117" s="61" t="str">
        <f t="shared" si="27"/>
        <v/>
      </c>
      <c r="S117" s="61" t="str">
        <f t="shared" si="28"/>
        <v/>
      </c>
      <c r="T117" s="61" t="str">
        <f t="shared" si="29"/>
        <v/>
      </c>
      <c r="U117" s="61" t="str">
        <f t="shared" si="30"/>
        <v/>
      </c>
      <c r="V117" s="61" t="str">
        <f t="shared" si="31"/>
        <v/>
      </c>
    </row>
    <row r="118" spans="1:22" x14ac:dyDescent="0.25">
      <c r="A118" s="36"/>
      <c r="B118" s="37"/>
      <c r="C118" s="37"/>
      <c r="D118" s="37"/>
      <c r="E118" s="37"/>
      <c r="F118" s="37"/>
      <c r="G118" s="38"/>
      <c r="H118" s="38"/>
      <c r="I118" s="38"/>
      <c r="J118" s="38"/>
      <c r="K118" s="29" t="str">
        <f t="shared" ca="1" si="24"/>
        <v/>
      </c>
      <c r="L118" s="37"/>
      <c r="M118" s="13" t="str">
        <f t="shared" ca="1" si="25"/>
        <v/>
      </c>
      <c r="N118" s="13" t="str">
        <f ca="1">IF(H118="","",IF(J118&lt;&gt;"",INDEX(_ゴミ箱_Backup!$B$75:$D$75,1,MATCH(言語切替!$B$3,_ゴミ箱_Backup!$B$1:$D$1,0)),IF(TODAY()&gt;H118,INDEX(_ゴミ箱_Backup!$B$92:$D$92,1,MATCH(言語切替!$B$3,_ゴミ箱_Backup!$B$1:$D$1,0)),IF(H118-TODAY()&lt;=7,INDEX(_ゴミ箱_Backup!$B$91:$D$91,1,MATCH(言語切替!$B$3,_ゴミ箱_Backup!$B$1:$D$1,0)),INDEX(_ゴミ箱_Backup!$B$90:$D$90,1,MATCH(言語切替!$B$3,_ゴミ箱_Backup!$B$1:$D$1,0))))))</f>
        <v/>
      </c>
      <c r="O118" s="37"/>
      <c r="P118" s="39"/>
      <c r="Q118" s="61" t="str">
        <f t="shared" si="26"/>
        <v/>
      </c>
      <c r="R118" s="61" t="str">
        <f t="shared" si="27"/>
        <v/>
      </c>
      <c r="S118" s="61" t="str">
        <f t="shared" si="28"/>
        <v/>
      </c>
      <c r="T118" s="61" t="str">
        <f t="shared" si="29"/>
        <v/>
      </c>
      <c r="U118" s="61" t="str">
        <f t="shared" si="30"/>
        <v/>
      </c>
      <c r="V118" s="61" t="str">
        <f t="shared" si="31"/>
        <v/>
      </c>
    </row>
    <row r="119" spans="1:22" x14ac:dyDescent="0.25">
      <c r="A119" s="40"/>
      <c r="B119" s="41"/>
      <c r="C119" s="41"/>
      <c r="D119" s="41"/>
      <c r="E119" s="41"/>
      <c r="F119" s="41"/>
      <c r="G119" s="42"/>
      <c r="H119" s="42"/>
      <c r="I119" s="42"/>
      <c r="J119" s="42"/>
      <c r="K119" s="34" t="str">
        <f t="shared" ca="1" si="24"/>
        <v/>
      </c>
      <c r="L119" s="41"/>
      <c r="M119" s="16" t="str">
        <f t="shared" ca="1" si="25"/>
        <v/>
      </c>
      <c r="N119" s="16" t="str">
        <f ca="1">IF(H119="","",IF(J119&lt;&gt;"",INDEX(_ゴミ箱_Backup!$B$75:$D$75,1,MATCH(言語切替!$B$3,_ゴミ箱_Backup!$B$1:$D$1,0)),IF(TODAY()&gt;H119,INDEX(_ゴミ箱_Backup!$B$92:$D$92,1,MATCH(言語切替!$B$3,_ゴミ箱_Backup!$B$1:$D$1,0)),IF(H119-TODAY()&lt;=7,INDEX(_ゴミ箱_Backup!$B$91:$D$91,1,MATCH(言語切替!$B$3,_ゴミ箱_Backup!$B$1:$D$1,0)),INDEX(_ゴミ箱_Backup!$B$90:$D$90,1,MATCH(言語切替!$B$3,_ゴミ箱_Backup!$B$1:$D$1,0))))))</f>
        <v/>
      </c>
      <c r="O119" s="41"/>
      <c r="P119" s="43"/>
      <c r="Q119" s="61" t="str">
        <f t="shared" si="26"/>
        <v/>
      </c>
      <c r="R119" s="61" t="str">
        <f t="shared" si="27"/>
        <v/>
      </c>
      <c r="S119" s="61" t="str">
        <f t="shared" si="28"/>
        <v/>
      </c>
      <c r="T119" s="61" t="str">
        <f t="shared" si="29"/>
        <v/>
      </c>
      <c r="U119" s="61" t="str">
        <f t="shared" si="30"/>
        <v/>
      </c>
      <c r="V119" s="61" t="str">
        <f t="shared" si="31"/>
        <v/>
      </c>
    </row>
    <row r="120" spans="1:22" x14ac:dyDescent="0.25">
      <c r="A120" s="36"/>
      <c r="B120" s="37"/>
      <c r="C120" s="37"/>
      <c r="D120" s="37"/>
      <c r="E120" s="37"/>
      <c r="F120" s="37"/>
      <c r="G120" s="38"/>
      <c r="H120" s="38"/>
      <c r="I120" s="38"/>
      <c r="J120" s="38"/>
      <c r="K120" s="29" t="str">
        <f t="shared" ca="1" si="24"/>
        <v/>
      </c>
      <c r="L120" s="37"/>
      <c r="M120" s="13" t="str">
        <f t="shared" ca="1" si="25"/>
        <v/>
      </c>
      <c r="N120" s="13" t="str">
        <f ca="1">IF(H120="","",IF(J120&lt;&gt;"",INDEX(_ゴミ箱_Backup!$B$75:$D$75,1,MATCH(言語切替!$B$3,_ゴミ箱_Backup!$B$1:$D$1,0)),IF(TODAY()&gt;H120,INDEX(_ゴミ箱_Backup!$B$92:$D$92,1,MATCH(言語切替!$B$3,_ゴミ箱_Backup!$B$1:$D$1,0)),IF(H120-TODAY()&lt;=7,INDEX(_ゴミ箱_Backup!$B$91:$D$91,1,MATCH(言語切替!$B$3,_ゴミ箱_Backup!$B$1:$D$1,0)),INDEX(_ゴミ箱_Backup!$B$90:$D$90,1,MATCH(言語切替!$B$3,_ゴミ箱_Backup!$B$1:$D$1,0))))))</f>
        <v/>
      </c>
      <c r="O120" s="37"/>
      <c r="P120" s="39"/>
      <c r="Q120" s="61" t="str">
        <f t="shared" si="26"/>
        <v/>
      </c>
      <c r="R120" s="61" t="str">
        <f t="shared" si="27"/>
        <v/>
      </c>
      <c r="S120" s="61" t="str">
        <f t="shared" si="28"/>
        <v/>
      </c>
      <c r="T120" s="61" t="str">
        <f t="shared" si="29"/>
        <v/>
      </c>
      <c r="U120" s="61" t="str">
        <f t="shared" si="30"/>
        <v/>
      </c>
      <c r="V120" s="61" t="str">
        <f t="shared" si="31"/>
        <v/>
      </c>
    </row>
    <row r="121" spans="1:22" x14ac:dyDescent="0.25">
      <c r="A121" s="40"/>
      <c r="B121" s="41"/>
      <c r="C121" s="41"/>
      <c r="D121" s="41"/>
      <c r="E121" s="41"/>
      <c r="F121" s="41"/>
      <c r="G121" s="42"/>
      <c r="H121" s="42"/>
      <c r="I121" s="42"/>
      <c r="J121" s="42"/>
      <c r="K121" s="34" t="str">
        <f t="shared" ca="1" si="24"/>
        <v/>
      </c>
      <c r="L121" s="41"/>
      <c r="M121" s="16" t="str">
        <f t="shared" ca="1" si="25"/>
        <v/>
      </c>
      <c r="N121" s="16" t="str">
        <f ca="1">IF(H121="","",IF(J121&lt;&gt;"",INDEX(_ゴミ箱_Backup!$B$75:$D$75,1,MATCH(言語切替!$B$3,_ゴミ箱_Backup!$B$1:$D$1,0)),IF(TODAY()&gt;H121,INDEX(_ゴミ箱_Backup!$B$92:$D$92,1,MATCH(言語切替!$B$3,_ゴミ箱_Backup!$B$1:$D$1,0)),IF(H121-TODAY()&lt;=7,INDEX(_ゴミ箱_Backup!$B$91:$D$91,1,MATCH(言語切替!$B$3,_ゴミ箱_Backup!$B$1:$D$1,0)),INDEX(_ゴミ箱_Backup!$B$90:$D$90,1,MATCH(言語切替!$B$3,_ゴミ箱_Backup!$B$1:$D$1,0))))))</f>
        <v/>
      </c>
      <c r="O121" s="41"/>
      <c r="P121" s="43"/>
      <c r="Q121" s="61" t="str">
        <f t="shared" si="26"/>
        <v/>
      </c>
      <c r="R121" s="61" t="str">
        <f t="shared" si="27"/>
        <v/>
      </c>
      <c r="S121" s="61" t="str">
        <f t="shared" si="28"/>
        <v/>
      </c>
      <c r="T121" s="61" t="str">
        <f t="shared" si="29"/>
        <v/>
      </c>
      <c r="U121" s="61" t="str">
        <f t="shared" si="30"/>
        <v/>
      </c>
      <c r="V121" s="61" t="str">
        <f t="shared" si="31"/>
        <v/>
      </c>
    </row>
    <row r="122" spans="1:22" x14ac:dyDescent="0.25">
      <c r="A122" s="36"/>
      <c r="B122" s="37"/>
      <c r="C122" s="37"/>
      <c r="D122" s="37"/>
      <c r="E122" s="37"/>
      <c r="F122" s="37"/>
      <c r="G122" s="38"/>
      <c r="H122" s="38"/>
      <c r="I122" s="38"/>
      <c r="J122" s="38"/>
      <c r="K122" s="29" t="str">
        <f t="shared" ca="1" si="24"/>
        <v/>
      </c>
      <c r="L122" s="37"/>
      <c r="M122" s="13" t="str">
        <f t="shared" ca="1" si="25"/>
        <v/>
      </c>
      <c r="N122" s="13" t="str">
        <f ca="1">IF(H122="","",IF(J122&lt;&gt;"",INDEX(_ゴミ箱_Backup!$B$75:$D$75,1,MATCH(言語切替!$B$3,_ゴミ箱_Backup!$B$1:$D$1,0)),IF(TODAY()&gt;H122,INDEX(_ゴミ箱_Backup!$B$92:$D$92,1,MATCH(言語切替!$B$3,_ゴミ箱_Backup!$B$1:$D$1,0)),IF(H122-TODAY()&lt;=7,INDEX(_ゴミ箱_Backup!$B$91:$D$91,1,MATCH(言語切替!$B$3,_ゴミ箱_Backup!$B$1:$D$1,0)),INDEX(_ゴミ箱_Backup!$B$90:$D$90,1,MATCH(言語切替!$B$3,_ゴミ箱_Backup!$B$1:$D$1,0))))))</f>
        <v/>
      </c>
      <c r="O122" s="37"/>
      <c r="P122" s="39"/>
      <c r="Q122" s="61" t="str">
        <f t="shared" si="26"/>
        <v/>
      </c>
      <c r="R122" s="61" t="str">
        <f t="shared" si="27"/>
        <v/>
      </c>
      <c r="S122" s="61" t="str">
        <f t="shared" si="28"/>
        <v/>
      </c>
      <c r="T122" s="61" t="str">
        <f t="shared" si="29"/>
        <v/>
      </c>
      <c r="U122" s="61" t="str">
        <f t="shared" si="30"/>
        <v/>
      </c>
      <c r="V122" s="61" t="str">
        <f t="shared" si="31"/>
        <v/>
      </c>
    </row>
    <row r="123" spans="1:22" x14ac:dyDescent="0.25">
      <c r="A123" s="40"/>
      <c r="B123" s="41"/>
      <c r="C123" s="41"/>
      <c r="D123" s="41"/>
      <c r="E123" s="41"/>
      <c r="F123" s="41"/>
      <c r="G123" s="42"/>
      <c r="H123" s="42"/>
      <c r="I123" s="42"/>
      <c r="J123" s="42"/>
      <c r="K123" s="34" t="str">
        <f t="shared" ca="1" si="24"/>
        <v/>
      </c>
      <c r="L123" s="41"/>
      <c r="M123" s="16" t="str">
        <f t="shared" ca="1" si="25"/>
        <v/>
      </c>
      <c r="N123" s="16" t="str">
        <f ca="1">IF(H123="","",IF(J123&lt;&gt;"",INDEX(_ゴミ箱_Backup!$B$75:$D$75,1,MATCH(言語切替!$B$3,_ゴミ箱_Backup!$B$1:$D$1,0)),IF(TODAY()&gt;H123,INDEX(_ゴミ箱_Backup!$B$92:$D$92,1,MATCH(言語切替!$B$3,_ゴミ箱_Backup!$B$1:$D$1,0)),IF(H123-TODAY()&lt;=7,INDEX(_ゴミ箱_Backup!$B$91:$D$91,1,MATCH(言語切替!$B$3,_ゴミ箱_Backup!$B$1:$D$1,0)),INDEX(_ゴミ箱_Backup!$B$90:$D$90,1,MATCH(言語切替!$B$3,_ゴミ箱_Backup!$B$1:$D$1,0))))))</f>
        <v/>
      </c>
      <c r="O123" s="41"/>
      <c r="P123" s="43"/>
      <c r="Q123" s="61" t="str">
        <f t="shared" si="26"/>
        <v/>
      </c>
      <c r="R123" s="61" t="str">
        <f t="shared" si="27"/>
        <v/>
      </c>
      <c r="S123" s="61" t="str">
        <f t="shared" si="28"/>
        <v/>
      </c>
      <c r="T123" s="61" t="str">
        <f t="shared" si="29"/>
        <v/>
      </c>
      <c r="U123" s="61" t="str">
        <f t="shared" si="30"/>
        <v/>
      </c>
      <c r="V123" s="61" t="str">
        <f t="shared" si="31"/>
        <v/>
      </c>
    </row>
    <row r="124" spans="1:22" x14ac:dyDescent="0.25">
      <c r="A124" s="36"/>
      <c r="B124" s="37"/>
      <c r="C124" s="37"/>
      <c r="D124" s="37"/>
      <c r="E124" s="37"/>
      <c r="F124" s="37"/>
      <c r="G124" s="38"/>
      <c r="H124" s="38"/>
      <c r="I124" s="38"/>
      <c r="J124" s="38"/>
      <c r="K124" s="29" t="str">
        <f t="shared" ca="1" si="24"/>
        <v/>
      </c>
      <c r="L124" s="37"/>
      <c r="M124" s="13" t="str">
        <f t="shared" ca="1" si="25"/>
        <v/>
      </c>
      <c r="N124" s="13" t="str">
        <f ca="1">IF(H124="","",IF(J124&lt;&gt;"",INDEX(_ゴミ箱_Backup!$B$75:$D$75,1,MATCH(言語切替!$B$3,_ゴミ箱_Backup!$B$1:$D$1,0)),IF(TODAY()&gt;H124,INDEX(_ゴミ箱_Backup!$B$92:$D$92,1,MATCH(言語切替!$B$3,_ゴミ箱_Backup!$B$1:$D$1,0)),IF(H124-TODAY()&lt;=7,INDEX(_ゴミ箱_Backup!$B$91:$D$91,1,MATCH(言語切替!$B$3,_ゴミ箱_Backup!$B$1:$D$1,0)),INDEX(_ゴミ箱_Backup!$B$90:$D$90,1,MATCH(言語切替!$B$3,_ゴミ箱_Backup!$B$1:$D$1,0))))))</f>
        <v/>
      </c>
      <c r="O124" s="37"/>
      <c r="P124" s="39"/>
      <c r="Q124" s="61" t="str">
        <f t="shared" si="26"/>
        <v/>
      </c>
      <c r="R124" s="61" t="str">
        <f t="shared" si="27"/>
        <v/>
      </c>
      <c r="S124" s="61" t="str">
        <f t="shared" si="28"/>
        <v/>
      </c>
      <c r="T124" s="61" t="str">
        <f t="shared" si="29"/>
        <v/>
      </c>
      <c r="U124" s="61" t="str">
        <f t="shared" si="30"/>
        <v/>
      </c>
      <c r="V124" s="61" t="str">
        <f t="shared" si="31"/>
        <v/>
      </c>
    </row>
    <row r="125" spans="1:22" x14ac:dyDescent="0.25">
      <c r="A125" s="40"/>
      <c r="B125" s="41"/>
      <c r="C125" s="41"/>
      <c r="D125" s="41"/>
      <c r="E125" s="41"/>
      <c r="F125" s="41"/>
      <c r="G125" s="42"/>
      <c r="H125" s="42"/>
      <c r="I125" s="42"/>
      <c r="J125" s="42"/>
      <c r="K125" s="34" t="str">
        <f t="shared" ca="1" si="24"/>
        <v/>
      </c>
      <c r="L125" s="41"/>
      <c r="M125" s="16" t="str">
        <f t="shared" ca="1" si="25"/>
        <v/>
      </c>
      <c r="N125" s="16" t="str">
        <f ca="1">IF(H125="","",IF(J125&lt;&gt;"",INDEX(_ゴミ箱_Backup!$B$75:$D$75,1,MATCH(言語切替!$B$3,_ゴミ箱_Backup!$B$1:$D$1,0)),IF(TODAY()&gt;H125,INDEX(_ゴミ箱_Backup!$B$92:$D$92,1,MATCH(言語切替!$B$3,_ゴミ箱_Backup!$B$1:$D$1,0)),IF(H125-TODAY()&lt;=7,INDEX(_ゴミ箱_Backup!$B$91:$D$91,1,MATCH(言語切替!$B$3,_ゴミ箱_Backup!$B$1:$D$1,0)),INDEX(_ゴミ箱_Backup!$B$90:$D$90,1,MATCH(言語切替!$B$3,_ゴミ箱_Backup!$B$1:$D$1,0))))))</f>
        <v/>
      </c>
      <c r="O125" s="41"/>
      <c r="P125" s="43"/>
      <c r="Q125" s="61" t="str">
        <f t="shared" si="26"/>
        <v/>
      </c>
      <c r="R125" s="61" t="str">
        <f t="shared" si="27"/>
        <v/>
      </c>
      <c r="S125" s="61" t="str">
        <f t="shared" si="28"/>
        <v/>
      </c>
      <c r="T125" s="61" t="str">
        <f t="shared" si="29"/>
        <v/>
      </c>
      <c r="U125" s="61" t="str">
        <f t="shared" si="30"/>
        <v/>
      </c>
      <c r="V125" s="61" t="str">
        <f t="shared" si="31"/>
        <v/>
      </c>
    </row>
    <row r="126" spans="1:22" x14ac:dyDescent="0.25">
      <c r="A126" s="36"/>
      <c r="B126" s="37"/>
      <c r="C126" s="37"/>
      <c r="D126" s="37"/>
      <c r="E126" s="37"/>
      <c r="F126" s="37"/>
      <c r="G126" s="38"/>
      <c r="H126" s="38"/>
      <c r="I126" s="38"/>
      <c r="J126" s="38"/>
      <c r="K126" s="29" t="str">
        <f t="shared" ca="1" si="24"/>
        <v/>
      </c>
      <c r="L126" s="37"/>
      <c r="M126" s="13" t="str">
        <f t="shared" ca="1" si="25"/>
        <v/>
      </c>
      <c r="N126" s="13" t="str">
        <f ca="1">IF(H126="","",IF(J126&lt;&gt;"",INDEX(_ゴミ箱_Backup!$B$75:$D$75,1,MATCH(言語切替!$B$3,_ゴミ箱_Backup!$B$1:$D$1,0)),IF(TODAY()&gt;H126,INDEX(_ゴミ箱_Backup!$B$92:$D$92,1,MATCH(言語切替!$B$3,_ゴミ箱_Backup!$B$1:$D$1,0)),IF(H126-TODAY()&lt;=7,INDEX(_ゴミ箱_Backup!$B$91:$D$91,1,MATCH(言語切替!$B$3,_ゴミ箱_Backup!$B$1:$D$1,0)),INDEX(_ゴミ箱_Backup!$B$90:$D$90,1,MATCH(言語切替!$B$3,_ゴミ箱_Backup!$B$1:$D$1,0))))))</f>
        <v/>
      </c>
      <c r="O126" s="37"/>
      <c r="P126" s="39"/>
      <c r="Q126" s="61" t="str">
        <f t="shared" si="26"/>
        <v/>
      </c>
      <c r="R126" s="61" t="str">
        <f t="shared" si="27"/>
        <v/>
      </c>
      <c r="S126" s="61" t="str">
        <f t="shared" si="28"/>
        <v/>
      </c>
      <c r="T126" s="61" t="str">
        <f t="shared" si="29"/>
        <v/>
      </c>
      <c r="U126" s="61" t="str">
        <f t="shared" si="30"/>
        <v/>
      </c>
      <c r="V126" s="61" t="str">
        <f t="shared" si="31"/>
        <v/>
      </c>
    </row>
    <row r="127" spans="1:22" x14ac:dyDescent="0.25">
      <c r="A127" s="40"/>
      <c r="B127" s="41"/>
      <c r="C127" s="41"/>
      <c r="D127" s="41"/>
      <c r="E127" s="41"/>
      <c r="F127" s="41"/>
      <c r="G127" s="42"/>
      <c r="H127" s="42"/>
      <c r="I127" s="42"/>
      <c r="J127" s="42"/>
      <c r="K127" s="34" t="str">
        <f t="shared" ca="1" si="24"/>
        <v/>
      </c>
      <c r="L127" s="41"/>
      <c r="M127" s="16" t="str">
        <f t="shared" ca="1" si="25"/>
        <v/>
      </c>
      <c r="N127" s="16" t="str">
        <f ca="1">IF(H127="","",IF(J127&lt;&gt;"",INDEX(_ゴミ箱_Backup!$B$75:$D$75,1,MATCH(言語切替!$B$3,_ゴミ箱_Backup!$B$1:$D$1,0)),IF(TODAY()&gt;H127,INDEX(_ゴミ箱_Backup!$B$92:$D$92,1,MATCH(言語切替!$B$3,_ゴミ箱_Backup!$B$1:$D$1,0)),IF(H127-TODAY()&lt;=7,INDEX(_ゴミ箱_Backup!$B$91:$D$91,1,MATCH(言語切替!$B$3,_ゴミ箱_Backup!$B$1:$D$1,0)),INDEX(_ゴミ箱_Backup!$B$90:$D$90,1,MATCH(言語切替!$B$3,_ゴミ箱_Backup!$B$1:$D$1,0))))))</f>
        <v/>
      </c>
      <c r="O127" s="41"/>
      <c r="P127" s="43"/>
      <c r="Q127" s="61" t="str">
        <f t="shared" si="26"/>
        <v/>
      </c>
      <c r="R127" s="61" t="str">
        <f t="shared" si="27"/>
        <v/>
      </c>
      <c r="S127" s="61" t="str">
        <f t="shared" si="28"/>
        <v/>
      </c>
      <c r="T127" s="61" t="str">
        <f t="shared" si="29"/>
        <v/>
      </c>
      <c r="U127" s="61" t="str">
        <f t="shared" si="30"/>
        <v/>
      </c>
      <c r="V127" s="61" t="str">
        <f t="shared" si="31"/>
        <v/>
      </c>
    </row>
    <row r="128" spans="1:22" x14ac:dyDescent="0.25">
      <c r="A128" s="36"/>
      <c r="B128" s="37"/>
      <c r="C128" s="37"/>
      <c r="D128" s="37"/>
      <c r="E128" s="37"/>
      <c r="F128" s="37"/>
      <c r="G128" s="38"/>
      <c r="H128" s="38"/>
      <c r="I128" s="38"/>
      <c r="J128" s="38"/>
      <c r="K128" s="29" t="str">
        <f t="shared" ca="1" si="24"/>
        <v/>
      </c>
      <c r="L128" s="37"/>
      <c r="M128" s="13" t="str">
        <f t="shared" ca="1" si="25"/>
        <v/>
      </c>
      <c r="N128" s="13" t="str">
        <f ca="1">IF(H128="","",IF(J128&lt;&gt;"",INDEX(_ゴミ箱_Backup!$B$75:$D$75,1,MATCH(言語切替!$B$3,_ゴミ箱_Backup!$B$1:$D$1,0)),IF(TODAY()&gt;H128,INDEX(_ゴミ箱_Backup!$B$92:$D$92,1,MATCH(言語切替!$B$3,_ゴミ箱_Backup!$B$1:$D$1,0)),IF(H128-TODAY()&lt;=7,INDEX(_ゴミ箱_Backup!$B$91:$D$91,1,MATCH(言語切替!$B$3,_ゴミ箱_Backup!$B$1:$D$1,0)),INDEX(_ゴミ箱_Backup!$B$90:$D$90,1,MATCH(言語切替!$B$3,_ゴミ箱_Backup!$B$1:$D$1,0))))))</f>
        <v/>
      </c>
      <c r="O128" s="37"/>
      <c r="P128" s="39"/>
      <c r="Q128" s="61" t="str">
        <f t="shared" si="26"/>
        <v/>
      </c>
      <c r="R128" s="61" t="str">
        <f t="shared" si="27"/>
        <v/>
      </c>
      <c r="S128" s="61" t="str">
        <f t="shared" si="28"/>
        <v/>
      </c>
      <c r="T128" s="61" t="str">
        <f t="shared" si="29"/>
        <v/>
      </c>
      <c r="U128" s="61" t="str">
        <f t="shared" si="30"/>
        <v/>
      </c>
      <c r="V128" s="61" t="str">
        <f t="shared" si="31"/>
        <v/>
      </c>
    </row>
    <row r="129" spans="1:22" x14ac:dyDescent="0.25">
      <c r="A129" s="40"/>
      <c r="B129" s="41"/>
      <c r="C129" s="41"/>
      <c r="D129" s="41"/>
      <c r="E129" s="41"/>
      <c r="F129" s="41"/>
      <c r="G129" s="42"/>
      <c r="H129" s="42"/>
      <c r="I129" s="42"/>
      <c r="J129" s="42"/>
      <c r="K129" s="34" t="str">
        <f t="shared" ca="1" si="24"/>
        <v/>
      </c>
      <c r="L129" s="41"/>
      <c r="M129" s="16" t="str">
        <f t="shared" ca="1" si="25"/>
        <v/>
      </c>
      <c r="N129" s="16" t="str">
        <f ca="1">IF(H129="","",IF(J129&lt;&gt;"",INDEX(_ゴミ箱_Backup!$B$75:$D$75,1,MATCH(言語切替!$B$3,_ゴミ箱_Backup!$B$1:$D$1,0)),IF(TODAY()&gt;H129,INDEX(_ゴミ箱_Backup!$B$92:$D$92,1,MATCH(言語切替!$B$3,_ゴミ箱_Backup!$B$1:$D$1,0)),IF(H129-TODAY()&lt;=7,INDEX(_ゴミ箱_Backup!$B$91:$D$91,1,MATCH(言語切替!$B$3,_ゴミ箱_Backup!$B$1:$D$1,0)),INDEX(_ゴミ箱_Backup!$B$90:$D$90,1,MATCH(言語切替!$B$3,_ゴミ箱_Backup!$B$1:$D$1,0))))))</f>
        <v/>
      </c>
      <c r="O129" s="41"/>
      <c r="P129" s="43"/>
      <c r="Q129" s="61" t="str">
        <f t="shared" si="26"/>
        <v/>
      </c>
      <c r="R129" s="61" t="str">
        <f t="shared" si="27"/>
        <v/>
      </c>
      <c r="S129" s="61" t="str">
        <f t="shared" si="28"/>
        <v/>
      </c>
      <c r="T129" s="61" t="str">
        <f t="shared" si="29"/>
        <v/>
      </c>
      <c r="U129" s="61" t="str">
        <f t="shared" si="30"/>
        <v/>
      </c>
      <c r="V129" s="61" t="str">
        <f t="shared" si="31"/>
        <v/>
      </c>
    </row>
    <row r="130" spans="1:22" x14ac:dyDescent="0.25">
      <c r="A130" s="36"/>
      <c r="B130" s="37"/>
      <c r="C130" s="37"/>
      <c r="D130" s="37"/>
      <c r="E130" s="37"/>
      <c r="F130" s="37"/>
      <c r="G130" s="38"/>
      <c r="H130" s="38"/>
      <c r="I130" s="38"/>
      <c r="J130" s="38"/>
      <c r="K130" s="29" t="str">
        <f t="shared" ca="1" si="24"/>
        <v/>
      </c>
      <c r="L130" s="37"/>
      <c r="M130" s="13" t="str">
        <f t="shared" ca="1" si="25"/>
        <v/>
      </c>
      <c r="N130" s="13" t="str">
        <f ca="1">IF(H130="","",IF(J130&lt;&gt;"",INDEX(_ゴミ箱_Backup!$B$75:$D$75,1,MATCH(言語切替!$B$3,_ゴミ箱_Backup!$B$1:$D$1,0)),IF(TODAY()&gt;H130,INDEX(_ゴミ箱_Backup!$B$92:$D$92,1,MATCH(言語切替!$B$3,_ゴミ箱_Backup!$B$1:$D$1,0)),IF(H130-TODAY()&lt;=7,INDEX(_ゴミ箱_Backup!$B$91:$D$91,1,MATCH(言語切替!$B$3,_ゴミ箱_Backup!$B$1:$D$1,0)),INDEX(_ゴミ箱_Backup!$B$90:$D$90,1,MATCH(言語切替!$B$3,_ゴミ箱_Backup!$B$1:$D$1,0))))))</f>
        <v/>
      </c>
      <c r="O130" s="37"/>
      <c r="P130" s="39"/>
      <c r="Q130" s="61" t="str">
        <f t="shared" si="26"/>
        <v/>
      </c>
      <c r="R130" s="61" t="str">
        <f t="shared" si="27"/>
        <v/>
      </c>
      <c r="S130" s="61" t="str">
        <f t="shared" si="28"/>
        <v/>
      </c>
      <c r="T130" s="61" t="str">
        <f t="shared" si="29"/>
        <v/>
      </c>
      <c r="U130" s="61" t="str">
        <f t="shared" si="30"/>
        <v/>
      </c>
      <c r="V130" s="61" t="str">
        <f t="shared" si="31"/>
        <v/>
      </c>
    </row>
    <row r="131" spans="1:22" x14ac:dyDescent="0.25">
      <c r="A131" s="40"/>
      <c r="B131" s="41"/>
      <c r="C131" s="41"/>
      <c r="D131" s="41"/>
      <c r="E131" s="41"/>
      <c r="F131" s="41"/>
      <c r="G131" s="42"/>
      <c r="H131" s="42"/>
      <c r="I131" s="42"/>
      <c r="J131" s="42"/>
      <c r="K131" s="34" t="str">
        <f t="shared" ca="1" si="24"/>
        <v/>
      </c>
      <c r="L131" s="41"/>
      <c r="M131" s="16" t="str">
        <f t="shared" ca="1" si="25"/>
        <v/>
      </c>
      <c r="N131" s="16" t="str">
        <f ca="1">IF(H131="","",IF(J131&lt;&gt;"",INDEX(_ゴミ箱_Backup!$B$75:$D$75,1,MATCH(言語切替!$B$3,_ゴミ箱_Backup!$B$1:$D$1,0)),IF(TODAY()&gt;H131,INDEX(_ゴミ箱_Backup!$B$92:$D$92,1,MATCH(言語切替!$B$3,_ゴミ箱_Backup!$B$1:$D$1,0)),IF(H131-TODAY()&lt;=7,INDEX(_ゴミ箱_Backup!$B$91:$D$91,1,MATCH(言語切替!$B$3,_ゴミ箱_Backup!$B$1:$D$1,0)),INDEX(_ゴミ箱_Backup!$B$90:$D$90,1,MATCH(言語切替!$B$3,_ゴミ箱_Backup!$B$1:$D$1,0))))))</f>
        <v/>
      </c>
      <c r="O131" s="41"/>
      <c r="P131" s="43"/>
      <c r="Q131" s="61" t="str">
        <f t="shared" si="26"/>
        <v/>
      </c>
      <c r="R131" s="61" t="str">
        <f t="shared" si="27"/>
        <v/>
      </c>
      <c r="S131" s="61" t="str">
        <f t="shared" si="28"/>
        <v/>
      </c>
      <c r="T131" s="61" t="str">
        <f t="shared" si="29"/>
        <v/>
      </c>
      <c r="U131" s="61" t="str">
        <f t="shared" si="30"/>
        <v/>
      </c>
      <c r="V131" s="61" t="str">
        <f t="shared" si="31"/>
        <v/>
      </c>
    </row>
    <row r="132" spans="1:22" x14ac:dyDescent="0.25">
      <c r="A132" s="36"/>
      <c r="B132" s="37"/>
      <c r="C132" s="37"/>
      <c r="D132" s="37"/>
      <c r="E132" s="37"/>
      <c r="F132" s="37"/>
      <c r="G132" s="38"/>
      <c r="H132" s="38"/>
      <c r="I132" s="38"/>
      <c r="J132" s="38"/>
      <c r="K132" s="29" t="str">
        <f t="shared" ca="1" si="24"/>
        <v/>
      </c>
      <c r="L132" s="37"/>
      <c r="M132" s="13" t="str">
        <f t="shared" ca="1" si="25"/>
        <v/>
      </c>
      <c r="N132" s="13" t="str">
        <f ca="1">IF(H132="","",IF(J132&lt;&gt;"",INDEX(_ゴミ箱_Backup!$B$75:$D$75,1,MATCH(言語切替!$B$3,_ゴミ箱_Backup!$B$1:$D$1,0)),IF(TODAY()&gt;H132,INDEX(_ゴミ箱_Backup!$B$92:$D$92,1,MATCH(言語切替!$B$3,_ゴミ箱_Backup!$B$1:$D$1,0)),IF(H132-TODAY()&lt;=7,INDEX(_ゴミ箱_Backup!$B$91:$D$91,1,MATCH(言語切替!$B$3,_ゴミ箱_Backup!$B$1:$D$1,0)),INDEX(_ゴミ箱_Backup!$B$90:$D$90,1,MATCH(言語切替!$B$3,_ゴミ箱_Backup!$B$1:$D$1,0))))))</f>
        <v/>
      </c>
      <c r="O132" s="37"/>
      <c r="P132" s="39"/>
      <c r="Q132" s="61" t="str">
        <f t="shared" si="26"/>
        <v/>
      </c>
      <c r="R132" s="61" t="str">
        <f t="shared" si="27"/>
        <v/>
      </c>
      <c r="S132" s="61" t="str">
        <f t="shared" si="28"/>
        <v/>
      </c>
      <c r="T132" s="61" t="str">
        <f t="shared" si="29"/>
        <v/>
      </c>
      <c r="U132" s="61" t="str">
        <f t="shared" si="30"/>
        <v/>
      </c>
      <c r="V132" s="61" t="str">
        <f t="shared" si="31"/>
        <v/>
      </c>
    </row>
    <row r="133" spans="1:22" x14ac:dyDescent="0.25">
      <c r="A133" s="40"/>
      <c r="B133" s="41"/>
      <c r="C133" s="41"/>
      <c r="D133" s="41"/>
      <c r="E133" s="41"/>
      <c r="F133" s="41"/>
      <c r="G133" s="42"/>
      <c r="H133" s="42"/>
      <c r="I133" s="42"/>
      <c r="J133" s="42"/>
      <c r="K133" s="34" t="str">
        <f t="shared" ref="K133:K164" ca="1" si="32">IF(OR(G133="",H133=""),"",IF(J133&lt;&gt;"",1,IF(I133="",0,MAX(0,MIN(1,(TODAY()-G133)/(H133-G133+1))))))</f>
        <v/>
      </c>
      <c r="L133" s="41"/>
      <c r="M133" s="16" t="str">
        <f t="shared" ref="M133:M164" ca="1" si="33">IF(H133="","",H133-TODAY())</f>
        <v/>
      </c>
      <c r="N133" s="16" t="str">
        <f ca="1">IF(H133="","",IF(J133&lt;&gt;"",INDEX(_ゴミ箱_Backup!$B$75:$D$75,1,MATCH(言語切替!$B$3,_ゴミ箱_Backup!$B$1:$D$1,0)),IF(TODAY()&gt;H133,INDEX(_ゴミ箱_Backup!$B$92:$D$92,1,MATCH(言語切替!$B$3,_ゴミ箱_Backup!$B$1:$D$1,0)),IF(H133-TODAY()&lt;=7,INDEX(_ゴミ箱_Backup!$B$91:$D$91,1,MATCH(言語切替!$B$3,_ゴミ箱_Backup!$B$1:$D$1,0)),INDEX(_ゴミ箱_Backup!$B$90:$D$90,1,MATCH(言語切替!$B$3,_ゴミ箱_Backup!$B$1:$D$1,0))))))</f>
        <v/>
      </c>
      <c r="O133" s="41"/>
      <c r="P133" s="43"/>
      <c r="Q133" s="61" t="str">
        <f t="shared" ref="Q133:Q164" si="34">IF(E133="","",IFERROR(_xlfn.TRANSLATE(E133,,"ja"),""))</f>
        <v/>
      </c>
      <c r="R133" s="61" t="str">
        <f t="shared" ref="R133:R164" si="35">IF(E133="","",IFERROR(_xlfn.TRANSLATE(E133,,"zh-Hans"),""))</f>
        <v/>
      </c>
      <c r="S133" s="61" t="str">
        <f t="shared" ref="S133:S164" si="36">IF(E133="","",IFERROR(_xlfn.TRANSLATE(E133,,"vi"),""))</f>
        <v/>
      </c>
      <c r="T133" s="61" t="str">
        <f t="shared" ref="T133:T164" si="37">IF(P133="","",IFERROR(_xlfn.TRANSLATE(P133,,"ja"),""))</f>
        <v/>
      </c>
      <c r="U133" s="61" t="str">
        <f t="shared" ref="U133:U164" si="38">IF(P133="","",IFERROR(_xlfn.TRANSLATE(P133,,"zh-Hans"),""))</f>
        <v/>
      </c>
      <c r="V133" s="61" t="str">
        <f t="shared" ref="V133:V164" si="39">IF(P133="","",IFERROR(_xlfn.TRANSLATE(P133,,"vi"),""))</f>
        <v/>
      </c>
    </row>
    <row r="134" spans="1:22" x14ac:dyDescent="0.25">
      <c r="A134" s="36"/>
      <c r="B134" s="37"/>
      <c r="C134" s="37"/>
      <c r="D134" s="37"/>
      <c r="E134" s="37"/>
      <c r="F134" s="37"/>
      <c r="G134" s="38"/>
      <c r="H134" s="38"/>
      <c r="I134" s="38"/>
      <c r="J134" s="38"/>
      <c r="K134" s="29" t="str">
        <f t="shared" ca="1" si="32"/>
        <v/>
      </c>
      <c r="L134" s="37"/>
      <c r="M134" s="13" t="str">
        <f t="shared" ca="1" si="33"/>
        <v/>
      </c>
      <c r="N134" s="13" t="str">
        <f ca="1">IF(H134="","",IF(J134&lt;&gt;"",INDEX(_ゴミ箱_Backup!$B$75:$D$75,1,MATCH(言語切替!$B$3,_ゴミ箱_Backup!$B$1:$D$1,0)),IF(TODAY()&gt;H134,INDEX(_ゴミ箱_Backup!$B$92:$D$92,1,MATCH(言語切替!$B$3,_ゴミ箱_Backup!$B$1:$D$1,0)),IF(H134-TODAY()&lt;=7,INDEX(_ゴミ箱_Backup!$B$91:$D$91,1,MATCH(言語切替!$B$3,_ゴミ箱_Backup!$B$1:$D$1,0)),INDEX(_ゴミ箱_Backup!$B$90:$D$90,1,MATCH(言語切替!$B$3,_ゴミ箱_Backup!$B$1:$D$1,0))))))</f>
        <v/>
      </c>
      <c r="O134" s="37"/>
      <c r="P134" s="39"/>
      <c r="Q134" s="61" t="str">
        <f t="shared" si="34"/>
        <v/>
      </c>
      <c r="R134" s="61" t="str">
        <f t="shared" si="35"/>
        <v/>
      </c>
      <c r="S134" s="61" t="str">
        <f t="shared" si="36"/>
        <v/>
      </c>
      <c r="T134" s="61" t="str">
        <f t="shared" si="37"/>
        <v/>
      </c>
      <c r="U134" s="61" t="str">
        <f t="shared" si="38"/>
        <v/>
      </c>
      <c r="V134" s="61" t="str">
        <f t="shared" si="39"/>
        <v/>
      </c>
    </row>
    <row r="135" spans="1:22" x14ac:dyDescent="0.25">
      <c r="A135" s="40"/>
      <c r="B135" s="41"/>
      <c r="C135" s="41"/>
      <c r="D135" s="41"/>
      <c r="E135" s="41"/>
      <c r="F135" s="41"/>
      <c r="G135" s="42"/>
      <c r="H135" s="42"/>
      <c r="I135" s="42"/>
      <c r="J135" s="42"/>
      <c r="K135" s="34" t="str">
        <f t="shared" ca="1" si="32"/>
        <v/>
      </c>
      <c r="L135" s="41"/>
      <c r="M135" s="16" t="str">
        <f t="shared" ca="1" si="33"/>
        <v/>
      </c>
      <c r="N135" s="16" t="str">
        <f ca="1">IF(H135="","",IF(J135&lt;&gt;"",INDEX(_ゴミ箱_Backup!$B$75:$D$75,1,MATCH(言語切替!$B$3,_ゴミ箱_Backup!$B$1:$D$1,0)),IF(TODAY()&gt;H135,INDEX(_ゴミ箱_Backup!$B$92:$D$92,1,MATCH(言語切替!$B$3,_ゴミ箱_Backup!$B$1:$D$1,0)),IF(H135-TODAY()&lt;=7,INDEX(_ゴミ箱_Backup!$B$91:$D$91,1,MATCH(言語切替!$B$3,_ゴミ箱_Backup!$B$1:$D$1,0)),INDEX(_ゴミ箱_Backup!$B$90:$D$90,1,MATCH(言語切替!$B$3,_ゴミ箱_Backup!$B$1:$D$1,0))))))</f>
        <v/>
      </c>
      <c r="O135" s="41"/>
      <c r="P135" s="43"/>
      <c r="Q135" s="61" t="str">
        <f t="shared" si="34"/>
        <v/>
      </c>
      <c r="R135" s="61" t="str">
        <f t="shared" si="35"/>
        <v/>
      </c>
      <c r="S135" s="61" t="str">
        <f t="shared" si="36"/>
        <v/>
      </c>
      <c r="T135" s="61" t="str">
        <f t="shared" si="37"/>
        <v/>
      </c>
      <c r="U135" s="61" t="str">
        <f t="shared" si="38"/>
        <v/>
      </c>
      <c r="V135" s="61" t="str">
        <f t="shared" si="39"/>
        <v/>
      </c>
    </row>
    <row r="136" spans="1:22" x14ac:dyDescent="0.25">
      <c r="A136" s="36"/>
      <c r="B136" s="37"/>
      <c r="C136" s="37"/>
      <c r="D136" s="37"/>
      <c r="E136" s="37"/>
      <c r="F136" s="37"/>
      <c r="G136" s="38"/>
      <c r="H136" s="38"/>
      <c r="I136" s="38"/>
      <c r="J136" s="38"/>
      <c r="K136" s="29" t="str">
        <f t="shared" ca="1" si="32"/>
        <v/>
      </c>
      <c r="L136" s="37"/>
      <c r="M136" s="13" t="str">
        <f t="shared" ca="1" si="33"/>
        <v/>
      </c>
      <c r="N136" s="13" t="str">
        <f ca="1">IF(H136="","",IF(J136&lt;&gt;"",INDEX(_ゴミ箱_Backup!$B$75:$D$75,1,MATCH(言語切替!$B$3,_ゴミ箱_Backup!$B$1:$D$1,0)),IF(TODAY()&gt;H136,INDEX(_ゴミ箱_Backup!$B$92:$D$92,1,MATCH(言語切替!$B$3,_ゴミ箱_Backup!$B$1:$D$1,0)),IF(H136-TODAY()&lt;=7,INDEX(_ゴミ箱_Backup!$B$91:$D$91,1,MATCH(言語切替!$B$3,_ゴミ箱_Backup!$B$1:$D$1,0)),INDEX(_ゴミ箱_Backup!$B$90:$D$90,1,MATCH(言語切替!$B$3,_ゴミ箱_Backup!$B$1:$D$1,0))))))</f>
        <v/>
      </c>
      <c r="O136" s="37"/>
      <c r="P136" s="39"/>
      <c r="Q136" s="61" t="str">
        <f t="shared" si="34"/>
        <v/>
      </c>
      <c r="R136" s="61" t="str">
        <f t="shared" si="35"/>
        <v/>
      </c>
      <c r="S136" s="61" t="str">
        <f t="shared" si="36"/>
        <v/>
      </c>
      <c r="T136" s="61" t="str">
        <f t="shared" si="37"/>
        <v/>
      </c>
      <c r="U136" s="61" t="str">
        <f t="shared" si="38"/>
        <v/>
      </c>
      <c r="V136" s="61" t="str">
        <f t="shared" si="39"/>
        <v/>
      </c>
    </row>
    <row r="137" spans="1:22" x14ac:dyDescent="0.25">
      <c r="A137" s="40"/>
      <c r="B137" s="41"/>
      <c r="C137" s="41"/>
      <c r="D137" s="41"/>
      <c r="E137" s="41"/>
      <c r="F137" s="41"/>
      <c r="G137" s="42"/>
      <c r="H137" s="42"/>
      <c r="I137" s="42"/>
      <c r="J137" s="42"/>
      <c r="K137" s="34" t="str">
        <f t="shared" ca="1" si="32"/>
        <v/>
      </c>
      <c r="L137" s="41"/>
      <c r="M137" s="16" t="str">
        <f t="shared" ca="1" si="33"/>
        <v/>
      </c>
      <c r="N137" s="16" t="str">
        <f ca="1">IF(H137="","",IF(J137&lt;&gt;"",INDEX(_ゴミ箱_Backup!$B$75:$D$75,1,MATCH(言語切替!$B$3,_ゴミ箱_Backup!$B$1:$D$1,0)),IF(TODAY()&gt;H137,INDEX(_ゴミ箱_Backup!$B$92:$D$92,1,MATCH(言語切替!$B$3,_ゴミ箱_Backup!$B$1:$D$1,0)),IF(H137-TODAY()&lt;=7,INDEX(_ゴミ箱_Backup!$B$91:$D$91,1,MATCH(言語切替!$B$3,_ゴミ箱_Backup!$B$1:$D$1,0)),INDEX(_ゴミ箱_Backup!$B$90:$D$90,1,MATCH(言語切替!$B$3,_ゴミ箱_Backup!$B$1:$D$1,0))))))</f>
        <v/>
      </c>
      <c r="O137" s="41"/>
      <c r="P137" s="43"/>
      <c r="Q137" s="61" t="str">
        <f t="shared" si="34"/>
        <v/>
      </c>
      <c r="R137" s="61" t="str">
        <f t="shared" si="35"/>
        <v/>
      </c>
      <c r="S137" s="61" t="str">
        <f t="shared" si="36"/>
        <v/>
      </c>
      <c r="T137" s="61" t="str">
        <f t="shared" si="37"/>
        <v/>
      </c>
      <c r="U137" s="61" t="str">
        <f t="shared" si="38"/>
        <v/>
      </c>
      <c r="V137" s="61" t="str">
        <f t="shared" si="39"/>
        <v/>
      </c>
    </row>
    <row r="138" spans="1:22" x14ac:dyDescent="0.25">
      <c r="A138" s="36"/>
      <c r="B138" s="37"/>
      <c r="C138" s="37"/>
      <c r="D138" s="37"/>
      <c r="E138" s="37"/>
      <c r="F138" s="37"/>
      <c r="G138" s="38"/>
      <c r="H138" s="38"/>
      <c r="I138" s="38"/>
      <c r="J138" s="38"/>
      <c r="K138" s="29" t="str">
        <f t="shared" ca="1" si="32"/>
        <v/>
      </c>
      <c r="L138" s="37"/>
      <c r="M138" s="13" t="str">
        <f t="shared" ca="1" si="33"/>
        <v/>
      </c>
      <c r="N138" s="13" t="str">
        <f ca="1">IF(H138="","",IF(J138&lt;&gt;"",INDEX(_ゴミ箱_Backup!$B$75:$D$75,1,MATCH(言語切替!$B$3,_ゴミ箱_Backup!$B$1:$D$1,0)),IF(TODAY()&gt;H138,INDEX(_ゴミ箱_Backup!$B$92:$D$92,1,MATCH(言語切替!$B$3,_ゴミ箱_Backup!$B$1:$D$1,0)),IF(H138-TODAY()&lt;=7,INDEX(_ゴミ箱_Backup!$B$91:$D$91,1,MATCH(言語切替!$B$3,_ゴミ箱_Backup!$B$1:$D$1,0)),INDEX(_ゴミ箱_Backup!$B$90:$D$90,1,MATCH(言語切替!$B$3,_ゴミ箱_Backup!$B$1:$D$1,0))))))</f>
        <v/>
      </c>
      <c r="O138" s="37"/>
      <c r="P138" s="39"/>
      <c r="Q138" s="61" t="str">
        <f t="shared" si="34"/>
        <v/>
      </c>
      <c r="R138" s="61" t="str">
        <f t="shared" si="35"/>
        <v/>
      </c>
      <c r="S138" s="61" t="str">
        <f t="shared" si="36"/>
        <v/>
      </c>
      <c r="T138" s="61" t="str">
        <f t="shared" si="37"/>
        <v/>
      </c>
      <c r="U138" s="61" t="str">
        <f t="shared" si="38"/>
        <v/>
      </c>
      <c r="V138" s="61" t="str">
        <f t="shared" si="39"/>
        <v/>
      </c>
    </row>
    <row r="139" spans="1:22" x14ac:dyDescent="0.25">
      <c r="A139" s="40"/>
      <c r="B139" s="41"/>
      <c r="C139" s="41"/>
      <c r="D139" s="41"/>
      <c r="E139" s="41"/>
      <c r="F139" s="41"/>
      <c r="G139" s="42"/>
      <c r="H139" s="42"/>
      <c r="I139" s="42"/>
      <c r="J139" s="42"/>
      <c r="K139" s="34" t="str">
        <f t="shared" ca="1" si="32"/>
        <v/>
      </c>
      <c r="L139" s="41"/>
      <c r="M139" s="16" t="str">
        <f t="shared" ca="1" si="33"/>
        <v/>
      </c>
      <c r="N139" s="16" t="str">
        <f ca="1">IF(H139="","",IF(J139&lt;&gt;"",INDEX(_ゴミ箱_Backup!$B$75:$D$75,1,MATCH(言語切替!$B$3,_ゴミ箱_Backup!$B$1:$D$1,0)),IF(TODAY()&gt;H139,INDEX(_ゴミ箱_Backup!$B$92:$D$92,1,MATCH(言語切替!$B$3,_ゴミ箱_Backup!$B$1:$D$1,0)),IF(H139-TODAY()&lt;=7,INDEX(_ゴミ箱_Backup!$B$91:$D$91,1,MATCH(言語切替!$B$3,_ゴミ箱_Backup!$B$1:$D$1,0)),INDEX(_ゴミ箱_Backup!$B$90:$D$90,1,MATCH(言語切替!$B$3,_ゴミ箱_Backup!$B$1:$D$1,0))))))</f>
        <v/>
      </c>
      <c r="O139" s="41"/>
      <c r="P139" s="43"/>
      <c r="Q139" s="61" t="str">
        <f t="shared" si="34"/>
        <v/>
      </c>
      <c r="R139" s="61" t="str">
        <f t="shared" si="35"/>
        <v/>
      </c>
      <c r="S139" s="61" t="str">
        <f t="shared" si="36"/>
        <v/>
      </c>
      <c r="T139" s="61" t="str">
        <f t="shared" si="37"/>
        <v/>
      </c>
      <c r="U139" s="61" t="str">
        <f t="shared" si="38"/>
        <v/>
      </c>
      <c r="V139" s="61" t="str">
        <f t="shared" si="39"/>
        <v/>
      </c>
    </row>
    <row r="140" spans="1:22" x14ac:dyDescent="0.25">
      <c r="A140" s="36"/>
      <c r="B140" s="37"/>
      <c r="C140" s="37"/>
      <c r="D140" s="37"/>
      <c r="E140" s="37"/>
      <c r="F140" s="37"/>
      <c r="G140" s="38"/>
      <c r="H140" s="38"/>
      <c r="I140" s="38"/>
      <c r="J140" s="38"/>
      <c r="K140" s="29" t="str">
        <f t="shared" ca="1" si="32"/>
        <v/>
      </c>
      <c r="L140" s="37"/>
      <c r="M140" s="13" t="str">
        <f t="shared" ca="1" si="33"/>
        <v/>
      </c>
      <c r="N140" s="13" t="str">
        <f ca="1">IF(H140="","",IF(J140&lt;&gt;"",INDEX(_ゴミ箱_Backup!$B$75:$D$75,1,MATCH(言語切替!$B$3,_ゴミ箱_Backup!$B$1:$D$1,0)),IF(TODAY()&gt;H140,INDEX(_ゴミ箱_Backup!$B$92:$D$92,1,MATCH(言語切替!$B$3,_ゴミ箱_Backup!$B$1:$D$1,0)),IF(H140-TODAY()&lt;=7,INDEX(_ゴミ箱_Backup!$B$91:$D$91,1,MATCH(言語切替!$B$3,_ゴミ箱_Backup!$B$1:$D$1,0)),INDEX(_ゴミ箱_Backup!$B$90:$D$90,1,MATCH(言語切替!$B$3,_ゴミ箱_Backup!$B$1:$D$1,0))))))</f>
        <v/>
      </c>
      <c r="O140" s="37"/>
      <c r="P140" s="39"/>
      <c r="Q140" s="61" t="str">
        <f t="shared" si="34"/>
        <v/>
      </c>
      <c r="R140" s="61" t="str">
        <f t="shared" si="35"/>
        <v/>
      </c>
      <c r="S140" s="61" t="str">
        <f t="shared" si="36"/>
        <v/>
      </c>
      <c r="T140" s="61" t="str">
        <f t="shared" si="37"/>
        <v/>
      </c>
      <c r="U140" s="61" t="str">
        <f t="shared" si="38"/>
        <v/>
      </c>
      <c r="V140" s="61" t="str">
        <f t="shared" si="39"/>
        <v/>
      </c>
    </row>
    <row r="141" spans="1:22" x14ac:dyDescent="0.25">
      <c r="A141" s="40"/>
      <c r="B141" s="41"/>
      <c r="C141" s="41"/>
      <c r="D141" s="41"/>
      <c r="E141" s="41"/>
      <c r="F141" s="41"/>
      <c r="G141" s="42"/>
      <c r="H141" s="42"/>
      <c r="I141" s="42"/>
      <c r="J141" s="42"/>
      <c r="K141" s="34" t="str">
        <f t="shared" ca="1" si="32"/>
        <v/>
      </c>
      <c r="L141" s="41"/>
      <c r="M141" s="16" t="str">
        <f t="shared" ca="1" si="33"/>
        <v/>
      </c>
      <c r="N141" s="16" t="str">
        <f ca="1">IF(H141="","",IF(J141&lt;&gt;"",INDEX(_ゴミ箱_Backup!$B$75:$D$75,1,MATCH(言語切替!$B$3,_ゴミ箱_Backup!$B$1:$D$1,0)),IF(TODAY()&gt;H141,INDEX(_ゴミ箱_Backup!$B$92:$D$92,1,MATCH(言語切替!$B$3,_ゴミ箱_Backup!$B$1:$D$1,0)),IF(H141-TODAY()&lt;=7,INDEX(_ゴミ箱_Backup!$B$91:$D$91,1,MATCH(言語切替!$B$3,_ゴミ箱_Backup!$B$1:$D$1,0)),INDEX(_ゴミ箱_Backup!$B$90:$D$90,1,MATCH(言語切替!$B$3,_ゴミ箱_Backup!$B$1:$D$1,0))))))</f>
        <v/>
      </c>
      <c r="O141" s="41"/>
      <c r="P141" s="43"/>
      <c r="Q141" s="61" t="str">
        <f t="shared" si="34"/>
        <v/>
      </c>
      <c r="R141" s="61" t="str">
        <f t="shared" si="35"/>
        <v/>
      </c>
      <c r="S141" s="61" t="str">
        <f t="shared" si="36"/>
        <v/>
      </c>
      <c r="T141" s="61" t="str">
        <f t="shared" si="37"/>
        <v/>
      </c>
      <c r="U141" s="61" t="str">
        <f t="shared" si="38"/>
        <v/>
      </c>
      <c r="V141" s="61" t="str">
        <f t="shared" si="39"/>
        <v/>
      </c>
    </row>
    <row r="142" spans="1:22" x14ac:dyDescent="0.25">
      <c r="A142" s="36"/>
      <c r="B142" s="37"/>
      <c r="C142" s="37"/>
      <c r="D142" s="37"/>
      <c r="E142" s="37"/>
      <c r="F142" s="37"/>
      <c r="G142" s="38"/>
      <c r="H142" s="38"/>
      <c r="I142" s="38"/>
      <c r="J142" s="38"/>
      <c r="K142" s="29" t="str">
        <f t="shared" ca="1" si="32"/>
        <v/>
      </c>
      <c r="L142" s="37"/>
      <c r="M142" s="13" t="str">
        <f t="shared" ca="1" si="33"/>
        <v/>
      </c>
      <c r="N142" s="13" t="str">
        <f ca="1">IF(H142="","",IF(J142&lt;&gt;"",INDEX(_ゴミ箱_Backup!$B$75:$D$75,1,MATCH(言語切替!$B$3,_ゴミ箱_Backup!$B$1:$D$1,0)),IF(TODAY()&gt;H142,INDEX(_ゴミ箱_Backup!$B$92:$D$92,1,MATCH(言語切替!$B$3,_ゴミ箱_Backup!$B$1:$D$1,0)),IF(H142-TODAY()&lt;=7,INDEX(_ゴミ箱_Backup!$B$91:$D$91,1,MATCH(言語切替!$B$3,_ゴミ箱_Backup!$B$1:$D$1,0)),INDEX(_ゴミ箱_Backup!$B$90:$D$90,1,MATCH(言語切替!$B$3,_ゴミ箱_Backup!$B$1:$D$1,0))))))</f>
        <v/>
      </c>
      <c r="O142" s="37"/>
      <c r="P142" s="39"/>
      <c r="Q142" s="61" t="str">
        <f t="shared" si="34"/>
        <v/>
      </c>
      <c r="R142" s="61" t="str">
        <f t="shared" si="35"/>
        <v/>
      </c>
      <c r="S142" s="61" t="str">
        <f t="shared" si="36"/>
        <v/>
      </c>
      <c r="T142" s="61" t="str">
        <f t="shared" si="37"/>
        <v/>
      </c>
      <c r="U142" s="61" t="str">
        <f t="shared" si="38"/>
        <v/>
      </c>
      <c r="V142" s="61" t="str">
        <f t="shared" si="39"/>
        <v/>
      </c>
    </row>
    <row r="143" spans="1:22" x14ac:dyDescent="0.25">
      <c r="A143" s="40"/>
      <c r="B143" s="41"/>
      <c r="C143" s="41"/>
      <c r="D143" s="41"/>
      <c r="E143" s="41"/>
      <c r="F143" s="41"/>
      <c r="G143" s="42"/>
      <c r="H143" s="42"/>
      <c r="I143" s="42"/>
      <c r="J143" s="42"/>
      <c r="K143" s="34" t="str">
        <f t="shared" ca="1" si="32"/>
        <v/>
      </c>
      <c r="L143" s="41"/>
      <c r="M143" s="16" t="str">
        <f t="shared" ca="1" si="33"/>
        <v/>
      </c>
      <c r="N143" s="16" t="str">
        <f ca="1">IF(H143="","",IF(J143&lt;&gt;"",INDEX(_ゴミ箱_Backup!$B$75:$D$75,1,MATCH(言語切替!$B$3,_ゴミ箱_Backup!$B$1:$D$1,0)),IF(TODAY()&gt;H143,INDEX(_ゴミ箱_Backup!$B$92:$D$92,1,MATCH(言語切替!$B$3,_ゴミ箱_Backup!$B$1:$D$1,0)),IF(H143-TODAY()&lt;=7,INDEX(_ゴミ箱_Backup!$B$91:$D$91,1,MATCH(言語切替!$B$3,_ゴミ箱_Backup!$B$1:$D$1,0)),INDEX(_ゴミ箱_Backup!$B$90:$D$90,1,MATCH(言語切替!$B$3,_ゴミ箱_Backup!$B$1:$D$1,0))))))</f>
        <v/>
      </c>
      <c r="O143" s="41"/>
      <c r="P143" s="43"/>
      <c r="Q143" s="61" t="str">
        <f t="shared" si="34"/>
        <v/>
      </c>
      <c r="R143" s="61" t="str">
        <f t="shared" si="35"/>
        <v/>
      </c>
      <c r="S143" s="61" t="str">
        <f t="shared" si="36"/>
        <v/>
      </c>
      <c r="T143" s="61" t="str">
        <f t="shared" si="37"/>
        <v/>
      </c>
      <c r="U143" s="61" t="str">
        <f t="shared" si="38"/>
        <v/>
      </c>
      <c r="V143" s="61" t="str">
        <f t="shared" si="39"/>
        <v/>
      </c>
    </row>
    <row r="144" spans="1:22" x14ac:dyDescent="0.25">
      <c r="A144" s="36"/>
      <c r="B144" s="37"/>
      <c r="C144" s="37"/>
      <c r="D144" s="37"/>
      <c r="E144" s="37"/>
      <c r="F144" s="37"/>
      <c r="G144" s="38"/>
      <c r="H144" s="38"/>
      <c r="I144" s="38"/>
      <c r="J144" s="38"/>
      <c r="K144" s="29" t="str">
        <f t="shared" ca="1" si="32"/>
        <v/>
      </c>
      <c r="L144" s="37"/>
      <c r="M144" s="13" t="str">
        <f t="shared" ca="1" si="33"/>
        <v/>
      </c>
      <c r="N144" s="13" t="str">
        <f ca="1">IF(H144="","",IF(J144&lt;&gt;"",INDEX(_ゴミ箱_Backup!$B$75:$D$75,1,MATCH(言語切替!$B$3,_ゴミ箱_Backup!$B$1:$D$1,0)),IF(TODAY()&gt;H144,INDEX(_ゴミ箱_Backup!$B$92:$D$92,1,MATCH(言語切替!$B$3,_ゴミ箱_Backup!$B$1:$D$1,0)),IF(H144-TODAY()&lt;=7,INDEX(_ゴミ箱_Backup!$B$91:$D$91,1,MATCH(言語切替!$B$3,_ゴミ箱_Backup!$B$1:$D$1,0)),INDEX(_ゴミ箱_Backup!$B$90:$D$90,1,MATCH(言語切替!$B$3,_ゴミ箱_Backup!$B$1:$D$1,0))))))</f>
        <v/>
      </c>
      <c r="O144" s="37"/>
      <c r="P144" s="39"/>
      <c r="Q144" s="61" t="str">
        <f t="shared" si="34"/>
        <v/>
      </c>
      <c r="R144" s="61" t="str">
        <f t="shared" si="35"/>
        <v/>
      </c>
      <c r="S144" s="61" t="str">
        <f t="shared" si="36"/>
        <v/>
      </c>
      <c r="T144" s="61" t="str">
        <f t="shared" si="37"/>
        <v/>
      </c>
      <c r="U144" s="61" t="str">
        <f t="shared" si="38"/>
        <v/>
      </c>
      <c r="V144" s="61" t="str">
        <f t="shared" si="39"/>
        <v/>
      </c>
    </row>
    <row r="145" spans="1:22" x14ac:dyDescent="0.25">
      <c r="A145" s="40"/>
      <c r="B145" s="41"/>
      <c r="C145" s="41"/>
      <c r="D145" s="41"/>
      <c r="E145" s="41"/>
      <c r="F145" s="41"/>
      <c r="G145" s="42"/>
      <c r="H145" s="42"/>
      <c r="I145" s="42"/>
      <c r="J145" s="42"/>
      <c r="K145" s="34" t="str">
        <f t="shared" ca="1" si="32"/>
        <v/>
      </c>
      <c r="L145" s="41"/>
      <c r="M145" s="16" t="str">
        <f t="shared" ca="1" si="33"/>
        <v/>
      </c>
      <c r="N145" s="16" t="str">
        <f ca="1">IF(H145="","",IF(J145&lt;&gt;"",INDEX(_ゴミ箱_Backup!$B$75:$D$75,1,MATCH(言語切替!$B$3,_ゴミ箱_Backup!$B$1:$D$1,0)),IF(TODAY()&gt;H145,INDEX(_ゴミ箱_Backup!$B$92:$D$92,1,MATCH(言語切替!$B$3,_ゴミ箱_Backup!$B$1:$D$1,0)),IF(H145-TODAY()&lt;=7,INDEX(_ゴミ箱_Backup!$B$91:$D$91,1,MATCH(言語切替!$B$3,_ゴミ箱_Backup!$B$1:$D$1,0)),INDEX(_ゴミ箱_Backup!$B$90:$D$90,1,MATCH(言語切替!$B$3,_ゴミ箱_Backup!$B$1:$D$1,0))))))</f>
        <v/>
      </c>
      <c r="O145" s="41"/>
      <c r="P145" s="43"/>
      <c r="Q145" s="61" t="str">
        <f t="shared" si="34"/>
        <v/>
      </c>
      <c r="R145" s="61" t="str">
        <f t="shared" si="35"/>
        <v/>
      </c>
      <c r="S145" s="61" t="str">
        <f t="shared" si="36"/>
        <v/>
      </c>
      <c r="T145" s="61" t="str">
        <f t="shared" si="37"/>
        <v/>
      </c>
      <c r="U145" s="61" t="str">
        <f t="shared" si="38"/>
        <v/>
      </c>
      <c r="V145" s="61" t="str">
        <f t="shared" si="39"/>
        <v/>
      </c>
    </row>
    <row r="146" spans="1:22" x14ac:dyDescent="0.25">
      <c r="A146" s="36"/>
      <c r="B146" s="37"/>
      <c r="C146" s="37"/>
      <c r="D146" s="37"/>
      <c r="E146" s="37"/>
      <c r="F146" s="37"/>
      <c r="G146" s="38"/>
      <c r="H146" s="38"/>
      <c r="I146" s="38"/>
      <c r="J146" s="38"/>
      <c r="K146" s="29" t="str">
        <f t="shared" ca="1" si="32"/>
        <v/>
      </c>
      <c r="L146" s="37"/>
      <c r="M146" s="13" t="str">
        <f t="shared" ca="1" si="33"/>
        <v/>
      </c>
      <c r="N146" s="13" t="str">
        <f ca="1">IF(H146="","",IF(J146&lt;&gt;"",INDEX(_ゴミ箱_Backup!$B$75:$D$75,1,MATCH(言語切替!$B$3,_ゴミ箱_Backup!$B$1:$D$1,0)),IF(TODAY()&gt;H146,INDEX(_ゴミ箱_Backup!$B$92:$D$92,1,MATCH(言語切替!$B$3,_ゴミ箱_Backup!$B$1:$D$1,0)),IF(H146-TODAY()&lt;=7,INDEX(_ゴミ箱_Backup!$B$91:$D$91,1,MATCH(言語切替!$B$3,_ゴミ箱_Backup!$B$1:$D$1,0)),INDEX(_ゴミ箱_Backup!$B$90:$D$90,1,MATCH(言語切替!$B$3,_ゴミ箱_Backup!$B$1:$D$1,0))))))</f>
        <v/>
      </c>
      <c r="O146" s="37"/>
      <c r="P146" s="39"/>
      <c r="Q146" s="61" t="str">
        <f t="shared" si="34"/>
        <v/>
      </c>
      <c r="R146" s="61" t="str">
        <f t="shared" si="35"/>
        <v/>
      </c>
      <c r="S146" s="61" t="str">
        <f t="shared" si="36"/>
        <v/>
      </c>
      <c r="T146" s="61" t="str">
        <f t="shared" si="37"/>
        <v/>
      </c>
      <c r="U146" s="61" t="str">
        <f t="shared" si="38"/>
        <v/>
      </c>
      <c r="V146" s="61" t="str">
        <f t="shared" si="39"/>
        <v/>
      </c>
    </row>
    <row r="147" spans="1:22" x14ac:dyDescent="0.25">
      <c r="A147" s="40"/>
      <c r="B147" s="41"/>
      <c r="C147" s="41"/>
      <c r="D147" s="41"/>
      <c r="E147" s="41"/>
      <c r="F147" s="41"/>
      <c r="G147" s="42"/>
      <c r="H147" s="42"/>
      <c r="I147" s="42"/>
      <c r="J147" s="42"/>
      <c r="K147" s="34" t="str">
        <f t="shared" ca="1" si="32"/>
        <v/>
      </c>
      <c r="L147" s="41"/>
      <c r="M147" s="16" t="str">
        <f t="shared" ca="1" si="33"/>
        <v/>
      </c>
      <c r="N147" s="16" t="str">
        <f ca="1">IF(H147="","",IF(J147&lt;&gt;"",INDEX(_ゴミ箱_Backup!$B$75:$D$75,1,MATCH(言語切替!$B$3,_ゴミ箱_Backup!$B$1:$D$1,0)),IF(TODAY()&gt;H147,INDEX(_ゴミ箱_Backup!$B$92:$D$92,1,MATCH(言語切替!$B$3,_ゴミ箱_Backup!$B$1:$D$1,0)),IF(H147-TODAY()&lt;=7,INDEX(_ゴミ箱_Backup!$B$91:$D$91,1,MATCH(言語切替!$B$3,_ゴミ箱_Backup!$B$1:$D$1,0)),INDEX(_ゴミ箱_Backup!$B$90:$D$90,1,MATCH(言語切替!$B$3,_ゴミ箱_Backup!$B$1:$D$1,0))))))</f>
        <v/>
      </c>
      <c r="O147" s="41"/>
      <c r="P147" s="43"/>
      <c r="Q147" s="61" t="str">
        <f t="shared" si="34"/>
        <v/>
      </c>
      <c r="R147" s="61" t="str">
        <f t="shared" si="35"/>
        <v/>
      </c>
      <c r="S147" s="61" t="str">
        <f t="shared" si="36"/>
        <v/>
      </c>
      <c r="T147" s="61" t="str">
        <f t="shared" si="37"/>
        <v/>
      </c>
      <c r="U147" s="61" t="str">
        <f t="shared" si="38"/>
        <v/>
      </c>
      <c r="V147" s="61" t="str">
        <f t="shared" si="39"/>
        <v/>
      </c>
    </row>
    <row r="148" spans="1:22" x14ac:dyDescent="0.25">
      <c r="A148" s="36"/>
      <c r="B148" s="37"/>
      <c r="C148" s="37"/>
      <c r="D148" s="37"/>
      <c r="E148" s="37"/>
      <c r="F148" s="37"/>
      <c r="G148" s="38"/>
      <c r="H148" s="38"/>
      <c r="I148" s="38"/>
      <c r="J148" s="38"/>
      <c r="K148" s="29" t="str">
        <f t="shared" ca="1" si="32"/>
        <v/>
      </c>
      <c r="L148" s="37"/>
      <c r="M148" s="13" t="str">
        <f t="shared" ca="1" si="33"/>
        <v/>
      </c>
      <c r="N148" s="13" t="str">
        <f ca="1">IF(H148="","",IF(J148&lt;&gt;"",INDEX(_ゴミ箱_Backup!$B$75:$D$75,1,MATCH(言語切替!$B$3,_ゴミ箱_Backup!$B$1:$D$1,0)),IF(TODAY()&gt;H148,INDEX(_ゴミ箱_Backup!$B$92:$D$92,1,MATCH(言語切替!$B$3,_ゴミ箱_Backup!$B$1:$D$1,0)),IF(H148-TODAY()&lt;=7,INDEX(_ゴミ箱_Backup!$B$91:$D$91,1,MATCH(言語切替!$B$3,_ゴミ箱_Backup!$B$1:$D$1,0)),INDEX(_ゴミ箱_Backup!$B$90:$D$90,1,MATCH(言語切替!$B$3,_ゴミ箱_Backup!$B$1:$D$1,0))))))</f>
        <v/>
      </c>
      <c r="O148" s="37"/>
      <c r="P148" s="39"/>
      <c r="Q148" s="61" t="str">
        <f t="shared" si="34"/>
        <v/>
      </c>
      <c r="R148" s="61" t="str">
        <f t="shared" si="35"/>
        <v/>
      </c>
      <c r="S148" s="61" t="str">
        <f t="shared" si="36"/>
        <v/>
      </c>
      <c r="T148" s="61" t="str">
        <f t="shared" si="37"/>
        <v/>
      </c>
      <c r="U148" s="61" t="str">
        <f t="shared" si="38"/>
        <v/>
      </c>
      <c r="V148" s="61" t="str">
        <f t="shared" si="39"/>
        <v/>
      </c>
    </row>
    <row r="149" spans="1:22" x14ac:dyDescent="0.25">
      <c r="A149" s="40"/>
      <c r="B149" s="41"/>
      <c r="C149" s="41"/>
      <c r="D149" s="41"/>
      <c r="E149" s="41"/>
      <c r="F149" s="41"/>
      <c r="G149" s="42"/>
      <c r="H149" s="42"/>
      <c r="I149" s="42"/>
      <c r="J149" s="42"/>
      <c r="K149" s="34" t="str">
        <f t="shared" ca="1" si="32"/>
        <v/>
      </c>
      <c r="L149" s="41"/>
      <c r="M149" s="16" t="str">
        <f t="shared" ca="1" si="33"/>
        <v/>
      </c>
      <c r="N149" s="16" t="str">
        <f ca="1">IF(H149="","",IF(J149&lt;&gt;"",INDEX(_ゴミ箱_Backup!$B$75:$D$75,1,MATCH(言語切替!$B$3,_ゴミ箱_Backup!$B$1:$D$1,0)),IF(TODAY()&gt;H149,INDEX(_ゴミ箱_Backup!$B$92:$D$92,1,MATCH(言語切替!$B$3,_ゴミ箱_Backup!$B$1:$D$1,0)),IF(H149-TODAY()&lt;=7,INDEX(_ゴミ箱_Backup!$B$91:$D$91,1,MATCH(言語切替!$B$3,_ゴミ箱_Backup!$B$1:$D$1,0)),INDEX(_ゴミ箱_Backup!$B$90:$D$90,1,MATCH(言語切替!$B$3,_ゴミ箱_Backup!$B$1:$D$1,0))))))</f>
        <v/>
      </c>
      <c r="O149" s="41"/>
      <c r="P149" s="43"/>
      <c r="Q149" s="61" t="str">
        <f t="shared" si="34"/>
        <v/>
      </c>
      <c r="R149" s="61" t="str">
        <f t="shared" si="35"/>
        <v/>
      </c>
      <c r="S149" s="61" t="str">
        <f t="shared" si="36"/>
        <v/>
      </c>
      <c r="T149" s="61" t="str">
        <f t="shared" si="37"/>
        <v/>
      </c>
      <c r="U149" s="61" t="str">
        <f t="shared" si="38"/>
        <v/>
      </c>
      <c r="V149" s="61" t="str">
        <f t="shared" si="39"/>
        <v/>
      </c>
    </row>
    <row r="150" spans="1:22" x14ac:dyDescent="0.25">
      <c r="A150" s="36"/>
      <c r="B150" s="37"/>
      <c r="C150" s="37"/>
      <c r="D150" s="37"/>
      <c r="E150" s="37"/>
      <c r="F150" s="37"/>
      <c r="G150" s="38"/>
      <c r="H150" s="38"/>
      <c r="I150" s="38"/>
      <c r="J150" s="38"/>
      <c r="K150" s="29" t="str">
        <f t="shared" ca="1" si="32"/>
        <v/>
      </c>
      <c r="L150" s="37"/>
      <c r="M150" s="13" t="str">
        <f t="shared" ca="1" si="33"/>
        <v/>
      </c>
      <c r="N150" s="13" t="str">
        <f ca="1">IF(H150="","",IF(J150&lt;&gt;"",INDEX(_ゴミ箱_Backup!$B$75:$D$75,1,MATCH(言語切替!$B$3,_ゴミ箱_Backup!$B$1:$D$1,0)),IF(TODAY()&gt;H150,INDEX(_ゴミ箱_Backup!$B$92:$D$92,1,MATCH(言語切替!$B$3,_ゴミ箱_Backup!$B$1:$D$1,0)),IF(H150-TODAY()&lt;=7,INDEX(_ゴミ箱_Backup!$B$91:$D$91,1,MATCH(言語切替!$B$3,_ゴミ箱_Backup!$B$1:$D$1,0)),INDEX(_ゴミ箱_Backup!$B$90:$D$90,1,MATCH(言語切替!$B$3,_ゴミ箱_Backup!$B$1:$D$1,0))))))</f>
        <v/>
      </c>
      <c r="O150" s="37"/>
      <c r="P150" s="39"/>
      <c r="Q150" s="61" t="str">
        <f t="shared" si="34"/>
        <v/>
      </c>
      <c r="R150" s="61" t="str">
        <f t="shared" si="35"/>
        <v/>
      </c>
      <c r="S150" s="61" t="str">
        <f t="shared" si="36"/>
        <v/>
      </c>
      <c r="T150" s="61" t="str">
        <f t="shared" si="37"/>
        <v/>
      </c>
      <c r="U150" s="61" t="str">
        <f t="shared" si="38"/>
        <v/>
      </c>
      <c r="V150" s="61" t="str">
        <f t="shared" si="39"/>
        <v/>
      </c>
    </row>
    <row r="151" spans="1:22" x14ac:dyDescent="0.25">
      <c r="A151" s="40"/>
      <c r="B151" s="41"/>
      <c r="C151" s="41"/>
      <c r="D151" s="41"/>
      <c r="E151" s="41"/>
      <c r="F151" s="41"/>
      <c r="G151" s="42"/>
      <c r="H151" s="42"/>
      <c r="I151" s="42"/>
      <c r="J151" s="42"/>
      <c r="K151" s="34" t="str">
        <f t="shared" ca="1" si="32"/>
        <v/>
      </c>
      <c r="L151" s="41"/>
      <c r="M151" s="16" t="str">
        <f t="shared" ca="1" si="33"/>
        <v/>
      </c>
      <c r="N151" s="16" t="str">
        <f ca="1">IF(H151="","",IF(J151&lt;&gt;"",INDEX(_ゴミ箱_Backup!$B$75:$D$75,1,MATCH(言語切替!$B$3,_ゴミ箱_Backup!$B$1:$D$1,0)),IF(TODAY()&gt;H151,INDEX(_ゴミ箱_Backup!$B$92:$D$92,1,MATCH(言語切替!$B$3,_ゴミ箱_Backup!$B$1:$D$1,0)),IF(H151-TODAY()&lt;=7,INDEX(_ゴミ箱_Backup!$B$91:$D$91,1,MATCH(言語切替!$B$3,_ゴミ箱_Backup!$B$1:$D$1,0)),INDEX(_ゴミ箱_Backup!$B$90:$D$90,1,MATCH(言語切替!$B$3,_ゴミ箱_Backup!$B$1:$D$1,0))))))</f>
        <v/>
      </c>
      <c r="O151" s="41"/>
      <c r="P151" s="43"/>
      <c r="Q151" s="61" t="str">
        <f t="shared" si="34"/>
        <v/>
      </c>
      <c r="R151" s="61" t="str">
        <f t="shared" si="35"/>
        <v/>
      </c>
      <c r="S151" s="61" t="str">
        <f t="shared" si="36"/>
        <v/>
      </c>
      <c r="T151" s="61" t="str">
        <f t="shared" si="37"/>
        <v/>
      </c>
      <c r="U151" s="61" t="str">
        <f t="shared" si="38"/>
        <v/>
      </c>
      <c r="V151" s="61" t="str">
        <f t="shared" si="39"/>
        <v/>
      </c>
    </row>
    <row r="152" spans="1:22" x14ac:dyDescent="0.25">
      <c r="A152" s="36"/>
      <c r="B152" s="37"/>
      <c r="C152" s="37"/>
      <c r="D152" s="37"/>
      <c r="E152" s="37"/>
      <c r="F152" s="37"/>
      <c r="G152" s="38"/>
      <c r="H152" s="38"/>
      <c r="I152" s="38"/>
      <c r="J152" s="38"/>
      <c r="K152" s="29" t="str">
        <f t="shared" ca="1" si="32"/>
        <v/>
      </c>
      <c r="L152" s="37"/>
      <c r="M152" s="13" t="str">
        <f t="shared" ca="1" si="33"/>
        <v/>
      </c>
      <c r="N152" s="13" t="str">
        <f ca="1">IF(H152="","",IF(J152&lt;&gt;"",INDEX(_ゴミ箱_Backup!$B$75:$D$75,1,MATCH(言語切替!$B$3,_ゴミ箱_Backup!$B$1:$D$1,0)),IF(TODAY()&gt;H152,INDEX(_ゴミ箱_Backup!$B$92:$D$92,1,MATCH(言語切替!$B$3,_ゴミ箱_Backup!$B$1:$D$1,0)),IF(H152-TODAY()&lt;=7,INDEX(_ゴミ箱_Backup!$B$91:$D$91,1,MATCH(言語切替!$B$3,_ゴミ箱_Backup!$B$1:$D$1,0)),INDEX(_ゴミ箱_Backup!$B$90:$D$90,1,MATCH(言語切替!$B$3,_ゴミ箱_Backup!$B$1:$D$1,0))))))</f>
        <v/>
      </c>
      <c r="O152" s="37"/>
      <c r="P152" s="39"/>
      <c r="Q152" s="61" t="str">
        <f t="shared" si="34"/>
        <v/>
      </c>
      <c r="R152" s="61" t="str">
        <f t="shared" si="35"/>
        <v/>
      </c>
      <c r="S152" s="61" t="str">
        <f t="shared" si="36"/>
        <v/>
      </c>
      <c r="T152" s="61" t="str">
        <f t="shared" si="37"/>
        <v/>
      </c>
      <c r="U152" s="61" t="str">
        <f t="shared" si="38"/>
        <v/>
      </c>
      <c r="V152" s="61" t="str">
        <f t="shared" si="39"/>
        <v/>
      </c>
    </row>
    <row r="153" spans="1:22" x14ac:dyDescent="0.25">
      <c r="A153" s="40"/>
      <c r="B153" s="41"/>
      <c r="C153" s="41"/>
      <c r="D153" s="41"/>
      <c r="E153" s="41"/>
      <c r="F153" s="41"/>
      <c r="G153" s="42"/>
      <c r="H153" s="42"/>
      <c r="I153" s="42"/>
      <c r="J153" s="42"/>
      <c r="K153" s="34" t="str">
        <f t="shared" ca="1" si="32"/>
        <v/>
      </c>
      <c r="L153" s="41"/>
      <c r="M153" s="16" t="str">
        <f t="shared" ca="1" si="33"/>
        <v/>
      </c>
      <c r="N153" s="16" t="str">
        <f ca="1">IF(H153="","",IF(J153&lt;&gt;"",INDEX(_ゴミ箱_Backup!$B$75:$D$75,1,MATCH(言語切替!$B$3,_ゴミ箱_Backup!$B$1:$D$1,0)),IF(TODAY()&gt;H153,INDEX(_ゴミ箱_Backup!$B$92:$D$92,1,MATCH(言語切替!$B$3,_ゴミ箱_Backup!$B$1:$D$1,0)),IF(H153-TODAY()&lt;=7,INDEX(_ゴミ箱_Backup!$B$91:$D$91,1,MATCH(言語切替!$B$3,_ゴミ箱_Backup!$B$1:$D$1,0)),INDEX(_ゴミ箱_Backup!$B$90:$D$90,1,MATCH(言語切替!$B$3,_ゴミ箱_Backup!$B$1:$D$1,0))))))</f>
        <v/>
      </c>
      <c r="O153" s="41"/>
      <c r="P153" s="43"/>
      <c r="Q153" s="61" t="str">
        <f t="shared" si="34"/>
        <v/>
      </c>
      <c r="R153" s="61" t="str">
        <f t="shared" si="35"/>
        <v/>
      </c>
      <c r="S153" s="61" t="str">
        <f t="shared" si="36"/>
        <v/>
      </c>
      <c r="T153" s="61" t="str">
        <f t="shared" si="37"/>
        <v/>
      </c>
      <c r="U153" s="61" t="str">
        <f t="shared" si="38"/>
        <v/>
      </c>
      <c r="V153" s="61" t="str">
        <f t="shared" si="39"/>
        <v/>
      </c>
    </row>
    <row r="154" spans="1:22" x14ac:dyDescent="0.25">
      <c r="A154" s="36"/>
      <c r="B154" s="37"/>
      <c r="C154" s="37"/>
      <c r="D154" s="37"/>
      <c r="E154" s="37"/>
      <c r="F154" s="37"/>
      <c r="G154" s="38"/>
      <c r="H154" s="38"/>
      <c r="I154" s="38"/>
      <c r="J154" s="38"/>
      <c r="K154" s="29" t="str">
        <f t="shared" ca="1" si="32"/>
        <v/>
      </c>
      <c r="L154" s="37"/>
      <c r="M154" s="13" t="str">
        <f t="shared" ca="1" si="33"/>
        <v/>
      </c>
      <c r="N154" s="13" t="str">
        <f ca="1">IF(H154="","",IF(J154&lt;&gt;"",INDEX(_ゴミ箱_Backup!$B$75:$D$75,1,MATCH(言語切替!$B$3,_ゴミ箱_Backup!$B$1:$D$1,0)),IF(TODAY()&gt;H154,INDEX(_ゴミ箱_Backup!$B$92:$D$92,1,MATCH(言語切替!$B$3,_ゴミ箱_Backup!$B$1:$D$1,0)),IF(H154-TODAY()&lt;=7,INDEX(_ゴミ箱_Backup!$B$91:$D$91,1,MATCH(言語切替!$B$3,_ゴミ箱_Backup!$B$1:$D$1,0)),INDEX(_ゴミ箱_Backup!$B$90:$D$90,1,MATCH(言語切替!$B$3,_ゴミ箱_Backup!$B$1:$D$1,0))))))</f>
        <v/>
      </c>
      <c r="O154" s="37"/>
      <c r="P154" s="39"/>
      <c r="Q154" s="61" t="str">
        <f t="shared" si="34"/>
        <v/>
      </c>
      <c r="R154" s="61" t="str">
        <f t="shared" si="35"/>
        <v/>
      </c>
      <c r="S154" s="61" t="str">
        <f t="shared" si="36"/>
        <v/>
      </c>
      <c r="T154" s="61" t="str">
        <f t="shared" si="37"/>
        <v/>
      </c>
      <c r="U154" s="61" t="str">
        <f t="shared" si="38"/>
        <v/>
      </c>
      <c r="V154" s="61" t="str">
        <f t="shared" si="39"/>
        <v/>
      </c>
    </row>
    <row r="155" spans="1:22" x14ac:dyDescent="0.25">
      <c r="A155" s="40"/>
      <c r="B155" s="41"/>
      <c r="C155" s="41"/>
      <c r="D155" s="41"/>
      <c r="E155" s="41"/>
      <c r="F155" s="41"/>
      <c r="G155" s="42"/>
      <c r="H155" s="42"/>
      <c r="I155" s="42"/>
      <c r="J155" s="42"/>
      <c r="K155" s="34" t="str">
        <f t="shared" ca="1" si="32"/>
        <v/>
      </c>
      <c r="L155" s="41"/>
      <c r="M155" s="16" t="str">
        <f t="shared" ca="1" si="33"/>
        <v/>
      </c>
      <c r="N155" s="16" t="str">
        <f ca="1">IF(H155="","",IF(J155&lt;&gt;"",INDEX(_ゴミ箱_Backup!$B$75:$D$75,1,MATCH(言語切替!$B$3,_ゴミ箱_Backup!$B$1:$D$1,0)),IF(TODAY()&gt;H155,INDEX(_ゴミ箱_Backup!$B$92:$D$92,1,MATCH(言語切替!$B$3,_ゴミ箱_Backup!$B$1:$D$1,0)),IF(H155-TODAY()&lt;=7,INDEX(_ゴミ箱_Backup!$B$91:$D$91,1,MATCH(言語切替!$B$3,_ゴミ箱_Backup!$B$1:$D$1,0)),INDEX(_ゴミ箱_Backup!$B$90:$D$90,1,MATCH(言語切替!$B$3,_ゴミ箱_Backup!$B$1:$D$1,0))))))</f>
        <v/>
      </c>
      <c r="O155" s="41"/>
      <c r="P155" s="43"/>
      <c r="Q155" s="61" t="str">
        <f t="shared" si="34"/>
        <v/>
      </c>
      <c r="R155" s="61" t="str">
        <f t="shared" si="35"/>
        <v/>
      </c>
      <c r="S155" s="61" t="str">
        <f t="shared" si="36"/>
        <v/>
      </c>
      <c r="T155" s="61" t="str">
        <f t="shared" si="37"/>
        <v/>
      </c>
      <c r="U155" s="61" t="str">
        <f t="shared" si="38"/>
        <v/>
      </c>
      <c r="V155" s="61" t="str">
        <f t="shared" si="39"/>
        <v/>
      </c>
    </row>
    <row r="156" spans="1:22" x14ac:dyDescent="0.25">
      <c r="A156" s="36"/>
      <c r="B156" s="37"/>
      <c r="C156" s="37"/>
      <c r="D156" s="37"/>
      <c r="E156" s="37"/>
      <c r="F156" s="37"/>
      <c r="G156" s="38"/>
      <c r="H156" s="38"/>
      <c r="I156" s="38"/>
      <c r="J156" s="38"/>
      <c r="K156" s="29" t="str">
        <f t="shared" ca="1" si="32"/>
        <v/>
      </c>
      <c r="L156" s="37"/>
      <c r="M156" s="13" t="str">
        <f t="shared" ca="1" si="33"/>
        <v/>
      </c>
      <c r="N156" s="13" t="str">
        <f ca="1">IF(H156="","",IF(J156&lt;&gt;"",INDEX(_ゴミ箱_Backup!$B$75:$D$75,1,MATCH(言語切替!$B$3,_ゴミ箱_Backup!$B$1:$D$1,0)),IF(TODAY()&gt;H156,INDEX(_ゴミ箱_Backup!$B$92:$D$92,1,MATCH(言語切替!$B$3,_ゴミ箱_Backup!$B$1:$D$1,0)),IF(H156-TODAY()&lt;=7,INDEX(_ゴミ箱_Backup!$B$91:$D$91,1,MATCH(言語切替!$B$3,_ゴミ箱_Backup!$B$1:$D$1,0)),INDEX(_ゴミ箱_Backup!$B$90:$D$90,1,MATCH(言語切替!$B$3,_ゴミ箱_Backup!$B$1:$D$1,0))))))</f>
        <v/>
      </c>
      <c r="O156" s="37"/>
      <c r="P156" s="39"/>
      <c r="Q156" s="61" t="str">
        <f t="shared" si="34"/>
        <v/>
      </c>
      <c r="R156" s="61" t="str">
        <f t="shared" si="35"/>
        <v/>
      </c>
      <c r="S156" s="61" t="str">
        <f t="shared" si="36"/>
        <v/>
      </c>
      <c r="T156" s="61" t="str">
        <f t="shared" si="37"/>
        <v/>
      </c>
      <c r="U156" s="61" t="str">
        <f t="shared" si="38"/>
        <v/>
      </c>
      <c r="V156" s="61" t="str">
        <f t="shared" si="39"/>
        <v/>
      </c>
    </row>
    <row r="157" spans="1:22" x14ac:dyDescent="0.25">
      <c r="A157" s="40"/>
      <c r="B157" s="41"/>
      <c r="C157" s="41"/>
      <c r="D157" s="41"/>
      <c r="E157" s="41"/>
      <c r="F157" s="41"/>
      <c r="G157" s="42"/>
      <c r="H157" s="42"/>
      <c r="I157" s="42"/>
      <c r="J157" s="42"/>
      <c r="K157" s="34" t="str">
        <f t="shared" ca="1" si="32"/>
        <v/>
      </c>
      <c r="L157" s="41"/>
      <c r="M157" s="16" t="str">
        <f t="shared" ca="1" si="33"/>
        <v/>
      </c>
      <c r="N157" s="16" t="str">
        <f ca="1">IF(H157="","",IF(J157&lt;&gt;"",INDEX(_ゴミ箱_Backup!$B$75:$D$75,1,MATCH(言語切替!$B$3,_ゴミ箱_Backup!$B$1:$D$1,0)),IF(TODAY()&gt;H157,INDEX(_ゴミ箱_Backup!$B$92:$D$92,1,MATCH(言語切替!$B$3,_ゴミ箱_Backup!$B$1:$D$1,0)),IF(H157-TODAY()&lt;=7,INDEX(_ゴミ箱_Backup!$B$91:$D$91,1,MATCH(言語切替!$B$3,_ゴミ箱_Backup!$B$1:$D$1,0)),INDEX(_ゴミ箱_Backup!$B$90:$D$90,1,MATCH(言語切替!$B$3,_ゴミ箱_Backup!$B$1:$D$1,0))))))</f>
        <v/>
      </c>
      <c r="O157" s="41"/>
      <c r="P157" s="43"/>
      <c r="Q157" s="61" t="str">
        <f t="shared" si="34"/>
        <v/>
      </c>
      <c r="R157" s="61" t="str">
        <f t="shared" si="35"/>
        <v/>
      </c>
      <c r="S157" s="61" t="str">
        <f t="shared" si="36"/>
        <v/>
      </c>
      <c r="T157" s="61" t="str">
        <f t="shared" si="37"/>
        <v/>
      </c>
      <c r="U157" s="61" t="str">
        <f t="shared" si="38"/>
        <v/>
      </c>
      <c r="V157" s="61" t="str">
        <f t="shared" si="39"/>
        <v/>
      </c>
    </row>
    <row r="158" spans="1:22" x14ac:dyDescent="0.25">
      <c r="A158" s="36"/>
      <c r="B158" s="37"/>
      <c r="C158" s="37"/>
      <c r="D158" s="37"/>
      <c r="E158" s="37"/>
      <c r="F158" s="37"/>
      <c r="G158" s="38"/>
      <c r="H158" s="38"/>
      <c r="I158" s="38"/>
      <c r="J158" s="38"/>
      <c r="K158" s="29" t="str">
        <f t="shared" ca="1" si="32"/>
        <v/>
      </c>
      <c r="L158" s="37"/>
      <c r="M158" s="13" t="str">
        <f t="shared" ca="1" si="33"/>
        <v/>
      </c>
      <c r="N158" s="13" t="str">
        <f ca="1">IF(H158="","",IF(J158&lt;&gt;"",INDEX(_ゴミ箱_Backup!$B$75:$D$75,1,MATCH(言語切替!$B$3,_ゴミ箱_Backup!$B$1:$D$1,0)),IF(TODAY()&gt;H158,INDEX(_ゴミ箱_Backup!$B$92:$D$92,1,MATCH(言語切替!$B$3,_ゴミ箱_Backup!$B$1:$D$1,0)),IF(H158-TODAY()&lt;=7,INDEX(_ゴミ箱_Backup!$B$91:$D$91,1,MATCH(言語切替!$B$3,_ゴミ箱_Backup!$B$1:$D$1,0)),INDEX(_ゴミ箱_Backup!$B$90:$D$90,1,MATCH(言語切替!$B$3,_ゴミ箱_Backup!$B$1:$D$1,0))))))</f>
        <v/>
      </c>
      <c r="O158" s="37"/>
      <c r="P158" s="39"/>
      <c r="Q158" s="61" t="str">
        <f t="shared" si="34"/>
        <v/>
      </c>
      <c r="R158" s="61" t="str">
        <f t="shared" si="35"/>
        <v/>
      </c>
      <c r="S158" s="61" t="str">
        <f t="shared" si="36"/>
        <v/>
      </c>
      <c r="T158" s="61" t="str">
        <f t="shared" si="37"/>
        <v/>
      </c>
      <c r="U158" s="61" t="str">
        <f t="shared" si="38"/>
        <v/>
      </c>
      <c r="V158" s="61" t="str">
        <f t="shared" si="39"/>
        <v/>
      </c>
    </row>
    <row r="159" spans="1:22" x14ac:dyDescent="0.25">
      <c r="A159" s="40"/>
      <c r="B159" s="41"/>
      <c r="C159" s="41"/>
      <c r="D159" s="41"/>
      <c r="E159" s="41"/>
      <c r="F159" s="41"/>
      <c r="G159" s="42"/>
      <c r="H159" s="42"/>
      <c r="I159" s="42"/>
      <c r="J159" s="42"/>
      <c r="K159" s="34" t="str">
        <f t="shared" ca="1" si="32"/>
        <v/>
      </c>
      <c r="L159" s="41"/>
      <c r="M159" s="16" t="str">
        <f t="shared" ca="1" si="33"/>
        <v/>
      </c>
      <c r="N159" s="16" t="str">
        <f ca="1">IF(H159="","",IF(J159&lt;&gt;"",INDEX(_ゴミ箱_Backup!$B$75:$D$75,1,MATCH(言語切替!$B$3,_ゴミ箱_Backup!$B$1:$D$1,0)),IF(TODAY()&gt;H159,INDEX(_ゴミ箱_Backup!$B$92:$D$92,1,MATCH(言語切替!$B$3,_ゴミ箱_Backup!$B$1:$D$1,0)),IF(H159-TODAY()&lt;=7,INDEX(_ゴミ箱_Backup!$B$91:$D$91,1,MATCH(言語切替!$B$3,_ゴミ箱_Backup!$B$1:$D$1,0)),INDEX(_ゴミ箱_Backup!$B$90:$D$90,1,MATCH(言語切替!$B$3,_ゴミ箱_Backup!$B$1:$D$1,0))))))</f>
        <v/>
      </c>
      <c r="O159" s="41"/>
      <c r="P159" s="43"/>
      <c r="Q159" s="61" t="str">
        <f t="shared" si="34"/>
        <v/>
      </c>
      <c r="R159" s="61" t="str">
        <f t="shared" si="35"/>
        <v/>
      </c>
      <c r="S159" s="61" t="str">
        <f t="shared" si="36"/>
        <v/>
      </c>
      <c r="T159" s="61" t="str">
        <f t="shared" si="37"/>
        <v/>
      </c>
      <c r="U159" s="61" t="str">
        <f t="shared" si="38"/>
        <v/>
      </c>
      <c r="V159" s="61" t="str">
        <f t="shared" si="39"/>
        <v/>
      </c>
    </row>
    <row r="160" spans="1:22" x14ac:dyDescent="0.25">
      <c r="A160" s="36"/>
      <c r="B160" s="37"/>
      <c r="C160" s="37"/>
      <c r="D160" s="37"/>
      <c r="E160" s="37"/>
      <c r="F160" s="37"/>
      <c r="G160" s="38"/>
      <c r="H160" s="38"/>
      <c r="I160" s="38"/>
      <c r="J160" s="38"/>
      <c r="K160" s="29" t="str">
        <f t="shared" ca="1" si="32"/>
        <v/>
      </c>
      <c r="L160" s="37"/>
      <c r="M160" s="13" t="str">
        <f t="shared" ca="1" si="33"/>
        <v/>
      </c>
      <c r="N160" s="13" t="str">
        <f ca="1">IF(H160="","",IF(J160&lt;&gt;"",INDEX(_ゴミ箱_Backup!$B$75:$D$75,1,MATCH(言語切替!$B$3,_ゴミ箱_Backup!$B$1:$D$1,0)),IF(TODAY()&gt;H160,INDEX(_ゴミ箱_Backup!$B$92:$D$92,1,MATCH(言語切替!$B$3,_ゴミ箱_Backup!$B$1:$D$1,0)),IF(H160-TODAY()&lt;=7,INDEX(_ゴミ箱_Backup!$B$91:$D$91,1,MATCH(言語切替!$B$3,_ゴミ箱_Backup!$B$1:$D$1,0)),INDEX(_ゴミ箱_Backup!$B$90:$D$90,1,MATCH(言語切替!$B$3,_ゴミ箱_Backup!$B$1:$D$1,0))))))</f>
        <v/>
      </c>
      <c r="O160" s="37"/>
      <c r="P160" s="39"/>
      <c r="Q160" s="61" t="str">
        <f t="shared" si="34"/>
        <v/>
      </c>
      <c r="R160" s="61" t="str">
        <f t="shared" si="35"/>
        <v/>
      </c>
      <c r="S160" s="61" t="str">
        <f t="shared" si="36"/>
        <v/>
      </c>
      <c r="T160" s="61" t="str">
        <f t="shared" si="37"/>
        <v/>
      </c>
      <c r="U160" s="61" t="str">
        <f t="shared" si="38"/>
        <v/>
      </c>
      <c r="V160" s="61" t="str">
        <f t="shared" si="39"/>
        <v/>
      </c>
    </row>
    <row r="161" spans="1:22" x14ac:dyDescent="0.25">
      <c r="A161" s="40"/>
      <c r="B161" s="41"/>
      <c r="C161" s="41"/>
      <c r="D161" s="41"/>
      <c r="E161" s="41"/>
      <c r="F161" s="41"/>
      <c r="G161" s="42"/>
      <c r="H161" s="42"/>
      <c r="I161" s="42"/>
      <c r="J161" s="42"/>
      <c r="K161" s="34" t="str">
        <f t="shared" ca="1" si="32"/>
        <v/>
      </c>
      <c r="L161" s="41"/>
      <c r="M161" s="16" t="str">
        <f t="shared" ca="1" si="33"/>
        <v/>
      </c>
      <c r="N161" s="16" t="str">
        <f ca="1">IF(H161="","",IF(J161&lt;&gt;"",INDEX(_ゴミ箱_Backup!$B$75:$D$75,1,MATCH(言語切替!$B$3,_ゴミ箱_Backup!$B$1:$D$1,0)),IF(TODAY()&gt;H161,INDEX(_ゴミ箱_Backup!$B$92:$D$92,1,MATCH(言語切替!$B$3,_ゴミ箱_Backup!$B$1:$D$1,0)),IF(H161-TODAY()&lt;=7,INDEX(_ゴミ箱_Backup!$B$91:$D$91,1,MATCH(言語切替!$B$3,_ゴミ箱_Backup!$B$1:$D$1,0)),INDEX(_ゴミ箱_Backup!$B$90:$D$90,1,MATCH(言語切替!$B$3,_ゴミ箱_Backup!$B$1:$D$1,0))))))</f>
        <v/>
      </c>
      <c r="O161" s="41"/>
      <c r="P161" s="43"/>
      <c r="Q161" s="61" t="str">
        <f t="shared" si="34"/>
        <v/>
      </c>
      <c r="R161" s="61" t="str">
        <f t="shared" si="35"/>
        <v/>
      </c>
      <c r="S161" s="61" t="str">
        <f t="shared" si="36"/>
        <v/>
      </c>
      <c r="T161" s="61" t="str">
        <f t="shared" si="37"/>
        <v/>
      </c>
      <c r="U161" s="61" t="str">
        <f t="shared" si="38"/>
        <v/>
      </c>
      <c r="V161" s="61" t="str">
        <f t="shared" si="39"/>
        <v/>
      </c>
    </row>
    <row r="162" spans="1:22" x14ac:dyDescent="0.25">
      <c r="A162" s="36"/>
      <c r="B162" s="37"/>
      <c r="C162" s="37"/>
      <c r="D162" s="37"/>
      <c r="E162" s="37"/>
      <c r="F162" s="37"/>
      <c r="G162" s="38"/>
      <c r="H162" s="38"/>
      <c r="I162" s="38"/>
      <c r="J162" s="38"/>
      <c r="K162" s="29" t="str">
        <f t="shared" ca="1" si="32"/>
        <v/>
      </c>
      <c r="L162" s="37"/>
      <c r="M162" s="13" t="str">
        <f t="shared" ca="1" si="33"/>
        <v/>
      </c>
      <c r="N162" s="13" t="str">
        <f ca="1">IF(H162="","",IF(J162&lt;&gt;"",INDEX(_ゴミ箱_Backup!$B$75:$D$75,1,MATCH(言語切替!$B$3,_ゴミ箱_Backup!$B$1:$D$1,0)),IF(TODAY()&gt;H162,INDEX(_ゴミ箱_Backup!$B$92:$D$92,1,MATCH(言語切替!$B$3,_ゴミ箱_Backup!$B$1:$D$1,0)),IF(H162-TODAY()&lt;=7,INDEX(_ゴミ箱_Backup!$B$91:$D$91,1,MATCH(言語切替!$B$3,_ゴミ箱_Backup!$B$1:$D$1,0)),INDEX(_ゴミ箱_Backup!$B$90:$D$90,1,MATCH(言語切替!$B$3,_ゴミ箱_Backup!$B$1:$D$1,0))))))</f>
        <v/>
      </c>
      <c r="O162" s="37"/>
      <c r="P162" s="39"/>
      <c r="Q162" s="61" t="str">
        <f t="shared" si="34"/>
        <v/>
      </c>
      <c r="R162" s="61" t="str">
        <f t="shared" si="35"/>
        <v/>
      </c>
      <c r="S162" s="61" t="str">
        <f t="shared" si="36"/>
        <v/>
      </c>
      <c r="T162" s="61" t="str">
        <f t="shared" si="37"/>
        <v/>
      </c>
      <c r="U162" s="61" t="str">
        <f t="shared" si="38"/>
        <v/>
      </c>
      <c r="V162" s="61" t="str">
        <f t="shared" si="39"/>
        <v/>
      </c>
    </row>
    <row r="163" spans="1:22" x14ac:dyDescent="0.25">
      <c r="A163" s="40"/>
      <c r="B163" s="41"/>
      <c r="C163" s="41"/>
      <c r="D163" s="41"/>
      <c r="E163" s="41"/>
      <c r="F163" s="41"/>
      <c r="G163" s="42"/>
      <c r="H163" s="42"/>
      <c r="I163" s="42"/>
      <c r="J163" s="42"/>
      <c r="K163" s="34" t="str">
        <f t="shared" ca="1" si="32"/>
        <v/>
      </c>
      <c r="L163" s="41"/>
      <c r="M163" s="16" t="str">
        <f t="shared" ca="1" si="33"/>
        <v/>
      </c>
      <c r="N163" s="16" t="str">
        <f ca="1">IF(H163="","",IF(J163&lt;&gt;"",INDEX(_ゴミ箱_Backup!$B$75:$D$75,1,MATCH(言語切替!$B$3,_ゴミ箱_Backup!$B$1:$D$1,0)),IF(TODAY()&gt;H163,INDEX(_ゴミ箱_Backup!$B$92:$D$92,1,MATCH(言語切替!$B$3,_ゴミ箱_Backup!$B$1:$D$1,0)),IF(H163-TODAY()&lt;=7,INDEX(_ゴミ箱_Backup!$B$91:$D$91,1,MATCH(言語切替!$B$3,_ゴミ箱_Backup!$B$1:$D$1,0)),INDEX(_ゴミ箱_Backup!$B$90:$D$90,1,MATCH(言語切替!$B$3,_ゴミ箱_Backup!$B$1:$D$1,0))))))</f>
        <v/>
      </c>
      <c r="O163" s="41"/>
      <c r="P163" s="43"/>
      <c r="Q163" s="61" t="str">
        <f t="shared" si="34"/>
        <v/>
      </c>
      <c r="R163" s="61" t="str">
        <f t="shared" si="35"/>
        <v/>
      </c>
      <c r="S163" s="61" t="str">
        <f t="shared" si="36"/>
        <v/>
      </c>
      <c r="T163" s="61" t="str">
        <f t="shared" si="37"/>
        <v/>
      </c>
      <c r="U163" s="61" t="str">
        <f t="shared" si="38"/>
        <v/>
      </c>
      <c r="V163" s="61" t="str">
        <f t="shared" si="39"/>
        <v/>
      </c>
    </row>
    <row r="164" spans="1:22" x14ac:dyDescent="0.25">
      <c r="A164" s="36"/>
      <c r="B164" s="37"/>
      <c r="C164" s="37"/>
      <c r="D164" s="37"/>
      <c r="E164" s="37"/>
      <c r="F164" s="37"/>
      <c r="G164" s="38"/>
      <c r="H164" s="38"/>
      <c r="I164" s="38"/>
      <c r="J164" s="38"/>
      <c r="K164" s="29" t="str">
        <f t="shared" ca="1" si="32"/>
        <v/>
      </c>
      <c r="L164" s="37"/>
      <c r="M164" s="13" t="str">
        <f t="shared" ca="1" si="33"/>
        <v/>
      </c>
      <c r="N164" s="13" t="str">
        <f ca="1">IF(H164="","",IF(J164&lt;&gt;"",INDEX(_ゴミ箱_Backup!$B$75:$D$75,1,MATCH(言語切替!$B$3,_ゴミ箱_Backup!$B$1:$D$1,0)),IF(TODAY()&gt;H164,INDEX(_ゴミ箱_Backup!$B$92:$D$92,1,MATCH(言語切替!$B$3,_ゴミ箱_Backup!$B$1:$D$1,0)),IF(H164-TODAY()&lt;=7,INDEX(_ゴミ箱_Backup!$B$91:$D$91,1,MATCH(言語切替!$B$3,_ゴミ箱_Backup!$B$1:$D$1,0)),INDEX(_ゴミ箱_Backup!$B$90:$D$90,1,MATCH(言語切替!$B$3,_ゴミ箱_Backup!$B$1:$D$1,0))))))</f>
        <v/>
      </c>
      <c r="O164" s="37"/>
      <c r="P164" s="39"/>
      <c r="Q164" s="61" t="str">
        <f t="shared" si="34"/>
        <v/>
      </c>
      <c r="R164" s="61" t="str">
        <f t="shared" si="35"/>
        <v/>
      </c>
      <c r="S164" s="61" t="str">
        <f t="shared" si="36"/>
        <v/>
      </c>
      <c r="T164" s="61" t="str">
        <f t="shared" si="37"/>
        <v/>
      </c>
      <c r="U164" s="61" t="str">
        <f t="shared" si="38"/>
        <v/>
      </c>
      <c r="V164" s="61" t="str">
        <f t="shared" si="39"/>
        <v/>
      </c>
    </row>
    <row r="165" spans="1:22" x14ac:dyDescent="0.25">
      <c r="A165" s="40"/>
      <c r="B165" s="41"/>
      <c r="C165" s="41"/>
      <c r="D165" s="41"/>
      <c r="E165" s="41"/>
      <c r="F165" s="41"/>
      <c r="G165" s="42"/>
      <c r="H165" s="42"/>
      <c r="I165" s="42"/>
      <c r="J165" s="42"/>
      <c r="K165" s="34" t="str">
        <f t="shared" ref="K165:K196" ca="1" si="40">IF(OR(G165="",H165=""),"",IF(J165&lt;&gt;"",1,IF(I165="",0,MAX(0,MIN(1,(TODAY()-G165)/(H165-G165+1))))))</f>
        <v/>
      </c>
      <c r="L165" s="41"/>
      <c r="M165" s="16" t="str">
        <f t="shared" ref="M165:M196" ca="1" si="41">IF(H165="","",H165-TODAY())</f>
        <v/>
      </c>
      <c r="N165" s="16" t="str">
        <f ca="1">IF(H165="","",IF(J165&lt;&gt;"",INDEX(_ゴミ箱_Backup!$B$75:$D$75,1,MATCH(言語切替!$B$3,_ゴミ箱_Backup!$B$1:$D$1,0)),IF(TODAY()&gt;H165,INDEX(_ゴミ箱_Backup!$B$92:$D$92,1,MATCH(言語切替!$B$3,_ゴミ箱_Backup!$B$1:$D$1,0)),IF(H165-TODAY()&lt;=7,INDEX(_ゴミ箱_Backup!$B$91:$D$91,1,MATCH(言語切替!$B$3,_ゴミ箱_Backup!$B$1:$D$1,0)),INDEX(_ゴミ箱_Backup!$B$90:$D$90,1,MATCH(言語切替!$B$3,_ゴミ箱_Backup!$B$1:$D$1,0))))))</f>
        <v/>
      </c>
      <c r="O165" s="41"/>
      <c r="P165" s="43"/>
      <c r="Q165" s="61" t="str">
        <f t="shared" ref="Q165:Q196" si="42">IF(E165="","",IFERROR(_xlfn.TRANSLATE(E165,,"ja"),""))</f>
        <v/>
      </c>
      <c r="R165" s="61" t="str">
        <f t="shared" ref="R165:R196" si="43">IF(E165="","",IFERROR(_xlfn.TRANSLATE(E165,,"zh-Hans"),""))</f>
        <v/>
      </c>
      <c r="S165" s="61" t="str">
        <f t="shared" ref="S165:S196" si="44">IF(E165="","",IFERROR(_xlfn.TRANSLATE(E165,,"vi"),""))</f>
        <v/>
      </c>
      <c r="T165" s="61" t="str">
        <f t="shared" ref="T165:T196" si="45">IF(P165="","",IFERROR(_xlfn.TRANSLATE(P165,,"ja"),""))</f>
        <v/>
      </c>
      <c r="U165" s="61" t="str">
        <f t="shared" ref="U165:U196" si="46">IF(P165="","",IFERROR(_xlfn.TRANSLATE(P165,,"zh-Hans"),""))</f>
        <v/>
      </c>
      <c r="V165" s="61" t="str">
        <f t="shared" ref="V165:V196" si="47">IF(P165="","",IFERROR(_xlfn.TRANSLATE(P165,,"vi"),""))</f>
        <v/>
      </c>
    </row>
    <row r="166" spans="1:22" x14ac:dyDescent="0.25">
      <c r="A166" s="36"/>
      <c r="B166" s="37"/>
      <c r="C166" s="37"/>
      <c r="D166" s="37"/>
      <c r="E166" s="37"/>
      <c r="F166" s="37"/>
      <c r="G166" s="38"/>
      <c r="H166" s="38"/>
      <c r="I166" s="38"/>
      <c r="J166" s="38"/>
      <c r="K166" s="29" t="str">
        <f t="shared" ca="1" si="40"/>
        <v/>
      </c>
      <c r="L166" s="37"/>
      <c r="M166" s="13" t="str">
        <f t="shared" ca="1" si="41"/>
        <v/>
      </c>
      <c r="N166" s="13" t="str">
        <f ca="1">IF(H166="","",IF(J166&lt;&gt;"",INDEX(_ゴミ箱_Backup!$B$75:$D$75,1,MATCH(言語切替!$B$3,_ゴミ箱_Backup!$B$1:$D$1,0)),IF(TODAY()&gt;H166,INDEX(_ゴミ箱_Backup!$B$92:$D$92,1,MATCH(言語切替!$B$3,_ゴミ箱_Backup!$B$1:$D$1,0)),IF(H166-TODAY()&lt;=7,INDEX(_ゴミ箱_Backup!$B$91:$D$91,1,MATCH(言語切替!$B$3,_ゴミ箱_Backup!$B$1:$D$1,0)),INDEX(_ゴミ箱_Backup!$B$90:$D$90,1,MATCH(言語切替!$B$3,_ゴミ箱_Backup!$B$1:$D$1,0))))))</f>
        <v/>
      </c>
      <c r="O166" s="37"/>
      <c r="P166" s="39"/>
      <c r="Q166" s="61" t="str">
        <f t="shared" si="42"/>
        <v/>
      </c>
      <c r="R166" s="61" t="str">
        <f t="shared" si="43"/>
        <v/>
      </c>
      <c r="S166" s="61" t="str">
        <f t="shared" si="44"/>
        <v/>
      </c>
      <c r="T166" s="61" t="str">
        <f t="shared" si="45"/>
        <v/>
      </c>
      <c r="U166" s="61" t="str">
        <f t="shared" si="46"/>
        <v/>
      </c>
      <c r="V166" s="61" t="str">
        <f t="shared" si="47"/>
        <v/>
      </c>
    </row>
    <row r="167" spans="1:22" x14ac:dyDescent="0.25">
      <c r="A167" s="40"/>
      <c r="B167" s="41"/>
      <c r="C167" s="41"/>
      <c r="D167" s="41"/>
      <c r="E167" s="41"/>
      <c r="F167" s="41"/>
      <c r="G167" s="42"/>
      <c r="H167" s="42"/>
      <c r="I167" s="42"/>
      <c r="J167" s="42"/>
      <c r="K167" s="34" t="str">
        <f t="shared" ca="1" si="40"/>
        <v/>
      </c>
      <c r="L167" s="41"/>
      <c r="M167" s="16" t="str">
        <f t="shared" ca="1" si="41"/>
        <v/>
      </c>
      <c r="N167" s="16" t="str">
        <f ca="1">IF(H167="","",IF(J167&lt;&gt;"",INDEX(_ゴミ箱_Backup!$B$75:$D$75,1,MATCH(言語切替!$B$3,_ゴミ箱_Backup!$B$1:$D$1,0)),IF(TODAY()&gt;H167,INDEX(_ゴミ箱_Backup!$B$92:$D$92,1,MATCH(言語切替!$B$3,_ゴミ箱_Backup!$B$1:$D$1,0)),IF(H167-TODAY()&lt;=7,INDEX(_ゴミ箱_Backup!$B$91:$D$91,1,MATCH(言語切替!$B$3,_ゴミ箱_Backup!$B$1:$D$1,0)),INDEX(_ゴミ箱_Backup!$B$90:$D$90,1,MATCH(言語切替!$B$3,_ゴミ箱_Backup!$B$1:$D$1,0))))))</f>
        <v/>
      </c>
      <c r="O167" s="41"/>
      <c r="P167" s="43"/>
      <c r="Q167" s="61" t="str">
        <f t="shared" si="42"/>
        <v/>
      </c>
      <c r="R167" s="61" t="str">
        <f t="shared" si="43"/>
        <v/>
      </c>
      <c r="S167" s="61" t="str">
        <f t="shared" si="44"/>
        <v/>
      </c>
      <c r="T167" s="61" t="str">
        <f t="shared" si="45"/>
        <v/>
      </c>
      <c r="U167" s="61" t="str">
        <f t="shared" si="46"/>
        <v/>
      </c>
      <c r="V167" s="61" t="str">
        <f t="shared" si="47"/>
        <v/>
      </c>
    </row>
    <row r="168" spans="1:22" x14ac:dyDescent="0.25">
      <c r="A168" s="36"/>
      <c r="B168" s="37"/>
      <c r="C168" s="37"/>
      <c r="D168" s="37"/>
      <c r="E168" s="37"/>
      <c r="F168" s="37"/>
      <c r="G168" s="38"/>
      <c r="H168" s="38"/>
      <c r="I168" s="38"/>
      <c r="J168" s="38"/>
      <c r="K168" s="29" t="str">
        <f t="shared" ca="1" si="40"/>
        <v/>
      </c>
      <c r="L168" s="37"/>
      <c r="M168" s="13" t="str">
        <f t="shared" ca="1" si="41"/>
        <v/>
      </c>
      <c r="N168" s="13" t="str">
        <f ca="1">IF(H168="","",IF(J168&lt;&gt;"",INDEX(_ゴミ箱_Backup!$B$75:$D$75,1,MATCH(言語切替!$B$3,_ゴミ箱_Backup!$B$1:$D$1,0)),IF(TODAY()&gt;H168,INDEX(_ゴミ箱_Backup!$B$92:$D$92,1,MATCH(言語切替!$B$3,_ゴミ箱_Backup!$B$1:$D$1,0)),IF(H168-TODAY()&lt;=7,INDEX(_ゴミ箱_Backup!$B$91:$D$91,1,MATCH(言語切替!$B$3,_ゴミ箱_Backup!$B$1:$D$1,0)),INDEX(_ゴミ箱_Backup!$B$90:$D$90,1,MATCH(言語切替!$B$3,_ゴミ箱_Backup!$B$1:$D$1,0))))))</f>
        <v/>
      </c>
      <c r="O168" s="37"/>
      <c r="P168" s="39"/>
      <c r="Q168" s="61" t="str">
        <f t="shared" si="42"/>
        <v/>
      </c>
      <c r="R168" s="61" t="str">
        <f t="shared" si="43"/>
        <v/>
      </c>
      <c r="S168" s="61" t="str">
        <f t="shared" si="44"/>
        <v/>
      </c>
      <c r="T168" s="61" t="str">
        <f t="shared" si="45"/>
        <v/>
      </c>
      <c r="U168" s="61" t="str">
        <f t="shared" si="46"/>
        <v/>
      </c>
      <c r="V168" s="61" t="str">
        <f t="shared" si="47"/>
        <v/>
      </c>
    </row>
    <row r="169" spans="1:22" x14ac:dyDescent="0.25">
      <c r="A169" s="40"/>
      <c r="B169" s="41"/>
      <c r="C169" s="41"/>
      <c r="D169" s="41"/>
      <c r="E169" s="41"/>
      <c r="F169" s="41"/>
      <c r="G169" s="42"/>
      <c r="H169" s="42"/>
      <c r="I169" s="42"/>
      <c r="J169" s="42"/>
      <c r="K169" s="34" t="str">
        <f t="shared" ca="1" si="40"/>
        <v/>
      </c>
      <c r="L169" s="41"/>
      <c r="M169" s="16" t="str">
        <f t="shared" ca="1" si="41"/>
        <v/>
      </c>
      <c r="N169" s="16" t="str">
        <f ca="1">IF(H169="","",IF(J169&lt;&gt;"",INDEX(_ゴミ箱_Backup!$B$75:$D$75,1,MATCH(言語切替!$B$3,_ゴミ箱_Backup!$B$1:$D$1,0)),IF(TODAY()&gt;H169,INDEX(_ゴミ箱_Backup!$B$92:$D$92,1,MATCH(言語切替!$B$3,_ゴミ箱_Backup!$B$1:$D$1,0)),IF(H169-TODAY()&lt;=7,INDEX(_ゴミ箱_Backup!$B$91:$D$91,1,MATCH(言語切替!$B$3,_ゴミ箱_Backup!$B$1:$D$1,0)),INDEX(_ゴミ箱_Backup!$B$90:$D$90,1,MATCH(言語切替!$B$3,_ゴミ箱_Backup!$B$1:$D$1,0))))))</f>
        <v/>
      </c>
      <c r="O169" s="41"/>
      <c r="P169" s="43"/>
      <c r="Q169" s="61" t="str">
        <f t="shared" si="42"/>
        <v/>
      </c>
      <c r="R169" s="61" t="str">
        <f t="shared" si="43"/>
        <v/>
      </c>
      <c r="S169" s="61" t="str">
        <f t="shared" si="44"/>
        <v/>
      </c>
      <c r="T169" s="61" t="str">
        <f t="shared" si="45"/>
        <v/>
      </c>
      <c r="U169" s="61" t="str">
        <f t="shared" si="46"/>
        <v/>
      </c>
      <c r="V169" s="61" t="str">
        <f t="shared" si="47"/>
        <v/>
      </c>
    </row>
    <row r="170" spans="1:22" x14ac:dyDescent="0.25">
      <c r="A170" s="36"/>
      <c r="B170" s="37"/>
      <c r="C170" s="37"/>
      <c r="D170" s="37"/>
      <c r="E170" s="37"/>
      <c r="F170" s="37"/>
      <c r="G170" s="38"/>
      <c r="H170" s="38"/>
      <c r="I170" s="38"/>
      <c r="J170" s="38"/>
      <c r="K170" s="29" t="str">
        <f t="shared" ca="1" si="40"/>
        <v/>
      </c>
      <c r="L170" s="37"/>
      <c r="M170" s="13" t="str">
        <f t="shared" ca="1" si="41"/>
        <v/>
      </c>
      <c r="N170" s="13" t="str">
        <f ca="1">IF(H170="","",IF(J170&lt;&gt;"",INDEX(_ゴミ箱_Backup!$B$75:$D$75,1,MATCH(言語切替!$B$3,_ゴミ箱_Backup!$B$1:$D$1,0)),IF(TODAY()&gt;H170,INDEX(_ゴミ箱_Backup!$B$92:$D$92,1,MATCH(言語切替!$B$3,_ゴミ箱_Backup!$B$1:$D$1,0)),IF(H170-TODAY()&lt;=7,INDEX(_ゴミ箱_Backup!$B$91:$D$91,1,MATCH(言語切替!$B$3,_ゴミ箱_Backup!$B$1:$D$1,0)),INDEX(_ゴミ箱_Backup!$B$90:$D$90,1,MATCH(言語切替!$B$3,_ゴミ箱_Backup!$B$1:$D$1,0))))))</f>
        <v/>
      </c>
      <c r="O170" s="37"/>
      <c r="P170" s="39"/>
      <c r="Q170" s="61" t="str">
        <f t="shared" si="42"/>
        <v/>
      </c>
      <c r="R170" s="61" t="str">
        <f t="shared" si="43"/>
        <v/>
      </c>
      <c r="S170" s="61" t="str">
        <f t="shared" si="44"/>
        <v/>
      </c>
      <c r="T170" s="61" t="str">
        <f t="shared" si="45"/>
        <v/>
      </c>
      <c r="U170" s="61" t="str">
        <f t="shared" si="46"/>
        <v/>
      </c>
      <c r="V170" s="61" t="str">
        <f t="shared" si="47"/>
        <v/>
      </c>
    </row>
    <row r="171" spans="1:22" x14ac:dyDescent="0.25">
      <c r="A171" s="40"/>
      <c r="B171" s="41"/>
      <c r="C171" s="41"/>
      <c r="D171" s="41"/>
      <c r="E171" s="41"/>
      <c r="F171" s="41"/>
      <c r="G171" s="42"/>
      <c r="H171" s="42"/>
      <c r="I171" s="42"/>
      <c r="J171" s="42"/>
      <c r="K171" s="34" t="str">
        <f t="shared" ca="1" si="40"/>
        <v/>
      </c>
      <c r="L171" s="41"/>
      <c r="M171" s="16" t="str">
        <f t="shared" ca="1" si="41"/>
        <v/>
      </c>
      <c r="N171" s="16" t="str">
        <f ca="1">IF(H171="","",IF(J171&lt;&gt;"",INDEX(_ゴミ箱_Backup!$B$75:$D$75,1,MATCH(言語切替!$B$3,_ゴミ箱_Backup!$B$1:$D$1,0)),IF(TODAY()&gt;H171,INDEX(_ゴミ箱_Backup!$B$92:$D$92,1,MATCH(言語切替!$B$3,_ゴミ箱_Backup!$B$1:$D$1,0)),IF(H171-TODAY()&lt;=7,INDEX(_ゴミ箱_Backup!$B$91:$D$91,1,MATCH(言語切替!$B$3,_ゴミ箱_Backup!$B$1:$D$1,0)),INDEX(_ゴミ箱_Backup!$B$90:$D$90,1,MATCH(言語切替!$B$3,_ゴミ箱_Backup!$B$1:$D$1,0))))))</f>
        <v/>
      </c>
      <c r="O171" s="41"/>
      <c r="P171" s="43"/>
      <c r="Q171" s="61" t="str">
        <f t="shared" si="42"/>
        <v/>
      </c>
      <c r="R171" s="61" t="str">
        <f t="shared" si="43"/>
        <v/>
      </c>
      <c r="S171" s="61" t="str">
        <f t="shared" si="44"/>
        <v/>
      </c>
      <c r="T171" s="61" t="str">
        <f t="shared" si="45"/>
        <v/>
      </c>
      <c r="U171" s="61" t="str">
        <f t="shared" si="46"/>
        <v/>
      </c>
      <c r="V171" s="61" t="str">
        <f t="shared" si="47"/>
        <v/>
      </c>
    </row>
    <row r="172" spans="1:22" x14ac:dyDescent="0.25">
      <c r="A172" s="36"/>
      <c r="B172" s="37"/>
      <c r="C172" s="37"/>
      <c r="D172" s="37"/>
      <c r="E172" s="37"/>
      <c r="F172" s="37"/>
      <c r="G172" s="38"/>
      <c r="H172" s="38"/>
      <c r="I172" s="38"/>
      <c r="J172" s="38"/>
      <c r="K172" s="29" t="str">
        <f t="shared" ca="1" si="40"/>
        <v/>
      </c>
      <c r="L172" s="37"/>
      <c r="M172" s="13" t="str">
        <f t="shared" ca="1" si="41"/>
        <v/>
      </c>
      <c r="N172" s="13" t="str">
        <f ca="1">IF(H172="","",IF(J172&lt;&gt;"",INDEX(_ゴミ箱_Backup!$B$75:$D$75,1,MATCH(言語切替!$B$3,_ゴミ箱_Backup!$B$1:$D$1,0)),IF(TODAY()&gt;H172,INDEX(_ゴミ箱_Backup!$B$92:$D$92,1,MATCH(言語切替!$B$3,_ゴミ箱_Backup!$B$1:$D$1,0)),IF(H172-TODAY()&lt;=7,INDEX(_ゴミ箱_Backup!$B$91:$D$91,1,MATCH(言語切替!$B$3,_ゴミ箱_Backup!$B$1:$D$1,0)),INDEX(_ゴミ箱_Backup!$B$90:$D$90,1,MATCH(言語切替!$B$3,_ゴミ箱_Backup!$B$1:$D$1,0))))))</f>
        <v/>
      </c>
      <c r="O172" s="37"/>
      <c r="P172" s="39"/>
      <c r="Q172" s="61" t="str">
        <f t="shared" si="42"/>
        <v/>
      </c>
      <c r="R172" s="61" t="str">
        <f t="shared" si="43"/>
        <v/>
      </c>
      <c r="S172" s="61" t="str">
        <f t="shared" si="44"/>
        <v/>
      </c>
      <c r="T172" s="61" t="str">
        <f t="shared" si="45"/>
        <v/>
      </c>
      <c r="U172" s="61" t="str">
        <f t="shared" si="46"/>
        <v/>
      </c>
      <c r="V172" s="61" t="str">
        <f t="shared" si="47"/>
        <v/>
      </c>
    </row>
    <row r="173" spans="1:22" x14ac:dyDescent="0.25">
      <c r="A173" s="40"/>
      <c r="B173" s="41"/>
      <c r="C173" s="41"/>
      <c r="D173" s="41"/>
      <c r="E173" s="41"/>
      <c r="F173" s="41"/>
      <c r="G173" s="42"/>
      <c r="H173" s="42"/>
      <c r="I173" s="42"/>
      <c r="J173" s="42"/>
      <c r="K173" s="34" t="str">
        <f t="shared" ca="1" si="40"/>
        <v/>
      </c>
      <c r="L173" s="41"/>
      <c r="M173" s="16" t="str">
        <f t="shared" ca="1" si="41"/>
        <v/>
      </c>
      <c r="N173" s="16" t="str">
        <f ca="1">IF(H173="","",IF(J173&lt;&gt;"",INDEX(_ゴミ箱_Backup!$B$75:$D$75,1,MATCH(言語切替!$B$3,_ゴミ箱_Backup!$B$1:$D$1,0)),IF(TODAY()&gt;H173,INDEX(_ゴミ箱_Backup!$B$92:$D$92,1,MATCH(言語切替!$B$3,_ゴミ箱_Backup!$B$1:$D$1,0)),IF(H173-TODAY()&lt;=7,INDEX(_ゴミ箱_Backup!$B$91:$D$91,1,MATCH(言語切替!$B$3,_ゴミ箱_Backup!$B$1:$D$1,0)),INDEX(_ゴミ箱_Backup!$B$90:$D$90,1,MATCH(言語切替!$B$3,_ゴミ箱_Backup!$B$1:$D$1,0))))))</f>
        <v/>
      </c>
      <c r="O173" s="41"/>
      <c r="P173" s="43"/>
      <c r="Q173" s="61" t="str">
        <f t="shared" si="42"/>
        <v/>
      </c>
      <c r="R173" s="61" t="str">
        <f t="shared" si="43"/>
        <v/>
      </c>
      <c r="S173" s="61" t="str">
        <f t="shared" si="44"/>
        <v/>
      </c>
      <c r="T173" s="61" t="str">
        <f t="shared" si="45"/>
        <v/>
      </c>
      <c r="U173" s="61" t="str">
        <f t="shared" si="46"/>
        <v/>
      </c>
      <c r="V173" s="61" t="str">
        <f t="shared" si="47"/>
        <v/>
      </c>
    </row>
    <row r="174" spans="1:22" x14ac:dyDescent="0.25">
      <c r="A174" s="36"/>
      <c r="B174" s="37"/>
      <c r="C174" s="37"/>
      <c r="D174" s="37"/>
      <c r="E174" s="37"/>
      <c r="F174" s="37"/>
      <c r="G174" s="38"/>
      <c r="H174" s="38"/>
      <c r="I174" s="38"/>
      <c r="J174" s="38"/>
      <c r="K174" s="29" t="str">
        <f t="shared" ca="1" si="40"/>
        <v/>
      </c>
      <c r="L174" s="37"/>
      <c r="M174" s="13" t="str">
        <f t="shared" ca="1" si="41"/>
        <v/>
      </c>
      <c r="N174" s="13" t="str">
        <f ca="1">IF(H174="","",IF(J174&lt;&gt;"",INDEX(_ゴミ箱_Backup!$B$75:$D$75,1,MATCH(言語切替!$B$3,_ゴミ箱_Backup!$B$1:$D$1,0)),IF(TODAY()&gt;H174,INDEX(_ゴミ箱_Backup!$B$92:$D$92,1,MATCH(言語切替!$B$3,_ゴミ箱_Backup!$B$1:$D$1,0)),IF(H174-TODAY()&lt;=7,INDEX(_ゴミ箱_Backup!$B$91:$D$91,1,MATCH(言語切替!$B$3,_ゴミ箱_Backup!$B$1:$D$1,0)),INDEX(_ゴミ箱_Backup!$B$90:$D$90,1,MATCH(言語切替!$B$3,_ゴミ箱_Backup!$B$1:$D$1,0))))))</f>
        <v/>
      </c>
      <c r="O174" s="37"/>
      <c r="P174" s="39"/>
      <c r="Q174" s="61" t="str">
        <f t="shared" si="42"/>
        <v/>
      </c>
      <c r="R174" s="61" t="str">
        <f t="shared" si="43"/>
        <v/>
      </c>
      <c r="S174" s="61" t="str">
        <f t="shared" si="44"/>
        <v/>
      </c>
      <c r="T174" s="61" t="str">
        <f t="shared" si="45"/>
        <v/>
      </c>
      <c r="U174" s="61" t="str">
        <f t="shared" si="46"/>
        <v/>
      </c>
      <c r="V174" s="61" t="str">
        <f t="shared" si="47"/>
        <v/>
      </c>
    </row>
    <row r="175" spans="1:22" x14ac:dyDescent="0.25">
      <c r="A175" s="40"/>
      <c r="B175" s="41"/>
      <c r="C175" s="41"/>
      <c r="D175" s="41"/>
      <c r="E175" s="41"/>
      <c r="F175" s="41"/>
      <c r="G175" s="42"/>
      <c r="H175" s="42"/>
      <c r="I175" s="42"/>
      <c r="J175" s="42"/>
      <c r="K175" s="34" t="str">
        <f t="shared" ca="1" si="40"/>
        <v/>
      </c>
      <c r="L175" s="41"/>
      <c r="M175" s="16" t="str">
        <f t="shared" ca="1" si="41"/>
        <v/>
      </c>
      <c r="N175" s="16" t="str">
        <f ca="1">IF(H175="","",IF(J175&lt;&gt;"",INDEX(_ゴミ箱_Backup!$B$75:$D$75,1,MATCH(言語切替!$B$3,_ゴミ箱_Backup!$B$1:$D$1,0)),IF(TODAY()&gt;H175,INDEX(_ゴミ箱_Backup!$B$92:$D$92,1,MATCH(言語切替!$B$3,_ゴミ箱_Backup!$B$1:$D$1,0)),IF(H175-TODAY()&lt;=7,INDEX(_ゴミ箱_Backup!$B$91:$D$91,1,MATCH(言語切替!$B$3,_ゴミ箱_Backup!$B$1:$D$1,0)),INDEX(_ゴミ箱_Backup!$B$90:$D$90,1,MATCH(言語切替!$B$3,_ゴミ箱_Backup!$B$1:$D$1,0))))))</f>
        <v/>
      </c>
      <c r="O175" s="41"/>
      <c r="P175" s="43"/>
      <c r="Q175" s="61" t="str">
        <f t="shared" si="42"/>
        <v/>
      </c>
      <c r="R175" s="61" t="str">
        <f t="shared" si="43"/>
        <v/>
      </c>
      <c r="S175" s="61" t="str">
        <f t="shared" si="44"/>
        <v/>
      </c>
      <c r="T175" s="61" t="str">
        <f t="shared" si="45"/>
        <v/>
      </c>
      <c r="U175" s="61" t="str">
        <f t="shared" si="46"/>
        <v/>
      </c>
      <c r="V175" s="61" t="str">
        <f t="shared" si="47"/>
        <v/>
      </c>
    </row>
    <row r="176" spans="1:22" x14ac:dyDescent="0.25">
      <c r="A176" s="36"/>
      <c r="B176" s="37"/>
      <c r="C176" s="37"/>
      <c r="D176" s="37"/>
      <c r="E176" s="37"/>
      <c r="F176" s="37"/>
      <c r="G176" s="38"/>
      <c r="H176" s="38"/>
      <c r="I176" s="38"/>
      <c r="J176" s="38"/>
      <c r="K176" s="29" t="str">
        <f t="shared" ca="1" si="40"/>
        <v/>
      </c>
      <c r="L176" s="37"/>
      <c r="M176" s="13" t="str">
        <f t="shared" ca="1" si="41"/>
        <v/>
      </c>
      <c r="N176" s="13" t="str">
        <f ca="1">IF(H176="","",IF(J176&lt;&gt;"",INDEX(_ゴミ箱_Backup!$B$75:$D$75,1,MATCH(言語切替!$B$3,_ゴミ箱_Backup!$B$1:$D$1,0)),IF(TODAY()&gt;H176,INDEX(_ゴミ箱_Backup!$B$92:$D$92,1,MATCH(言語切替!$B$3,_ゴミ箱_Backup!$B$1:$D$1,0)),IF(H176-TODAY()&lt;=7,INDEX(_ゴミ箱_Backup!$B$91:$D$91,1,MATCH(言語切替!$B$3,_ゴミ箱_Backup!$B$1:$D$1,0)),INDEX(_ゴミ箱_Backup!$B$90:$D$90,1,MATCH(言語切替!$B$3,_ゴミ箱_Backup!$B$1:$D$1,0))))))</f>
        <v/>
      </c>
      <c r="O176" s="37"/>
      <c r="P176" s="39"/>
      <c r="Q176" s="61" t="str">
        <f t="shared" si="42"/>
        <v/>
      </c>
      <c r="R176" s="61" t="str">
        <f t="shared" si="43"/>
        <v/>
      </c>
      <c r="S176" s="61" t="str">
        <f t="shared" si="44"/>
        <v/>
      </c>
      <c r="T176" s="61" t="str">
        <f t="shared" si="45"/>
        <v/>
      </c>
      <c r="U176" s="61" t="str">
        <f t="shared" si="46"/>
        <v/>
      </c>
      <c r="V176" s="61" t="str">
        <f t="shared" si="47"/>
        <v/>
      </c>
    </row>
    <row r="177" spans="1:22" x14ac:dyDescent="0.25">
      <c r="A177" s="40"/>
      <c r="B177" s="41"/>
      <c r="C177" s="41"/>
      <c r="D177" s="41"/>
      <c r="E177" s="41"/>
      <c r="F177" s="41"/>
      <c r="G177" s="42"/>
      <c r="H177" s="42"/>
      <c r="I177" s="42"/>
      <c r="J177" s="42"/>
      <c r="K177" s="34" t="str">
        <f t="shared" ca="1" si="40"/>
        <v/>
      </c>
      <c r="L177" s="41"/>
      <c r="M177" s="16" t="str">
        <f t="shared" ca="1" si="41"/>
        <v/>
      </c>
      <c r="N177" s="16" t="str">
        <f ca="1">IF(H177="","",IF(J177&lt;&gt;"",INDEX(_ゴミ箱_Backup!$B$75:$D$75,1,MATCH(言語切替!$B$3,_ゴミ箱_Backup!$B$1:$D$1,0)),IF(TODAY()&gt;H177,INDEX(_ゴミ箱_Backup!$B$92:$D$92,1,MATCH(言語切替!$B$3,_ゴミ箱_Backup!$B$1:$D$1,0)),IF(H177-TODAY()&lt;=7,INDEX(_ゴミ箱_Backup!$B$91:$D$91,1,MATCH(言語切替!$B$3,_ゴミ箱_Backup!$B$1:$D$1,0)),INDEX(_ゴミ箱_Backup!$B$90:$D$90,1,MATCH(言語切替!$B$3,_ゴミ箱_Backup!$B$1:$D$1,0))))))</f>
        <v/>
      </c>
      <c r="O177" s="41"/>
      <c r="P177" s="43"/>
      <c r="Q177" s="61" t="str">
        <f t="shared" si="42"/>
        <v/>
      </c>
      <c r="R177" s="61" t="str">
        <f t="shared" si="43"/>
        <v/>
      </c>
      <c r="S177" s="61" t="str">
        <f t="shared" si="44"/>
        <v/>
      </c>
      <c r="T177" s="61" t="str">
        <f t="shared" si="45"/>
        <v/>
      </c>
      <c r="U177" s="61" t="str">
        <f t="shared" si="46"/>
        <v/>
      </c>
      <c r="V177" s="61" t="str">
        <f t="shared" si="47"/>
        <v/>
      </c>
    </row>
    <row r="178" spans="1:22" x14ac:dyDescent="0.25">
      <c r="A178" s="36"/>
      <c r="B178" s="37"/>
      <c r="C178" s="37"/>
      <c r="D178" s="37"/>
      <c r="E178" s="37"/>
      <c r="F178" s="37"/>
      <c r="G178" s="38"/>
      <c r="H178" s="38"/>
      <c r="I178" s="38"/>
      <c r="J178" s="38"/>
      <c r="K178" s="29" t="str">
        <f t="shared" ca="1" si="40"/>
        <v/>
      </c>
      <c r="L178" s="37"/>
      <c r="M178" s="13" t="str">
        <f t="shared" ca="1" si="41"/>
        <v/>
      </c>
      <c r="N178" s="13" t="str">
        <f ca="1">IF(H178="","",IF(J178&lt;&gt;"",INDEX(_ゴミ箱_Backup!$B$75:$D$75,1,MATCH(言語切替!$B$3,_ゴミ箱_Backup!$B$1:$D$1,0)),IF(TODAY()&gt;H178,INDEX(_ゴミ箱_Backup!$B$92:$D$92,1,MATCH(言語切替!$B$3,_ゴミ箱_Backup!$B$1:$D$1,0)),IF(H178-TODAY()&lt;=7,INDEX(_ゴミ箱_Backup!$B$91:$D$91,1,MATCH(言語切替!$B$3,_ゴミ箱_Backup!$B$1:$D$1,0)),INDEX(_ゴミ箱_Backup!$B$90:$D$90,1,MATCH(言語切替!$B$3,_ゴミ箱_Backup!$B$1:$D$1,0))))))</f>
        <v/>
      </c>
      <c r="O178" s="37"/>
      <c r="P178" s="39"/>
      <c r="Q178" s="61" t="str">
        <f t="shared" si="42"/>
        <v/>
      </c>
      <c r="R178" s="61" t="str">
        <f t="shared" si="43"/>
        <v/>
      </c>
      <c r="S178" s="61" t="str">
        <f t="shared" si="44"/>
        <v/>
      </c>
      <c r="T178" s="61" t="str">
        <f t="shared" si="45"/>
        <v/>
      </c>
      <c r="U178" s="61" t="str">
        <f t="shared" si="46"/>
        <v/>
      </c>
      <c r="V178" s="61" t="str">
        <f t="shared" si="47"/>
        <v/>
      </c>
    </row>
    <row r="179" spans="1:22" x14ac:dyDescent="0.25">
      <c r="A179" s="40"/>
      <c r="B179" s="41"/>
      <c r="C179" s="41"/>
      <c r="D179" s="41"/>
      <c r="E179" s="41"/>
      <c r="F179" s="41"/>
      <c r="G179" s="42"/>
      <c r="H179" s="42"/>
      <c r="I179" s="42"/>
      <c r="J179" s="42"/>
      <c r="K179" s="34" t="str">
        <f t="shared" ca="1" si="40"/>
        <v/>
      </c>
      <c r="L179" s="41"/>
      <c r="M179" s="16" t="str">
        <f t="shared" ca="1" si="41"/>
        <v/>
      </c>
      <c r="N179" s="16" t="str">
        <f ca="1">IF(H179="","",IF(J179&lt;&gt;"",INDEX(_ゴミ箱_Backup!$B$75:$D$75,1,MATCH(言語切替!$B$3,_ゴミ箱_Backup!$B$1:$D$1,0)),IF(TODAY()&gt;H179,INDEX(_ゴミ箱_Backup!$B$92:$D$92,1,MATCH(言語切替!$B$3,_ゴミ箱_Backup!$B$1:$D$1,0)),IF(H179-TODAY()&lt;=7,INDEX(_ゴミ箱_Backup!$B$91:$D$91,1,MATCH(言語切替!$B$3,_ゴミ箱_Backup!$B$1:$D$1,0)),INDEX(_ゴミ箱_Backup!$B$90:$D$90,1,MATCH(言語切替!$B$3,_ゴミ箱_Backup!$B$1:$D$1,0))))))</f>
        <v/>
      </c>
      <c r="O179" s="41"/>
      <c r="P179" s="43"/>
      <c r="Q179" s="61" t="str">
        <f t="shared" si="42"/>
        <v/>
      </c>
      <c r="R179" s="61" t="str">
        <f t="shared" si="43"/>
        <v/>
      </c>
      <c r="S179" s="61" t="str">
        <f t="shared" si="44"/>
        <v/>
      </c>
      <c r="T179" s="61" t="str">
        <f t="shared" si="45"/>
        <v/>
      </c>
      <c r="U179" s="61" t="str">
        <f t="shared" si="46"/>
        <v/>
      </c>
      <c r="V179" s="61" t="str">
        <f t="shared" si="47"/>
        <v/>
      </c>
    </row>
    <row r="180" spans="1:22" x14ac:dyDescent="0.25">
      <c r="A180" s="36"/>
      <c r="B180" s="37"/>
      <c r="C180" s="37"/>
      <c r="D180" s="37"/>
      <c r="E180" s="37"/>
      <c r="F180" s="37"/>
      <c r="G180" s="38"/>
      <c r="H180" s="38"/>
      <c r="I180" s="38"/>
      <c r="J180" s="38"/>
      <c r="K180" s="29" t="str">
        <f t="shared" ca="1" si="40"/>
        <v/>
      </c>
      <c r="L180" s="37"/>
      <c r="M180" s="13" t="str">
        <f t="shared" ca="1" si="41"/>
        <v/>
      </c>
      <c r="N180" s="13" t="str">
        <f ca="1">IF(H180="","",IF(J180&lt;&gt;"",INDEX(_ゴミ箱_Backup!$B$75:$D$75,1,MATCH(言語切替!$B$3,_ゴミ箱_Backup!$B$1:$D$1,0)),IF(TODAY()&gt;H180,INDEX(_ゴミ箱_Backup!$B$92:$D$92,1,MATCH(言語切替!$B$3,_ゴミ箱_Backup!$B$1:$D$1,0)),IF(H180-TODAY()&lt;=7,INDEX(_ゴミ箱_Backup!$B$91:$D$91,1,MATCH(言語切替!$B$3,_ゴミ箱_Backup!$B$1:$D$1,0)),INDEX(_ゴミ箱_Backup!$B$90:$D$90,1,MATCH(言語切替!$B$3,_ゴミ箱_Backup!$B$1:$D$1,0))))))</f>
        <v/>
      </c>
      <c r="O180" s="37"/>
      <c r="P180" s="39"/>
      <c r="Q180" s="61" t="str">
        <f t="shared" si="42"/>
        <v/>
      </c>
      <c r="R180" s="61" t="str">
        <f t="shared" si="43"/>
        <v/>
      </c>
      <c r="S180" s="61" t="str">
        <f t="shared" si="44"/>
        <v/>
      </c>
      <c r="T180" s="61" t="str">
        <f t="shared" si="45"/>
        <v/>
      </c>
      <c r="U180" s="61" t="str">
        <f t="shared" si="46"/>
        <v/>
      </c>
      <c r="V180" s="61" t="str">
        <f t="shared" si="47"/>
        <v/>
      </c>
    </row>
    <row r="181" spans="1:22" x14ac:dyDescent="0.25">
      <c r="A181" s="40"/>
      <c r="B181" s="41"/>
      <c r="C181" s="41"/>
      <c r="D181" s="41"/>
      <c r="E181" s="41"/>
      <c r="F181" s="41"/>
      <c r="G181" s="42"/>
      <c r="H181" s="42"/>
      <c r="I181" s="42"/>
      <c r="J181" s="42"/>
      <c r="K181" s="34" t="str">
        <f t="shared" ca="1" si="40"/>
        <v/>
      </c>
      <c r="L181" s="41"/>
      <c r="M181" s="16" t="str">
        <f t="shared" ca="1" si="41"/>
        <v/>
      </c>
      <c r="N181" s="16" t="str">
        <f ca="1">IF(H181="","",IF(J181&lt;&gt;"",INDEX(_ゴミ箱_Backup!$B$75:$D$75,1,MATCH(言語切替!$B$3,_ゴミ箱_Backup!$B$1:$D$1,0)),IF(TODAY()&gt;H181,INDEX(_ゴミ箱_Backup!$B$92:$D$92,1,MATCH(言語切替!$B$3,_ゴミ箱_Backup!$B$1:$D$1,0)),IF(H181-TODAY()&lt;=7,INDEX(_ゴミ箱_Backup!$B$91:$D$91,1,MATCH(言語切替!$B$3,_ゴミ箱_Backup!$B$1:$D$1,0)),INDEX(_ゴミ箱_Backup!$B$90:$D$90,1,MATCH(言語切替!$B$3,_ゴミ箱_Backup!$B$1:$D$1,0))))))</f>
        <v/>
      </c>
      <c r="O181" s="41"/>
      <c r="P181" s="43"/>
      <c r="Q181" s="61" t="str">
        <f t="shared" si="42"/>
        <v/>
      </c>
      <c r="R181" s="61" t="str">
        <f t="shared" si="43"/>
        <v/>
      </c>
      <c r="S181" s="61" t="str">
        <f t="shared" si="44"/>
        <v/>
      </c>
      <c r="T181" s="61" t="str">
        <f t="shared" si="45"/>
        <v/>
      </c>
      <c r="U181" s="61" t="str">
        <f t="shared" si="46"/>
        <v/>
      </c>
      <c r="V181" s="61" t="str">
        <f t="shared" si="47"/>
        <v/>
      </c>
    </row>
    <row r="182" spans="1:22" x14ac:dyDescent="0.25">
      <c r="A182" s="36"/>
      <c r="B182" s="37"/>
      <c r="C182" s="37"/>
      <c r="D182" s="37"/>
      <c r="E182" s="37"/>
      <c r="F182" s="37"/>
      <c r="G182" s="38"/>
      <c r="H182" s="38"/>
      <c r="I182" s="38"/>
      <c r="J182" s="38"/>
      <c r="K182" s="29" t="str">
        <f t="shared" ca="1" si="40"/>
        <v/>
      </c>
      <c r="L182" s="37"/>
      <c r="M182" s="13" t="str">
        <f t="shared" ca="1" si="41"/>
        <v/>
      </c>
      <c r="N182" s="13" t="str">
        <f ca="1">IF(H182="","",IF(J182&lt;&gt;"",INDEX(_ゴミ箱_Backup!$B$75:$D$75,1,MATCH(言語切替!$B$3,_ゴミ箱_Backup!$B$1:$D$1,0)),IF(TODAY()&gt;H182,INDEX(_ゴミ箱_Backup!$B$92:$D$92,1,MATCH(言語切替!$B$3,_ゴミ箱_Backup!$B$1:$D$1,0)),IF(H182-TODAY()&lt;=7,INDEX(_ゴミ箱_Backup!$B$91:$D$91,1,MATCH(言語切替!$B$3,_ゴミ箱_Backup!$B$1:$D$1,0)),INDEX(_ゴミ箱_Backup!$B$90:$D$90,1,MATCH(言語切替!$B$3,_ゴミ箱_Backup!$B$1:$D$1,0))))))</f>
        <v/>
      </c>
      <c r="O182" s="37"/>
      <c r="P182" s="39"/>
      <c r="Q182" s="61" t="str">
        <f t="shared" si="42"/>
        <v/>
      </c>
      <c r="R182" s="61" t="str">
        <f t="shared" si="43"/>
        <v/>
      </c>
      <c r="S182" s="61" t="str">
        <f t="shared" si="44"/>
        <v/>
      </c>
      <c r="T182" s="61" t="str">
        <f t="shared" si="45"/>
        <v/>
      </c>
      <c r="U182" s="61" t="str">
        <f t="shared" si="46"/>
        <v/>
      </c>
      <c r="V182" s="61" t="str">
        <f t="shared" si="47"/>
        <v/>
      </c>
    </row>
    <row r="183" spans="1:22" x14ac:dyDescent="0.25">
      <c r="A183" s="40"/>
      <c r="B183" s="41"/>
      <c r="C183" s="41"/>
      <c r="D183" s="41"/>
      <c r="E183" s="41"/>
      <c r="F183" s="41"/>
      <c r="G183" s="42"/>
      <c r="H183" s="42"/>
      <c r="I183" s="42"/>
      <c r="J183" s="42"/>
      <c r="K183" s="34" t="str">
        <f t="shared" ca="1" si="40"/>
        <v/>
      </c>
      <c r="L183" s="41"/>
      <c r="M183" s="16" t="str">
        <f t="shared" ca="1" si="41"/>
        <v/>
      </c>
      <c r="N183" s="16" t="str">
        <f ca="1">IF(H183="","",IF(J183&lt;&gt;"",INDEX(_ゴミ箱_Backup!$B$75:$D$75,1,MATCH(言語切替!$B$3,_ゴミ箱_Backup!$B$1:$D$1,0)),IF(TODAY()&gt;H183,INDEX(_ゴミ箱_Backup!$B$92:$D$92,1,MATCH(言語切替!$B$3,_ゴミ箱_Backup!$B$1:$D$1,0)),IF(H183-TODAY()&lt;=7,INDEX(_ゴミ箱_Backup!$B$91:$D$91,1,MATCH(言語切替!$B$3,_ゴミ箱_Backup!$B$1:$D$1,0)),INDEX(_ゴミ箱_Backup!$B$90:$D$90,1,MATCH(言語切替!$B$3,_ゴミ箱_Backup!$B$1:$D$1,0))))))</f>
        <v/>
      </c>
      <c r="O183" s="41"/>
      <c r="P183" s="43"/>
      <c r="Q183" s="61" t="str">
        <f t="shared" si="42"/>
        <v/>
      </c>
      <c r="R183" s="61" t="str">
        <f t="shared" si="43"/>
        <v/>
      </c>
      <c r="S183" s="61" t="str">
        <f t="shared" si="44"/>
        <v/>
      </c>
      <c r="T183" s="61" t="str">
        <f t="shared" si="45"/>
        <v/>
      </c>
      <c r="U183" s="61" t="str">
        <f t="shared" si="46"/>
        <v/>
      </c>
      <c r="V183" s="61" t="str">
        <f t="shared" si="47"/>
        <v/>
      </c>
    </row>
    <row r="184" spans="1:22" x14ac:dyDescent="0.25">
      <c r="A184" s="36"/>
      <c r="B184" s="37"/>
      <c r="C184" s="37"/>
      <c r="D184" s="37"/>
      <c r="E184" s="37"/>
      <c r="F184" s="37"/>
      <c r="G184" s="38"/>
      <c r="H184" s="38"/>
      <c r="I184" s="38"/>
      <c r="J184" s="38"/>
      <c r="K184" s="29" t="str">
        <f t="shared" ca="1" si="40"/>
        <v/>
      </c>
      <c r="L184" s="37"/>
      <c r="M184" s="13" t="str">
        <f t="shared" ca="1" si="41"/>
        <v/>
      </c>
      <c r="N184" s="13" t="str">
        <f ca="1">IF(H184="","",IF(J184&lt;&gt;"",INDEX(_ゴミ箱_Backup!$B$75:$D$75,1,MATCH(言語切替!$B$3,_ゴミ箱_Backup!$B$1:$D$1,0)),IF(TODAY()&gt;H184,INDEX(_ゴミ箱_Backup!$B$92:$D$92,1,MATCH(言語切替!$B$3,_ゴミ箱_Backup!$B$1:$D$1,0)),IF(H184-TODAY()&lt;=7,INDEX(_ゴミ箱_Backup!$B$91:$D$91,1,MATCH(言語切替!$B$3,_ゴミ箱_Backup!$B$1:$D$1,0)),INDEX(_ゴミ箱_Backup!$B$90:$D$90,1,MATCH(言語切替!$B$3,_ゴミ箱_Backup!$B$1:$D$1,0))))))</f>
        <v/>
      </c>
      <c r="O184" s="37"/>
      <c r="P184" s="39"/>
      <c r="Q184" s="61" t="str">
        <f t="shared" si="42"/>
        <v/>
      </c>
      <c r="R184" s="61" t="str">
        <f t="shared" si="43"/>
        <v/>
      </c>
      <c r="S184" s="61" t="str">
        <f t="shared" si="44"/>
        <v/>
      </c>
      <c r="T184" s="61" t="str">
        <f t="shared" si="45"/>
        <v/>
      </c>
      <c r="U184" s="61" t="str">
        <f t="shared" si="46"/>
        <v/>
      </c>
      <c r="V184" s="61" t="str">
        <f t="shared" si="47"/>
        <v/>
      </c>
    </row>
    <row r="185" spans="1:22" x14ac:dyDescent="0.25">
      <c r="A185" s="40"/>
      <c r="B185" s="41"/>
      <c r="C185" s="41"/>
      <c r="D185" s="41"/>
      <c r="E185" s="41"/>
      <c r="F185" s="41"/>
      <c r="G185" s="42"/>
      <c r="H185" s="42"/>
      <c r="I185" s="42"/>
      <c r="J185" s="42"/>
      <c r="K185" s="34" t="str">
        <f t="shared" ca="1" si="40"/>
        <v/>
      </c>
      <c r="L185" s="41"/>
      <c r="M185" s="16" t="str">
        <f t="shared" ca="1" si="41"/>
        <v/>
      </c>
      <c r="N185" s="16" t="str">
        <f ca="1">IF(H185="","",IF(J185&lt;&gt;"",INDEX(_ゴミ箱_Backup!$B$75:$D$75,1,MATCH(言語切替!$B$3,_ゴミ箱_Backup!$B$1:$D$1,0)),IF(TODAY()&gt;H185,INDEX(_ゴミ箱_Backup!$B$92:$D$92,1,MATCH(言語切替!$B$3,_ゴミ箱_Backup!$B$1:$D$1,0)),IF(H185-TODAY()&lt;=7,INDEX(_ゴミ箱_Backup!$B$91:$D$91,1,MATCH(言語切替!$B$3,_ゴミ箱_Backup!$B$1:$D$1,0)),INDEX(_ゴミ箱_Backup!$B$90:$D$90,1,MATCH(言語切替!$B$3,_ゴミ箱_Backup!$B$1:$D$1,0))))))</f>
        <v/>
      </c>
      <c r="O185" s="41"/>
      <c r="P185" s="43"/>
      <c r="Q185" s="61" t="str">
        <f t="shared" si="42"/>
        <v/>
      </c>
      <c r="R185" s="61" t="str">
        <f t="shared" si="43"/>
        <v/>
      </c>
      <c r="S185" s="61" t="str">
        <f t="shared" si="44"/>
        <v/>
      </c>
      <c r="T185" s="61" t="str">
        <f t="shared" si="45"/>
        <v/>
      </c>
      <c r="U185" s="61" t="str">
        <f t="shared" si="46"/>
        <v/>
      </c>
      <c r="V185" s="61" t="str">
        <f t="shared" si="47"/>
        <v/>
      </c>
    </row>
    <row r="186" spans="1:22" x14ac:dyDescent="0.25">
      <c r="A186" s="36"/>
      <c r="B186" s="37"/>
      <c r="C186" s="37"/>
      <c r="D186" s="37"/>
      <c r="E186" s="37"/>
      <c r="F186" s="37"/>
      <c r="G186" s="38"/>
      <c r="H186" s="38"/>
      <c r="I186" s="38"/>
      <c r="J186" s="38"/>
      <c r="K186" s="29" t="str">
        <f t="shared" ca="1" si="40"/>
        <v/>
      </c>
      <c r="L186" s="37"/>
      <c r="M186" s="13" t="str">
        <f t="shared" ca="1" si="41"/>
        <v/>
      </c>
      <c r="N186" s="13" t="str">
        <f ca="1">IF(H186="","",IF(J186&lt;&gt;"",INDEX(_ゴミ箱_Backup!$B$75:$D$75,1,MATCH(言語切替!$B$3,_ゴミ箱_Backup!$B$1:$D$1,0)),IF(TODAY()&gt;H186,INDEX(_ゴミ箱_Backup!$B$92:$D$92,1,MATCH(言語切替!$B$3,_ゴミ箱_Backup!$B$1:$D$1,0)),IF(H186-TODAY()&lt;=7,INDEX(_ゴミ箱_Backup!$B$91:$D$91,1,MATCH(言語切替!$B$3,_ゴミ箱_Backup!$B$1:$D$1,0)),INDEX(_ゴミ箱_Backup!$B$90:$D$90,1,MATCH(言語切替!$B$3,_ゴミ箱_Backup!$B$1:$D$1,0))))))</f>
        <v/>
      </c>
      <c r="O186" s="37"/>
      <c r="P186" s="39"/>
      <c r="Q186" s="61" t="str">
        <f t="shared" si="42"/>
        <v/>
      </c>
      <c r="R186" s="61" t="str">
        <f t="shared" si="43"/>
        <v/>
      </c>
      <c r="S186" s="61" t="str">
        <f t="shared" si="44"/>
        <v/>
      </c>
      <c r="T186" s="61" t="str">
        <f t="shared" si="45"/>
        <v/>
      </c>
      <c r="U186" s="61" t="str">
        <f t="shared" si="46"/>
        <v/>
      </c>
      <c r="V186" s="61" t="str">
        <f t="shared" si="47"/>
        <v/>
      </c>
    </row>
    <row r="187" spans="1:22" x14ac:dyDescent="0.25">
      <c r="A187" s="40"/>
      <c r="B187" s="41"/>
      <c r="C187" s="41"/>
      <c r="D187" s="41"/>
      <c r="E187" s="41"/>
      <c r="F187" s="41"/>
      <c r="G187" s="42"/>
      <c r="H187" s="42"/>
      <c r="I187" s="42"/>
      <c r="J187" s="42"/>
      <c r="K187" s="34" t="str">
        <f t="shared" ca="1" si="40"/>
        <v/>
      </c>
      <c r="L187" s="41"/>
      <c r="M187" s="16" t="str">
        <f t="shared" ca="1" si="41"/>
        <v/>
      </c>
      <c r="N187" s="16" t="str">
        <f ca="1">IF(H187="","",IF(J187&lt;&gt;"",INDEX(_ゴミ箱_Backup!$B$75:$D$75,1,MATCH(言語切替!$B$3,_ゴミ箱_Backup!$B$1:$D$1,0)),IF(TODAY()&gt;H187,INDEX(_ゴミ箱_Backup!$B$92:$D$92,1,MATCH(言語切替!$B$3,_ゴミ箱_Backup!$B$1:$D$1,0)),IF(H187-TODAY()&lt;=7,INDEX(_ゴミ箱_Backup!$B$91:$D$91,1,MATCH(言語切替!$B$3,_ゴミ箱_Backup!$B$1:$D$1,0)),INDEX(_ゴミ箱_Backup!$B$90:$D$90,1,MATCH(言語切替!$B$3,_ゴミ箱_Backup!$B$1:$D$1,0))))))</f>
        <v/>
      </c>
      <c r="O187" s="41"/>
      <c r="P187" s="43"/>
      <c r="Q187" s="61" t="str">
        <f t="shared" si="42"/>
        <v/>
      </c>
      <c r="R187" s="61" t="str">
        <f t="shared" si="43"/>
        <v/>
      </c>
      <c r="S187" s="61" t="str">
        <f t="shared" si="44"/>
        <v/>
      </c>
      <c r="T187" s="61" t="str">
        <f t="shared" si="45"/>
        <v/>
      </c>
      <c r="U187" s="61" t="str">
        <f t="shared" si="46"/>
        <v/>
      </c>
      <c r="V187" s="61" t="str">
        <f t="shared" si="47"/>
        <v/>
      </c>
    </row>
    <row r="188" spans="1:22" x14ac:dyDescent="0.25">
      <c r="A188" s="36"/>
      <c r="B188" s="37"/>
      <c r="C188" s="37"/>
      <c r="D188" s="37"/>
      <c r="E188" s="37"/>
      <c r="F188" s="37"/>
      <c r="G188" s="38"/>
      <c r="H188" s="38"/>
      <c r="I188" s="38"/>
      <c r="J188" s="38"/>
      <c r="K188" s="29" t="str">
        <f t="shared" ca="1" si="40"/>
        <v/>
      </c>
      <c r="L188" s="37"/>
      <c r="M188" s="13" t="str">
        <f t="shared" ca="1" si="41"/>
        <v/>
      </c>
      <c r="N188" s="13" t="str">
        <f ca="1">IF(H188="","",IF(J188&lt;&gt;"",INDEX(_ゴミ箱_Backup!$B$75:$D$75,1,MATCH(言語切替!$B$3,_ゴミ箱_Backup!$B$1:$D$1,0)),IF(TODAY()&gt;H188,INDEX(_ゴミ箱_Backup!$B$92:$D$92,1,MATCH(言語切替!$B$3,_ゴミ箱_Backup!$B$1:$D$1,0)),IF(H188-TODAY()&lt;=7,INDEX(_ゴミ箱_Backup!$B$91:$D$91,1,MATCH(言語切替!$B$3,_ゴミ箱_Backup!$B$1:$D$1,0)),INDEX(_ゴミ箱_Backup!$B$90:$D$90,1,MATCH(言語切替!$B$3,_ゴミ箱_Backup!$B$1:$D$1,0))))))</f>
        <v/>
      </c>
      <c r="O188" s="37"/>
      <c r="P188" s="39"/>
      <c r="Q188" s="61" t="str">
        <f t="shared" si="42"/>
        <v/>
      </c>
      <c r="R188" s="61" t="str">
        <f t="shared" si="43"/>
        <v/>
      </c>
      <c r="S188" s="61" t="str">
        <f t="shared" si="44"/>
        <v/>
      </c>
      <c r="T188" s="61" t="str">
        <f t="shared" si="45"/>
        <v/>
      </c>
      <c r="U188" s="61" t="str">
        <f t="shared" si="46"/>
        <v/>
      </c>
      <c r="V188" s="61" t="str">
        <f t="shared" si="47"/>
        <v/>
      </c>
    </row>
    <row r="189" spans="1:22" x14ac:dyDescent="0.25">
      <c r="A189" s="40"/>
      <c r="B189" s="41"/>
      <c r="C189" s="41"/>
      <c r="D189" s="41"/>
      <c r="E189" s="41"/>
      <c r="F189" s="41"/>
      <c r="G189" s="42"/>
      <c r="H189" s="42"/>
      <c r="I189" s="42"/>
      <c r="J189" s="42"/>
      <c r="K189" s="34" t="str">
        <f t="shared" ca="1" si="40"/>
        <v/>
      </c>
      <c r="L189" s="41"/>
      <c r="M189" s="16" t="str">
        <f t="shared" ca="1" si="41"/>
        <v/>
      </c>
      <c r="N189" s="16" t="str">
        <f ca="1">IF(H189="","",IF(J189&lt;&gt;"",INDEX(_ゴミ箱_Backup!$B$75:$D$75,1,MATCH(言語切替!$B$3,_ゴミ箱_Backup!$B$1:$D$1,0)),IF(TODAY()&gt;H189,INDEX(_ゴミ箱_Backup!$B$92:$D$92,1,MATCH(言語切替!$B$3,_ゴミ箱_Backup!$B$1:$D$1,0)),IF(H189-TODAY()&lt;=7,INDEX(_ゴミ箱_Backup!$B$91:$D$91,1,MATCH(言語切替!$B$3,_ゴミ箱_Backup!$B$1:$D$1,0)),INDEX(_ゴミ箱_Backup!$B$90:$D$90,1,MATCH(言語切替!$B$3,_ゴミ箱_Backup!$B$1:$D$1,0))))))</f>
        <v/>
      </c>
      <c r="O189" s="41"/>
      <c r="P189" s="43"/>
      <c r="Q189" s="61" t="str">
        <f t="shared" si="42"/>
        <v/>
      </c>
      <c r="R189" s="61" t="str">
        <f t="shared" si="43"/>
        <v/>
      </c>
      <c r="S189" s="61" t="str">
        <f t="shared" si="44"/>
        <v/>
      </c>
      <c r="T189" s="61" t="str">
        <f t="shared" si="45"/>
        <v/>
      </c>
      <c r="U189" s="61" t="str">
        <f t="shared" si="46"/>
        <v/>
      </c>
      <c r="V189" s="61" t="str">
        <f t="shared" si="47"/>
        <v/>
      </c>
    </row>
    <row r="190" spans="1:22" x14ac:dyDescent="0.25">
      <c r="A190" s="36"/>
      <c r="B190" s="37"/>
      <c r="C190" s="37"/>
      <c r="D190" s="37"/>
      <c r="E190" s="37"/>
      <c r="F190" s="37"/>
      <c r="G190" s="38"/>
      <c r="H190" s="38"/>
      <c r="I190" s="38"/>
      <c r="J190" s="38"/>
      <c r="K190" s="29" t="str">
        <f t="shared" ca="1" si="40"/>
        <v/>
      </c>
      <c r="L190" s="37"/>
      <c r="M190" s="13" t="str">
        <f t="shared" ca="1" si="41"/>
        <v/>
      </c>
      <c r="N190" s="13" t="str">
        <f ca="1">IF(H190="","",IF(J190&lt;&gt;"",INDEX(_ゴミ箱_Backup!$B$75:$D$75,1,MATCH(言語切替!$B$3,_ゴミ箱_Backup!$B$1:$D$1,0)),IF(TODAY()&gt;H190,INDEX(_ゴミ箱_Backup!$B$92:$D$92,1,MATCH(言語切替!$B$3,_ゴミ箱_Backup!$B$1:$D$1,0)),IF(H190-TODAY()&lt;=7,INDEX(_ゴミ箱_Backup!$B$91:$D$91,1,MATCH(言語切替!$B$3,_ゴミ箱_Backup!$B$1:$D$1,0)),INDEX(_ゴミ箱_Backup!$B$90:$D$90,1,MATCH(言語切替!$B$3,_ゴミ箱_Backup!$B$1:$D$1,0))))))</f>
        <v/>
      </c>
      <c r="O190" s="37"/>
      <c r="P190" s="39"/>
      <c r="Q190" s="61" t="str">
        <f t="shared" si="42"/>
        <v/>
      </c>
      <c r="R190" s="61" t="str">
        <f t="shared" si="43"/>
        <v/>
      </c>
      <c r="S190" s="61" t="str">
        <f t="shared" si="44"/>
        <v/>
      </c>
      <c r="T190" s="61" t="str">
        <f t="shared" si="45"/>
        <v/>
      </c>
      <c r="U190" s="61" t="str">
        <f t="shared" si="46"/>
        <v/>
      </c>
      <c r="V190" s="61" t="str">
        <f t="shared" si="47"/>
        <v/>
      </c>
    </row>
    <row r="191" spans="1:22" x14ac:dyDescent="0.25">
      <c r="A191" s="40"/>
      <c r="B191" s="41"/>
      <c r="C191" s="41"/>
      <c r="D191" s="41"/>
      <c r="E191" s="41"/>
      <c r="F191" s="41"/>
      <c r="G191" s="42"/>
      <c r="H191" s="42"/>
      <c r="I191" s="42"/>
      <c r="J191" s="42"/>
      <c r="K191" s="34" t="str">
        <f t="shared" ca="1" si="40"/>
        <v/>
      </c>
      <c r="L191" s="41"/>
      <c r="M191" s="16" t="str">
        <f t="shared" ca="1" si="41"/>
        <v/>
      </c>
      <c r="N191" s="16" t="str">
        <f ca="1">IF(H191="","",IF(J191&lt;&gt;"",INDEX(_ゴミ箱_Backup!$B$75:$D$75,1,MATCH(言語切替!$B$3,_ゴミ箱_Backup!$B$1:$D$1,0)),IF(TODAY()&gt;H191,INDEX(_ゴミ箱_Backup!$B$92:$D$92,1,MATCH(言語切替!$B$3,_ゴミ箱_Backup!$B$1:$D$1,0)),IF(H191-TODAY()&lt;=7,INDEX(_ゴミ箱_Backup!$B$91:$D$91,1,MATCH(言語切替!$B$3,_ゴミ箱_Backup!$B$1:$D$1,0)),INDEX(_ゴミ箱_Backup!$B$90:$D$90,1,MATCH(言語切替!$B$3,_ゴミ箱_Backup!$B$1:$D$1,0))))))</f>
        <v/>
      </c>
      <c r="O191" s="41"/>
      <c r="P191" s="43"/>
      <c r="Q191" s="61" t="str">
        <f t="shared" si="42"/>
        <v/>
      </c>
      <c r="R191" s="61" t="str">
        <f t="shared" si="43"/>
        <v/>
      </c>
      <c r="S191" s="61" t="str">
        <f t="shared" si="44"/>
        <v/>
      </c>
      <c r="T191" s="61" t="str">
        <f t="shared" si="45"/>
        <v/>
      </c>
      <c r="U191" s="61" t="str">
        <f t="shared" si="46"/>
        <v/>
      </c>
      <c r="V191" s="61" t="str">
        <f t="shared" si="47"/>
        <v/>
      </c>
    </row>
    <row r="192" spans="1:22" x14ac:dyDescent="0.25">
      <c r="A192" s="36"/>
      <c r="B192" s="37"/>
      <c r="C192" s="37"/>
      <c r="D192" s="37"/>
      <c r="E192" s="37"/>
      <c r="F192" s="37"/>
      <c r="G192" s="38"/>
      <c r="H192" s="38"/>
      <c r="I192" s="38"/>
      <c r="J192" s="38"/>
      <c r="K192" s="29" t="str">
        <f t="shared" ca="1" si="40"/>
        <v/>
      </c>
      <c r="L192" s="37"/>
      <c r="M192" s="13" t="str">
        <f t="shared" ca="1" si="41"/>
        <v/>
      </c>
      <c r="N192" s="13" t="str">
        <f ca="1">IF(H192="","",IF(J192&lt;&gt;"",INDEX(_ゴミ箱_Backup!$B$75:$D$75,1,MATCH(言語切替!$B$3,_ゴミ箱_Backup!$B$1:$D$1,0)),IF(TODAY()&gt;H192,INDEX(_ゴミ箱_Backup!$B$92:$D$92,1,MATCH(言語切替!$B$3,_ゴミ箱_Backup!$B$1:$D$1,0)),IF(H192-TODAY()&lt;=7,INDEX(_ゴミ箱_Backup!$B$91:$D$91,1,MATCH(言語切替!$B$3,_ゴミ箱_Backup!$B$1:$D$1,0)),INDEX(_ゴミ箱_Backup!$B$90:$D$90,1,MATCH(言語切替!$B$3,_ゴミ箱_Backup!$B$1:$D$1,0))))))</f>
        <v/>
      </c>
      <c r="O192" s="37"/>
      <c r="P192" s="39"/>
      <c r="Q192" s="61" t="str">
        <f t="shared" si="42"/>
        <v/>
      </c>
      <c r="R192" s="61" t="str">
        <f t="shared" si="43"/>
        <v/>
      </c>
      <c r="S192" s="61" t="str">
        <f t="shared" si="44"/>
        <v/>
      </c>
      <c r="T192" s="61" t="str">
        <f t="shared" si="45"/>
        <v/>
      </c>
      <c r="U192" s="61" t="str">
        <f t="shared" si="46"/>
        <v/>
      </c>
      <c r="V192" s="61" t="str">
        <f t="shared" si="47"/>
        <v/>
      </c>
    </row>
    <row r="193" spans="1:22" x14ac:dyDescent="0.25">
      <c r="A193" s="40"/>
      <c r="B193" s="41"/>
      <c r="C193" s="41"/>
      <c r="D193" s="41"/>
      <c r="E193" s="41"/>
      <c r="F193" s="41"/>
      <c r="G193" s="42"/>
      <c r="H193" s="42"/>
      <c r="I193" s="42"/>
      <c r="J193" s="42"/>
      <c r="K193" s="34" t="str">
        <f t="shared" ca="1" si="40"/>
        <v/>
      </c>
      <c r="L193" s="41"/>
      <c r="M193" s="16" t="str">
        <f t="shared" ca="1" si="41"/>
        <v/>
      </c>
      <c r="N193" s="16" t="str">
        <f ca="1">IF(H193="","",IF(J193&lt;&gt;"",INDEX(_ゴミ箱_Backup!$B$75:$D$75,1,MATCH(言語切替!$B$3,_ゴミ箱_Backup!$B$1:$D$1,0)),IF(TODAY()&gt;H193,INDEX(_ゴミ箱_Backup!$B$92:$D$92,1,MATCH(言語切替!$B$3,_ゴミ箱_Backup!$B$1:$D$1,0)),IF(H193-TODAY()&lt;=7,INDEX(_ゴミ箱_Backup!$B$91:$D$91,1,MATCH(言語切替!$B$3,_ゴミ箱_Backup!$B$1:$D$1,0)),INDEX(_ゴミ箱_Backup!$B$90:$D$90,1,MATCH(言語切替!$B$3,_ゴミ箱_Backup!$B$1:$D$1,0))))))</f>
        <v/>
      </c>
      <c r="O193" s="41"/>
      <c r="P193" s="43"/>
      <c r="Q193" s="61" t="str">
        <f t="shared" si="42"/>
        <v/>
      </c>
      <c r="R193" s="61" t="str">
        <f t="shared" si="43"/>
        <v/>
      </c>
      <c r="S193" s="61" t="str">
        <f t="shared" si="44"/>
        <v/>
      </c>
      <c r="T193" s="61" t="str">
        <f t="shared" si="45"/>
        <v/>
      </c>
      <c r="U193" s="61" t="str">
        <f t="shared" si="46"/>
        <v/>
      </c>
      <c r="V193" s="61" t="str">
        <f t="shared" si="47"/>
        <v/>
      </c>
    </row>
    <row r="194" spans="1:22" x14ac:dyDescent="0.25">
      <c r="A194" s="36"/>
      <c r="B194" s="37"/>
      <c r="C194" s="37"/>
      <c r="D194" s="37"/>
      <c r="E194" s="37"/>
      <c r="F194" s="37"/>
      <c r="G194" s="38"/>
      <c r="H194" s="38"/>
      <c r="I194" s="38"/>
      <c r="J194" s="38"/>
      <c r="K194" s="29" t="str">
        <f t="shared" ca="1" si="40"/>
        <v/>
      </c>
      <c r="L194" s="37"/>
      <c r="M194" s="13" t="str">
        <f t="shared" ca="1" si="41"/>
        <v/>
      </c>
      <c r="N194" s="13" t="str">
        <f ca="1">IF(H194="","",IF(J194&lt;&gt;"",INDEX(_ゴミ箱_Backup!$B$75:$D$75,1,MATCH(言語切替!$B$3,_ゴミ箱_Backup!$B$1:$D$1,0)),IF(TODAY()&gt;H194,INDEX(_ゴミ箱_Backup!$B$92:$D$92,1,MATCH(言語切替!$B$3,_ゴミ箱_Backup!$B$1:$D$1,0)),IF(H194-TODAY()&lt;=7,INDEX(_ゴミ箱_Backup!$B$91:$D$91,1,MATCH(言語切替!$B$3,_ゴミ箱_Backup!$B$1:$D$1,0)),INDEX(_ゴミ箱_Backup!$B$90:$D$90,1,MATCH(言語切替!$B$3,_ゴミ箱_Backup!$B$1:$D$1,0))))))</f>
        <v/>
      </c>
      <c r="O194" s="37"/>
      <c r="P194" s="39"/>
      <c r="Q194" s="61" t="str">
        <f t="shared" si="42"/>
        <v/>
      </c>
      <c r="R194" s="61" t="str">
        <f t="shared" si="43"/>
        <v/>
      </c>
      <c r="S194" s="61" t="str">
        <f t="shared" si="44"/>
        <v/>
      </c>
      <c r="T194" s="61" t="str">
        <f t="shared" si="45"/>
        <v/>
      </c>
      <c r="U194" s="61" t="str">
        <f t="shared" si="46"/>
        <v/>
      </c>
      <c r="V194" s="61" t="str">
        <f t="shared" si="47"/>
        <v/>
      </c>
    </row>
    <row r="195" spans="1:22" x14ac:dyDescent="0.25">
      <c r="A195" s="40"/>
      <c r="B195" s="41"/>
      <c r="C195" s="41"/>
      <c r="D195" s="41"/>
      <c r="E195" s="41"/>
      <c r="F195" s="41"/>
      <c r="G195" s="42"/>
      <c r="H195" s="42"/>
      <c r="I195" s="42"/>
      <c r="J195" s="42"/>
      <c r="K195" s="34" t="str">
        <f t="shared" ca="1" si="40"/>
        <v/>
      </c>
      <c r="L195" s="41"/>
      <c r="M195" s="16" t="str">
        <f t="shared" ca="1" si="41"/>
        <v/>
      </c>
      <c r="N195" s="16" t="str">
        <f ca="1">IF(H195="","",IF(J195&lt;&gt;"",INDEX(_ゴミ箱_Backup!$B$75:$D$75,1,MATCH(言語切替!$B$3,_ゴミ箱_Backup!$B$1:$D$1,0)),IF(TODAY()&gt;H195,INDEX(_ゴミ箱_Backup!$B$92:$D$92,1,MATCH(言語切替!$B$3,_ゴミ箱_Backup!$B$1:$D$1,0)),IF(H195-TODAY()&lt;=7,INDEX(_ゴミ箱_Backup!$B$91:$D$91,1,MATCH(言語切替!$B$3,_ゴミ箱_Backup!$B$1:$D$1,0)),INDEX(_ゴミ箱_Backup!$B$90:$D$90,1,MATCH(言語切替!$B$3,_ゴミ箱_Backup!$B$1:$D$1,0))))))</f>
        <v/>
      </c>
      <c r="O195" s="41"/>
      <c r="P195" s="43"/>
      <c r="Q195" s="61" t="str">
        <f t="shared" si="42"/>
        <v/>
      </c>
      <c r="R195" s="61" t="str">
        <f t="shared" si="43"/>
        <v/>
      </c>
      <c r="S195" s="61" t="str">
        <f t="shared" si="44"/>
        <v/>
      </c>
      <c r="T195" s="61" t="str">
        <f t="shared" si="45"/>
        <v/>
      </c>
      <c r="U195" s="61" t="str">
        <f t="shared" si="46"/>
        <v/>
      </c>
      <c r="V195" s="61" t="str">
        <f t="shared" si="47"/>
        <v/>
      </c>
    </row>
    <row r="196" spans="1:22" x14ac:dyDescent="0.25">
      <c r="A196" s="36"/>
      <c r="B196" s="37"/>
      <c r="C196" s="37"/>
      <c r="D196" s="37"/>
      <c r="E196" s="37"/>
      <c r="F196" s="37"/>
      <c r="G196" s="38"/>
      <c r="H196" s="38"/>
      <c r="I196" s="38"/>
      <c r="J196" s="38"/>
      <c r="K196" s="29" t="str">
        <f t="shared" ca="1" si="40"/>
        <v/>
      </c>
      <c r="L196" s="37"/>
      <c r="M196" s="13" t="str">
        <f t="shared" ca="1" si="41"/>
        <v/>
      </c>
      <c r="N196" s="13" t="str">
        <f ca="1">IF(H196="","",IF(J196&lt;&gt;"",INDEX(_ゴミ箱_Backup!$B$75:$D$75,1,MATCH(言語切替!$B$3,_ゴミ箱_Backup!$B$1:$D$1,0)),IF(TODAY()&gt;H196,INDEX(_ゴミ箱_Backup!$B$92:$D$92,1,MATCH(言語切替!$B$3,_ゴミ箱_Backup!$B$1:$D$1,0)),IF(H196-TODAY()&lt;=7,INDEX(_ゴミ箱_Backup!$B$91:$D$91,1,MATCH(言語切替!$B$3,_ゴミ箱_Backup!$B$1:$D$1,0)),INDEX(_ゴミ箱_Backup!$B$90:$D$90,1,MATCH(言語切替!$B$3,_ゴミ箱_Backup!$B$1:$D$1,0))))))</f>
        <v/>
      </c>
      <c r="O196" s="37"/>
      <c r="P196" s="39"/>
      <c r="Q196" s="61" t="str">
        <f t="shared" si="42"/>
        <v/>
      </c>
      <c r="R196" s="61" t="str">
        <f t="shared" si="43"/>
        <v/>
      </c>
      <c r="S196" s="61" t="str">
        <f t="shared" si="44"/>
        <v/>
      </c>
      <c r="T196" s="61" t="str">
        <f t="shared" si="45"/>
        <v/>
      </c>
      <c r="U196" s="61" t="str">
        <f t="shared" si="46"/>
        <v/>
      </c>
      <c r="V196" s="61" t="str">
        <f t="shared" si="47"/>
        <v/>
      </c>
    </row>
    <row r="197" spans="1:22" x14ac:dyDescent="0.25">
      <c r="A197" s="40"/>
      <c r="B197" s="41"/>
      <c r="C197" s="41"/>
      <c r="D197" s="41"/>
      <c r="E197" s="41"/>
      <c r="F197" s="41"/>
      <c r="G197" s="42"/>
      <c r="H197" s="42"/>
      <c r="I197" s="42"/>
      <c r="J197" s="42"/>
      <c r="K197" s="34" t="str">
        <f t="shared" ref="K197:K204" ca="1" si="48">IF(OR(G197="",H197=""),"",IF(J197&lt;&gt;"",1,IF(I197="",0,MAX(0,MIN(1,(TODAY()-G197)/(H197-G197+1))))))</f>
        <v/>
      </c>
      <c r="L197" s="41"/>
      <c r="M197" s="16" t="str">
        <f t="shared" ref="M197:M204" ca="1" si="49">IF(H197="","",H197-TODAY())</f>
        <v/>
      </c>
      <c r="N197" s="16" t="str">
        <f ca="1">IF(H197="","",IF(J197&lt;&gt;"",INDEX(_ゴミ箱_Backup!$B$75:$D$75,1,MATCH(言語切替!$B$3,_ゴミ箱_Backup!$B$1:$D$1,0)),IF(TODAY()&gt;H197,INDEX(_ゴミ箱_Backup!$B$92:$D$92,1,MATCH(言語切替!$B$3,_ゴミ箱_Backup!$B$1:$D$1,0)),IF(H197-TODAY()&lt;=7,INDEX(_ゴミ箱_Backup!$B$91:$D$91,1,MATCH(言語切替!$B$3,_ゴミ箱_Backup!$B$1:$D$1,0)),INDEX(_ゴミ箱_Backup!$B$90:$D$90,1,MATCH(言語切替!$B$3,_ゴミ箱_Backup!$B$1:$D$1,0))))))</f>
        <v/>
      </c>
      <c r="O197" s="41"/>
      <c r="P197" s="43"/>
      <c r="Q197" s="61" t="str">
        <f t="shared" ref="Q197:Q204" si="50">IF(E197="","",IFERROR(_xlfn.TRANSLATE(E197,,"ja"),""))</f>
        <v/>
      </c>
      <c r="R197" s="61" t="str">
        <f t="shared" ref="R197:R204" si="51">IF(E197="","",IFERROR(_xlfn.TRANSLATE(E197,,"zh-Hans"),""))</f>
        <v/>
      </c>
      <c r="S197" s="61" t="str">
        <f t="shared" ref="S197:S204" si="52">IF(E197="","",IFERROR(_xlfn.TRANSLATE(E197,,"vi"),""))</f>
        <v/>
      </c>
      <c r="T197" s="61" t="str">
        <f t="shared" ref="T197:T204" si="53">IF(P197="","",IFERROR(_xlfn.TRANSLATE(P197,,"ja"),""))</f>
        <v/>
      </c>
      <c r="U197" s="61" t="str">
        <f t="shared" ref="U197:U204" si="54">IF(P197="","",IFERROR(_xlfn.TRANSLATE(P197,,"zh-Hans"),""))</f>
        <v/>
      </c>
      <c r="V197" s="61" t="str">
        <f t="shared" ref="V197:V204" si="55">IF(P197="","",IFERROR(_xlfn.TRANSLATE(P197,,"vi"),""))</f>
        <v/>
      </c>
    </row>
    <row r="198" spans="1:22" x14ac:dyDescent="0.25">
      <c r="A198" s="36"/>
      <c r="B198" s="37"/>
      <c r="C198" s="37"/>
      <c r="D198" s="37"/>
      <c r="E198" s="37"/>
      <c r="F198" s="37"/>
      <c r="G198" s="38"/>
      <c r="H198" s="38"/>
      <c r="I198" s="38"/>
      <c r="J198" s="38"/>
      <c r="K198" s="29" t="str">
        <f t="shared" ca="1" si="48"/>
        <v/>
      </c>
      <c r="L198" s="37"/>
      <c r="M198" s="13" t="str">
        <f t="shared" ca="1" si="49"/>
        <v/>
      </c>
      <c r="N198" s="13" t="str">
        <f ca="1">IF(H198="","",IF(J198&lt;&gt;"",INDEX(_ゴミ箱_Backup!$B$75:$D$75,1,MATCH(言語切替!$B$3,_ゴミ箱_Backup!$B$1:$D$1,0)),IF(TODAY()&gt;H198,INDEX(_ゴミ箱_Backup!$B$92:$D$92,1,MATCH(言語切替!$B$3,_ゴミ箱_Backup!$B$1:$D$1,0)),IF(H198-TODAY()&lt;=7,INDEX(_ゴミ箱_Backup!$B$91:$D$91,1,MATCH(言語切替!$B$3,_ゴミ箱_Backup!$B$1:$D$1,0)),INDEX(_ゴミ箱_Backup!$B$90:$D$90,1,MATCH(言語切替!$B$3,_ゴミ箱_Backup!$B$1:$D$1,0))))))</f>
        <v/>
      </c>
      <c r="O198" s="37"/>
      <c r="P198" s="39"/>
      <c r="Q198" s="61" t="str">
        <f t="shared" si="50"/>
        <v/>
      </c>
      <c r="R198" s="61" t="str">
        <f t="shared" si="51"/>
        <v/>
      </c>
      <c r="S198" s="61" t="str">
        <f t="shared" si="52"/>
        <v/>
      </c>
      <c r="T198" s="61" t="str">
        <f t="shared" si="53"/>
        <v/>
      </c>
      <c r="U198" s="61" t="str">
        <f t="shared" si="54"/>
        <v/>
      </c>
      <c r="V198" s="61" t="str">
        <f t="shared" si="55"/>
        <v/>
      </c>
    </row>
    <row r="199" spans="1:22" x14ac:dyDescent="0.25">
      <c r="A199" s="40"/>
      <c r="B199" s="41"/>
      <c r="C199" s="41"/>
      <c r="D199" s="41"/>
      <c r="E199" s="41"/>
      <c r="F199" s="41"/>
      <c r="G199" s="42"/>
      <c r="H199" s="42"/>
      <c r="I199" s="42"/>
      <c r="J199" s="42"/>
      <c r="K199" s="34" t="str">
        <f t="shared" ca="1" si="48"/>
        <v/>
      </c>
      <c r="L199" s="41"/>
      <c r="M199" s="16" t="str">
        <f t="shared" ca="1" si="49"/>
        <v/>
      </c>
      <c r="N199" s="16" t="str">
        <f ca="1">IF(H199="","",IF(J199&lt;&gt;"",INDEX(_ゴミ箱_Backup!$B$75:$D$75,1,MATCH(言語切替!$B$3,_ゴミ箱_Backup!$B$1:$D$1,0)),IF(TODAY()&gt;H199,INDEX(_ゴミ箱_Backup!$B$92:$D$92,1,MATCH(言語切替!$B$3,_ゴミ箱_Backup!$B$1:$D$1,0)),IF(H199-TODAY()&lt;=7,INDEX(_ゴミ箱_Backup!$B$91:$D$91,1,MATCH(言語切替!$B$3,_ゴミ箱_Backup!$B$1:$D$1,0)),INDEX(_ゴミ箱_Backup!$B$90:$D$90,1,MATCH(言語切替!$B$3,_ゴミ箱_Backup!$B$1:$D$1,0))))))</f>
        <v/>
      </c>
      <c r="O199" s="41"/>
      <c r="P199" s="43"/>
      <c r="Q199" s="61" t="str">
        <f t="shared" si="50"/>
        <v/>
      </c>
      <c r="R199" s="61" t="str">
        <f t="shared" si="51"/>
        <v/>
      </c>
      <c r="S199" s="61" t="str">
        <f t="shared" si="52"/>
        <v/>
      </c>
      <c r="T199" s="61" t="str">
        <f t="shared" si="53"/>
        <v/>
      </c>
      <c r="U199" s="61" t="str">
        <f t="shared" si="54"/>
        <v/>
      </c>
      <c r="V199" s="61" t="str">
        <f t="shared" si="55"/>
        <v/>
      </c>
    </row>
    <row r="200" spans="1:22" x14ac:dyDescent="0.25">
      <c r="A200" s="36"/>
      <c r="B200" s="37"/>
      <c r="C200" s="37"/>
      <c r="D200" s="37"/>
      <c r="E200" s="37"/>
      <c r="F200" s="37"/>
      <c r="G200" s="38"/>
      <c r="H200" s="38"/>
      <c r="I200" s="38"/>
      <c r="J200" s="38"/>
      <c r="K200" s="29" t="str">
        <f t="shared" ca="1" si="48"/>
        <v/>
      </c>
      <c r="L200" s="37"/>
      <c r="M200" s="13" t="str">
        <f t="shared" ca="1" si="49"/>
        <v/>
      </c>
      <c r="N200" s="13" t="str">
        <f ca="1">IF(H200="","",IF(J200&lt;&gt;"",INDEX(_ゴミ箱_Backup!$B$75:$D$75,1,MATCH(言語切替!$B$3,_ゴミ箱_Backup!$B$1:$D$1,0)),IF(TODAY()&gt;H200,INDEX(_ゴミ箱_Backup!$B$92:$D$92,1,MATCH(言語切替!$B$3,_ゴミ箱_Backup!$B$1:$D$1,0)),IF(H200-TODAY()&lt;=7,INDEX(_ゴミ箱_Backup!$B$91:$D$91,1,MATCH(言語切替!$B$3,_ゴミ箱_Backup!$B$1:$D$1,0)),INDEX(_ゴミ箱_Backup!$B$90:$D$90,1,MATCH(言語切替!$B$3,_ゴミ箱_Backup!$B$1:$D$1,0))))))</f>
        <v/>
      </c>
      <c r="O200" s="37"/>
      <c r="P200" s="39"/>
      <c r="Q200" s="61" t="str">
        <f t="shared" si="50"/>
        <v/>
      </c>
      <c r="R200" s="61" t="str">
        <f t="shared" si="51"/>
        <v/>
      </c>
      <c r="S200" s="61" t="str">
        <f t="shared" si="52"/>
        <v/>
      </c>
      <c r="T200" s="61" t="str">
        <f t="shared" si="53"/>
        <v/>
      </c>
      <c r="U200" s="61" t="str">
        <f t="shared" si="54"/>
        <v/>
      </c>
      <c r="V200" s="61" t="str">
        <f t="shared" si="55"/>
        <v/>
      </c>
    </row>
    <row r="201" spans="1:22" x14ac:dyDescent="0.25">
      <c r="A201" s="40"/>
      <c r="B201" s="41"/>
      <c r="C201" s="41"/>
      <c r="D201" s="41"/>
      <c r="E201" s="41"/>
      <c r="F201" s="41"/>
      <c r="G201" s="42"/>
      <c r="H201" s="42"/>
      <c r="I201" s="42"/>
      <c r="J201" s="42"/>
      <c r="K201" s="34" t="str">
        <f t="shared" ca="1" si="48"/>
        <v/>
      </c>
      <c r="L201" s="41"/>
      <c r="M201" s="16" t="str">
        <f t="shared" ca="1" si="49"/>
        <v/>
      </c>
      <c r="N201" s="16" t="str">
        <f ca="1">IF(H201="","",IF(J201&lt;&gt;"",INDEX(_ゴミ箱_Backup!$B$75:$D$75,1,MATCH(言語切替!$B$3,_ゴミ箱_Backup!$B$1:$D$1,0)),IF(TODAY()&gt;H201,INDEX(_ゴミ箱_Backup!$B$92:$D$92,1,MATCH(言語切替!$B$3,_ゴミ箱_Backup!$B$1:$D$1,0)),IF(H201-TODAY()&lt;=7,INDEX(_ゴミ箱_Backup!$B$91:$D$91,1,MATCH(言語切替!$B$3,_ゴミ箱_Backup!$B$1:$D$1,0)),INDEX(_ゴミ箱_Backup!$B$90:$D$90,1,MATCH(言語切替!$B$3,_ゴミ箱_Backup!$B$1:$D$1,0))))))</f>
        <v/>
      </c>
      <c r="O201" s="41"/>
      <c r="P201" s="43"/>
      <c r="Q201" s="61" t="str">
        <f t="shared" si="50"/>
        <v/>
      </c>
      <c r="R201" s="61" t="str">
        <f t="shared" si="51"/>
        <v/>
      </c>
      <c r="S201" s="61" t="str">
        <f t="shared" si="52"/>
        <v/>
      </c>
      <c r="T201" s="61" t="str">
        <f t="shared" si="53"/>
        <v/>
      </c>
      <c r="U201" s="61" t="str">
        <f t="shared" si="54"/>
        <v/>
      </c>
      <c r="V201" s="61" t="str">
        <f t="shared" si="55"/>
        <v/>
      </c>
    </row>
    <row r="202" spans="1:22" x14ac:dyDescent="0.25">
      <c r="A202" s="36"/>
      <c r="B202" s="37"/>
      <c r="C202" s="37"/>
      <c r="D202" s="37"/>
      <c r="E202" s="37"/>
      <c r="F202" s="37"/>
      <c r="G202" s="38"/>
      <c r="H202" s="38"/>
      <c r="I202" s="38"/>
      <c r="J202" s="38"/>
      <c r="K202" s="29" t="str">
        <f t="shared" ca="1" si="48"/>
        <v/>
      </c>
      <c r="L202" s="37"/>
      <c r="M202" s="13" t="str">
        <f t="shared" ca="1" si="49"/>
        <v/>
      </c>
      <c r="N202" s="13" t="str">
        <f ca="1">IF(H202="","",IF(J202&lt;&gt;"",INDEX(_ゴミ箱_Backup!$B$75:$D$75,1,MATCH(言語切替!$B$3,_ゴミ箱_Backup!$B$1:$D$1,0)),IF(TODAY()&gt;H202,INDEX(_ゴミ箱_Backup!$B$92:$D$92,1,MATCH(言語切替!$B$3,_ゴミ箱_Backup!$B$1:$D$1,0)),IF(H202-TODAY()&lt;=7,INDEX(_ゴミ箱_Backup!$B$91:$D$91,1,MATCH(言語切替!$B$3,_ゴミ箱_Backup!$B$1:$D$1,0)),INDEX(_ゴミ箱_Backup!$B$90:$D$90,1,MATCH(言語切替!$B$3,_ゴミ箱_Backup!$B$1:$D$1,0))))))</f>
        <v/>
      </c>
      <c r="O202" s="37"/>
      <c r="P202" s="39"/>
      <c r="Q202" s="61" t="str">
        <f t="shared" si="50"/>
        <v/>
      </c>
      <c r="R202" s="61" t="str">
        <f t="shared" si="51"/>
        <v/>
      </c>
      <c r="S202" s="61" t="str">
        <f t="shared" si="52"/>
        <v/>
      </c>
      <c r="T202" s="61" t="str">
        <f t="shared" si="53"/>
        <v/>
      </c>
      <c r="U202" s="61" t="str">
        <f t="shared" si="54"/>
        <v/>
      </c>
      <c r="V202" s="61" t="str">
        <f t="shared" si="55"/>
        <v/>
      </c>
    </row>
    <row r="203" spans="1:22" x14ac:dyDescent="0.25">
      <c r="A203" s="40"/>
      <c r="B203" s="41"/>
      <c r="C203" s="41"/>
      <c r="D203" s="41"/>
      <c r="E203" s="41"/>
      <c r="F203" s="41"/>
      <c r="G203" s="42"/>
      <c r="H203" s="42"/>
      <c r="I203" s="42"/>
      <c r="J203" s="42"/>
      <c r="K203" s="34" t="str">
        <f t="shared" ca="1" si="48"/>
        <v/>
      </c>
      <c r="L203" s="41"/>
      <c r="M203" s="16" t="str">
        <f t="shared" ca="1" si="49"/>
        <v/>
      </c>
      <c r="N203" s="16" t="str">
        <f ca="1">IF(H203="","",IF(J203&lt;&gt;"",INDEX(_ゴミ箱_Backup!$B$75:$D$75,1,MATCH(言語切替!$B$3,_ゴミ箱_Backup!$B$1:$D$1,0)),IF(TODAY()&gt;H203,INDEX(_ゴミ箱_Backup!$B$92:$D$92,1,MATCH(言語切替!$B$3,_ゴミ箱_Backup!$B$1:$D$1,0)),IF(H203-TODAY()&lt;=7,INDEX(_ゴミ箱_Backup!$B$91:$D$91,1,MATCH(言語切替!$B$3,_ゴミ箱_Backup!$B$1:$D$1,0)),INDEX(_ゴミ箱_Backup!$B$90:$D$90,1,MATCH(言語切替!$B$3,_ゴミ箱_Backup!$B$1:$D$1,0))))))</f>
        <v/>
      </c>
      <c r="O203" s="41"/>
      <c r="P203" s="43"/>
      <c r="Q203" s="61" t="str">
        <f t="shared" si="50"/>
        <v/>
      </c>
      <c r="R203" s="61" t="str">
        <f t="shared" si="51"/>
        <v/>
      </c>
      <c r="S203" s="61" t="str">
        <f t="shared" si="52"/>
        <v/>
      </c>
      <c r="T203" s="61" t="str">
        <f t="shared" si="53"/>
        <v/>
      </c>
      <c r="U203" s="61" t="str">
        <f t="shared" si="54"/>
        <v/>
      </c>
      <c r="V203" s="61" t="str">
        <f t="shared" si="55"/>
        <v/>
      </c>
    </row>
    <row r="204" spans="1:22" x14ac:dyDescent="0.25">
      <c r="A204" s="44"/>
      <c r="B204" s="45"/>
      <c r="C204" s="45"/>
      <c r="D204" s="45"/>
      <c r="E204" s="45"/>
      <c r="F204" s="45"/>
      <c r="G204" s="46"/>
      <c r="H204" s="46"/>
      <c r="I204" s="46"/>
      <c r="J204" s="46"/>
      <c r="K204" s="47" t="str">
        <f t="shared" ca="1" si="48"/>
        <v/>
      </c>
      <c r="L204" s="45"/>
      <c r="M204" s="19" t="str">
        <f t="shared" ca="1" si="49"/>
        <v/>
      </c>
      <c r="N204" s="19" t="str">
        <f ca="1">IF(H204="","",IF(J204&lt;&gt;"",INDEX(_ゴミ箱_Backup!$B$75:$D$75,1,MATCH(言語切替!$B$3,_ゴミ箱_Backup!$B$1:$D$1,0)),IF(TODAY()&gt;H204,INDEX(_ゴミ箱_Backup!$B$92:$D$92,1,MATCH(言語切替!$B$3,_ゴミ箱_Backup!$B$1:$D$1,0)),IF(H204-TODAY()&lt;=7,INDEX(_ゴミ箱_Backup!$B$91:$D$91,1,MATCH(言語切替!$B$3,_ゴミ箱_Backup!$B$1:$D$1,0)),INDEX(_ゴミ箱_Backup!$B$90:$D$90,1,MATCH(言語切替!$B$3,_ゴミ箱_Backup!$B$1:$D$1,0))))))</f>
        <v/>
      </c>
      <c r="O204" s="45"/>
      <c r="P204" s="48"/>
      <c r="Q204" s="61" t="str">
        <f t="shared" si="50"/>
        <v/>
      </c>
      <c r="R204" s="61" t="str">
        <f t="shared" si="51"/>
        <v/>
      </c>
      <c r="S204" s="61" t="str">
        <f t="shared" si="52"/>
        <v/>
      </c>
      <c r="T204" s="61" t="str">
        <f t="shared" si="53"/>
        <v/>
      </c>
      <c r="U204" s="61" t="str">
        <f t="shared" si="54"/>
        <v/>
      </c>
      <c r="V204" s="61" t="str">
        <f t="shared" si="55"/>
        <v/>
      </c>
    </row>
  </sheetData>
  <autoFilter ref="A4:P204" xr:uid="{00000000-0001-0000-0300-000000000000}"/>
  <mergeCells count="2">
    <mergeCell ref="A2:N2"/>
    <mergeCell ref="A1:N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'02_マスタ'!$A$5:$A$14</xm:f>
          </x14:formula1>
          <xm:sqref>B5:B204</xm:sqref>
        </x14:dataValidation>
        <x14:dataValidation type="list" allowBlank="1" xr:uid="{00000000-0002-0000-0300-000001000000}">
          <x14:formula1>
            <xm:f>'02_マスタ'!$C$5:$C$8</xm:f>
          </x14:formula1>
          <xm:sqref>C5:C204</xm:sqref>
        </x14:dataValidation>
        <x14:dataValidation type="list" allowBlank="1" xr:uid="{00000000-0002-0000-0300-000002000000}">
          <x14:formula1>
            <xm:f>'02_マスタ'!$E$5:$E$12</xm:f>
          </x14:formula1>
          <xm:sqref>L5:L204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304"/>
  <sheetViews>
    <sheetView showGridLines="0" zoomScale="85" workbookViewId="0">
      <pane ySplit="4" topLeftCell="A5" activePane="bottomLeft" state="frozen"/>
      <selection sqref="A1:XFD1048576"/>
      <selection pane="bottomLeft" activeCell="E8" sqref="E8"/>
    </sheetView>
  </sheetViews>
  <sheetFormatPr defaultColWidth="8.75" defaultRowHeight="15.75" x14ac:dyDescent="0.25"/>
  <cols>
    <col min="1" max="1" width="11" style="1" customWidth="1"/>
    <col min="2" max="2" width="12" style="1" customWidth="1"/>
    <col min="3" max="3" width="20" style="1" customWidth="1"/>
    <col min="4" max="4" width="12" style="1" customWidth="1"/>
    <col min="5" max="5" width="30" style="1" customWidth="1"/>
    <col min="6" max="7" width="34" style="1" customWidth="1"/>
    <col min="8" max="9" width="18" style="1" customWidth="1"/>
    <col min="10" max="11" width="12" style="1" customWidth="1"/>
    <col min="12" max="12" width="11" style="1" customWidth="1"/>
    <col min="13" max="13" width="15" style="1" customWidth="1"/>
    <col min="14" max="15" width="24" style="1" customWidth="1"/>
    <col min="16" max="16" width="36" style="1" customWidth="1"/>
    <col min="17" max="17" width="28" style="1" customWidth="1"/>
    <col min="18" max="18" width="10" style="1" customWidth="1"/>
    <col min="19" max="19" width="13" style="1" customWidth="1"/>
    <col min="20" max="20" width="12" style="1" customWidth="1"/>
    <col min="21" max="35" width="28.625" style="1" customWidth="1"/>
    <col min="36" max="16384" width="8.75" style="1"/>
  </cols>
  <sheetData>
    <row r="1" spans="1:35" ht="27.95" customHeight="1" x14ac:dyDescent="0.25">
      <c r="A1" s="71" t="e">
        <f>INDEX(_ゴミ箱_Backup!$B$117:$D$247,MATCH("ISSUE_TITLE",_ゴミ箱_Backup!$A$117:$A$247,0),MATCH(言語切替!$B$3,_ゴミ箱_Backup!$B$1:$D$1,0))</f>
        <v>#N/A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35" ht="27.95" customHeight="1" x14ac:dyDescent="0.25">
      <c r="A2" s="72" t="e">
        <f>INDEX(_ゴミ箱_Backup!$B$117:$D$247,MATCH("ISSUE_DESC",_ゴミ箱_Backup!$A$117:$A$247,0),MATCH(言語切替!$B$3,_ゴミ箱_Backup!$B$1:$D$1,0))</f>
        <v>#N/A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35" x14ac:dyDescent="0.25">
      <c r="A3" s="1" t="e">
        <f>INDEX([1]_翻訳マスタ!$B$2:$D$300,MATCH("PARA_HOWTO",[1]_翻訳マスタ!$A$2:$A$300,0),MATCH(言語切替!$B$3,[1]_翻訳マスタ!$B$1:$D$1,0))</f>
        <v>#N/A</v>
      </c>
    </row>
    <row r="4" spans="1:35" x14ac:dyDescent="0.25">
      <c r="A4" s="6" t="e">
        <f>INDEX(_ゴミ箱_Backup!$B$117:$D$247,MATCH("ISSUE_COL_ID",_ゴミ箱_Backup!$A$117:$A$247,0),MATCH(言語切替!$B$3,_ゴミ箱_Backup!$B$1:$D$1,0))</f>
        <v>#N/A</v>
      </c>
      <c r="B4" s="7" t="e">
        <f>INDEX(_ゴミ箱_Backup!$B$117:$D$247,MATCH("ISSUE_COL_TYPE",_ゴミ箱_Backup!$A$117:$A$247,0),MATCH(言語切替!$B$3,_ゴミ箱_Backup!$B$1:$D$1,0))</f>
        <v>#N/A</v>
      </c>
      <c r="C4" s="7" t="e">
        <f>INDEX(_ゴミ箱_Backup!$B$117:$D$247,MATCH("ISSUE_COL_WG",_ゴミ箱_Backup!$A$117:$A$247,0),MATCH(言語切替!$B$3,_ゴミ箱_Backup!$B$1:$D$1,0))</f>
        <v>#N/A</v>
      </c>
      <c r="D4" s="7" t="e">
        <f>INDEX(_ゴミ箱_Backup!$B$117:$D$247,MATCH("ISSUE_COL_SITE",_ゴミ箱_Backup!$A$117:$A$247,0),MATCH(言語切替!$B$3,_ゴミ箱_Backup!$B$1:$D$1,0))</f>
        <v>#N/A</v>
      </c>
      <c r="E4" s="7" t="e">
        <f>INDEX(_ゴミ箱_Backup!$B$117:$D$247,MATCH("ISSUE_COL_TITLE",_ゴミ箱_Backup!$A$117:$A$247,0),MATCH(言語切替!$B$3,_ゴミ箱_Backup!$B$1:$D$1,0))</f>
        <v>#N/A</v>
      </c>
      <c r="F4" s="7" t="e">
        <f>INDEX(_ゴミ箱_Backup!$B$117:$D$247,MATCH("ISSUE_COL_BG",_ゴミ箱_Backup!$A$117:$A$247,0),MATCH(言語切替!$B$3,_ゴミ箱_Backup!$B$1:$D$1,0))</f>
        <v>#N/A</v>
      </c>
      <c r="G4" s="7" t="e">
        <f>INDEX(_ゴミ箱_Backup!$B$117:$D$247,MATCH("ISSUE_COL_ACTION",_ゴミ箱_Backup!$A$117:$A$247,0),MATCH(言語切替!$B$3,_ゴミ箱_Backup!$B$1:$D$1,0))</f>
        <v>#N/A</v>
      </c>
      <c r="H4" s="7" t="e">
        <f>INDEX(_ゴミ箱_Backup!$B$117:$D$247,MATCH("ISSUE_COL_OWNER",_ゴミ箱_Backup!$A$117:$A$247,0),MATCH(言語切替!$B$3,_ゴミ箱_Backup!$B$1:$D$1,0))</f>
        <v>#N/A</v>
      </c>
      <c r="I4" s="7" t="e">
        <f>INDEX(_ゴミ箱_Backup!$B$117:$D$247,MATCH("ISSUE_COL_COOP",_ゴミ箱_Backup!$A$117:$A$247,0),MATCH(言語切替!$B$3,_ゴミ箱_Backup!$B$1:$D$1,0))</f>
        <v>#N/A</v>
      </c>
      <c r="J4" s="7" t="e">
        <f>INDEX(_ゴミ箱_Backup!$B$117:$D$247,MATCH("ISSUE_COL_START",_ゴミ箱_Backup!$A$117:$A$247,0),MATCH(言語切替!$B$3,_ゴミ箱_Backup!$B$1:$D$1,0))</f>
        <v>#N/A</v>
      </c>
      <c r="K4" s="7" t="e">
        <f>INDEX(_ゴミ箱_Backup!$B$117:$D$247,MATCH("ISSUE_COL_DUE",_ゴミ箱_Backup!$A$117:$A$247,0),MATCH(言語切替!$B$3,_ゴミ箱_Backup!$B$1:$D$1,0))</f>
        <v>#N/A</v>
      </c>
      <c r="L4" s="7" t="e">
        <f>INDEX(_ゴミ箱_Backup!$B$117:$D$247,MATCH("ISSUE_COL_PRIORITY",_ゴミ箱_Backup!$A$117:$A$247,0),MATCH(言語切替!$B$3,_ゴミ箱_Backup!$B$1:$D$1,0))</f>
        <v>#N/A</v>
      </c>
      <c r="M4" s="7" t="e">
        <f>INDEX(_ゴミ箱_Backup!$B$117:$D$247,MATCH("ISSUE_COL_STATUS",_ゴミ箱_Backup!$A$117:$A$247,0),MATCH(言語切替!$B$3,_ゴミ箱_Backup!$B$1:$D$1,0))</f>
        <v>#N/A</v>
      </c>
      <c r="N4" s="7" t="e">
        <f>INDEX(_ゴミ箱_Backup!$B$117:$D$247,MATCH("ISSUE_COL_DEP",_ゴミ箱_Backup!$A$117:$A$247,0),MATCH(言語切替!$B$3,_ゴミ箱_Backup!$B$1:$D$1,0))</f>
        <v>#N/A</v>
      </c>
      <c r="O4" s="7" t="e">
        <f>INDEX(_ゴミ箱_Backup!$B$117:$D$247,MATCH("ISSUE_COL_COND",_ゴミ箱_Backup!$A$117:$A$247,0),MATCH(言語切替!$B$3,_ゴミ箱_Backup!$B$1:$D$1,0))</f>
        <v>#N/A</v>
      </c>
      <c r="P4" s="7" t="e">
        <f>INDEX(_ゴミ箱_Backup!$B$117:$D$247,MATCH("ISSUE_COL_RESULT",_ゴミ箱_Backup!$A$117:$A$247,0),MATCH(言語切替!$B$3,_ゴミ箱_Backup!$B$1:$D$1,0))</f>
        <v>#N/A</v>
      </c>
      <c r="Q4" s="7" t="e">
        <f>INDEX(_ゴミ箱_Backup!$B$117:$D$247,MATCH("ISSUE_COL_LINK",_ゴミ箱_Backup!$A$117:$A$247,0),MATCH(言語切替!$B$3,_ゴミ箱_Backup!$B$1:$D$1,0))</f>
        <v>#N/A</v>
      </c>
      <c r="R4" s="7" t="e">
        <f>INDEX(_ゴミ箱_Backup!$B$117:$D$247,MATCH("ISSUE_COL_DAYS",_ゴミ箱_Backup!$A$117:$A$247,0),MATCH(言語切替!$B$3,_ゴミ箱_Backup!$B$1:$D$1,0))</f>
        <v>#N/A</v>
      </c>
      <c r="S4" s="7" t="e">
        <f>INDEX(_ゴミ箱_Backup!$B$117:$D$247,MATCH("ISSUE_COL_ALERT",_ゴミ箱_Backup!$A$117:$A$247,0),MATCH(言語切替!$B$3,_ゴミ箱_Backup!$B$1:$D$1,0))</f>
        <v>#N/A</v>
      </c>
      <c r="T4" s="8" t="e">
        <f>INDEX(_ゴミ箱_Backup!$B$117:$D$247,MATCH("ISSUE_COL_UPDATED",_ゴミ箱_Backup!$A$117:$A$247,0),MATCH(言語切替!$B$3,_ゴミ箱_Backup!$B$1:$D$1,0))</f>
        <v>#N/A</v>
      </c>
      <c r="U4" s="60" t="e">
        <f>INDEX(_ゴミ箱_Backup!$B$2:$D$300,MATCH("ISSUE_COL_TITLE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V4" s="60" t="e">
        <f>INDEX(_ゴミ箱_Backup!$B$2:$D$300,MATCH("ISSUE_COL_TITLE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W4" s="60" t="e">
        <f>INDEX(_ゴミ箱_Backup!$B$2:$D$300,MATCH("ISSUE_COL_TITLE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  <c r="X4" s="60" t="e">
        <f>INDEX(_ゴミ箱_Backup!$B$2:$D$300,MATCH("ISSUE_COL_BG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Y4" s="60" t="e">
        <f>INDEX(_ゴミ箱_Backup!$B$2:$D$300,MATCH("ISSUE_COL_BG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Z4" s="60" t="e">
        <f>INDEX(_ゴミ箱_Backup!$B$2:$D$300,MATCH("ISSUE_COL_BG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  <c r="AA4" s="60" t="e">
        <f>INDEX(_ゴミ箱_Backup!$B$2:$D$300,MATCH("ISSUE_COL_ACTION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AB4" s="60" t="e">
        <f>INDEX(_ゴミ箱_Backup!$B$2:$D$300,MATCH("ISSUE_COL_ACTION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AC4" s="60" t="e">
        <f>INDEX(_ゴミ箱_Backup!$B$2:$D$300,MATCH("ISSUE_COL_ACTION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  <c r="AD4" s="60" t="e">
        <f>INDEX(_ゴミ箱_Backup!$B$2:$D$300,MATCH("ISSUE_COL_COND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AE4" s="60" t="e">
        <f>INDEX(_ゴミ箱_Backup!$B$2:$D$300,MATCH("ISSUE_COL_COND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AF4" s="60" t="e">
        <f>INDEX(_ゴミ箱_Backup!$B$2:$D$300,MATCH("ISSUE_COL_COND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  <c r="AG4" s="60" t="e">
        <f>INDEX(_ゴミ箱_Backup!$B$2:$D$300,MATCH("ISSUE_COL_RESULT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AH4" s="60" t="e">
        <f>INDEX(_ゴミ箱_Backup!$B$2:$D$300,MATCH("ISSUE_COL_RESULT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AI4" s="60" t="e">
        <f>INDEX(_ゴミ箱_Backup!$B$2:$D$300,MATCH("ISSUE_COL_RESULT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</row>
    <row r="5" spans="1:35" x14ac:dyDescent="0.25">
      <c r="A5" s="21" t="s">
        <v>131</v>
      </c>
      <c r="B5" s="22" t="e">
        <f>'02_マスタ'!$I$6</f>
        <v>#N/A</v>
      </c>
      <c r="C5" s="22" t="e">
        <f>'02_マスタ'!$A$5</f>
        <v>#N/A</v>
      </c>
      <c r="D5" s="22" t="e">
        <f>'02_マスタ'!$C$5</f>
        <v>#N/A</v>
      </c>
      <c r="E5" s="22" t="e">
        <f>INDEX(_ゴミ箱_Backup!$B$117:$D$247,MATCH("ISSUE_EX1_TITLE",_ゴミ箱_Backup!$A$117:$A$247,0),MATCH(言語切替!$B$3,_ゴミ箱_Backup!$B$1:$D$1,0))</f>
        <v>#N/A</v>
      </c>
      <c r="F5" s="22" t="e">
        <f>INDEX(_ゴミ箱_Backup!$B$117:$D$247,MATCH("ISSUE_EX1_BG",_ゴミ箱_Backup!$A$117:$A$247,0),MATCH(言語切替!$B$3,_ゴミ箱_Backup!$B$1:$D$1,0))</f>
        <v>#N/A</v>
      </c>
      <c r="G5" s="22" t="e">
        <f>INDEX(_ゴミ箱_Backup!$B$117:$D$247,MATCH("ISSUE_EX1_ACT",_ゴミ箱_Backup!$A$117:$A$247,0),MATCH(言語切替!$B$3,_ゴミ箱_Backup!$B$1:$D$1,0))</f>
        <v>#N/A</v>
      </c>
      <c r="H5" s="22" t="e">
        <f>INDEX(_ゴミ箱_Backup!$B$117:$D$247,MATCH("ROLE_PMO",_ゴミ箱_Backup!$A$117:$A$247,0),MATCH(言語切替!$B$3,_ゴミ箱_Backup!$B$1:$D$1,0))</f>
        <v>#N/A</v>
      </c>
      <c r="I5" s="22" t="e">
        <f>INDEX(_ゴミ箱_Backup!$B$117:$D$247,MATCH("ROLE_ALL_LEADERS",_ゴミ箱_Backup!$A$117:$A$247,0),MATCH(言語切替!$B$3,_ゴミ箱_Backup!$B$1:$D$1,0))</f>
        <v>#N/A</v>
      </c>
      <c r="J5" s="23">
        <v>46288</v>
      </c>
      <c r="K5" s="23">
        <v>46295</v>
      </c>
      <c r="L5" s="22" t="s">
        <v>61</v>
      </c>
      <c r="M5" s="22" t="e">
        <f>'02_マスタ'!$E$6</f>
        <v>#N/A</v>
      </c>
      <c r="N5" s="22"/>
      <c r="O5" s="22" t="e">
        <f>INDEX(_ゴミ箱_Backup!$B$117:$D$247,MATCH("ISSUE_EX1_COND",_ゴミ箱_Backup!$A$117:$A$247,0),MATCH(言語切替!$B$3,_ゴミ箱_Backup!$B$1:$D$1,0))</f>
        <v>#N/A</v>
      </c>
      <c r="P5" s="22"/>
      <c r="Q5" s="22"/>
      <c r="R5" s="10">
        <f t="shared" ref="R5:R68" ca="1" si="0">IF(K5="","",K5-TODAY())</f>
        <v>1</v>
      </c>
      <c r="S5" s="10" t="e">
        <f ca="1">IF(A5="","",IF(OR(M5='02_マスタ'!$E$10,M5='02_マスタ'!$E$12),"",IF(L5="High","High",IF(AND(K5&lt;&gt;"",K5&lt;TODAY()),INDEX(_ゴミ箱_Backup!$B$117:$D$247,MATCH("ALERT_OVERDUE",_ゴミ箱_Backup!$A$117:$A$247,0),MATCH(言語切替!$B$3,_ゴミ箱_Backup!$B$1:$D$1,0)),IF(AND(K5&lt;&gt;"",K5-TODAY()&lt;=7),INDEX(_ゴミ箱_Backup!$B$117:$D$247,MATCH("ALERT_APPROACHING",_ゴミ箱_Backup!$A$117:$A$247,0),MATCH(言語切替!$B$3,_ゴミ箱_Backup!$B$1:$D$1,0)),IF(OR(M5='02_マスタ'!$E$7,M5='02_マスタ'!$E$8),INDEX(_ゴミ箱_Backup!$B$117:$D$247,MATCH("ALERT_CHECK",_ゴミ箱_Backup!$A$117:$A$247,0),MATCH(言語切替!$B$3,_ゴミ箱_Backup!$B$1:$D$1,0)),""))))))</f>
        <v>#N/A</v>
      </c>
      <c r="T5" s="49">
        <v>46288</v>
      </c>
      <c r="U5" s="61" t="e">
        <f t="shared" ref="U5:U68" si="1">IF(E5="","",IFERROR(_xlfn.TRANSLATE(E5,,"ja"),""))</f>
        <v>#N/A</v>
      </c>
      <c r="V5" s="61" t="e">
        <f t="shared" ref="V5:V68" si="2">IF(E5="","",IFERROR(_xlfn.TRANSLATE(E5,,"zh-Hans"),""))</f>
        <v>#N/A</v>
      </c>
      <c r="W5" s="61" t="e">
        <f t="shared" ref="W5:W68" si="3">IF(E5="","",IFERROR(_xlfn.TRANSLATE(E5,,"vi"),""))</f>
        <v>#N/A</v>
      </c>
      <c r="X5" s="61" t="e">
        <f t="shared" ref="X5:X68" si="4">IF(F5="","",IFERROR(_xlfn.TRANSLATE(F5,,"ja"),""))</f>
        <v>#N/A</v>
      </c>
      <c r="Y5" s="61" t="e">
        <f t="shared" ref="Y5:Y68" si="5">IF(F5="","",IFERROR(_xlfn.TRANSLATE(F5,,"zh-Hans"),""))</f>
        <v>#N/A</v>
      </c>
      <c r="Z5" s="61" t="e">
        <f t="shared" ref="Z5:Z68" si="6">IF(F5="","",IFERROR(_xlfn.TRANSLATE(F5,,"vi"),""))</f>
        <v>#N/A</v>
      </c>
      <c r="AA5" s="61" t="e">
        <f t="shared" ref="AA5:AA68" si="7">IF(G5="","",IFERROR(_xlfn.TRANSLATE(G5,,"ja"),""))</f>
        <v>#N/A</v>
      </c>
      <c r="AB5" s="61" t="e">
        <f t="shared" ref="AB5:AB68" si="8">IF(G5="","",IFERROR(_xlfn.TRANSLATE(G5,,"zh-Hans"),""))</f>
        <v>#N/A</v>
      </c>
      <c r="AC5" s="61" t="e">
        <f t="shared" ref="AC5:AC68" si="9">IF(G5="","",IFERROR(_xlfn.TRANSLATE(G5,,"vi"),""))</f>
        <v>#N/A</v>
      </c>
      <c r="AD5" s="61" t="e">
        <f t="shared" ref="AD5:AD68" si="10">IF(O5="","",IFERROR(_xlfn.TRANSLATE(O5,,"ja"),""))</f>
        <v>#N/A</v>
      </c>
      <c r="AE5" s="61" t="e">
        <f t="shared" ref="AE5:AE68" si="11">IF(O5="","",IFERROR(_xlfn.TRANSLATE(O5,,"zh-Hans"),""))</f>
        <v>#N/A</v>
      </c>
      <c r="AF5" s="61" t="e">
        <f t="shared" ref="AF5:AF68" si="12">IF(O5="","",IFERROR(_xlfn.TRANSLATE(O5,,"vi"),""))</f>
        <v>#N/A</v>
      </c>
      <c r="AG5" s="61" t="str">
        <f t="shared" ref="AG5:AG68" si="13">IF(P5="","",IFERROR(_xlfn.TRANSLATE(P5,,"ja"),""))</f>
        <v/>
      </c>
      <c r="AH5" s="61" t="str">
        <f t="shared" ref="AH5:AH68" si="14">IF(P5="","",IFERROR(_xlfn.TRANSLATE(P5,,"zh-Hans"),""))</f>
        <v/>
      </c>
      <c r="AI5" s="61" t="str">
        <f t="shared" ref="AI5:AI68" si="15">IF(P5="","",IFERROR(_xlfn.TRANSLATE(P5,,"vi"),""))</f>
        <v/>
      </c>
    </row>
    <row r="6" spans="1:35" x14ac:dyDescent="0.25">
      <c r="A6" s="26" t="s">
        <v>136</v>
      </c>
      <c r="B6" s="27" t="e">
        <f>'02_マスタ'!$I$5</f>
        <v>#N/A</v>
      </c>
      <c r="C6" s="27" t="e">
        <f>'02_マスタ'!$A$9</f>
        <v>#N/A</v>
      </c>
      <c r="D6" s="27" t="e">
        <f>'02_マスタ'!$C$5</f>
        <v>#N/A</v>
      </c>
      <c r="E6" s="27" t="e">
        <f>INDEX(_ゴミ箱_Backup!$B$117:$D$247,MATCH("ISSUE_EX2_TITLE",_ゴミ箱_Backup!$A$117:$A$247,0),MATCH(言語切替!$B$3,_ゴミ箱_Backup!$B$1:$D$1,0))</f>
        <v>#N/A</v>
      </c>
      <c r="F6" s="27" t="e">
        <f>INDEX(_ゴミ箱_Backup!$B$117:$D$247,MATCH("ISSUE_EX2_BG",_ゴミ箱_Backup!$A$117:$A$247,0),MATCH(言語切替!$B$3,_ゴミ箱_Backup!$B$1:$D$1,0))</f>
        <v>#N/A</v>
      </c>
      <c r="G6" s="27" t="e">
        <f>INDEX(_ゴミ箱_Backup!$B$117:$D$247,MATCH("ISSUE_EX2_ACT",_ゴミ箱_Backup!$A$117:$A$247,0),MATCH(言語切替!$B$3,_ゴミ箱_Backup!$B$1:$D$1,0))</f>
        <v>#N/A</v>
      </c>
      <c r="H6" s="27" t="s">
        <v>112</v>
      </c>
      <c r="I6" s="27" t="s">
        <v>140</v>
      </c>
      <c r="J6" s="28">
        <v>46294</v>
      </c>
      <c r="K6" s="28">
        <v>46311</v>
      </c>
      <c r="L6" s="27" t="s">
        <v>61</v>
      </c>
      <c r="M6" s="27" t="e">
        <f>'02_マスタ'!$E$5</f>
        <v>#N/A</v>
      </c>
      <c r="N6" s="27" t="e">
        <f>INDEX(_ゴミ箱_Backup!$B$117:$D$247,MATCH("ISSUE_EX2_DEP",_ゴミ箱_Backup!$A$117:$A$247,0),MATCH(言語切替!$B$3,_ゴミ箱_Backup!$B$1:$D$1,0))</f>
        <v>#N/A</v>
      </c>
      <c r="O6" s="27" t="e">
        <f>INDEX(_ゴミ箱_Backup!$B$117:$D$247,MATCH("ISSUE_EX2_COND",_ゴミ箱_Backup!$A$117:$A$247,0),MATCH(言語切替!$B$3,_ゴミ箱_Backup!$B$1:$D$1,0))</f>
        <v>#N/A</v>
      </c>
      <c r="P6" s="27"/>
      <c r="Q6" s="27"/>
      <c r="R6" s="13">
        <f t="shared" ca="1" si="0"/>
        <v>17</v>
      </c>
      <c r="S6" s="13" t="e">
        <f ca="1">IF(A6="","",IF(OR(M6='02_マスタ'!$E$10,M6='02_マスタ'!$E$12),"",IF(L6="High","High",IF(AND(K6&lt;&gt;"",K6&lt;TODAY()),INDEX(_ゴミ箱_Backup!$B$117:$D$247,MATCH("ALERT_OVERDUE",_ゴミ箱_Backup!$A$117:$A$247,0),MATCH(言語切替!$B$3,_ゴミ箱_Backup!$B$1:$D$1,0)),IF(AND(K6&lt;&gt;"",K6-TODAY()&lt;=7),INDEX(_ゴミ箱_Backup!$B$117:$D$247,MATCH("ALERT_APPROACHING",_ゴミ箱_Backup!$A$117:$A$247,0),MATCH(言語切替!$B$3,_ゴミ箱_Backup!$B$1:$D$1,0)),IF(OR(M6='02_マスタ'!$E$7,M6='02_マスタ'!$E$8),INDEX(_ゴミ箱_Backup!$B$117:$D$247,MATCH("ALERT_CHECK",_ゴミ箱_Backup!$A$117:$A$247,0),MATCH(言語切替!$B$3,_ゴミ箱_Backup!$B$1:$D$1,0)),""))))))</f>
        <v>#N/A</v>
      </c>
      <c r="T6" s="50">
        <v>46288</v>
      </c>
      <c r="U6" s="61" t="e">
        <f t="shared" si="1"/>
        <v>#N/A</v>
      </c>
      <c r="V6" s="61" t="e">
        <f t="shared" si="2"/>
        <v>#N/A</v>
      </c>
      <c r="W6" s="61" t="e">
        <f t="shared" si="3"/>
        <v>#N/A</v>
      </c>
      <c r="X6" s="61" t="e">
        <f t="shared" si="4"/>
        <v>#N/A</v>
      </c>
      <c r="Y6" s="61" t="e">
        <f t="shared" si="5"/>
        <v>#N/A</v>
      </c>
      <c r="Z6" s="61" t="e">
        <f t="shared" si="6"/>
        <v>#N/A</v>
      </c>
      <c r="AA6" s="61" t="e">
        <f t="shared" si="7"/>
        <v>#N/A</v>
      </c>
      <c r="AB6" s="61" t="e">
        <f t="shared" si="8"/>
        <v>#N/A</v>
      </c>
      <c r="AC6" s="61" t="e">
        <f t="shared" si="9"/>
        <v>#N/A</v>
      </c>
      <c r="AD6" s="61" t="e">
        <f t="shared" si="10"/>
        <v>#N/A</v>
      </c>
      <c r="AE6" s="61" t="e">
        <f t="shared" si="11"/>
        <v>#N/A</v>
      </c>
      <c r="AF6" s="61" t="e">
        <f t="shared" si="12"/>
        <v>#N/A</v>
      </c>
      <c r="AG6" s="61" t="str">
        <f t="shared" si="13"/>
        <v/>
      </c>
      <c r="AH6" s="61" t="str">
        <f t="shared" si="14"/>
        <v/>
      </c>
      <c r="AI6" s="61" t="str">
        <f t="shared" si="15"/>
        <v/>
      </c>
    </row>
    <row r="7" spans="1:35" x14ac:dyDescent="0.25">
      <c r="A7" s="31" t="s">
        <v>142</v>
      </c>
      <c r="B7" s="32" t="e">
        <f>'02_マスタ'!$I$5</f>
        <v>#N/A</v>
      </c>
      <c r="C7" s="32" t="e">
        <f>'02_マスタ'!$A$12</f>
        <v>#N/A</v>
      </c>
      <c r="D7" s="32" t="s">
        <v>77</v>
      </c>
      <c r="E7" s="32" t="e">
        <f>INDEX(_ゴミ箱_Backup!$B$117:$D$247,MATCH("ISSUE_EX3_TITLE",_ゴミ箱_Backup!$A$117:$A$247,0),MATCH(言語切替!$B$3,_ゴミ箱_Backup!$B$1:$D$1,0))</f>
        <v>#N/A</v>
      </c>
      <c r="F7" s="32" t="e">
        <f>INDEX(_ゴミ箱_Backup!$B$117:$D$247,MATCH("ISSUE_EX3_BG",_ゴミ箱_Backup!$A$117:$A$247,0),MATCH(言語切替!$B$3,_ゴミ箱_Backup!$B$1:$D$1,0))</f>
        <v>#N/A</v>
      </c>
      <c r="G7" s="32" t="e">
        <f>INDEX(_ゴミ箱_Backup!$B$117:$D$247,MATCH("ISSUE_EX3_ACT",_ゴミ箱_Backup!$A$117:$A$247,0),MATCH(言語切替!$B$3,_ゴミ箱_Backup!$B$1:$D$1,0))</f>
        <v>#N/A</v>
      </c>
      <c r="H7" s="32" t="s">
        <v>112</v>
      </c>
      <c r="I7" s="32" t="e">
        <f>INDEX(_ゴミ箱_Backup!$B$117:$D$247,MATCH("ROLE_PMO",_ゴミ箱_Backup!$A$117:$A$247,0),MATCH(言語切替!$B$3,_ゴミ箱_Backup!$B$1:$D$1,0))</f>
        <v>#N/A</v>
      </c>
      <c r="J7" s="33">
        <v>46294</v>
      </c>
      <c r="K7" s="33">
        <v>46311</v>
      </c>
      <c r="L7" s="32" t="s">
        <v>67</v>
      </c>
      <c r="M7" s="32" t="e">
        <f>'02_マスタ'!$E$5</f>
        <v>#N/A</v>
      </c>
      <c r="N7" s="32"/>
      <c r="O7" s="32" t="e">
        <f>INDEX(_ゴミ箱_Backup!$B$117:$D$247,MATCH("ISSUE_EX3_COND",_ゴミ箱_Backup!$A$117:$A$247,0),MATCH(言語切替!$B$3,_ゴミ箱_Backup!$B$1:$D$1,0))</f>
        <v>#N/A</v>
      </c>
      <c r="P7" s="32"/>
      <c r="Q7" s="32"/>
      <c r="R7" s="16">
        <f t="shared" ca="1" si="0"/>
        <v>17</v>
      </c>
      <c r="S7" s="16" t="e">
        <f ca="1">IF(A7="","",IF(OR(M7='02_マスタ'!$E$10,M7='02_マスタ'!$E$12),"",IF(L7="High","High",IF(AND(K7&lt;&gt;"",K7&lt;TODAY()),INDEX(_ゴミ箱_Backup!$B$117:$D$247,MATCH("ALERT_OVERDUE",_ゴミ箱_Backup!$A$117:$A$247,0),MATCH(言語切替!$B$3,_ゴミ箱_Backup!$B$1:$D$1,0)),IF(AND(K7&lt;&gt;"",K7-TODAY()&lt;=7),INDEX(_ゴミ箱_Backup!$B$117:$D$247,MATCH("ALERT_APPROACHING",_ゴミ箱_Backup!$A$117:$A$247,0),MATCH(言語切替!$B$3,_ゴミ箱_Backup!$B$1:$D$1,0)),IF(OR(M7='02_マスタ'!$E$7,M7='02_マスタ'!$E$8),INDEX(_ゴミ箱_Backup!$B$117:$D$247,MATCH("ALERT_CHECK",_ゴミ箱_Backup!$A$117:$A$247,0),MATCH(言語切替!$B$3,_ゴミ箱_Backup!$B$1:$D$1,0)),""))))))</f>
        <v>#N/A</v>
      </c>
      <c r="T7" s="51">
        <v>46288</v>
      </c>
      <c r="U7" s="61" t="e">
        <f t="shared" si="1"/>
        <v>#N/A</v>
      </c>
      <c r="V7" s="61" t="e">
        <f t="shared" si="2"/>
        <v>#N/A</v>
      </c>
      <c r="W7" s="61" t="e">
        <f t="shared" si="3"/>
        <v>#N/A</v>
      </c>
      <c r="X7" s="61" t="e">
        <f t="shared" si="4"/>
        <v>#N/A</v>
      </c>
      <c r="Y7" s="61" t="e">
        <f t="shared" si="5"/>
        <v>#N/A</v>
      </c>
      <c r="Z7" s="61" t="e">
        <f t="shared" si="6"/>
        <v>#N/A</v>
      </c>
      <c r="AA7" s="61" t="e">
        <f t="shared" si="7"/>
        <v>#N/A</v>
      </c>
      <c r="AB7" s="61" t="e">
        <f t="shared" si="8"/>
        <v>#N/A</v>
      </c>
      <c r="AC7" s="61" t="e">
        <f t="shared" si="9"/>
        <v>#N/A</v>
      </c>
      <c r="AD7" s="61" t="e">
        <f t="shared" si="10"/>
        <v>#N/A</v>
      </c>
      <c r="AE7" s="61" t="e">
        <f t="shared" si="11"/>
        <v>#N/A</v>
      </c>
      <c r="AF7" s="61" t="e">
        <f t="shared" si="12"/>
        <v>#N/A</v>
      </c>
      <c r="AG7" s="61" t="str">
        <f t="shared" si="13"/>
        <v/>
      </c>
      <c r="AH7" s="61" t="str">
        <f t="shared" si="14"/>
        <v/>
      </c>
      <c r="AI7" s="61" t="str">
        <f t="shared" si="15"/>
        <v/>
      </c>
    </row>
    <row r="8" spans="1:35" x14ac:dyDescent="0.25">
      <c r="A8" s="26" t="s">
        <v>147</v>
      </c>
      <c r="B8" s="27" t="e">
        <f>'02_マスタ'!$I$8</f>
        <v>#N/A</v>
      </c>
      <c r="C8" s="27" t="e">
        <f>'02_マスタ'!$A$14</f>
        <v>#N/A</v>
      </c>
      <c r="D8" s="27" t="e">
        <f>'02_マスタ'!$C$5</f>
        <v>#N/A</v>
      </c>
      <c r="E8" s="27" t="e">
        <f>INDEX(_ゴミ箱_Backup!$B$117:$D$247,MATCH("ISSUE_EX4_TITLE",_ゴミ箱_Backup!$A$117:$A$247,0),MATCH(言語切替!$B$3,_ゴミ箱_Backup!$B$1:$D$1,0))</f>
        <v>#N/A</v>
      </c>
      <c r="F8" s="27" t="e">
        <f>INDEX(_ゴミ箱_Backup!$B$117:$D$247,MATCH("ISSUE_EX4_BG",_ゴミ箱_Backup!$A$117:$A$247,0),MATCH(言語切替!$B$3,_ゴミ箱_Backup!$B$1:$D$1,0))</f>
        <v>#N/A</v>
      </c>
      <c r="G8" s="27" t="e">
        <f>INDEX(_ゴミ箱_Backup!$B$117:$D$247,MATCH("ISSUE_EX4_ACT",_ゴミ箱_Backup!$A$117:$A$247,0),MATCH(言語切替!$B$3,_ゴミ箱_Backup!$B$1:$D$1,0))</f>
        <v>#N/A</v>
      </c>
      <c r="H8" s="27" t="s">
        <v>112</v>
      </c>
      <c r="I8" s="27" t="e">
        <f>INDEX(_ゴミ箱_Backup!$B$117:$D$247,MATCH("ROLE_MATERIALS",_ゴミ箱_Backup!$A$117:$A$247,0),MATCH(言語切替!$B$3,_ゴミ箱_Backup!$B$1:$D$1,0))</f>
        <v>#N/A</v>
      </c>
      <c r="J8" s="28">
        <v>46294</v>
      </c>
      <c r="K8" s="28">
        <v>46318</v>
      </c>
      <c r="L8" s="27" t="s">
        <v>67</v>
      </c>
      <c r="M8" s="27" t="e">
        <f>'02_マスタ'!$E$5</f>
        <v>#N/A</v>
      </c>
      <c r="N8" s="27" t="e">
        <f>INDEX(_ゴミ箱_Backup!$B$117:$D$247,MATCH("ISSUE_EX4_DEP",_ゴミ箱_Backup!$A$117:$A$247,0),MATCH(言語切替!$B$3,_ゴミ箱_Backup!$B$1:$D$1,0))</f>
        <v>#N/A</v>
      </c>
      <c r="O8" s="27" t="e">
        <f>INDEX(_ゴミ箱_Backup!$B$117:$D$247,MATCH("ISSUE_EX4_COND",_ゴミ箱_Backup!$A$117:$A$247,0),MATCH(言語切替!$B$3,_ゴミ箱_Backup!$B$1:$D$1,0))</f>
        <v>#N/A</v>
      </c>
      <c r="P8" s="27"/>
      <c r="Q8" s="27"/>
      <c r="R8" s="13">
        <f t="shared" ca="1" si="0"/>
        <v>24</v>
      </c>
      <c r="S8" s="13" t="e">
        <f ca="1">IF(A8="","",IF(OR(M8='02_マスタ'!$E$10,M8='02_マスタ'!$E$12),"",IF(L8="High","High",IF(AND(K8&lt;&gt;"",K8&lt;TODAY()),INDEX(_ゴミ箱_Backup!$B$117:$D$247,MATCH("ALERT_OVERDUE",_ゴミ箱_Backup!$A$117:$A$247,0),MATCH(言語切替!$B$3,_ゴミ箱_Backup!$B$1:$D$1,0)),IF(AND(K8&lt;&gt;"",K8-TODAY()&lt;=7),INDEX(_ゴミ箱_Backup!$B$117:$D$247,MATCH("ALERT_APPROACHING",_ゴミ箱_Backup!$A$117:$A$247,0),MATCH(言語切替!$B$3,_ゴミ箱_Backup!$B$1:$D$1,0)),IF(OR(M8='02_マスタ'!$E$7,M8='02_マスタ'!$E$8),INDEX(_ゴミ箱_Backup!$B$117:$D$247,MATCH("ALERT_CHECK",_ゴミ箱_Backup!$A$117:$A$247,0),MATCH(言語切替!$B$3,_ゴミ箱_Backup!$B$1:$D$1,0)),""))))))</f>
        <v>#N/A</v>
      </c>
      <c r="T8" s="50">
        <v>46288</v>
      </c>
      <c r="U8" s="61" t="e">
        <f t="shared" si="1"/>
        <v>#N/A</v>
      </c>
      <c r="V8" s="61" t="e">
        <f t="shared" si="2"/>
        <v>#N/A</v>
      </c>
      <c r="W8" s="61" t="e">
        <f t="shared" si="3"/>
        <v>#N/A</v>
      </c>
      <c r="X8" s="61" t="e">
        <f t="shared" si="4"/>
        <v>#N/A</v>
      </c>
      <c r="Y8" s="61" t="e">
        <f t="shared" si="5"/>
        <v>#N/A</v>
      </c>
      <c r="Z8" s="61" t="e">
        <f t="shared" si="6"/>
        <v>#N/A</v>
      </c>
      <c r="AA8" s="61" t="e">
        <f t="shared" si="7"/>
        <v>#N/A</v>
      </c>
      <c r="AB8" s="61" t="e">
        <f t="shared" si="8"/>
        <v>#N/A</v>
      </c>
      <c r="AC8" s="61" t="e">
        <f t="shared" si="9"/>
        <v>#N/A</v>
      </c>
      <c r="AD8" s="61" t="e">
        <f t="shared" si="10"/>
        <v>#N/A</v>
      </c>
      <c r="AE8" s="61" t="e">
        <f t="shared" si="11"/>
        <v>#N/A</v>
      </c>
      <c r="AF8" s="61" t="e">
        <f t="shared" si="12"/>
        <v>#N/A</v>
      </c>
      <c r="AG8" s="61" t="str">
        <f t="shared" si="13"/>
        <v/>
      </c>
      <c r="AH8" s="61" t="str">
        <f t="shared" si="14"/>
        <v/>
      </c>
      <c r="AI8" s="61" t="str">
        <f t="shared" si="15"/>
        <v/>
      </c>
    </row>
    <row r="9" spans="1:35" x14ac:dyDescent="0.25">
      <c r="A9" s="40"/>
      <c r="B9" s="41"/>
      <c r="C9" s="41"/>
      <c r="D9" s="41"/>
      <c r="E9" s="41"/>
      <c r="F9" s="41"/>
      <c r="G9" s="41"/>
      <c r="H9" s="41"/>
      <c r="I9" s="41"/>
      <c r="J9" s="42"/>
      <c r="K9" s="42"/>
      <c r="L9" s="41"/>
      <c r="M9" s="41"/>
      <c r="N9" s="41"/>
      <c r="O9" s="41"/>
      <c r="P9" s="41"/>
      <c r="Q9" s="41"/>
      <c r="R9" s="13" t="str">
        <f t="shared" ca="1" si="0"/>
        <v/>
      </c>
      <c r="S9" s="13" t="str">
        <f ca="1">IF(A9="","",IF(OR(M9='02_マスタ'!$E$10,M9='02_マスタ'!$E$12),"",IF(L9="High","High",IF(AND(K9&lt;&gt;"",K9&lt;TODAY()),INDEX(_ゴミ箱_Backup!$B$117:$D$247,MATCH("ALERT_OVERDUE",_ゴミ箱_Backup!$A$117:$A$247,0),MATCH(言語切替!$B$3,_ゴミ箱_Backup!$B$1:$D$1,0)),IF(AND(K9&lt;&gt;"",K9-TODAY()&lt;=7),INDEX(_ゴミ箱_Backup!$B$117:$D$247,MATCH("ALERT_APPROACHING",_ゴミ箱_Backup!$A$117:$A$247,0),MATCH(言語切替!$B$3,_ゴミ箱_Backup!$B$1:$D$1,0)),IF(OR(M9='02_マスタ'!$E$7,M9='02_マスタ'!$E$8),INDEX(_ゴミ箱_Backup!$B$117:$D$247,MATCH("ALERT_CHECK",_ゴミ箱_Backup!$A$117:$A$247,0),MATCH(言語切替!$B$3,_ゴミ箱_Backup!$B$1:$D$1,0)),""))))))</f>
        <v/>
      </c>
      <c r="T9" s="52"/>
      <c r="U9" s="61" t="str">
        <f t="shared" si="1"/>
        <v/>
      </c>
      <c r="V9" s="61" t="str">
        <f t="shared" si="2"/>
        <v/>
      </c>
      <c r="W9" s="61" t="str">
        <f t="shared" si="3"/>
        <v/>
      </c>
      <c r="X9" s="61" t="str">
        <f t="shared" si="4"/>
        <v/>
      </c>
      <c r="Y9" s="61" t="str">
        <f t="shared" si="5"/>
        <v/>
      </c>
      <c r="Z9" s="61" t="str">
        <f t="shared" si="6"/>
        <v/>
      </c>
      <c r="AA9" s="61" t="str">
        <f t="shared" si="7"/>
        <v/>
      </c>
      <c r="AB9" s="61" t="str">
        <f t="shared" si="8"/>
        <v/>
      </c>
      <c r="AC9" s="61" t="str">
        <f t="shared" si="9"/>
        <v/>
      </c>
      <c r="AD9" s="61" t="str">
        <f t="shared" si="10"/>
        <v/>
      </c>
      <c r="AE9" s="61" t="str">
        <f t="shared" si="11"/>
        <v/>
      </c>
      <c r="AF9" s="61" t="str">
        <f t="shared" si="12"/>
        <v/>
      </c>
      <c r="AG9" s="61" t="str">
        <f t="shared" si="13"/>
        <v/>
      </c>
      <c r="AH9" s="61" t="str">
        <f t="shared" si="14"/>
        <v/>
      </c>
      <c r="AI9" s="61" t="str">
        <f t="shared" si="15"/>
        <v/>
      </c>
    </row>
    <row r="10" spans="1:35" x14ac:dyDescent="0.25">
      <c r="A10" s="36"/>
      <c r="B10" s="37"/>
      <c r="C10" s="37"/>
      <c r="D10" s="37"/>
      <c r="E10" s="37"/>
      <c r="F10" s="37"/>
      <c r="G10" s="37"/>
      <c r="H10" s="37"/>
      <c r="I10" s="37"/>
      <c r="J10" s="38"/>
      <c r="K10" s="38"/>
      <c r="L10" s="37"/>
      <c r="M10" s="37"/>
      <c r="N10" s="37"/>
      <c r="O10" s="37"/>
      <c r="P10" s="37"/>
      <c r="Q10" s="37"/>
      <c r="R10" s="13" t="str">
        <f t="shared" ca="1" si="0"/>
        <v/>
      </c>
      <c r="S10" s="13" t="str">
        <f ca="1">IF(A10="","",IF(OR(M10='02_マスタ'!$E$10,M10='02_マスタ'!$E$12),"",IF(L10="High","High",IF(AND(K10&lt;&gt;"",K10&lt;TODAY()),INDEX(_ゴミ箱_Backup!$B$117:$D$247,MATCH("ALERT_OVERDUE",_ゴミ箱_Backup!$A$117:$A$247,0),MATCH(言語切替!$B$3,_ゴミ箱_Backup!$B$1:$D$1,0)),IF(AND(K10&lt;&gt;"",K10-TODAY()&lt;=7),INDEX(_ゴミ箱_Backup!$B$117:$D$247,MATCH("ALERT_APPROACHING",_ゴミ箱_Backup!$A$117:$A$247,0),MATCH(言語切替!$B$3,_ゴミ箱_Backup!$B$1:$D$1,0)),IF(OR(M10='02_マスタ'!$E$7,M10='02_マスタ'!$E$8),INDEX(_ゴミ箱_Backup!$B$117:$D$247,MATCH("ALERT_CHECK",_ゴミ箱_Backup!$A$117:$A$247,0),MATCH(言語切替!$B$3,_ゴミ箱_Backup!$B$1:$D$1,0)),""))))))</f>
        <v/>
      </c>
      <c r="T10" s="53"/>
      <c r="U10" s="61" t="str">
        <f t="shared" si="1"/>
        <v/>
      </c>
      <c r="V10" s="61" t="str">
        <f t="shared" si="2"/>
        <v/>
      </c>
      <c r="W10" s="61" t="str">
        <f t="shared" si="3"/>
        <v/>
      </c>
      <c r="X10" s="61" t="str">
        <f t="shared" si="4"/>
        <v/>
      </c>
      <c r="Y10" s="61" t="str">
        <f t="shared" si="5"/>
        <v/>
      </c>
      <c r="Z10" s="61" t="str">
        <f t="shared" si="6"/>
        <v/>
      </c>
      <c r="AA10" s="61" t="str">
        <f t="shared" si="7"/>
        <v/>
      </c>
      <c r="AB10" s="61" t="str">
        <f t="shared" si="8"/>
        <v/>
      </c>
      <c r="AC10" s="61" t="str">
        <f t="shared" si="9"/>
        <v/>
      </c>
      <c r="AD10" s="61" t="str">
        <f t="shared" si="10"/>
        <v/>
      </c>
      <c r="AE10" s="61" t="str">
        <f t="shared" si="11"/>
        <v/>
      </c>
      <c r="AF10" s="61" t="str">
        <f t="shared" si="12"/>
        <v/>
      </c>
      <c r="AG10" s="61" t="str">
        <f t="shared" si="13"/>
        <v/>
      </c>
      <c r="AH10" s="61" t="str">
        <f t="shared" si="14"/>
        <v/>
      </c>
      <c r="AI10" s="61" t="str">
        <f t="shared" si="15"/>
        <v/>
      </c>
    </row>
    <row r="11" spans="1:35" x14ac:dyDescent="0.25">
      <c r="A11" s="40"/>
      <c r="B11" s="41"/>
      <c r="C11" s="41"/>
      <c r="D11" s="41"/>
      <c r="E11" s="41"/>
      <c r="F11" s="41"/>
      <c r="G11" s="41"/>
      <c r="H11" s="41"/>
      <c r="I11" s="41"/>
      <c r="J11" s="42"/>
      <c r="K11" s="42"/>
      <c r="L11" s="41"/>
      <c r="M11" s="41"/>
      <c r="N11" s="41"/>
      <c r="O11" s="41"/>
      <c r="P11" s="41"/>
      <c r="Q11" s="41"/>
      <c r="R11" s="13" t="str">
        <f t="shared" ca="1" si="0"/>
        <v/>
      </c>
      <c r="S11" s="13" t="str">
        <f ca="1">IF(A11="","",IF(OR(M11='02_マスタ'!$E$10,M11='02_マスタ'!$E$12),"",IF(L11="High","High",IF(AND(K11&lt;&gt;"",K11&lt;TODAY()),INDEX(_ゴミ箱_Backup!$B$117:$D$247,MATCH("ALERT_OVERDUE",_ゴミ箱_Backup!$A$117:$A$247,0),MATCH(言語切替!$B$3,_ゴミ箱_Backup!$B$1:$D$1,0)),IF(AND(K11&lt;&gt;"",K11-TODAY()&lt;=7),INDEX(_ゴミ箱_Backup!$B$117:$D$247,MATCH("ALERT_APPROACHING",_ゴミ箱_Backup!$A$117:$A$247,0),MATCH(言語切替!$B$3,_ゴミ箱_Backup!$B$1:$D$1,0)),IF(OR(M11='02_マスタ'!$E$7,M11='02_マスタ'!$E$8),INDEX(_ゴミ箱_Backup!$B$117:$D$247,MATCH("ALERT_CHECK",_ゴミ箱_Backup!$A$117:$A$247,0),MATCH(言語切替!$B$3,_ゴミ箱_Backup!$B$1:$D$1,0)),""))))))</f>
        <v/>
      </c>
      <c r="T11" s="52"/>
      <c r="U11" s="61" t="str">
        <f t="shared" si="1"/>
        <v/>
      </c>
      <c r="V11" s="61" t="str">
        <f t="shared" si="2"/>
        <v/>
      </c>
      <c r="W11" s="61" t="str">
        <f t="shared" si="3"/>
        <v/>
      </c>
      <c r="X11" s="61" t="str">
        <f t="shared" si="4"/>
        <v/>
      </c>
      <c r="Y11" s="61" t="str">
        <f t="shared" si="5"/>
        <v/>
      </c>
      <c r="Z11" s="61" t="str">
        <f t="shared" si="6"/>
        <v/>
      </c>
      <c r="AA11" s="61" t="str">
        <f t="shared" si="7"/>
        <v/>
      </c>
      <c r="AB11" s="61" t="str">
        <f t="shared" si="8"/>
        <v/>
      </c>
      <c r="AC11" s="61" t="str">
        <f t="shared" si="9"/>
        <v/>
      </c>
      <c r="AD11" s="61" t="str">
        <f t="shared" si="10"/>
        <v/>
      </c>
      <c r="AE11" s="61" t="str">
        <f t="shared" si="11"/>
        <v/>
      </c>
      <c r="AF11" s="61" t="str">
        <f t="shared" si="12"/>
        <v/>
      </c>
      <c r="AG11" s="61" t="str">
        <f t="shared" si="13"/>
        <v/>
      </c>
      <c r="AH11" s="61" t="str">
        <f t="shared" si="14"/>
        <v/>
      </c>
      <c r="AI11" s="61" t="str">
        <f t="shared" si="15"/>
        <v/>
      </c>
    </row>
    <row r="12" spans="1:35" x14ac:dyDescent="0.25">
      <c r="A12" s="36"/>
      <c r="B12" s="37"/>
      <c r="C12" s="37"/>
      <c r="D12" s="37"/>
      <c r="E12" s="37"/>
      <c r="F12" s="37"/>
      <c r="G12" s="37"/>
      <c r="H12" s="37"/>
      <c r="I12" s="37"/>
      <c r="J12" s="38"/>
      <c r="K12" s="38"/>
      <c r="L12" s="37"/>
      <c r="M12" s="37"/>
      <c r="N12" s="37"/>
      <c r="O12" s="37"/>
      <c r="P12" s="37"/>
      <c r="Q12" s="37"/>
      <c r="R12" s="13" t="str">
        <f t="shared" ca="1" si="0"/>
        <v/>
      </c>
      <c r="S12" s="13" t="str">
        <f ca="1">IF(A12="","",IF(OR(M12='02_マスタ'!$E$10,M12='02_マスタ'!$E$12),"",IF(L12="High","High",IF(AND(K12&lt;&gt;"",K12&lt;TODAY()),INDEX(_ゴミ箱_Backup!$B$117:$D$247,MATCH("ALERT_OVERDUE",_ゴミ箱_Backup!$A$117:$A$247,0),MATCH(言語切替!$B$3,_ゴミ箱_Backup!$B$1:$D$1,0)),IF(AND(K12&lt;&gt;"",K12-TODAY()&lt;=7),INDEX(_ゴミ箱_Backup!$B$117:$D$247,MATCH("ALERT_APPROACHING",_ゴミ箱_Backup!$A$117:$A$247,0),MATCH(言語切替!$B$3,_ゴミ箱_Backup!$B$1:$D$1,0)),IF(OR(M12='02_マスタ'!$E$7,M12='02_マスタ'!$E$8),INDEX(_ゴミ箱_Backup!$B$117:$D$247,MATCH("ALERT_CHECK",_ゴミ箱_Backup!$A$117:$A$247,0),MATCH(言語切替!$B$3,_ゴミ箱_Backup!$B$1:$D$1,0)),""))))))</f>
        <v/>
      </c>
      <c r="T12" s="53"/>
      <c r="U12" s="61" t="str">
        <f t="shared" si="1"/>
        <v/>
      </c>
      <c r="V12" s="61" t="str">
        <f t="shared" si="2"/>
        <v/>
      </c>
      <c r="W12" s="61" t="str">
        <f t="shared" si="3"/>
        <v/>
      </c>
      <c r="X12" s="61" t="str">
        <f t="shared" si="4"/>
        <v/>
      </c>
      <c r="Y12" s="61" t="str">
        <f t="shared" si="5"/>
        <v/>
      </c>
      <c r="Z12" s="61" t="str">
        <f t="shared" si="6"/>
        <v/>
      </c>
      <c r="AA12" s="61" t="str">
        <f t="shared" si="7"/>
        <v/>
      </c>
      <c r="AB12" s="61" t="str">
        <f t="shared" si="8"/>
        <v/>
      </c>
      <c r="AC12" s="61" t="str">
        <f t="shared" si="9"/>
        <v/>
      </c>
      <c r="AD12" s="61" t="str">
        <f t="shared" si="10"/>
        <v/>
      </c>
      <c r="AE12" s="61" t="str">
        <f t="shared" si="11"/>
        <v/>
      </c>
      <c r="AF12" s="61" t="str">
        <f t="shared" si="12"/>
        <v/>
      </c>
      <c r="AG12" s="61" t="str">
        <f t="shared" si="13"/>
        <v/>
      </c>
      <c r="AH12" s="61" t="str">
        <f t="shared" si="14"/>
        <v/>
      </c>
      <c r="AI12" s="61" t="str">
        <f t="shared" si="15"/>
        <v/>
      </c>
    </row>
    <row r="13" spans="1:35" x14ac:dyDescent="0.25">
      <c r="A13" s="40"/>
      <c r="B13" s="41"/>
      <c r="C13" s="41"/>
      <c r="D13" s="41"/>
      <c r="E13" s="41"/>
      <c r="F13" s="41"/>
      <c r="G13" s="41"/>
      <c r="H13" s="41"/>
      <c r="I13" s="41"/>
      <c r="J13" s="42"/>
      <c r="K13" s="42"/>
      <c r="L13" s="41"/>
      <c r="M13" s="41"/>
      <c r="N13" s="41"/>
      <c r="O13" s="41"/>
      <c r="P13" s="41"/>
      <c r="Q13" s="41"/>
      <c r="R13" s="16" t="str">
        <f t="shared" ca="1" si="0"/>
        <v/>
      </c>
      <c r="S13" s="16" t="str">
        <f ca="1">IF(A13="","",IF(OR(M13='02_マスタ'!$E$10,M13='02_マスタ'!$E$12),"",IF(L13="High","High",IF(AND(K13&lt;&gt;"",K13&lt;TODAY()),INDEX(_ゴミ箱_Backup!$B$117:$D$247,MATCH("ALERT_OVERDUE",_ゴミ箱_Backup!$A$117:$A$247,0),MATCH(言語切替!$B$3,_ゴミ箱_Backup!$B$1:$D$1,0)),IF(AND(K13&lt;&gt;"",K13-TODAY()&lt;=7),INDEX(_ゴミ箱_Backup!$B$117:$D$247,MATCH("ALERT_APPROACHING",_ゴミ箱_Backup!$A$117:$A$247,0),MATCH(言語切替!$B$3,_ゴミ箱_Backup!$B$1:$D$1,0)),IF(OR(M13='02_マスタ'!$E$7,M13='02_マスタ'!$E$8),INDEX(_ゴミ箱_Backup!$B$117:$D$247,MATCH("ALERT_CHECK",_ゴミ箱_Backup!$A$117:$A$247,0),MATCH(言語切替!$B$3,_ゴミ箱_Backup!$B$1:$D$1,0)),""))))))</f>
        <v/>
      </c>
      <c r="T13" s="52"/>
      <c r="U13" s="61" t="str">
        <f t="shared" si="1"/>
        <v/>
      </c>
      <c r="V13" s="61" t="str">
        <f t="shared" si="2"/>
        <v/>
      </c>
      <c r="W13" s="61" t="str">
        <f t="shared" si="3"/>
        <v/>
      </c>
      <c r="X13" s="61" t="str">
        <f t="shared" si="4"/>
        <v/>
      </c>
      <c r="Y13" s="61" t="str">
        <f t="shared" si="5"/>
        <v/>
      </c>
      <c r="Z13" s="61" t="str">
        <f t="shared" si="6"/>
        <v/>
      </c>
      <c r="AA13" s="61" t="str">
        <f t="shared" si="7"/>
        <v/>
      </c>
      <c r="AB13" s="61" t="str">
        <f t="shared" si="8"/>
        <v/>
      </c>
      <c r="AC13" s="61" t="str">
        <f t="shared" si="9"/>
        <v/>
      </c>
      <c r="AD13" s="61" t="str">
        <f t="shared" si="10"/>
        <v/>
      </c>
      <c r="AE13" s="61" t="str">
        <f t="shared" si="11"/>
        <v/>
      </c>
      <c r="AF13" s="61" t="str">
        <f t="shared" si="12"/>
        <v/>
      </c>
      <c r="AG13" s="61" t="str">
        <f t="shared" si="13"/>
        <v/>
      </c>
      <c r="AH13" s="61" t="str">
        <f t="shared" si="14"/>
        <v/>
      </c>
      <c r="AI13" s="61" t="str">
        <f t="shared" si="15"/>
        <v/>
      </c>
    </row>
    <row r="14" spans="1:35" x14ac:dyDescent="0.25">
      <c r="A14" s="36"/>
      <c r="B14" s="37"/>
      <c r="C14" s="37"/>
      <c r="D14" s="37"/>
      <c r="E14" s="37"/>
      <c r="F14" s="37"/>
      <c r="G14" s="37"/>
      <c r="H14" s="37"/>
      <c r="I14" s="37"/>
      <c r="J14" s="38"/>
      <c r="K14" s="38"/>
      <c r="L14" s="37"/>
      <c r="M14" s="37"/>
      <c r="N14" s="37"/>
      <c r="O14" s="37"/>
      <c r="P14" s="37"/>
      <c r="Q14" s="37"/>
      <c r="R14" s="13" t="str">
        <f t="shared" ca="1" si="0"/>
        <v/>
      </c>
      <c r="S14" s="13" t="str">
        <f ca="1">IF(A14="","",IF(OR(M14='02_マスタ'!$E$10,M14='02_マスタ'!$E$12),"",IF(L14="High","High",IF(AND(K14&lt;&gt;"",K14&lt;TODAY()),INDEX(_ゴミ箱_Backup!$B$117:$D$247,MATCH("ALERT_OVERDUE",_ゴミ箱_Backup!$A$117:$A$247,0),MATCH(言語切替!$B$3,_ゴミ箱_Backup!$B$1:$D$1,0)),IF(AND(K14&lt;&gt;"",K14-TODAY()&lt;=7),INDEX(_ゴミ箱_Backup!$B$117:$D$247,MATCH("ALERT_APPROACHING",_ゴミ箱_Backup!$A$117:$A$247,0),MATCH(言語切替!$B$3,_ゴミ箱_Backup!$B$1:$D$1,0)),IF(OR(M14='02_マスタ'!$E$7,M14='02_マスタ'!$E$8),INDEX(_ゴミ箱_Backup!$B$117:$D$247,MATCH("ALERT_CHECK",_ゴミ箱_Backup!$A$117:$A$247,0),MATCH(言語切替!$B$3,_ゴミ箱_Backup!$B$1:$D$1,0)),""))))))</f>
        <v/>
      </c>
      <c r="T14" s="53"/>
      <c r="U14" s="61" t="str">
        <f t="shared" si="1"/>
        <v/>
      </c>
      <c r="V14" s="61" t="str">
        <f t="shared" si="2"/>
        <v/>
      </c>
      <c r="W14" s="61" t="str">
        <f t="shared" si="3"/>
        <v/>
      </c>
      <c r="X14" s="61" t="str">
        <f t="shared" si="4"/>
        <v/>
      </c>
      <c r="Y14" s="61" t="str">
        <f t="shared" si="5"/>
        <v/>
      </c>
      <c r="Z14" s="61" t="str">
        <f t="shared" si="6"/>
        <v/>
      </c>
      <c r="AA14" s="61" t="str">
        <f t="shared" si="7"/>
        <v/>
      </c>
      <c r="AB14" s="61" t="str">
        <f t="shared" si="8"/>
        <v/>
      </c>
      <c r="AC14" s="61" t="str">
        <f t="shared" si="9"/>
        <v/>
      </c>
      <c r="AD14" s="61" t="str">
        <f t="shared" si="10"/>
        <v/>
      </c>
      <c r="AE14" s="61" t="str">
        <f t="shared" si="11"/>
        <v/>
      </c>
      <c r="AF14" s="61" t="str">
        <f t="shared" si="12"/>
        <v/>
      </c>
      <c r="AG14" s="61" t="str">
        <f t="shared" si="13"/>
        <v/>
      </c>
      <c r="AH14" s="61" t="str">
        <f t="shared" si="14"/>
        <v/>
      </c>
      <c r="AI14" s="61" t="str">
        <f t="shared" si="15"/>
        <v/>
      </c>
    </row>
    <row r="15" spans="1:35" x14ac:dyDescent="0.25">
      <c r="A15" s="40"/>
      <c r="B15" s="41"/>
      <c r="C15" s="41"/>
      <c r="D15" s="41"/>
      <c r="E15" s="41"/>
      <c r="F15" s="41"/>
      <c r="G15" s="41"/>
      <c r="H15" s="41"/>
      <c r="I15" s="41"/>
      <c r="J15" s="42"/>
      <c r="K15" s="42"/>
      <c r="L15" s="41"/>
      <c r="M15" s="41"/>
      <c r="N15" s="41"/>
      <c r="O15" s="41"/>
      <c r="P15" s="41"/>
      <c r="Q15" s="41"/>
      <c r="R15" s="16" t="str">
        <f t="shared" ca="1" si="0"/>
        <v/>
      </c>
      <c r="S15" s="16" t="str">
        <f ca="1">IF(A15="","",IF(OR(M15='02_マスタ'!$E$10,M15='02_マスタ'!$E$12),"",IF(L15="High","High",IF(AND(K15&lt;&gt;"",K15&lt;TODAY()),INDEX(_ゴミ箱_Backup!$B$117:$D$247,MATCH("ALERT_OVERDUE",_ゴミ箱_Backup!$A$117:$A$247,0),MATCH(言語切替!$B$3,_ゴミ箱_Backup!$B$1:$D$1,0)),IF(AND(K15&lt;&gt;"",K15-TODAY()&lt;=7),INDEX(_ゴミ箱_Backup!$B$117:$D$247,MATCH("ALERT_APPROACHING",_ゴミ箱_Backup!$A$117:$A$247,0),MATCH(言語切替!$B$3,_ゴミ箱_Backup!$B$1:$D$1,0)),IF(OR(M15='02_マスタ'!$E$7,M15='02_マスタ'!$E$8),INDEX(_ゴミ箱_Backup!$B$117:$D$247,MATCH("ALERT_CHECK",_ゴミ箱_Backup!$A$117:$A$247,0),MATCH(言語切替!$B$3,_ゴミ箱_Backup!$B$1:$D$1,0)),""))))))</f>
        <v/>
      </c>
      <c r="T15" s="52"/>
      <c r="U15" s="61" t="str">
        <f t="shared" si="1"/>
        <v/>
      </c>
      <c r="V15" s="61" t="str">
        <f t="shared" si="2"/>
        <v/>
      </c>
      <c r="W15" s="61" t="str">
        <f t="shared" si="3"/>
        <v/>
      </c>
      <c r="X15" s="61" t="str">
        <f t="shared" si="4"/>
        <v/>
      </c>
      <c r="Y15" s="61" t="str">
        <f t="shared" si="5"/>
        <v/>
      </c>
      <c r="Z15" s="61" t="str">
        <f t="shared" si="6"/>
        <v/>
      </c>
      <c r="AA15" s="61" t="str">
        <f t="shared" si="7"/>
        <v/>
      </c>
      <c r="AB15" s="61" t="str">
        <f t="shared" si="8"/>
        <v/>
      </c>
      <c r="AC15" s="61" t="str">
        <f t="shared" si="9"/>
        <v/>
      </c>
      <c r="AD15" s="61" t="str">
        <f t="shared" si="10"/>
        <v/>
      </c>
      <c r="AE15" s="61" t="str">
        <f t="shared" si="11"/>
        <v/>
      </c>
      <c r="AF15" s="61" t="str">
        <f t="shared" si="12"/>
        <v/>
      </c>
      <c r="AG15" s="61" t="str">
        <f t="shared" si="13"/>
        <v/>
      </c>
      <c r="AH15" s="61" t="str">
        <f t="shared" si="14"/>
        <v/>
      </c>
      <c r="AI15" s="61" t="str">
        <f t="shared" si="15"/>
        <v/>
      </c>
    </row>
    <row r="16" spans="1:35" x14ac:dyDescent="0.25">
      <c r="A16" s="36"/>
      <c r="B16" s="37"/>
      <c r="C16" s="37"/>
      <c r="D16" s="37"/>
      <c r="E16" s="37"/>
      <c r="F16" s="37"/>
      <c r="G16" s="37"/>
      <c r="H16" s="37"/>
      <c r="I16" s="37"/>
      <c r="J16" s="38"/>
      <c r="K16" s="38"/>
      <c r="L16" s="37"/>
      <c r="M16" s="37"/>
      <c r="N16" s="37"/>
      <c r="O16" s="37"/>
      <c r="P16" s="37"/>
      <c r="Q16" s="37"/>
      <c r="R16" s="13" t="str">
        <f t="shared" ca="1" si="0"/>
        <v/>
      </c>
      <c r="S16" s="13" t="str">
        <f ca="1">IF(A16="","",IF(OR(M16='02_マスタ'!$E$10,M16='02_マスタ'!$E$12),"",IF(L16="High","High",IF(AND(K16&lt;&gt;"",K16&lt;TODAY()),INDEX(_ゴミ箱_Backup!$B$117:$D$247,MATCH("ALERT_OVERDUE",_ゴミ箱_Backup!$A$117:$A$247,0),MATCH(言語切替!$B$3,_ゴミ箱_Backup!$B$1:$D$1,0)),IF(AND(K16&lt;&gt;"",K16-TODAY()&lt;=7),INDEX(_ゴミ箱_Backup!$B$117:$D$247,MATCH("ALERT_APPROACHING",_ゴミ箱_Backup!$A$117:$A$247,0),MATCH(言語切替!$B$3,_ゴミ箱_Backup!$B$1:$D$1,0)),IF(OR(M16='02_マスタ'!$E$7,M16='02_マスタ'!$E$8),INDEX(_ゴミ箱_Backup!$B$117:$D$247,MATCH("ALERT_CHECK",_ゴミ箱_Backup!$A$117:$A$247,0),MATCH(言語切替!$B$3,_ゴミ箱_Backup!$B$1:$D$1,0)),""))))))</f>
        <v/>
      </c>
      <c r="T16" s="53"/>
      <c r="U16" s="61" t="str">
        <f t="shared" si="1"/>
        <v/>
      </c>
      <c r="V16" s="61" t="str">
        <f t="shared" si="2"/>
        <v/>
      </c>
      <c r="W16" s="61" t="str">
        <f t="shared" si="3"/>
        <v/>
      </c>
      <c r="X16" s="61" t="str">
        <f t="shared" si="4"/>
        <v/>
      </c>
      <c r="Y16" s="61" t="str">
        <f t="shared" si="5"/>
        <v/>
      </c>
      <c r="Z16" s="61" t="str">
        <f t="shared" si="6"/>
        <v/>
      </c>
      <c r="AA16" s="61" t="str">
        <f t="shared" si="7"/>
        <v/>
      </c>
      <c r="AB16" s="61" t="str">
        <f t="shared" si="8"/>
        <v/>
      </c>
      <c r="AC16" s="61" t="str">
        <f t="shared" si="9"/>
        <v/>
      </c>
      <c r="AD16" s="61" t="str">
        <f t="shared" si="10"/>
        <v/>
      </c>
      <c r="AE16" s="61" t="str">
        <f t="shared" si="11"/>
        <v/>
      </c>
      <c r="AF16" s="61" t="str">
        <f t="shared" si="12"/>
        <v/>
      </c>
      <c r="AG16" s="61" t="str">
        <f t="shared" si="13"/>
        <v/>
      </c>
      <c r="AH16" s="61" t="str">
        <f t="shared" si="14"/>
        <v/>
      </c>
      <c r="AI16" s="61" t="str">
        <f t="shared" si="15"/>
        <v/>
      </c>
    </row>
    <row r="17" spans="1:35" x14ac:dyDescent="0.25">
      <c r="A17" s="40"/>
      <c r="B17" s="41"/>
      <c r="C17" s="41"/>
      <c r="D17" s="41"/>
      <c r="E17" s="41"/>
      <c r="F17" s="41"/>
      <c r="G17" s="41"/>
      <c r="H17" s="41"/>
      <c r="I17" s="41"/>
      <c r="J17" s="42"/>
      <c r="K17" s="42"/>
      <c r="L17" s="41"/>
      <c r="M17" s="41"/>
      <c r="N17" s="41"/>
      <c r="O17" s="41"/>
      <c r="P17" s="41"/>
      <c r="Q17" s="41"/>
      <c r="R17" s="16" t="str">
        <f t="shared" ca="1" si="0"/>
        <v/>
      </c>
      <c r="S17" s="16" t="str">
        <f ca="1">IF(A17="","",IF(OR(M17='02_マスタ'!$E$10,M17='02_マスタ'!$E$12),"",IF(L17="High","High",IF(AND(K17&lt;&gt;"",K17&lt;TODAY()),INDEX(_ゴミ箱_Backup!$B$117:$D$247,MATCH("ALERT_OVERDUE",_ゴミ箱_Backup!$A$117:$A$247,0),MATCH(言語切替!$B$3,_ゴミ箱_Backup!$B$1:$D$1,0)),IF(AND(K17&lt;&gt;"",K17-TODAY()&lt;=7),INDEX(_ゴミ箱_Backup!$B$117:$D$247,MATCH("ALERT_APPROACHING",_ゴミ箱_Backup!$A$117:$A$247,0),MATCH(言語切替!$B$3,_ゴミ箱_Backup!$B$1:$D$1,0)),IF(OR(M17='02_マスタ'!$E$7,M17='02_マスタ'!$E$8),INDEX(_ゴミ箱_Backup!$B$117:$D$247,MATCH("ALERT_CHECK",_ゴミ箱_Backup!$A$117:$A$247,0),MATCH(言語切替!$B$3,_ゴミ箱_Backup!$B$1:$D$1,0)),""))))))</f>
        <v/>
      </c>
      <c r="T17" s="52"/>
      <c r="U17" s="61" t="str">
        <f t="shared" si="1"/>
        <v/>
      </c>
      <c r="V17" s="61" t="str">
        <f t="shared" si="2"/>
        <v/>
      </c>
      <c r="W17" s="61" t="str">
        <f t="shared" si="3"/>
        <v/>
      </c>
      <c r="X17" s="61" t="str">
        <f t="shared" si="4"/>
        <v/>
      </c>
      <c r="Y17" s="61" t="str">
        <f t="shared" si="5"/>
        <v/>
      </c>
      <c r="Z17" s="61" t="str">
        <f t="shared" si="6"/>
        <v/>
      </c>
      <c r="AA17" s="61" t="str">
        <f t="shared" si="7"/>
        <v/>
      </c>
      <c r="AB17" s="61" t="str">
        <f t="shared" si="8"/>
        <v/>
      </c>
      <c r="AC17" s="61" t="str">
        <f t="shared" si="9"/>
        <v/>
      </c>
      <c r="AD17" s="61" t="str">
        <f t="shared" si="10"/>
        <v/>
      </c>
      <c r="AE17" s="61" t="str">
        <f t="shared" si="11"/>
        <v/>
      </c>
      <c r="AF17" s="61" t="str">
        <f t="shared" si="12"/>
        <v/>
      </c>
      <c r="AG17" s="61" t="str">
        <f t="shared" si="13"/>
        <v/>
      </c>
      <c r="AH17" s="61" t="str">
        <f t="shared" si="14"/>
        <v/>
      </c>
      <c r="AI17" s="61" t="str">
        <f t="shared" si="15"/>
        <v/>
      </c>
    </row>
    <row r="18" spans="1:35" x14ac:dyDescent="0.25">
      <c r="A18" s="36"/>
      <c r="B18" s="37"/>
      <c r="C18" s="37"/>
      <c r="D18" s="37"/>
      <c r="E18" s="37"/>
      <c r="F18" s="37"/>
      <c r="G18" s="37"/>
      <c r="H18" s="37"/>
      <c r="I18" s="37"/>
      <c r="J18" s="38"/>
      <c r="K18" s="38"/>
      <c r="L18" s="37"/>
      <c r="M18" s="37"/>
      <c r="N18" s="37"/>
      <c r="O18" s="37"/>
      <c r="P18" s="37"/>
      <c r="Q18" s="37"/>
      <c r="R18" s="13" t="str">
        <f t="shared" ca="1" si="0"/>
        <v/>
      </c>
      <c r="S18" s="13" t="str">
        <f ca="1">IF(A18="","",IF(OR(M18='02_マスタ'!$E$10,M18='02_マスタ'!$E$12),"",IF(L18="High","High",IF(AND(K18&lt;&gt;"",K18&lt;TODAY()),INDEX(_ゴミ箱_Backup!$B$117:$D$247,MATCH("ALERT_OVERDUE",_ゴミ箱_Backup!$A$117:$A$247,0),MATCH(言語切替!$B$3,_ゴミ箱_Backup!$B$1:$D$1,0)),IF(AND(K18&lt;&gt;"",K18-TODAY()&lt;=7),INDEX(_ゴミ箱_Backup!$B$117:$D$247,MATCH("ALERT_APPROACHING",_ゴミ箱_Backup!$A$117:$A$247,0),MATCH(言語切替!$B$3,_ゴミ箱_Backup!$B$1:$D$1,0)),IF(OR(M18='02_マスタ'!$E$7,M18='02_マスタ'!$E$8),INDEX(_ゴミ箱_Backup!$B$117:$D$247,MATCH("ALERT_CHECK",_ゴミ箱_Backup!$A$117:$A$247,0),MATCH(言語切替!$B$3,_ゴミ箱_Backup!$B$1:$D$1,0)),""))))))</f>
        <v/>
      </c>
      <c r="T18" s="53"/>
      <c r="U18" s="61" t="str">
        <f t="shared" si="1"/>
        <v/>
      </c>
      <c r="V18" s="61" t="str">
        <f t="shared" si="2"/>
        <v/>
      </c>
      <c r="W18" s="61" t="str">
        <f t="shared" si="3"/>
        <v/>
      </c>
      <c r="X18" s="61" t="str">
        <f t="shared" si="4"/>
        <v/>
      </c>
      <c r="Y18" s="61" t="str">
        <f t="shared" si="5"/>
        <v/>
      </c>
      <c r="Z18" s="61" t="str">
        <f t="shared" si="6"/>
        <v/>
      </c>
      <c r="AA18" s="61" t="str">
        <f t="shared" si="7"/>
        <v/>
      </c>
      <c r="AB18" s="61" t="str">
        <f t="shared" si="8"/>
        <v/>
      </c>
      <c r="AC18" s="61" t="str">
        <f t="shared" si="9"/>
        <v/>
      </c>
      <c r="AD18" s="61" t="str">
        <f t="shared" si="10"/>
        <v/>
      </c>
      <c r="AE18" s="61" t="str">
        <f t="shared" si="11"/>
        <v/>
      </c>
      <c r="AF18" s="61" t="str">
        <f t="shared" si="12"/>
        <v/>
      </c>
      <c r="AG18" s="61" t="str">
        <f t="shared" si="13"/>
        <v/>
      </c>
      <c r="AH18" s="61" t="str">
        <f t="shared" si="14"/>
        <v/>
      </c>
      <c r="AI18" s="61" t="str">
        <f t="shared" si="15"/>
        <v/>
      </c>
    </row>
    <row r="19" spans="1:35" x14ac:dyDescent="0.25">
      <c r="A19" s="40"/>
      <c r="B19" s="41"/>
      <c r="C19" s="41"/>
      <c r="D19" s="41"/>
      <c r="E19" s="41"/>
      <c r="F19" s="41"/>
      <c r="G19" s="41"/>
      <c r="H19" s="41"/>
      <c r="I19" s="41"/>
      <c r="J19" s="42"/>
      <c r="K19" s="42"/>
      <c r="L19" s="41"/>
      <c r="M19" s="41"/>
      <c r="N19" s="41"/>
      <c r="O19" s="41"/>
      <c r="P19" s="41"/>
      <c r="Q19" s="41"/>
      <c r="R19" s="16" t="str">
        <f t="shared" ca="1" si="0"/>
        <v/>
      </c>
      <c r="S19" s="16" t="str">
        <f ca="1">IF(A19="","",IF(OR(M19='02_マスタ'!$E$10,M19='02_マスタ'!$E$12),"",IF(L19="High","High",IF(AND(K19&lt;&gt;"",K19&lt;TODAY()),INDEX(_ゴミ箱_Backup!$B$117:$D$247,MATCH("ALERT_OVERDUE",_ゴミ箱_Backup!$A$117:$A$247,0),MATCH(言語切替!$B$3,_ゴミ箱_Backup!$B$1:$D$1,0)),IF(AND(K19&lt;&gt;"",K19-TODAY()&lt;=7),INDEX(_ゴミ箱_Backup!$B$117:$D$247,MATCH("ALERT_APPROACHING",_ゴミ箱_Backup!$A$117:$A$247,0),MATCH(言語切替!$B$3,_ゴミ箱_Backup!$B$1:$D$1,0)),IF(OR(M19='02_マスタ'!$E$7,M19='02_マスタ'!$E$8),INDEX(_ゴミ箱_Backup!$B$117:$D$247,MATCH("ALERT_CHECK",_ゴミ箱_Backup!$A$117:$A$247,0),MATCH(言語切替!$B$3,_ゴミ箱_Backup!$B$1:$D$1,0)),""))))))</f>
        <v/>
      </c>
      <c r="T19" s="52"/>
      <c r="U19" s="61" t="str">
        <f t="shared" si="1"/>
        <v/>
      </c>
      <c r="V19" s="61" t="str">
        <f t="shared" si="2"/>
        <v/>
      </c>
      <c r="W19" s="61" t="str">
        <f t="shared" si="3"/>
        <v/>
      </c>
      <c r="X19" s="61" t="str">
        <f t="shared" si="4"/>
        <v/>
      </c>
      <c r="Y19" s="61" t="str">
        <f t="shared" si="5"/>
        <v/>
      </c>
      <c r="Z19" s="61" t="str">
        <f t="shared" si="6"/>
        <v/>
      </c>
      <c r="AA19" s="61" t="str">
        <f t="shared" si="7"/>
        <v/>
      </c>
      <c r="AB19" s="61" t="str">
        <f t="shared" si="8"/>
        <v/>
      </c>
      <c r="AC19" s="61" t="str">
        <f t="shared" si="9"/>
        <v/>
      </c>
      <c r="AD19" s="61" t="str">
        <f t="shared" si="10"/>
        <v/>
      </c>
      <c r="AE19" s="61" t="str">
        <f t="shared" si="11"/>
        <v/>
      </c>
      <c r="AF19" s="61" t="str">
        <f t="shared" si="12"/>
        <v/>
      </c>
      <c r="AG19" s="61" t="str">
        <f t="shared" si="13"/>
        <v/>
      </c>
      <c r="AH19" s="61" t="str">
        <f t="shared" si="14"/>
        <v/>
      </c>
      <c r="AI19" s="61" t="str">
        <f t="shared" si="15"/>
        <v/>
      </c>
    </row>
    <row r="20" spans="1:35" x14ac:dyDescent="0.25">
      <c r="A20" s="36"/>
      <c r="B20" s="37"/>
      <c r="C20" s="37"/>
      <c r="D20" s="37"/>
      <c r="E20" s="37"/>
      <c r="F20" s="37"/>
      <c r="G20" s="37"/>
      <c r="H20" s="37"/>
      <c r="I20" s="37"/>
      <c r="J20" s="38"/>
      <c r="K20" s="38"/>
      <c r="L20" s="37"/>
      <c r="M20" s="37"/>
      <c r="N20" s="37"/>
      <c r="O20" s="37"/>
      <c r="P20" s="37"/>
      <c r="Q20" s="37"/>
      <c r="R20" s="13" t="str">
        <f t="shared" ca="1" si="0"/>
        <v/>
      </c>
      <c r="S20" s="13" t="str">
        <f ca="1">IF(A20="","",IF(OR(M20='02_マスタ'!$E$10,M20='02_マスタ'!$E$12),"",IF(L20="High","High",IF(AND(K20&lt;&gt;"",K20&lt;TODAY()),INDEX(_ゴミ箱_Backup!$B$117:$D$247,MATCH("ALERT_OVERDUE",_ゴミ箱_Backup!$A$117:$A$247,0),MATCH(言語切替!$B$3,_ゴミ箱_Backup!$B$1:$D$1,0)),IF(AND(K20&lt;&gt;"",K20-TODAY()&lt;=7),INDEX(_ゴミ箱_Backup!$B$117:$D$247,MATCH("ALERT_APPROACHING",_ゴミ箱_Backup!$A$117:$A$247,0),MATCH(言語切替!$B$3,_ゴミ箱_Backup!$B$1:$D$1,0)),IF(OR(M20='02_マスタ'!$E$7,M20='02_マスタ'!$E$8),INDEX(_ゴミ箱_Backup!$B$117:$D$247,MATCH("ALERT_CHECK",_ゴミ箱_Backup!$A$117:$A$247,0),MATCH(言語切替!$B$3,_ゴミ箱_Backup!$B$1:$D$1,0)),""))))))</f>
        <v/>
      </c>
      <c r="T20" s="53"/>
      <c r="U20" s="61" t="str">
        <f t="shared" si="1"/>
        <v/>
      </c>
      <c r="V20" s="61" t="str">
        <f t="shared" si="2"/>
        <v/>
      </c>
      <c r="W20" s="61" t="str">
        <f t="shared" si="3"/>
        <v/>
      </c>
      <c r="X20" s="61" t="str">
        <f t="shared" si="4"/>
        <v/>
      </c>
      <c r="Y20" s="61" t="str">
        <f t="shared" si="5"/>
        <v/>
      </c>
      <c r="Z20" s="61" t="str">
        <f t="shared" si="6"/>
        <v/>
      </c>
      <c r="AA20" s="61" t="str">
        <f t="shared" si="7"/>
        <v/>
      </c>
      <c r="AB20" s="61" t="str">
        <f t="shared" si="8"/>
        <v/>
      </c>
      <c r="AC20" s="61" t="str">
        <f t="shared" si="9"/>
        <v/>
      </c>
      <c r="AD20" s="61" t="str">
        <f t="shared" si="10"/>
        <v/>
      </c>
      <c r="AE20" s="61" t="str">
        <f t="shared" si="11"/>
        <v/>
      </c>
      <c r="AF20" s="61" t="str">
        <f t="shared" si="12"/>
        <v/>
      </c>
      <c r="AG20" s="61" t="str">
        <f t="shared" si="13"/>
        <v/>
      </c>
      <c r="AH20" s="61" t="str">
        <f t="shared" si="14"/>
        <v/>
      </c>
      <c r="AI20" s="61" t="str">
        <f t="shared" si="15"/>
        <v/>
      </c>
    </row>
    <row r="21" spans="1:35" x14ac:dyDescent="0.25">
      <c r="A21" s="40"/>
      <c r="B21" s="41"/>
      <c r="C21" s="41"/>
      <c r="D21" s="41"/>
      <c r="E21" s="41"/>
      <c r="F21" s="41"/>
      <c r="G21" s="41"/>
      <c r="H21" s="41"/>
      <c r="I21" s="41"/>
      <c r="J21" s="42"/>
      <c r="K21" s="42"/>
      <c r="L21" s="41"/>
      <c r="M21" s="41"/>
      <c r="N21" s="41"/>
      <c r="O21" s="41"/>
      <c r="P21" s="41"/>
      <c r="Q21" s="41"/>
      <c r="R21" s="16" t="str">
        <f t="shared" ca="1" si="0"/>
        <v/>
      </c>
      <c r="S21" s="16" t="str">
        <f ca="1">IF(A21="","",IF(OR(M21='02_マスタ'!$E$10,M21='02_マスタ'!$E$12),"",IF(L21="High","High",IF(AND(K21&lt;&gt;"",K21&lt;TODAY()),INDEX(_ゴミ箱_Backup!$B$117:$D$247,MATCH("ALERT_OVERDUE",_ゴミ箱_Backup!$A$117:$A$247,0),MATCH(言語切替!$B$3,_ゴミ箱_Backup!$B$1:$D$1,0)),IF(AND(K21&lt;&gt;"",K21-TODAY()&lt;=7),INDEX(_ゴミ箱_Backup!$B$117:$D$247,MATCH("ALERT_APPROACHING",_ゴミ箱_Backup!$A$117:$A$247,0),MATCH(言語切替!$B$3,_ゴミ箱_Backup!$B$1:$D$1,0)),IF(OR(M21='02_マスタ'!$E$7,M21='02_マスタ'!$E$8),INDEX(_ゴミ箱_Backup!$B$117:$D$247,MATCH("ALERT_CHECK",_ゴミ箱_Backup!$A$117:$A$247,0),MATCH(言語切替!$B$3,_ゴミ箱_Backup!$B$1:$D$1,0)),""))))))</f>
        <v/>
      </c>
      <c r="T21" s="52"/>
      <c r="U21" s="61" t="str">
        <f t="shared" si="1"/>
        <v/>
      </c>
      <c r="V21" s="61" t="str">
        <f t="shared" si="2"/>
        <v/>
      </c>
      <c r="W21" s="61" t="str">
        <f t="shared" si="3"/>
        <v/>
      </c>
      <c r="X21" s="61" t="str">
        <f t="shared" si="4"/>
        <v/>
      </c>
      <c r="Y21" s="61" t="str">
        <f t="shared" si="5"/>
        <v/>
      </c>
      <c r="Z21" s="61" t="str">
        <f t="shared" si="6"/>
        <v/>
      </c>
      <c r="AA21" s="61" t="str">
        <f t="shared" si="7"/>
        <v/>
      </c>
      <c r="AB21" s="61" t="str">
        <f t="shared" si="8"/>
        <v/>
      </c>
      <c r="AC21" s="61" t="str">
        <f t="shared" si="9"/>
        <v/>
      </c>
      <c r="AD21" s="61" t="str">
        <f t="shared" si="10"/>
        <v/>
      </c>
      <c r="AE21" s="61" t="str">
        <f t="shared" si="11"/>
        <v/>
      </c>
      <c r="AF21" s="61" t="str">
        <f t="shared" si="12"/>
        <v/>
      </c>
      <c r="AG21" s="61" t="str">
        <f t="shared" si="13"/>
        <v/>
      </c>
      <c r="AH21" s="61" t="str">
        <f t="shared" si="14"/>
        <v/>
      </c>
      <c r="AI21" s="61" t="str">
        <f t="shared" si="15"/>
        <v/>
      </c>
    </row>
    <row r="22" spans="1:35" x14ac:dyDescent="0.25">
      <c r="A22" s="36"/>
      <c r="B22" s="37"/>
      <c r="C22" s="37"/>
      <c r="D22" s="37"/>
      <c r="E22" s="37"/>
      <c r="F22" s="37"/>
      <c r="G22" s="37"/>
      <c r="H22" s="37"/>
      <c r="I22" s="37"/>
      <c r="J22" s="38"/>
      <c r="K22" s="38"/>
      <c r="L22" s="37"/>
      <c r="M22" s="37"/>
      <c r="N22" s="37"/>
      <c r="O22" s="37"/>
      <c r="P22" s="37"/>
      <c r="Q22" s="37"/>
      <c r="R22" s="13" t="str">
        <f t="shared" ca="1" si="0"/>
        <v/>
      </c>
      <c r="S22" s="13" t="str">
        <f ca="1">IF(A22="","",IF(OR(M22='02_マスタ'!$E$10,M22='02_マスタ'!$E$12),"",IF(L22="High","High",IF(AND(K22&lt;&gt;"",K22&lt;TODAY()),INDEX(_ゴミ箱_Backup!$B$117:$D$247,MATCH("ALERT_OVERDUE",_ゴミ箱_Backup!$A$117:$A$247,0),MATCH(言語切替!$B$3,_ゴミ箱_Backup!$B$1:$D$1,0)),IF(AND(K22&lt;&gt;"",K22-TODAY()&lt;=7),INDEX(_ゴミ箱_Backup!$B$117:$D$247,MATCH("ALERT_APPROACHING",_ゴミ箱_Backup!$A$117:$A$247,0),MATCH(言語切替!$B$3,_ゴミ箱_Backup!$B$1:$D$1,0)),IF(OR(M22='02_マスタ'!$E$7,M22='02_マスタ'!$E$8),INDEX(_ゴミ箱_Backup!$B$117:$D$247,MATCH("ALERT_CHECK",_ゴミ箱_Backup!$A$117:$A$247,0),MATCH(言語切替!$B$3,_ゴミ箱_Backup!$B$1:$D$1,0)),""))))))</f>
        <v/>
      </c>
      <c r="T22" s="53"/>
      <c r="U22" s="61" t="str">
        <f t="shared" si="1"/>
        <v/>
      </c>
      <c r="V22" s="61" t="str">
        <f t="shared" si="2"/>
        <v/>
      </c>
      <c r="W22" s="61" t="str">
        <f t="shared" si="3"/>
        <v/>
      </c>
      <c r="X22" s="61" t="str">
        <f t="shared" si="4"/>
        <v/>
      </c>
      <c r="Y22" s="61" t="str">
        <f t="shared" si="5"/>
        <v/>
      </c>
      <c r="Z22" s="61" t="str">
        <f t="shared" si="6"/>
        <v/>
      </c>
      <c r="AA22" s="61" t="str">
        <f t="shared" si="7"/>
        <v/>
      </c>
      <c r="AB22" s="61" t="str">
        <f t="shared" si="8"/>
        <v/>
      </c>
      <c r="AC22" s="61" t="str">
        <f t="shared" si="9"/>
        <v/>
      </c>
      <c r="AD22" s="61" t="str">
        <f t="shared" si="10"/>
        <v/>
      </c>
      <c r="AE22" s="61" t="str">
        <f t="shared" si="11"/>
        <v/>
      </c>
      <c r="AF22" s="61" t="str">
        <f t="shared" si="12"/>
        <v/>
      </c>
      <c r="AG22" s="61" t="str">
        <f t="shared" si="13"/>
        <v/>
      </c>
      <c r="AH22" s="61" t="str">
        <f t="shared" si="14"/>
        <v/>
      </c>
      <c r="AI22" s="61" t="str">
        <f t="shared" si="15"/>
        <v/>
      </c>
    </row>
    <row r="23" spans="1:35" x14ac:dyDescent="0.25">
      <c r="A23" s="40"/>
      <c r="B23" s="41"/>
      <c r="C23" s="41"/>
      <c r="D23" s="41"/>
      <c r="E23" s="41"/>
      <c r="F23" s="41"/>
      <c r="G23" s="41"/>
      <c r="H23" s="41"/>
      <c r="I23" s="41"/>
      <c r="J23" s="42"/>
      <c r="K23" s="42"/>
      <c r="L23" s="41"/>
      <c r="M23" s="41"/>
      <c r="N23" s="41"/>
      <c r="O23" s="41"/>
      <c r="P23" s="41"/>
      <c r="Q23" s="41"/>
      <c r="R23" s="16" t="str">
        <f t="shared" ca="1" si="0"/>
        <v/>
      </c>
      <c r="S23" s="16" t="str">
        <f ca="1">IF(A23="","",IF(OR(M23='02_マスタ'!$E$10,M23='02_マスタ'!$E$12),"",IF(L23="High","High",IF(AND(K23&lt;&gt;"",K23&lt;TODAY()),INDEX(_ゴミ箱_Backup!$B$117:$D$247,MATCH("ALERT_OVERDUE",_ゴミ箱_Backup!$A$117:$A$247,0),MATCH(言語切替!$B$3,_ゴミ箱_Backup!$B$1:$D$1,0)),IF(AND(K23&lt;&gt;"",K23-TODAY()&lt;=7),INDEX(_ゴミ箱_Backup!$B$117:$D$247,MATCH("ALERT_APPROACHING",_ゴミ箱_Backup!$A$117:$A$247,0),MATCH(言語切替!$B$3,_ゴミ箱_Backup!$B$1:$D$1,0)),IF(OR(M23='02_マスタ'!$E$7,M23='02_マスタ'!$E$8),INDEX(_ゴミ箱_Backup!$B$117:$D$247,MATCH("ALERT_CHECK",_ゴミ箱_Backup!$A$117:$A$247,0),MATCH(言語切替!$B$3,_ゴミ箱_Backup!$B$1:$D$1,0)),""))))))</f>
        <v/>
      </c>
      <c r="T23" s="52"/>
      <c r="U23" s="61" t="str">
        <f t="shared" si="1"/>
        <v/>
      </c>
      <c r="V23" s="61" t="str">
        <f t="shared" si="2"/>
        <v/>
      </c>
      <c r="W23" s="61" t="str">
        <f t="shared" si="3"/>
        <v/>
      </c>
      <c r="X23" s="61" t="str">
        <f t="shared" si="4"/>
        <v/>
      </c>
      <c r="Y23" s="61" t="str">
        <f t="shared" si="5"/>
        <v/>
      </c>
      <c r="Z23" s="61" t="str">
        <f t="shared" si="6"/>
        <v/>
      </c>
      <c r="AA23" s="61" t="str">
        <f t="shared" si="7"/>
        <v/>
      </c>
      <c r="AB23" s="61" t="str">
        <f t="shared" si="8"/>
        <v/>
      </c>
      <c r="AC23" s="61" t="str">
        <f t="shared" si="9"/>
        <v/>
      </c>
      <c r="AD23" s="61" t="str">
        <f t="shared" si="10"/>
        <v/>
      </c>
      <c r="AE23" s="61" t="str">
        <f t="shared" si="11"/>
        <v/>
      </c>
      <c r="AF23" s="61" t="str">
        <f t="shared" si="12"/>
        <v/>
      </c>
      <c r="AG23" s="61" t="str">
        <f t="shared" si="13"/>
        <v/>
      </c>
      <c r="AH23" s="61" t="str">
        <f t="shared" si="14"/>
        <v/>
      </c>
      <c r="AI23" s="61" t="str">
        <f t="shared" si="15"/>
        <v/>
      </c>
    </row>
    <row r="24" spans="1:35" x14ac:dyDescent="0.25">
      <c r="A24" s="36"/>
      <c r="B24" s="37"/>
      <c r="C24" s="37"/>
      <c r="D24" s="37"/>
      <c r="E24" s="37"/>
      <c r="F24" s="37"/>
      <c r="G24" s="37"/>
      <c r="H24" s="37"/>
      <c r="I24" s="37"/>
      <c r="J24" s="38"/>
      <c r="K24" s="38"/>
      <c r="L24" s="37"/>
      <c r="M24" s="37"/>
      <c r="N24" s="37"/>
      <c r="O24" s="37"/>
      <c r="P24" s="37"/>
      <c r="Q24" s="37"/>
      <c r="R24" s="13" t="str">
        <f t="shared" ca="1" si="0"/>
        <v/>
      </c>
      <c r="S24" s="13" t="str">
        <f ca="1">IF(A24="","",IF(OR(M24='02_マスタ'!$E$10,M24='02_マスタ'!$E$12),"",IF(L24="High","High",IF(AND(K24&lt;&gt;"",K24&lt;TODAY()),INDEX(_ゴミ箱_Backup!$B$117:$D$247,MATCH("ALERT_OVERDUE",_ゴミ箱_Backup!$A$117:$A$247,0),MATCH(言語切替!$B$3,_ゴミ箱_Backup!$B$1:$D$1,0)),IF(AND(K24&lt;&gt;"",K24-TODAY()&lt;=7),INDEX(_ゴミ箱_Backup!$B$117:$D$247,MATCH("ALERT_APPROACHING",_ゴミ箱_Backup!$A$117:$A$247,0),MATCH(言語切替!$B$3,_ゴミ箱_Backup!$B$1:$D$1,0)),IF(OR(M24='02_マスタ'!$E$7,M24='02_マスタ'!$E$8),INDEX(_ゴミ箱_Backup!$B$117:$D$247,MATCH("ALERT_CHECK",_ゴミ箱_Backup!$A$117:$A$247,0),MATCH(言語切替!$B$3,_ゴミ箱_Backup!$B$1:$D$1,0)),""))))))</f>
        <v/>
      </c>
      <c r="T24" s="53"/>
      <c r="U24" s="61" t="str">
        <f t="shared" si="1"/>
        <v/>
      </c>
      <c r="V24" s="61" t="str">
        <f t="shared" si="2"/>
        <v/>
      </c>
      <c r="W24" s="61" t="str">
        <f t="shared" si="3"/>
        <v/>
      </c>
      <c r="X24" s="61" t="str">
        <f t="shared" si="4"/>
        <v/>
      </c>
      <c r="Y24" s="61" t="str">
        <f t="shared" si="5"/>
        <v/>
      </c>
      <c r="Z24" s="61" t="str">
        <f t="shared" si="6"/>
        <v/>
      </c>
      <c r="AA24" s="61" t="str">
        <f t="shared" si="7"/>
        <v/>
      </c>
      <c r="AB24" s="61" t="str">
        <f t="shared" si="8"/>
        <v/>
      </c>
      <c r="AC24" s="61" t="str">
        <f t="shared" si="9"/>
        <v/>
      </c>
      <c r="AD24" s="61" t="str">
        <f t="shared" si="10"/>
        <v/>
      </c>
      <c r="AE24" s="61" t="str">
        <f t="shared" si="11"/>
        <v/>
      </c>
      <c r="AF24" s="61" t="str">
        <f t="shared" si="12"/>
        <v/>
      </c>
      <c r="AG24" s="61" t="str">
        <f t="shared" si="13"/>
        <v/>
      </c>
      <c r="AH24" s="61" t="str">
        <f t="shared" si="14"/>
        <v/>
      </c>
      <c r="AI24" s="61" t="str">
        <f t="shared" si="15"/>
        <v/>
      </c>
    </row>
    <row r="25" spans="1:35" x14ac:dyDescent="0.25">
      <c r="A25" s="40"/>
      <c r="B25" s="41"/>
      <c r="C25" s="41"/>
      <c r="D25" s="41"/>
      <c r="E25" s="41"/>
      <c r="F25" s="41"/>
      <c r="G25" s="41"/>
      <c r="H25" s="41"/>
      <c r="I25" s="41"/>
      <c r="J25" s="42"/>
      <c r="K25" s="42"/>
      <c r="L25" s="41"/>
      <c r="M25" s="41"/>
      <c r="N25" s="41"/>
      <c r="O25" s="41"/>
      <c r="P25" s="41"/>
      <c r="Q25" s="41"/>
      <c r="R25" s="16" t="str">
        <f t="shared" ca="1" si="0"/>
        <v/>
      </c>
      <c r="S25" s="16" t="str">
        <f ca="1">IF(A25="","",IF(OR(M25='02_マスタ'!$E$10,M25='02_マスタ'!$E$12),"",IF(L25="High","High",IF(AND(K25&lt;&gt;"",K25&lt;TODAY()),INDEX(_ゴミ箱_Backup!$B$117:$D$247,MATCH("ALERT_OVERDUE",_ゴミ箱_Backup!$A$117:$A$247,0),MATCH(言語切替!$B$3,_ゴミ箱_Backup!$B$1:$D$1,0)),IF(AND(K25&lt;&gt;"",K25-TODAY()&lt;=7),INDEX(_ゴミ箱_Backup!$B$117:$D$247,MATCH("ALERT_APPROACHING",_ゴミ箱_Backup!$A$117:$A$247,0),MATCH(言語切替!$B$3,_ゴミ箱_Backup!$B$1:$D$1,0)),IF(OR(M25='02_マスタ'!$E$7,M25='02_マスタ'!$E$8),INDEX(_ゴミ箱_Backup!$B$117:$D$247,MATCH("ALERT_CHECK",_ゴミ箱_Backup!$A$117:$A$247,0),MATCH(言語切替!$B$3,_ゴミ箱_Backup!$B$1:$D$1,0)),""))))))</f>
        <v/>
      </c>
      <c r="T25" s="52"/>
      <c r="U25" s="61" t="str">
        <f t="shared" si="1"/>
        <v/>
      </c>
      <c r="V25" s="61" t="str">
        <f t="shared" si="2"/>
        <v/>
      </c>
      <c r="W25" s="61" t="str">
        <f t="shared" si="3"/>
        <v/>
      </c>
      <c r="X25" s="61" t="str">
        <f t="shared" si="4"/>
        <v/>
      </c>
      <c r="Y25" s="61" t="str">
        <f t="shared" si="5"/>
        <v/>
      </c>
      <c r="Z25" s="61" t="str">
        <f t="shared" si="6"/>
        <v/>
      </c>
      <c r="AA25" s="61" t="str">
        <f t="shared" si="7"/>
        <v/>
      </c>
      <c r="AB25" s="61" t="str">
        <f t="shared" si="8"/>
        <v/>
      </c>
      <c r="AC25" s="61" t="str">
        <f t="shared" si="9"/>
        <v/>
      </c>
      <c r="AD25" s="61" t="str">
        <f t="shared" si="10"/>
        <v/>
      </c>
      <c r="AE25" s="61" t="str">
        <f t="shared" si="11"/>
        <v/>
      </c>
      <c r="AF25" s="61" t="str">
        <f t="shared" si="12"/>
        <v/>
      </c>
      <c r="AG25" s="61" t="str">
        <f t="shared" si="13"/>
        <v/>
      </c>
      <c r="AH25" s="61" t="str">
        <f t="shared" si="14"/>
        <v/>
      </c>
      <c r="AI25" s="61" t="str">
        <f t="shared" si="15"/>
        <v/>
      </c>
    </row>
    <row r="26" spans="1:35" x14ac:dyDescent="0.25">
      <c r="A26" s="36"/>
      <c r="B26" s="37"/>
      <c r="C26" s="37"/>
      <c r="D26" s="37"/>
      <c r="E26" s="37"/>
      <c r="F26" s="37"/>
      <c r="G26" s="37"/>
      <c r="H26" s="37"/>
      <c r="I26" s="37"/>
      <c r="J26" s="38"/>
      <c r="K26" s="38"/>
      <c r="L26" s="37"/>
      <c r="M26" s="37"/>
      <c r="N26" s="37"/>
      <c r="O26" s="37"/>
      <c r="P26" s="37"/>
      <c r="Q26" s="37"/>
      <c r="R26" s="13" t="str">
        <f t="shared" ca="1" si="0"/>
        <v/>
      </c>
      <c r="S26" s="13" t="str">
        <f ca="1">IF(A26="","",IF(OR(M26='02_マスタ'!$E$10,M26='02_マスタ'!$E$12),"",IF(L26="High","High",IF(AND(K26&lt;&gt;"",K26&lt;TODAY()),INDEX(_ゴミ箱_Backup!$B$117:$D$247,MATCH("ALERT_OVERDUE",_ゴミ箱_Backup!$A$117:$A$247,0),MATCH(言語切替!$B$3,_ゴミ箱_Backup!$B$1:$D$1,0)),IF(AND(K26&lt;&gt;"",K26-TODAY()&lt;=7),INDEX(_ゴミ箱_Backup!$B$117:$D$247,MATCH("ALERT_APPROACHING",_ゴミ箱_Backup!$A$117:$A$247,0),MATCH(言語切替!$B$3,_ゴミ箱_Backup!$B$1:$D$1,0)),IF(OR(M26='02_マスタ'!$E$7,M26='02_マスタ'!$E$8),INDEX(_ゴミ箱_Backup!$B$117:$D$247,MATCH("ALERT_CHECK",_ゴミ箱_Backup!$A$117:$A$247,0),MATCH(言語切替!$B$3,_ゴミ箱_Backup!$B$1:$D$1,0)),""))))))</f>
        <v/>
      </c>
      <c r="T26" s="53"/>
      <c r="U26" s="61" t="str">
        <f t="shared" si="1"/>
        <v/>
      </c>
      <c r="V26" s="61" t="str">
        <f t="shared" si="2"/>
        <v/>
      </c>
      <c r="W26" s="61" t="str">
        <f t="shared" si="3"/>
        <v/>
      </c>
      <c r="X26" s="61" t="str">
        <f t="shared" si="4"/>
        <v/>
      </c>
      <c r="Y26" s="61" t="str">
        <f t="shared" si="5"/>
        <v/>
      </c>
      <c r="Z26" s="61" t="str">
        <f t="shared" si="6"/>
        <v/>
      </c>
      <c r="AA26" s="61" t="str">
        <f t="shared" si="7"/>
        <v/>
      </c>
      <c r="AB26" s="61" t="str">
        <f t="shared" si="8"/>
        <v/>
      </c>
      <c r="AC26" s="61" t="str">
        <f t="shared" si="9"/>
        <v/>
      </c>
      <c r="AD26" s="61" t="str">
        <f t="shared" si="10"/>
        <v/>
      </c>
      <c r="AE26" s="61" t="str">
        <f t="shared" si="11"/>
        <v/>
      </c>
      <c r="AF26" s="61" t="str">
        <f t="shared" si="12"/>
        <v/>
      </c>
      <c r="AG26" s="61" t="str">
        <f t="shared" si="13"/>
        <v/>
      </c>
      <c r="AH26" s="61" t="str">
        <f t="shared" si="14"/>
        <v/>
      </c>
      <c r="AI26" s="61" t="str">
        <f t="shared" si="15"/>
        <v/>
      </c>
    </row>
    <row r="27" spans="1:35" x14ac:dyDescent="0.25">
      <c r="A27" s="40"/>
      <c r="B27" s="41"/>
      <c r="C27" s="41"/>
      <c r="D27" s="41"/>
      <c r="E27" s="41"/>
      <c r="F27" s="41"/>
      <c r="G27" s="41"/>
      <c r="H27" s="41"/>
      <c r="I27" s="41"/>
      <c r="J27" s="42"/>
      <c r="K27" s="42"/>
      <c r="L27" s="41"/>
      <c r="M27" s="41"/>
      <c r="N27" s="41"/>
      <c r="O27" s="41"/>
      <c r="P27" s="41"/>
      <c r="Q27" s="41"/>
      <c r="R27" s="16" t="str">
        <f t="shared" ca="1" si="0"/>
        <v/>
      </c>
      <c r="S27" s="16" t="str">
        <f ca="1">IF(A27="","",IF(OR(M27='02_マスタ'!$E$10,M27='02_マスタ'!$E$12),"",IF(L27="High","High",IF(AND(K27&lt;&gt;"",K27&lt;TODAY()),INDEX(_ゴミ箱_Backup!$B$117:$D$247,MATCH("ALERT_OVERDUE",_ゴミ箱_Backup!$A$117:$A$247,0),MATCH(言語切替!$B$3,_ゴミ箱_Backup!$B$1:$D$1,0)),IF(AND(K27&lt;&gt;"",K27-TODAY()&lt;=7),INDEX(_ゴミ箱_Backup!$B$117:$D$247,MATCH("ALERT_APPROACHING",_ゴミ箱_Backup!$A$117:$A$247,0),MATCH(言語切替!$B$3,_ゴミ箱_Backup!$B$1:$D$1,0)),IF(OR(M27='02_マスタ'!$E$7,M27='02_マスタ'!$E$8),INDEX(_ゴミ箱_Backup!$B$117:$D$247,MATCH("ALERT_CHECK",_ゴミ箱_Backup!$A$117:$A$247,0),MATCH(言語切替!$B$3,_ゴミ箱_Backup!$B$1:$D$1,0)),""))))))</f>
        <v/>
      </c>
      <c r="T27" s="52"/>
      <c r="U27" s="61" t="str">
        <f t="shared" si="1"/>
        <v/>
      </c>
      <c r="V27" s="61" t="str">
        <f t="shared" si="2"/>
        <v/>
      </c>
      <c r="W27" s="61" t="str">
        <f t="shared" si="3"/>
        <v/>
      </c>
      <c r="X27" s="61" t="str">
        <f t="shared" si="4"/>
        <v/>
      </c>
      <c r="Y27" s="61" t="str">
        <f t="shared" si="5"/>
        <v/>
      </c>
      <c r="Z27" s="61" t="str">
        <f t="shared" si="6"/>
        <v/>
      </c>
      <c r="AA27" s="61" t="str">
        <f t="shared" si="7"/>
        <v/>
      </c>
      <c r="AB27" s="61" t="str">
        <f t="shared" si="8"/>
        <v/>
      </c>
      <c r="AC27" s="61" t="str">
        <f t="shared" si="9"/>
        <v/>
      </c>
      <c r="AD27" s="61" t="str">
        <f t="shared" si="10"/>
        <v/>
      </c>
      <c r="AE27" s="61" t="str">
        <f t="shared" si="11"/>
        <v/>
      </c>
      <c r="AF27" s="61" t="str">
        <f t="shared" si="12"/>
        <v/>
      </c>
      <c r="AG27" s="61" t="str">
        <f t="shared" si="13"/>
        <v/>
      </c>
      <c r="AH27" s="61" t="str">
        <f t="shared" si="14"/>
        <v/>
      </c>
      <c r="AI27" s="61" t="str">
        <f t="shared" si="15"/>
        <v/>
      </c>
    </row>
    <row r="28" spans="1:35" x14ac:dyDescent="0.25">
      <c r="A28" s="36"/>
      <c r="B28" s="37"/>
      <c r="C28" s="37"/>
      <c r="D28" s="37"/>
      <c r="E28" s="37"/>
      <c r="F28" s="37"/>
      <c r="G28" s="37"/>
      <c r="H28" s="37"/>
      <c r="I28" s="37"/>
      <c r="J28" s="38"/>
      <c r="K28" s="38"/>
      <c r="L28" s="37"/>
      <c r="M28" s="37"/>
      <c r="N28" s="37"/>
      <c r="O28" s="37"/>
      <c r="P28" s="37"/>
      <c r="Q28" s="37"/>
      <c r="R28" s="13" t="str">
        <f t="shared" ca="1" si="0"/>
        <v/>
      </c>
      <c r="S28" s="13" t="str">
        <f ca="1">IF(A28="","",IF(OR(M28='02_マスタ'!$E$10,M28='02_マスタ'!$E$12),"",IF(L28="High","High",IF(AND(K28&lt;&gt;"",K28&lt;TODAY()),INDEX(_ゴミ箱_Backup!$B$117:$D$247,MATCH("ALERT_OVERDUE",_ゴミ箱_Backup!$A$117:$A$247,0),MATCH(言語切替!$B$3,_ゴミ箱_Backup!$B$1:$D$1,0)),IF(AND(K28&lt;&gt;"",K28-TODAY()&lt;=7),INDEX(_ゴミ箱_Backup!$B$117:$D$247,MATCH("ALERT_APPROACHING",_ゴミ箱_Backup!$A$117:$A$247,0),MATCH(言語切替!$B$3,_ゴミ箱_Backup!$B$1:$D$1,0)),IF(OR(M28='02_マスタ'!$E$7,M28='02_マスタ'!$E$8),INDEX(_ゴミ箱_Backup!$B$117:$D$247,MATCH("ALERT_CHECK",_ゴミ箱_Backup!$A$117:$A$247,0),MATCH(言語切替!$B$3,_ゴミ箱_Backup!$B$1:$D$1,0)),""))))))</f>
        <v/>
      </c>
      <c r="T28" s="53"/>
      <c r="U28" s="61" t="str">
        <f t="shared" si="1"/>
        <v/>
      </c>
      <c r="V28" s="61" t="str">
        <f t="shared" si="2"/>
        <v/>
      </c>
      <c r="W28" s="61" t="str">
        <f t="shared" si="3"/>
        <v/>
      </c>
      <c r="X28" s="61" t="str">
        <f t="shared" si="4"/>
        <v/>
      </c>
      <c r="Y28" s="61" t="str">
        <f t="shared" si="5"/>
        <v/>
      </c>
      <c r="Z28" s="61" t="str">
        <f t="shared" si="6"/>
        <v/>
      </c>
      <c r="AA28" s="61" t="str">
        <f t="shared" si="7"/>
        <v/>
      </c>
      <c r="AB28" s="61" t="str">
        <f t="shared" si="8"/>
        <v/>
      </c>
      <c r="AC28" s="61" t="str">
        <f t="shared" si="9"/>
        <v/>
      </c>
      <c r="AD28" s="61" t="str">
        <f t="shared" si="10"/>
        <v/>
      </c>
      <c r="AE28" s="61" t="str">
        <f t="shared" si="11"/>
        <v/>
      </c>
      <c r="AF28" s="61" t="str">
        <f t="shared" si="12"/>
        <v/>
      </c>
      <c r="AG28" s="61" t="str">
        <f t="shared" si="13"/>
        <v/>
      </c>
      <c r="AH28" s="61" t="str">
        <f t="shared" si="14"/>
        <v/>
      </c>
      <c r="AI28" s="61" t="str">
        <f t="shared" si="15"/>
        <v/>
      </c>
    </row>
    <row r="29" spans="1:35" x14ac:dyDescent="0.25">
      <c r="A29" s="40"/>
      <c r="B29" s="41"/>
      <c r="C29" s="41"/>
      <c r="D29" s="41"/>
      <c r="E29" s="41"/>
      <c r="F29" s="41"/>
      <c r="G29" s="41"/>
      <c r="H29" s="41"/>
      <c r="I29" s="41"/>
      <c r="J29" s="42"/>
      <c r="K29" s="42"/>
      <c r="L29" s="41"/>
      <c r="M29" s="41"/>
      <c r="N29" s="41"/>
      <c r="O29" s="41"/>
      <c r="P29" s="41"/>
      <c r="Q29" s="41"/>
      <c r="R29" s="16" t="str">
        <f t="shared" ca="1" si="0"/>
        <v/>
      </c>
      <c r="S29" s="16" t="str">
        <f ca="1">IF(A29="","",IF(OR(M29='02_マスタ'!$E$10,M29='02_マスタ'!$E$12),"",IF(L29="High","High",IF(AND(K29&lt;&gt;"",K29&lt;TODAY()),INDEX(_ゴミ箱_Backup!$B$117:$D$247,MATCH("ALERT_OVERDUE",_ゴミ箱_Backup!$A$117:$A$247,0),MATCH(言語切替!$B$3,_ゴミ箱_Backup!$B$1:$D$1,0)),IF(AND(K29&lt;&gt;"",K29-TODAY()&lt;=7),INDEX(_ゴミ箱_Backup!$B$117:$D$247,MATCH("ALERT_APPROACHING",_ゴミ箱_Backup!$A$117:$A$247,0),MATCH(言語切替!$B$3,_ゴミ箱_Backup!$B$1:$D$1,0)),IF(OR(M29='02_マスタ'!$E$7,M29='02_マスタ'!$E$8),INDEX(_ゴミ箱_Backup!$B$117:$D$247,MATCH("ALERT_CHECK",_ゴミ箱_Backup!$A$117:$A$247,0),MATCH(言語切替!$B$3,_ゴミ箱_Backup!$B$1:$D$1,0)),""))))))</f>
        <v/>
      </c>
      <c r="T29" s="52"/>
      <c r="U29" s="61" t="str">
        <f t="shared" si="1"/>
        <v/>
      </c>
      <c r="V29" s="61" t="str">
        <f t="shared" si="2"/>
        <v/>
      </c>
      <c r="W29" s="61" t="str">
        <f t="shared" si="3"/>
        <v/>
      </c>
      <c r="X29" s="61" t="str">
        <f t="shared" si="4"/>
        <v/>
      </c>
      <c r="Y29" s="61" t="str">
        <f t="shared" si="5"/>
        <v/>
      </c>
      <c r="Z29" s="61" t="str">
        <f t="shared" si="6"/>
        <v/>
      </c>
      <c r="AA29" s="61" t="str">
        <f t="shared" si="7"/>
        <v/>
      </c>
      <c r="AB29" s="61" t="str">
        <f t="shared" si="8"/>
        <v/>
      </c>
      <c r="AC29" s="61" t="str">
        <f t="shared" si="9"/>
        <v/>
      </c>
      <c r="AD29" s="61" t="str">
        <f t="shared" si="10"/>
        <v/>
      </c>
      <c r="AE29" s="61" t="str">
        <f t="shared" si="11"/>
        <v/>
      </c>
      <c r="AF29" s="61" t="str">
        <f t="shared" si="12"/>
        <v/>
      </c>
      <c r="AG29" s="61" t="str">
        <f t="shared" si="13"/>
        <v/>
      </c>
      <c r="AH29" s="61" t="str">
        <f t="shared" si="14"/>
        <v/>
      </c>
      <c r="AI29" s="61" t="str">
        <f t="shared" si="15"/>
        <v/>
      </c>
    </row>
    <row r="30" spans="1:35" x14ac:dyDescent="0.25">
      <c r="A30" s="36"/>
      <c r="B30" s="37"/>
      <c r="C30" s="37"/>
      <c r="D30" s="37"/>
      <c r="E30" s="37"/>
      <c r="F30" s="37"/>
      <c r="G30" s="37"/>
      <c r="H30" s="37"/>
      <c r="I30" s="37"/>
      <c r="J30" s="38"/>
      <c r="K30" s="38"/>
      <c r="L30" s="37"/>
      <c r="M30" s="37"/>
      <c r="N30" s="37"/>
      <c r="O30" s="37"/>
      <c r="P30" s="37"/>
      <c r="Q30" s="37"/>
      <c r="R30" s="13" t="str">
        <f t="shared" ca="1" si="0"/>
        <v/>
      </c>
      <c r="S30" s="13" t="str">
        <f ca="1">IF(A30="","",IF(OR(M30='02_マスタ'!$E$10,M30='02_マスタ'!$E$12),"",IF(L30="High","High",IF(AND(K30&lt;&gt;"",K30&lt;TODAY()),INDEX(_ゴミ箱_Backup!$B$117:$D$247,MATCH("ALERT_OVERDUE",_ゴミ箱_Backup!$A$117:$A$247,0),MATCH(言語切替!$B$3,_ゴミ箱_Backup!$B$1:$D$1,0)),IF(AND(K30&lt;&gt;"",K30-TODAY()&lt;=7),INDEX(_ゴミ箱_Backup!$B$117:$D$247,MATCH("ALERT_APPROACHING",_ゴミ箱_Backup!$A$117:$A$247,0),MATCH(言語切替!$B$3,_ゴミ箱_Backup!$B$1:$D$1,0)),IF(OR(M30='02_マスタ'!$E$7,M30='02_マスタ'!$E$8),INDEX(_ゴミ箱_Backup!$B$117:$D$247,MATCH("ALERT_CHECK",_ゴミ箱_Backup!$A$117:$A$247,0),MATCH(言語切替!$B$3,_ゴミ箱_Backup!$B$1:$D$1,0)),""))))))</f>
        <v/>
      </c>
      <c r="T30" s="53"/>
      <c r="U30" s="61" t="str">
        <f t="shared" si="1"/>
        <v/>
      </c>
      <c r="V30" s="61" t="str">
        <f t="shared" si="2"/>
        <v/>
      </c>
      <c r="W30" s="61" t="str">
        <f t="shared" si="3"/>
        <v/>
      </c>
      <c r="X30" s="61" t="str">
        <f t="shared" si="4"/>
        <v/>
      </c>
      <c r="Y30" s="61" t="str">
        <f t="shared" si="5"/>
        <v/>
      </c>
      <c r="Z30" s="61" t="str">
        <f t="shared" si="6"/>
        <v/>
      </c>
      <c r="AA30" s="61" t="str">
        <f t="shared" si="7"/>
        <v/>
      </c>
      <c r="AB30" s="61" t="str">
        <f t="shared" si="8"/>
        <v/>
      </c>
      <c r="AC30" s="61" t="str">
        <f t="shared" si="9"/>
        <v/>
      </c>
      <c r="AD30" s="61" t="str">
        <f t="shared" si="10"/>
        <v/>
      </c>
      <c r="AE30" s="61" t="str">
        <f t="shared" si="11"/>
        <v/>
      </c>
      <c r="AF30" s="61" t="str">
        <f t="shared" si="12"/>
        <v/>
      </c>
      <c r="AG30" s="61" t="str">
        <f t="shared" si="13"/>
        <v/>
      </c>
      <c r="AH30" s="61" t="str">
        <f t="shared" si="14"/>
        <v/>
      </c>
      <c r="AI30" s="61" t="str">
        <f t="shared" si="15"/>
        <v/>
      </c>
    </row>
    <row r="31" spans="1:35" x14ac:dyDescent="0.25">
      <c r="A31" s="40"/>
      <c r="B31" s="41"/>
      <c r="C31" s="41"/>
      <c r="D31" s="41"/>
      <c r="E31" s="41"/>
      <c r="F31" s="41"/>
      <c r="G31" s="41"/>
      <c r="H31" s="41"/>
      <c r="I31" s="41"/>
      <c r="J31" s="42"/>
      <c r="K31" s="42"/>
      <c r="L31" s="41"/>
      <c r="M31" s="41"/>
      <c r="N31" s="41"/>
      <c r="O31" s="41"/>
      <c r="P31" s="41"/>
      <c r="Q31" s="41"/>
      <c r="R31" s="16" t="str">
        <f t="shared" ca="1" si="0"/>
        <v/>
      </c>
      <c r="S31" s="16" t="str">
        <f ca="1">IF(A31="","",IF(OR(M31='02_マスタ'!$E$10,M31='02_マスタ'!$E$12),"",IF(L31="High","High",IF(AND(K31&lt;&gt;"",K31&lt;TODAY()),INDEX(_ゴミ箱_Backup!$B$117:$D$247,MATCH("ALERT_OVERDUE",_ゴミ箱_Backup!$A$117:$A$247,0),MATCH(言語切替!$B$3,_ゴミ箱_Backup!$B$1:$D$1,0)),IF(AND(K31&lt;&gt;"",K31-TODAY()&lt;=7),INDEX(_ゴミ箱_Backup!$B$117:$D$247,MATCH("ALERT_APPROACHING",_ゴミ箱_Backup!$A$117:$A$247,0),MATCH(言語切替!$B$3,_ゴミ箱_Backup!$B$1:$D$1,0)),IF(OR(M31='02_マスタ'!$E$7,M31='02_マスタ'!$E$8),INDEX(_ゴミ箱_Backup!$B$117:$D$247,MATCH("ALERT_CHECK",_ゴミ箱_Backup!$A$117:$A$247,0),MATCH(言語切替!$B$3,_ゴミ箱_Backup!$B$1:$D$1,0)),""))))))</f>
        <v/>
      </c>
      <c r="T31" s="52"/>
      <c r="U31" s="61" t="str">
        <f t="shared" si="1"/>
        <v/>
      </c>
      <c r="V31" s="61" t="str">
        <f t="shared" si="2"/>
        <v/>
      </c>
      <c r="W31" s="61" t="str">
        <f t="shared" si="3"/>
        <v/>
      </c>
      <c r="X31" s="61" t="str">
        <f t="shared" si="4"/>
        <v/>
      </c>
      <c r="Y31" s="61" t="str">
        <f t="shared" si="5"/>
        <v/>
      </c>
      <c r="Z31" s="61" t="str">
        <f t="shared" si="6"/>
        <v/>
      </c>
      <c r="AA31" s="61" t="str">
        <f t="shared" si="7"/>
        <v/>
      </c>
      <c r="AB31" s="61" t="str">
        <f t="shared" si="8"/>
        <v/>
      </c>
      <c r="AC31" s="61" t="str">
        <f t="shared" si="9"/>
        <v/>
      </c>
      <c r="AD31" s="61" t="str">
        <f t="shared" si="10"/>
        <v/>
      </c>
      <c r="AE31" s="61" t="str">
        <f t="shared" si="11"/>
        <v/>
      </c>
      <c r="AF31" s="61" t="str">
        <f t="shared" si="12"/>
        <v/>
      </c>
      <c r="AG31" s="61" t="str">
        <f t="shared" si="13"/>
        <v/>
      </c>
      <c r="AH31" s="61" t="str">
        <f t="shared" si="14"/>
        <v/>
      </c>
      <c r="AI31" s="61" t="str">
        <f t="shared" si="15"/>
        <v/>
      </c>
    </row>
    <row r="32" spans="1:35" x14ac:dyDescent="0.25">
      <c r="A32" s="36"/>
      <c r="B32" s="37"/>
      <c r="C32" s="37"/>
      <c r="D32" s="37"/>
      <c r="E32" s="37"/>
      <c r="F32" s="37"/>
      <c r="G32" s="37"/>
      <c r="H32" s="37"/>
      <c r="I32" s="37"/>
      <c r="J32" s="38"/>
      <c r="K32" s="38"/>
      <c r="L32" s="37"/>
      <c r="M32" s="37"/>
      <c r="N32" s="37"/>
      <c r="O32" s="37"/>
      <c r="P32" s="37"/>
      <c r="Q32" s="37"/>
      <c r="R32" s="13" t="str">
        <f t="shared" ca="1" si="0"/>
        <v/>
      </c>
      <c r="S32" s="13" t="str">
        <f ca="1">IF(A32="","",IF(OR(M32='02_マスタ'!$E$10,M32='02_マスタ'!$E$12),"",IF(L32="High","High",IF(AND(K32&lt;&gt;"",K32&lt;TODAY()),INDEX(_ゴミ箱_Backup!$B$117:$D$247,MATCH("ALERT_OVERDUE",_ゴミ箱_Backup!$A$117:$A$247,0),MATCH(言語切替!$B$3,_ゴミ箱_Backup!$B$1:$D$1,0)),IF(AND(K32&lt;&gt;"",K32-TODAY()&lt;=7),INDEX(_ゴミ箱_Backup!$B$117:$D$247,MATCH("ALERT_APPROACHING",_ゴミ箱_Backup!$A$117:$A$247,0),MATCH(言語切替!$B$3,_ゴミ箱_Backup!$B$1:$D$1,0)),IF(OR(M32='02_マスタ'!$E$7,M32='02_マスタ'!$E$8),INDEX(_ゴミ箱_Backup!$B$117:$D$247,MATCH("ALERT_CHECK",_ゴミ箱_Backup!$A$117:$A$247,0),MATCH(言語切替!$B$3,_ゴミ箱_Backup!$B$1:$D$1,0)),""))))))</f>
        <v/>
      </c>
      <c r="T32" s="53"/>
      <c r="U32" s="61" t="str">
        <f t="shared" si="1"/>
        <v/>
      </c>
      <c r="V32" s="61" t="str">
        <f t="shared" si="2"/>
        <v/>
      </c>
      <c r="W32" s="61" t="str">
        <f t="shared" si="3"/>
        <v/>
      </c>
      <c r="X32" s="61" t="str">
        <f t="shared" si="4"/>
        <v/>
      </c>
      <c r="Y32" s="61" t="str">
        <f t="shared" si="5"/>
        <v/>
      </c>
      <c r="Z32" s="61" t="str">
        <f t="shared" si="6"/>
        <v/>
      </c>
      <c r="AA32" s="61" t="str">
        <f t="shared" si="7"/>
        <v/>
      </c>
      <c r="AB32" s="61" t="str">
        <f t="shared" si="8"/>
        <v/>
      </c>
      <c r="AC32" s="61" t="str">
        <f t="shared" si="9"/>
        <v/>
      </c>
      <c r="AD32" s="61" t="str">
        <f t="shared" si="10"/>
        <v/>
      </c>
      <c r="AE32" s="61" t="str">
        <f t="shared" si="11"/>
        <v/>
      </c>
      <c r="AF32" s="61" t="str">
        <f t="shared" si="12"/>
        <v/>
      </c>
      <c r="AG32" s="61" t="str">
        <f t="shared" si="13"/>
        <v/>
      </c>
      <c r="AH32" s="61" t="str">
        <f t="shared" si="14"/>
        <v/>
      </c>
      <c r="AI32" s="61" t="str">
        <f t="shared" si="15"/>
        <v/>
      </c>
    </row>
    <row r="33" spans="1:35" x14ac:dyDescent="0.25">
      <c r="A33" s="40"/>
      <c r="B33" s="41"/>
      <c r="C33" s="41"/>
      <c r="D33" s="41"/>
      <c r="E33" s="41"/>
      <c r="F33" s="41"/>
      <c r="G33" s="41"/>
      <c r="H33" s="41"/>
      <c r="I33" s="41"/>
      <c r="J33" s="42"/>
      <c r="K33" s="42"/>
      <c r="L33" s="41"/>
      <c r="M33" s="41"/>
      <c r="N33" s="41"/>
      <c r="O33" s="41"/>
      <c r="P33" s="41"/>
      <c r="Q33" s="41"/>
      <c r="R33" s="16" t="str">
        <f t="shared" ca="1" si="0"/>
        <v/>
      </c>
      <c r="S33" s="16" t="str">
        <f ca="1">IF(A33="","",IF(OR(M33='02_マスタ'!$E$10,M33='02_マスタ'!$E$12),"",IF(L33="High","High",IF(AND(K33&lt;&gt;"",K33&lt;TODAY()),INDEX(_ゴミ箱_Backup!$B$117:$D$247,MATCH("ALERT_OVERDUE",_ゴミ箱_Backup!$A$117:$A$247,0),MATCH(言語切替!$B$3,_ゴミ箱_Backup!$B$1:$D$1,0)),IF(AND(K33&lt;&gt;"",K33-TODAY()&lt;=7),INDEX(_ゴミ箱_Backup!$B$117:$D$247,MATCH("ALERT_APPROACHING",_ゴミ箱_Backup!$A$117:$A$247,0),MATCH(言語切替!$B$3,_ゴミ箱_Backup!$B$1:$D$1,0)),IF(OR(M33='02_マスタ'!$E$7,M33='02_マスタ'!$E$8),INDEX(_ゴミ箱_Backup!$B$117:$D$247,MATCH("ALERT_CHECK",_ゴミ箱_Backup!$A$117:$A$247,0),MATCH(言語切替!$B$3,_ゴミ箱_Backup!$B$1:$D$1,0)),""))))))</f>
        <v/>
      </c>
      <c r="T33" s="52"/>
      <c r="U33" s="61" t="str">
        <f t="shared" si="1"/>
        <v/>
      </c>
      <c r="V33" s="61" t="str">
        <f t="shared" si="2"/>
        <v/>
      </c>
      <c r="W33" s="61" t="str">
        <f t="shared" si="3"/>
        <v/>
      </c>
      <c r="X33" s="61" t="str">
        <f t="shared" si="4"/>
        <v/>
      </c>
      <c r="Y33" s="61" t="str">
        <f t="shared" si="5"/>
        <v/>
      </c>
      <c r="Z33" s="61" t="str">
        <f t="shared" si="6"/>
        <v/>
      </c>
      <c r="AA33" s="61" t="str">
        <f t="shared" si="7"/>
        <v/>
      </c>
      <c r="AB33" s="61" t="str">
        <f t="shared" si="8"/>
        <v/>
      </c>
      <c r="AC33" s="61" t="str">
        <f t="shared" si="9"/>
        <v/>
      </c>
      <c r="AD33" s="61" t="str">
        <f t="shared" si="10"/>
        <v/>
      </c>
      <c r="AE33" s="61" t="str">
        <f t="shared" si="11"/>
        <v/>
      </c>
      <c r="AF33" s="61" t="str">
        <f t="shared" si="12"/>
        <v/>
      </c>
      <c r="AG33" s="61" t="str">
        <f t="shared" si="13"/>
        <v/>
      </c>
      <c r="AH33" s="61" t="str">
        <f t="shared" si="14"/>
        <v/>
      </c>
      <c r="AI33" s="61" t="str">
        <f t="shared" si="15"/>
        <v/>
      </c>
    </row>
    <row r="34" spans="1:35" x14ac:dyDescent="0.25">
      <c r="A34" s="36"/>
      <c r="B34" s="37"/>
      <c r="C34" s="37"/>
      <c r="D34" s="37"/>
      <c r="E34" s="37"/>
      <c r="F34" s="37"/>
      <c r="G34" s="37"/>
      <c r="H34" s="37"/>
      <c r="I34" s="37"/>
      <c r="J34" s="38"/>
      <c r="K34" s="38"/>
      <c r="L34" s="37"/>
      <c r="M34" s="37"/>
      <c r="N34" s="37"/>
      <c r="O34" s="37"/>
      <c r="P34" s="37"/>
      <c r="Q34" s="37"/>
      <c r="R34" s="13" t="str">
        <f t="shared" ca="1" si="0"/>
        <v/>
      </c>
      <c r="S34" s="13" t="str">
        <f ca="1">IF(A34="","",IF(OR(M34='02_マスタ'!$E$10,M34='02_マスタ'!$E$12),"",IF(L34="High","High",IF(AND(K34&lt;&gt;"",K34&lt;TODAY()),INDEX(_ゴミ箱_Backup!$B$117:$D$247,MATCH("ALERT_OVERDUE",_ゴミ箱_Backup!$A$117:$A$247,0),MATCH(言語切替!$B$3,_ゴミ箱_Backup!$B$1:$D$1,0)),IF(AND(K34&lt;&gt;"",K34-TODAY()&lt;=7),INDEX(_ゴミ箱_Backup!$B$117:$D$247,MATCH("ALERT_APPROACHING",_ゴミ箱_Backup!$A$117:$A$247,0),MATCH(言語切替!$B$3,_ゴミ箱_Backup!$B$1:$D$1,0)),IF(OR(M34='02_マスタ'!$E$7,M34='02_マスタ'!$E$8),INDEX(_ゴミ箱_Backup!$B$117:$D$247,MATCH("ALERT_CHECK",_ゴミ箱_Backup!$A$117:$A$247,0),MATCH(言語切替!$B$3,_ゴミ箱_Backup!$B$1:$D$1,0)),""))))))</f>
        <v/>
      </c>
      <c r="T34" s="53"/>
      <c r="U34" s="61" t="str">
        <f t="shared" si="1"/>
        <v/>
      </c>
      <c r="V34" s="61" t="str">
        <f t="shared" si="2"/>
        <v/>
      </c>
      <c r="W34" s="61" t="str">
        <f t="shared" si="3"/>
        <v/>
      </c>
      <c r="X34" s="61" t="str">
        <f t="shared" si="4"/>
        <v/>
      </c>
      <c r="Y34" s="61" t="str">
        <f t="shared" si="5"/>
        <v/>
      </c>
      <c r="Z34" s="61" t="str">
        <f t="shared" si="6"/>
        <v/>
      </c>
      <c r="AA34" s="61" t="str">
        <f t="shared" si="7"/>
        <v/>
      </c>
      <c r="AB34" s="61" t="str">
        <f t="shared" si="8"/>
        <v/>
      </c>
      <c r="AC34" s="61" t="str">
        <f t="shared" si="9"/>
        <v/>
      </c>
      <c r="AD34" s="61" t="str">
        <f t="shared" si="10"/>
        <v/>
      </c>
      <c r="AE34" s="61" t="str">
        <f t="shared" si="11"/>
        <v/>
      </c>
      <c r="AF34" s="61" t="str">
        <f t="shared" si="12"/>
        <v/>
      </c>
      <c r="AG34" s="61" t="str">
        <f t="shared" si="13"/>
        <v/>
      </c>
      <c r="AH34" s="61" t="str">
        <f t="shared" si="14"/>
        <v/>
      </c>
      <c r="AI34" s="61" t="str">
        <f t="shared" si="15"/>
        <v/>
      </c>
    </row>
    <row r="35" spans="1:35" x14ac:dyDescent="0.25">
      <c r="A35" s="40"/>
      <c r="B35" s="41"/>
      <c r="C35" s="41"/>
      <c r="D35" s="41"/>
      <c r="E35" s="41"/>
      <c r="F35" s="41"/>
      <c r="G35" s="41"/>
      <c r="H35" s="41"/>
      <c r="I35" s="41"/>
      <c r="J35" s="42"/>
      <c r="K35" s="42"/>
      <c r="L35" s="41"/>
      <c r="M35" s="41"/>
      <c r="N35" s="41"/>
      <c r="O35" s="41"/>
      <c r="P35" s="41"/>
      <c r="Q35" s="41"/>
      <c r="R35" s="16" t="str">
        <f t="shared" ca="1" si="0"/>
        <v/>
      </c>
      <c r="S35" s="16" t="str">
        <f ca="1">IF(A35="","",IF(OR(M35='02_マスタ'!$E$10,M35='02_マスタ'!$E$12),"",IF(L35="High","High",IF(AND(K35&lt;&gt;"",K35&lt;TODAY()),INDEX(_ゴミ箱_Backup!$B$117:$D$247,MATCH("ALERT_OVERDUE",_ゴミ箱_Backup!$A$117:$A$247,0),MATCH(言語切替!$B$3,_ゴミ箱_Backup!$B$1:$D$1,0)),IF(AND(K35&lt;&gt;"",K35-TODAY()&lt;=7),INDEX(_ゴミ箱_Backup!$B$117:$D$247,MATCH("ALERT_APPROACHING",_ゴミ箱_Backup!$A$117:$A$247,0),MATCH(言語切替!$B$3,_ゴミ箱_Backup!$B$1:$D$1,0)),IF(OR(M35='02_マスタ'!$E$7,M35='02_マスタ'!$E$8),INDEX(_ゴミ箱_Backup!$B$117:$D$247,MATCH("ALERT_CHECK",_ゴミ箱_Backup!$A$117:$A$247,0),MATCH(言語切替!$B$3,_ゴミ箱_Backup!$B$1:$D$1,0)),""))))))</f>
        <v/>
      </c>
      <c r="T35" s="52"/>
      <c r="U35" s="61" t="str">
        <f t="shared" si="1"/>
        <v/>
      </c>
      <c r="V35" s="61" t="str">
        <f t="shared" si="2"/>
        <v/>
      </c>
      <c r="W35" s="61" t="str">
        <f t="shared" si="3"/>
        <v/>
      </c>
      <c r="X35" s="61" t="str">
        <f t="shared" si="4"/>
        <v/>
      </c>
      <c r="Y35" s="61" t="str">
        <f t="shared" si="5"/>
        <v/>
      </c>
      <c r="Z35" s="61" t="str">
        <f t="shared" si="6"/>
        <v/>
      </c>
      <c r="AA35" s="61" t="str">
        <f t="shared" si="7"/>
        <v/>
      </c>
      <c r="AB35" s="61" t="str">
        <f t="shared" si="8"/>
        <v/>
      </c>
      <c r="AC35" s="61" t="str">
        <f t="shared" si="9"/>
        <v/>
      </c>
      <c r="AD35" s="61" t="str">
        <f t="shared" si="10"/>
        <v/>
      </c>
      <c r="AE35" s="61" t="str">
        <f t="shared" si="11"/>
        <v/>
      </c>
      <c r="AF35" s="61" t="str">
        <f t="shared" si="12"/>
        <v/>
      </c>
      <c r="AG35" s="61" t="str">
        <f t="shared" si="13"/>
        <v/>
      </c>
      <c r="AH35" s="61" t="str">
        <f t="shared" si="14"/>
        <v/>
      </c>
      <c r="AI35" s="61" t="str">
        <f t="shared" si="15"/>
        <v/>
      </c>
    </row>
    <row r="36" spans="1:35" x14ac:dyDescent="0.25">
      <c r="A36" s="36"/>
      <c r="B36" s="37"/>
      <c r="C36" s="37"/>
      <c r="D36" s="37"/>
      <c r="E36" s="37"/>
      <c r="F36" s="37"/>
      <c r="G36" s="37"/>
      <c r="H36" s="37"/>
      <c r="I36" s="37"/>
      <c r="J36" s="38"/>
      <c r="K36" s="38"/>
      <c r="L36" s="37"/>
      <c r="M36" s="37"/>
      <c r="N36" s="37"/>
      <c r="O36" s="37"/>
      <c r="P36" s="37"/>
      <c r="Q36" s="37"/>
      <c r="R36" s="13" t="str">
        <f t="shared" ca="1" si="0"/>
        <v/>
      </c>
      <c r="S36" s="13" t="str">
        <f ca="1">IF(A36="","",IF(OR(M36='02_マスタ'!$E$10,M36='02_マスタ'!$E$12),"",IF(L36="High","High",IF(AND(K36&lt;&gt;"",K36&lt;TODAY()),INDEX(_ゴミ箱_Backup!$B$117:$D$247,MATCH("ALERT_OVERDUE",_ゴミ箱_Backup!$A$117:$A$247,0),MATCH(言語切替!$B$3,_ゴミ箱_Backup!$B$1:$D$1,0)),IF(AND(K36&lt;&gt;"",K36-TODAY()&lt;=7),INDEX(_ゴミ箱_Backup!$B$117:$D$247,MATCH("ALERT_APPROACHING",_ゴミ箱_Backup!$A$117:$A$247,0),MATCH(言語切替!$B$3,_ゴミ箱_Backup!$B$1:$D$1,0)),IF(OR(M36='02_マスタ'!$E$7,M36='02_マスタ'!$E$8),INDEX(_ゴミ箱_Backup!$B$117:$D$247,MATCH("ALERT_CHECK",_ゴミ箱_Backup!$A$117:$A$247,0),MATCH(言語切替!$B$3,_ゴミ箱_Backup!$B$1:$D$1,0)),""))))))</f>
        <v/>
      </c>
      <c r="T36" s="53"/>
      <c r="U36" s="61" t="str">
        <f t="shared" si="1"/>
        <v/>
      </c>
      <c r="V36" s="61" t="str">
        <f t="shared" si="2"/>
        <v/>
      </c>
      <c r="W36" s="61" t="str">
        <f t="shared" si="3"/>
        <v/>
      </c>
      <c r="X36" s="61" t="str">
        <f t="shared" si="4"/>
        <v/>
      </c>
      <c r="Y36" s="61" t="str">
        <f t="shared" si="5"/>
        <v/>
      </c>
      <c r="Z36" s="61" t="str">
        <f t="shared" si="6"/>
        <v/>
      </c>
      <c r="AA36" s="61" t="str">
        <f t="shared" si="7"/>
        <v/>
      </c>
      <c r="AB36" s="61" t="str">
        <f t="shared" si="8"/>
        <v/>
      </c>
      <c r="AC36" s="61" t="str">
        <f t="shared" si="9"/>
        <v/>
      </c>
      <c r="AD36" s="61" t="str">
        <f t="shared" si="10"/>
        <v/>
      </c>
      <c r="AE36" s="61" t="str">
        <f t="shared" si="11"/>
        <v/>
      </c>
      <c r="AF36" s="61" t="str">
        <f t="shared" si="12"/>
        <v/>
      </c>
      <c r="AG36" s="61" t="str">
        <f t="shared" si="13"/>
        <v/>
      </c>
      <c r="AH36" s="61" t="str">
        <f t="shared" si="14"/>
        <v/>
      </c>
      <c r="AI36" s="61" t="str">
        <f t="shared" si="15"/>
        <v/>
      </c>
    </row>
    <row r="37" spans="1:35" x14ac:dyDescent="0.25">
      <c r="A37" s="40"/>
      <c r="B37" s="41"/>
      <c r="C37" s="41"/>
      <c r="D37" s="41"/>
      <c r="E37" s="41"/>
      <c r="F37" s="41"/>
      <c r="G37" s="41"/>
      <c r="H37" s="41"/>
      <c r="I37" s="41"/>
      <c r="J37" s="42"/>
      <c r="K37" s="42"/>
      <c r="L37" s="41"/>
      <c r="M37" s="41"/>
      <c r="N37" s="41"/>
      <c r="O37" s="41"/>
      <c r="P37" s="41"/>
      <c r="Q37" s="41"/>
      <c r="R37" s="16" t="str">
        <f t="shared" ca="1" si="0"/>
        <v/>
      </c>
      <c r="S37" s="16" t="str">
        <f ca="1">IF(A37="","",IF(OR(M37='02_マスタ'!$E$10,M37='02_マスタ'!$E$12),"",IF(L37="High","High",IF(AND(K37&lt;&gt;"",K37&lt;TODAY()),INDEX(_ゴミ箱_Backup!$B$117:$D$247,MATCH("ALERT_OVERDUE",_ゴミ箱_Backup!$A$117:$A$247,0),MATCH(言語切替!$B$3,_ゴミ箱_Backup!$B$1:$D$1,0)),IF(AND(K37&lt;&gt;"",K37-TODAY()&lt;=7),INDEX(_ゴミ箱_Backup!$B$117:$D$247,MATCH("ALERT_APPROACHING",_ゴミ箱_Backup!$A$117:$A$247,0),MATCH(言語切替!$B$3,_ゴミ箱_Backup!$B$1:$D$1,0)),IF(OR(M37='02_マスタ'!$E$7,M37='02_マスタ'!$E$8),INDEX(_ゴミ箱_Backup!$B$117:$D$247,MATCH("ALERT_CHECK",_ゴミ箱_Backup!$A$117:$A$247,0),MATCH(言語切替!$B$3,_ゴミ箱_Backup!$B$1:$D$1,0)),""))))))</f>
        <v/>
      </c>
      <c r="T37" s="52"/>
      <c r="U37" s="61" t="str">
        <f t="shared" si="1"/>
        <v/>
      </c>
      <c r="V37" s="61" t="str">
        <f t="shared" si="2"/>
        <v/>
      </c>
      <c r="W37" s="61" t="str">
        <f t="shared" si="3"/>
        <v/>
      </c>
      <c r="X37" s="61" t="str">
        <f t="shared" si="4"/>
        <v/>
      </c>
      <c r="Y37" s="61" t="str">
        <f t="shared" si="5"/>
        <v/>
      </c>
      <c r="Z37" s="61" t="str">
        <f t="shared" si="6"/>
        <v/>
      </c>
      <c r="AA37" s="61" t="str">
        <f t="shared" si="7"/>
        <v/>
      </c>
      <c r="AB37" s="61" t="str">
        <f t="shared" si="8"/>
        <v/>
      </c>
      <c r="AC37" s="61" t="str">
        <f t="shared" si="9"/>
        <v/>
      </c>
      <c r="AD37" s="61" t="str">
        <f t="shared" si="10"/>
        <v/>
      </c>
      <c r="AE37" s="61" t="str">
        <f t="shared" si="11"/>
        <v/>
      </c>
      <c r="AF37" s="61" t="str">
        <f t="shared" si="12"/>
        <v/>
      </c>
      <c r="AG37" s="61" t="str">
        <f t="shared" si="13"/>
        <v/>
      </c>
      <c r="AH37" s="61" t="str">
        <f t="shared" si="14"/>
        <v/>
      </c>
      <c r="AI37" s="61" t="str">
        <f t="shared" si="15"/>
        <v/>
      </c>
    </row>
    <row r="38" spans="1:35" x14ac:dyDescent="0.25">
      <c r="A38" s="36"/>
      <c r="B38" s="37"/>
      <c r="C38" s="37"/>
      <c r="D38" s="37"/>
      <c r="E38" s="37"/>
      <c r="F38" s="37"/>
      <c r="G38" s="37"/>
      <c r="H38" s="37"/>
      <c r="I38" s="37"/>
      <c r="J38" s="38"/>
      <c r="K38" s="38"/>
      <c r="L38" s="37"/>
      <c r="M38" s="37"/>
      <c r="N38" s="37"/>
      <c r="O38" s="37"/>
      <c r="P38" s="37"/>
      <c r="Q38" s="37"/>
      <c r="R38" s="13" t="str">
        <f t="shared" ca="1" si="0"/>
        <v/>
      </c>
      <c r="S38" s="13" t="str">
        <f ca="1">IF(A38="","",IF(OR(M38='02_マスタ'!$E$10,M38='02_マスタ'!$E$12),"",IF(L38="High","High",IF(AND(K38&lt;&gt;"",K38&lt;TODAY()),INDEX(_ゴミ箱_Backup!$B$117:$D$247,MATCH("ALERT_OVERDUE",_ゴミ箱_Backup!$A$117:$A$247,0),MATCH(言語切替!$B$3,_ゴミ箱_Backup!$B$1:$D$1,0)),IF(AND(K38&lt;&gt;"",K38-TODAY()&lt;=7),INDEX(_ゴミ箱_Backup!$B$117:$D$247,MATCH("ALERT_APPROACHING",_ゴミ箱_Backup!$A$117:$A$247,0),MATCH(言語切替!$B$3,_ゴミ箱_Backup!$B$1:$D$1,0)),IF(OR(M38='02_マスタ'!$E$7,M38='02_マスタ'!$E$8),INDEX(_ゴミ箱_Backup!$B$117:$D$247,MATCH("ALERT_CHECK",_ゴミ箱_Backup!$A$117:$A$247,0),MATCH(言語切替!$B$3,_ゴミ箱_Backup!$B$1:$D$1,0)),""))))))</f>
        <v/>
      </c>
      <c r="T38" s="53"/>
      <c r="U38" s="61" t="str">
        <f t="shared" si="1"/>
        <v/>
      </c>
      <c r="V38" s="61" t="str">
        <f t="shared" si="2"/>
        <v/>
      </c>
      <c r="W38" s="61" t="str">
        <f t="shared" si="3"/>
        <v/>
      </c>
      <c r="X38" s="61" t="str">
        <f t="shared" si="4"/>
        <v/>
      </c>
      <c r="Y38" s="61" t="str">
        <f t="shared" si="5"/>
        <v/>
      </c>
      <c r="Z38" s="61" t="str">
        <f t="shared" si="6"/>
        <v/>
      </c>
      <c r="AA38" s="61" t="str">
        <f t="shared" si="7"/>
        <v/>
      </c>
      <c r="AB38" s="61" t="str">
        <f t="shared" si="8"/>
        <v/>
      </c>
      <c r="AC38" s="61" t="str">
        <f t="shared" si="9"/>
        <v/>
      </c>
      <c r="AD38" s="61" t="str">
        <f t="shared" si="10"/>
        <v/>
      </c>
      <c r="AE38" s="61" t="str">
        <f t="shared" si="11"/>
        <v/>
      </c>
      <c r="AF38" s="61" t="str">
        <f t="shared" si="12"/>
        <v/>
      </c>
      <c r="AG38" s="61" t="str">
        <f t="shared" si="13"/>
        <v/>
      </c>
      <c r="AH38" s="61" t="str">
        <f t="shared" si="14"/>
        <v/>
      </c>
      <c r="AI38" s="61" t="str">
        <f t="shared" si="15"/>
        <v/>
      </c>
    </row>
    <row r="39" spans="1:35" x14ac:dyDescent="0.25">
      <c r="A39" s="40"/>
      <c r="B39" s="41"/>
      <c r="C39" s="41"/>
      <c r="D39" s="41"/>
      <c r="E39" s="41"/>
      <c r="F39" s="41"/>
      <c r="G39" s="41"/>
      <c r="H39" s="41"/>
      <c r="I39" s="41"/>
      <c r="J39" s="42"/>
      <c r="K39" s="42"/>
      <c r="L39" s="41"/>
      <c r="M39" s="41"/>
      <c r="N39" s="41"/>
      <c r="O39" s="41"/>
      <c r="P39" s="41"/>
      <c r="Q39" s="41"/>
      <c r="R39" s="16" t="str">
        <f t="shared" ca="1" si="0"/>
        <v/>
      </c>
      <c r="S39" s="16" t="str">
        <f ca="1">IF(A39="","",IF(OR(M39='02_マスタ'!$E$10,M39='02_マスタ'!$E$12),"",IF(L39="High","High",IF(AND(K39&lt;&gt;"",K39&lt;TODAY()),INDEX(_ゴミ箱_Backup!$B$117:$D$247,MATCH("ALERT_OVERDUE",_ゴミ箱_Backup!$A$117:$A$247,0),MATCH(言語切替!$B$3,_ゴミ箱_Backup!$B$1:$D$1,0)),IF(AND(K39&lt;&gt;"",K39-TODAY()&lt;=7),INDEX(_ゴミ箱_Backup!$B$117:$D$247,MATCH("ALERT_APPROACHING",_ゴミ箱_Backup!$A$117:$A$247,0),MATCH(言語切替!$B$3,_ゴミ箱_Backup!$B$1:$D$1,0)),IF(OR(M39='02_マスタ'!$E$7,M39='02_マスタ'!$E$8),INDEX(_ゴミ箱_Backup!$B$117:$D$247,MATCH("ALERT_CHECK",_ゴミ箱_Backup!$A$117:$A$247,0),MATCH(言語切替!$B$3,_ゴミ箱_Backup!$B$1:$D$1,0)),""))))))</f>
        <v/>
      </c>
      <c r="T39" s="52"/>
      <c r="U39" s="61" t="str">
        <f t="shared" si="1"/>
        <v/>
      </c>
      <c r="V39" s="61" t="str">
        <f t="shared" si="2"/>
        <v/>
      </c>
      <c r="W39" s="61" t="str">
        <f t="shared" si="3"/>
        <v/>
      </c>
      <c r="X39" s="61" t="str">
        <f t="shared" si="4"/>
        <v/>
      </c>
      <c r="Y39" s="61" t="str">
        <f t="shared" si="5"/>
        <v/>
      </c>
      <c r="Z39" s="61" t="str">
        <f t="shared" si="6"/>
        <v/>
      </c>
      <c r="AA39" s="61" t="str">
        <f t="shared" si="7"/>
        <v/>
      </c>
      <c r="AB39" s="61" t="str">
        <f t="shared" si="8"/>
        <v/>
      </c>
      <c r="AC39" s="61" t="str">
        <f t="shared" si="9"/>
        <v/>
      </c>
      <c r="AD39" s="61" t="str">
        <f t="shared" si="10"/>
        <v/>
      </c>
      <c r="AE39" s="61" t="str">
        <f t="shared" si="11"/>
        <v/>
      </c>
      <c r="AF39" s="61" t="str">
        <f t="shared" si="12"/>
        <v/>
      </c>
      <c r="AG39" s="61" t="str">
        <f t="shared" si="13"/>
        <v/>
      </c>
      <c r="AH39" s="61" t="str">
        <f t="shared" si="14"/>
        <v/>
      </c>
      <c r="AI39" s="61" t="str">
        <f t="shared" si="15"/>
        <v/>
      </c>
    </row>
    <row r="40" spans="1:35" x14ac:dyDescent="0.25">
      <c r="A40" s="36"/>
      <c r="B40" s="37"/>
      <c r="C40" s="37"/>
      <c r="D40" s="37"/>
      <c r="E40" s="37"/>
      <c r="F40" s="37"/>
      <c r="G40" s="37"/>
      <c r="H40" s="37"/>
      <c r="I40" s="37"/>
      <c r="J40" s="38"/>
      <c r="K40" s="38"/>
      <c r="L40" s="37"/>
      <c r="M40" s="37"/>
      <c r="N40" s="37"/>
      <c r="O40" s="37"/>
      <c r="P40" s="37"/>
      <c r="Q40" s="37"/>
      <c r="R40" s="13" t="str">
        <f t="shared" ca="1" si="0"/>
        <v/>
      </c>
      <c r="S40" s="13" t="str">
        <f ca="1">IF(A40="","",IF(OR(M40='02_マスタ'!$E$10,M40='02_マスタ'!$E$12),"",IF(L40="High","High",IF(AND(K40&lt;&gt;"",K40&lt;TODAY()),INDEX(_ゴミ箱_Backup!$B$117:$D$247,MATCH("ALERT_OVERDUE",_ゴミ箱_Backup!$A$117:$A$247,0),MATCH(言語切替!$B$3,_ゴミ箱_Backup!$B$1:$D$1,0)),IF(AND(K40&lt;&gt;"",K40-TODAY()&lt;=7),INDEX(_ゴミ箱_Backup!$B$117:$D$247,MATCH("ALERT_APPROACHING",_ゴミ箱_Backup!$A$117:$A$247,0),MATCH(言語切替!$B$3,_ゴミ箱_Backup!$B$1:$D$1,0)),IF(OR(M40='02_マスタ'!$E$7,M40='02_マスタ'!$E$8),INDEX(_ゴミ箱_Backup!$B$117:$D$247,MATCH("ALERT_CHECK",_ゴミ箱_Backup!$A$117:$A$247,0),MATCH(言語切替!$B$3,_ゴミ箱_Backup!$B$1:$D$1,0)),""))))))</f>
        <v/>
      </c>
      <c r="T40" s="53"/>
      <c r="U40" s="61" t="str">
        <f t="shared" si="1"/>
        <v/>
      </c>
      <c r="V40" s="61" t="str">
        <f t="shared" si="2"/>
        <v/>
      </c>
      <c r="W40" s="61" t="str">
        <f t="shared" si="3"/>
        <v/>
      </c>
      <c r="X40" s="61" t="str">
        <f t="shared" si="4"/>
        <v/>
      </c>
      <c r="Y40" s="61" t="str">
        <f t="shared" si="5"/>
        <v/>
      </c>
      <c r="Z40" s="61" t="str">
        <f t="shared" si="6"/>
        <v/>
      </c>
      <c r="AA40" s="61" t="str">
        <f t="shared" si="7"/>
        <v/>
      </c>
      <c r="AB40" s="61" t="str">
        <f t="shared" si="8"/>
        <v/>
      </c>
      <c r="AC40" s="61" t="str">
        <f t="shared" si="9"/>
        <v/>
      </c>
      <c r="AD40" s="61" t="str">
        <f t="shared" si="10"/>
        <v/>
      </c>
      <c r="AE40" s="61" t="str">
        <f t="shared" si="11"/>
        <v/>
      </c>
      <c r="AF40" s="61" t="str">
        <f t="shared" si="12"/>
        <v/>
      </c>
      <c r="AG40" s="61" t="str">
        <f t="shared" si="13"/>
        <v/>
      </c>
      <c r="AH40" s="61" t="str">
        <f t="shared" si="14"/>
        <v/>
      </c>
      <c r="AI40" s="61" t="str">
        <f t="shared" si="15"/>
        <v/>
      </c>
    </row>
    <row r="41" spans="1:35" x14ac:dyDescent="0.25">
      <c r="A41" s="40"/>
      <c r="B41" s="41"/>
      <c r="C41" s="41"/>
      <c r="D41" s="41"/>
      <c r="E41" s="41"/>
      <c r="F41" s="41"/>
      <c r="G41" s="41"/>
      <c r="H41" s="41"/>
      <c r="I41" s="41"/>
      <c r="J41" s="42"/>
      <c r="K41" s="42"/>
      <c r="L41" s="41"/>
      <c r="M41" s="41"/>
      <c r="N41" s="41"/>
      <c r="O41" s="41"/>
      <c r="P41" s="41"/>
      <c r="Q41" s="41"/>
      <c r="R41" s="16" t="str">
        <f t="shared" ca="1" si="0"/>
        <v/>
      </c>
      <c r="S41" s="16" t="str">
        <f ca="1">IF(A41="","",IF(OR(M41='02_マスタ'!$E$10,M41='02_マスタ'!$E$12),"",IF(L41="High","High",IF(AND(K41&lt;&gt;"",K41&lt;TODAY()),INDEX(_ゴミ箱_Backup!$B$117:$D$247,MATCH("ALERT_OVERDUE",_ゴミ箱_Backup!$A$117:$A$247,0),MATCH(言語切替!$B$3,_ゴミ箱_Backup!$B$1:$D$1,0)),IF(AND(K41&lt;&gt;"",K41-TODAY()&lt;=7),INDEX(_ゴミ箱_Backup!$B$117:$D$247,MATCH("ALERT_APPROACHING",_ゴミ箱_Backup!$A$117:$A$247,0),MATCH(言語切替!$B$3,_ゴミ箱_Backup!$B$1:$D$1,0)),IF(OR(M41='02_マスタ'!$E$7,M41='02_マスタ'!$E$8),INDEX(_ゴミ箱_Backup!$B$117:$D$247,MATCH("ALERT_CHECK",_ゴミ箱_Backup!$A$117:$A$247,0),MATCH(言語切替!$B$3,_ゴミ箱_Backup!$B$1:$D$1,0)),""))))))</f>
        <v/>
      </c>
      <c r="T41" s="52"/>
      <c r="U41" s="61" t="str">
        <f t="shared" si="1"/>
        <v/>
      </c>
      <c r="V41" s="61" t="str">
        <f t="shared" si="2"/>
        <v/>
      </c>
      <c r="W41" s="61" t="str">
        <f t="shared" si="3"/>
        <v/>
      </c>
      <c r="X41" s="61" t="str">
        <f t="shared" si="4"/>
        <v/>
      </c>
      <c r="Y41" s="61" t="str">
        <f t="shared" si="5"/>
        <v/>
      </c>
      <c r="Z41" s="61" t="str">
        <f t="shared" si="6"/>
        <v/>
      </c>
      <c r="AA41" s="61" t="str">
        <f t="shared" si="7"/>
        <v/>
      </c>
      <c r="AB41" s="61" t="str">
        <f t="shared" si="8"/>
        <v/>
      </c>
      <c r="AC41" s="61" t="str">
        <f t="shared" si="9"/>
        <v/>
      </c>
      <c r="AD41" s="61" t="str">
        <f t="shared" si="10"/>
        <v/>
      </c>
      <c r="AE41" s="61" t="str">
        <f t="shared" si="11"/>
        <v/>
      </c>
      <c r="AF41" s="61" t="str">
        <f t="shared" si="12"/>
        <v/>
      </c>
      <c r="AG41" s="61" t="str">
        <f t="shared" si="13"/>
        <v/>
      </c>
      <c r="AH41" s="61" t="str">
        <f t="shared" si="14"/>
        <v/>
      </c>
      <c r="AI41" s="61" t="str">
        <f t="shared" si="15"/>
        <v/>
      </c>
    </row>
    <row r="42" spans="1:35" x14ac:dyDescent="0.25">
      <c r="A42" s="36"/>
      <c r="B42" s="37"/>
      <c r="C42" s="37"/>
      <c r="D42" s="37"/>
      <c r="E42" s="37"/>
      <c r="F42" s="37"/>
      <c r="G42" s="37"/>
      <c r="H42" s="37"/>
      <c r="I42" s="37"/>
      <c r="J42" s="38"/>
      <c r="K42" s="38"/>
      <c r="L42" s="37"/>
      <c r="M42" s="37"/>
      <c r="N42" s="37"/>
      <c r="O42" s="37"/>
      <c r="P42" s="37"/>
      <c r="Q42" s="37"/>
      <c r="R42" s="13" t="str">
        <f t="shared" ca="1" si="0"/>
        <v/>
      </c>
      <c r="S42" s="13" t="str">
        <f ca="1">IF(A42="","",IF(OR(M42='02_マスタ'!$E$10,M42='02_マスタ'!$E$12),"",IF(L42="High","High",IF(AND(K42&lt;&gt;"",K42&lt;TODAY()),INDEX(_ゴミ箱_Backup!$B$117:$D$247,MATCH("ALERT_OVERDUE",_ゴミ箱_Backup!$A$117:$A$247,0),MATCH(言語切替!$B$3,_ゴミ箱_Backup!$B$1:$D$1,0)),IF(AND(K42&lt;&gt;"",K42-TODAY()&lt;=7),INDEX(_ゴミ箱_Backup!$B$117:$D$247,MATCH("ALERT_APPROACHING",_ゴミ箱_Backup!$A$117:$A$247,0),MATCH(言語切替!$B$3,_ゴミ箱_Backup!$B$1:$D$1,0)),IF(OR(M42='02_マスタ'!$E$7,M42='02_マスタ'!$E$8),INDEX(_ゴミ箱_Backup!$B$117:$D$247,MATCH("ALERT_CHECK",_ゴミ箱_Backup!$A$117:$A$247,0),MATCH(言語切替!$B$3,_ゴミ箱_Backup!$B$1:$D$1,0)),""))))))</f>
        <v/>
      </c>
      <c r="T42" s="53"/>
      <c r="U42" s="61" t="str">
        <f t="shared" si="1"/>
        <v/>
      </c>
      <c r="V42" s="61" t="str">
        <f t="shared" si="2"/>
        <v/>
      </c>
      <c r="W42" s="61" t="str">
        <f t="shared" si="3"/>
        <v/>
      </c>
      <c r="X42" s="61" t="str">
        <f t="shared" si="4"/>
        <v/>
      </c>
      <c r="Y42" s="61" t="str">
        <f t="shared" si="5"/>
        <v/>
      </c>
      <c r="Z42" s="61" t="str">
        <f t="shared" si="6"/>
        <v/>
      </c>
      <c r="AA42" s="61" t="str">
        <f t="shared" si="7"/>
        <v/>
      </c>
      <c r="AB42" s="61" t="str">
        <f t="shared" si="8"/>
        <v/>
      </c>
      <c r="AC42" s="61" t="str">
        <f t="shared" si="9"/>
        <v/>
      </c>
      <c r="AD42" s="61" t="str">
        <f t="shared" si="10"/>
        <v/>
      </c>
      <c r="AE42" s="61" t="str">
        <f t="shared" si="11"/>
        <v/>
      </c>
      <c r="AF42" s="61" t="str">
        <f t="shared" si="12"/>
        <v/>
      </c>
      <c r="AG42" s="61" t="str">
        <f t="shared" si="13"/>
        <v/>
      </c>
      <c r="AH42" s="61" t="str">
        <f t="shared" si="14"/>
        <v/>
      </c>
      <c r="AI42" s="61" t="str">
        <f t="shared" si="15"/>
        <v/>
      </c>
    </row>
    <row r="43" spans="1:35" x14ac:dyDescent="0.25">
      <c r="A43" s="40"/>
      <c r="B43" s="41"/>
      <c r="C43" s="41"/>
      <c r="D43" s="41"/>
      <c r="E43" s="41"/>
      <c r="F43" s="41"/>
      <c r="G43" s="41"/>
      <c r="H43" s="41"/>
      <c r="I43" s="41"/>
      <c r="J43" s="42"/>
      <c r="K43" s="42"/>
      <c r="L43" s="41"/>
      <c r="M43" s="41"/>
      <c r="N43" s="41"/>
      <c r="O43" s="41"/>
      <c r="P43" s="41"/>
      <c r="Q43" s="41"/>
      <c r="R43" s="16" t="str">
        <f t="shared" ca="1" si="0"/>
        <v/>
      </c>
      <c r="S43" s="16" t="str">
        <f ca="1">IF(A43="","",IF(OR(M43='02_マスタ'!$E$10,M43='02_マスタ'!$E$12),"",IF(L43="High","High",IF(AND(K43&lt;&gt;"",K43&lt;TODAY()),INDEX(_ゴミ箱_Backup!$B$117:$D$247,MATCH("ALERT_OVERDUE",_ゴミ箱_Backup!$A$117:$A$247,0),MATCH(言語切替!$B$3,_ゴミ箱_Backup!$B$1:$D$1,0)),IF(AND(K43&lt;&gt;"",K43-TODAY()&lt;=7),INDEX(_ゴミ箱_Backup!$B$117:$D$247,MATCH("ALERT_APPROACHING",_ゴミ箱_Backup!$A$117:$A$247,0),MATCH(言語切替!$B$3,_ゴミ箱_Backup!$B$1:$D$1,0)),IF(OR(M43='02_マスタ'!$E$7,M43='02_マスタ'!$E$8),INDEX(_ゴミ箱_Backup!$B$117:$D$247,MATCH("ALERT_CHECK",_ゴミ箱_Backup!$A$117:$A$247,0),MATCH(言語切替!$B$3,_ゴミ箱_Backup!$B$1:$D$1,0)),""))))))</f>
        <v/>
      </c>
      <c r="T43" s="52"/>
      <c r="U43" s="61" t="str">
        <f t="shared" si="1"/>
        <v/>
      </c>
      <c r="V43" s="61" t="str">
        <f t="shared" si="2"/>
        <v/>
      </c>
      <c r="W43" s="61" t="str">
        <f t="shared" si="3"/>
        <v/>
      </c>
      <c r="X43" s="61" t="str">
        <f t="shared" si="4"/>
        <v/>
      </c>
      <c r="Y43" s="61" t="str">
        <f t="shared" si="5"/>
        <v/>
      </c>
      <c r="Z43" s="61" t="str">
        <f t="shared" si="6"/>
        <v/>
      </c>
      <c r="AA43" s="61" t="str">
        <f t="shared" si="7"/>
        <v/>
      </c>
      <c r="AB43" s="61" t="str">
        <f t="shared" si="8"/>
        <v/>
      </c>
      <c r="AC43" s="61" t="str">
        <f t="shared" si="9"/>
        <v/>
      </c>
      <c r="AD43" s="61" t="str">
        <f t="shared" si="10"/>
        <v/>
      </c>
      <c r="AE43" s="61" t="str">
        <f t="shared" si="11"/>
        <v/>
      </c>
      <c r="AF43" s="61" t="str">
        <f t="shared" si="12"/>
        <v/>
      </c>
      <c r="AG43" s="61" t="str">
        <f t="shared" si="13"/>
        <v/>
      </c>
      <c r="AH43" s="61" t="str">
        <f t="shared" si="14"/>
        <v/>
      </c>
      <c r="AI43" s="61" t="str">
        <f t="shared" si="15"/>
        <v/>
      </c>
    </row>
    <row r="44" spans="1:35" x14ac:dyDescent="0.25">
      <c r="A44" s="36"/>
      <c r="B44" s="37"/>
      <c r="C44" s="37"/>
      <c r="D44" s="37"/>
      <c r="E44" s="37"/>
      <c r="F44" s="37"/>
      <c r="G44" s="37"/>
      <c r="H44" s="37"/>
      <c r="I44" s="37"/>
      <c r="J44" s="38"/>
      <c r="K44" s="38"/>
      <c r="L44" s="37"/>
      <c r="M44" s="37"/>
      <c r="N44" s="37"/>
      <c r="O44" s="37"/>
      <c r="P44" s="37"/>
      <c r="Q44" s="37"/>
      <c r="R44" s="13" t="str">
        <f t="shared" ca="1" si="0"/>
        <v/>
      </c>
      <c r="S44" s="13" t="str">
        <f ca="1">IF(A44="","",IF(OR(M44='02_マスタ'!$E$10,M44='02_マスタ'!$E$12),"",IF(L44="High","High",IF(AND(K44&lt;&gt;"",K44&lt;TODAY()),INDEX(_ゴミ箱_Backup!$B$117:$D$247,MATCH("ALERT_OVERDUE",_ゴミ箱_Backup!$A$117:$A$247,0),MATCH(言語切替!$B$3,_ゴミ箱_Backup!$B$1:$D$1,0)),IF(AND(K44&lt;&gt;"",K44-TODAY()&lt;=7),INDEX(_ゴミ箱_Backup!$B$117:$D$247,MATCH("ALERT_APPROACHING",_ゴミ箱_Backup!$A$117:$A$247,0),MATCH(言語切替!$B$3,_ゴミ箱_Backup!$B$1:$D$1,0)),IF(OR(M44='02_マスタ'!$E$7,M44='02_マスタ'!$E$8),INDEX(_ゴミ箱_Backup!$B$117:$D$247,MATCH("ALERT_CHECK",_ゴミ箱_Backup!$A$117:$A$247,0),MATCH(言語切替!$B$3,_ゴミ箱_Backup!$B$1:$D$1,0)),""))))))</f>
        <v/>
      </c>
      <c r="T44" s="53"/>
      <c r="U44" s="61" t="str">
        <f t="shared" si="1"/>
        <v/>
      </c>
      <c r="V44" s="61" t="str">
        <f t="shared" si="2"/>
        <v/>
      </c>
      <c r="W44" s="61" t="str">
        <f t="shared" si="3"/>
        <v/>
      </c>
      <c r="X44" s="61" t="str">
        <f t="shared" si="4"/>
        <v/>
      </c>
      <c r="Y44" s="61" t="str">
        <f t="shared" si="5"/>
        <v/>
      </c>
      <c r="Z44" s="61" t="str">
        <f t="shared" si="6"/>
        <v/>
      </c>
      <c r="AA44" s="61" t="str">
        <f t="shared" si="7"/>
        <v/>
      </c>
      <c r="AB44" s="61" t="str">
        <f t="shared" si="8"/>
        <v/>
      </c>
      <c r="AC44" s="61" t="str">
        <f t="shared" si="9"/>
        <v/>
      </c>
      <c r="AD44" s="61" t="str">
        <f t="shared" si="10"/>
        <v/>
      </c>
      <c r="AE44" s="61" t="str">
        <f t="shared" si="11"/>
        <v/>
      </c>
      <c r="AF44" s="61" t="str">
        <f t="shared" si="12"/>
        <v/>
      </c>
      <c r="AG44" s="61" t="str">
        <f t="shared" si="13"/>
        <v/>
      </c>
      <c r="AH44" s="61" t="str">
        <f t="shared" si="14"/>
        <v/>
      </c>
      <c r="AI44" s="61" t="str">
        <f t="shared" si="15"/>
        <v/>
      </c>
    </row>
    <row r="45" spans="1:35" x14ac:dyDescent="0.25">
      <c r="A45" s="40"/>
      <c r="B45" s="41"/>
      <c r="C45" s="41"/>
      <c r="D45" s="41"/>
      <c r="E45" s="41"/>
      <c r="F45" s="41"/>
      <c r="G45" s="41"/>
      <c r="H45" s="41"/>
      <c r="I45" s="41"/>
      <c r="J45" s="42"/>
      <c r="K45" s="42"/>
      <c r="L45" s="41"/>
      <c r="M45" s="41"/>
      <c r="N45" s="41"/>
      <c r="O45" s="41"/>
      <c r="P45" s="41"/>
      <c r="Q45" s="41"/>
      <c r="R45" s="16" t="str">
        <f t="shared" ca="1" si="0"/>
        <v/>
      </c>
      <c r="S45" s="16" t="str">
        <f ca="1">IF(A45="","",IF(OR(M45='02_マスタ'!$E$10,M45='02_マスタ'!$E$12),"",IF(L45="High","High",IF(AND(K45&lt;&gt;"",K45&lt;TODAY()),INDEX(_ゴミ箱_Backup!$B$117:$D$247,MATCH("ALERT_OVERDUE",_ゴミ箱_Backup!$A$117:$A$247,0),MATCH(言語切替!$B$3,_ゴミ箱_Backup!$B$1:$D$1,0)),IF(AND(K45&lt;&gt;"",K45-TODAY()&lt;=7),INDEX(_ゴミ箱_Backup!$B$117:$D$247,MATCH("ALERT_APPROACHING",_ゴミ箱_Backup!$A$117:$A$247,0),MATCH(言語切替!$B$3,_ゴミ箱_Backup!$B$1:$D$1,0)),IF(OR(M45='02_マスタ'!$E$7,M45='02_マスタ'!$E$8),INDEX(_ゴミ箱_Backup!$B$117:$D$247,MATCH("ALERT_CHECK",_ゴミ箱_Backup!$A$117:$A$247,0),MATCH(言語切替!$B$3,_ゴミ箱_Backup!$B$1:$D$1,0)),""))))))</f>
        <v/>
      </c>
      <c r="T45" s="52"/>
      <c r="U45" s="61" t="str">
        <f t="shared" si="1"/>
        <v/>
      </c>
      <c r="V45" s="61" t="str">
        <f t="shared" si="2"/>
        <v/>
      </c>
      <c r="W45" s="61" t="str">
        <f t="shared" si="3"/>
        <v/>
      </c>
      <c r="X45" s="61" t="str">
        <f t="shared" si="4"/>
        <v/>
      </c>
      <c r="Y45" s="61" t="str">
        <f t="shared" si="5"/>
        <v/>
      </c>
      <c r="Z45" s="61" t="str">
        <f t="shared" si="6"/>
        <v/>
      </c>
      <c r="AA45" s="61" t="str">
        <f t="shared" si="7"/>
        <v/>
      </c>
      <c r="AB45" s="61" t="str">
        <f t="shared" si="8"/>
        <v/>
      </c>
      <c r="AC45" s="61" t="str">
        <f t="shared" si="9"/>
        <v/>
      </c>
      <c r="AD45" s="61" t="str">
        <f t="shared" si="10"/>
        <v/>
      </c>
      <c r="AE45" s="61" t="str">
        <f t="shared" si="11"/>
        <v/>
      </c>
      <c r="AF45" s="61" t="str">
        <f t="shared" si="12"/>
        <v/>
      </c>
      <c r="AG45" s="61" t="str">
        <f t="shared" si="13"/>
        <v/>
      </c>
      <c r="AH45" s="61" t="str">
        <f t="shared" si="14"/>
        <v/>
      </c>
      <c r="AI45" s="61" t="str">
        <f t="shared" si="15"/>
        <v/>
      </c>
    </row>
    <row r="46" spans="1:35" x14ac:dyDescent="0.25">
      <c r="A46" s="36"/>
      <c r="B46" s="37"/>
      <c r="C46" s="37"/>
      <c r="D46" s="37"/>
      <c r="E46" s="37"/>
      <c r="F46" s="37"/>
      <c r="G46" s="37"/>
      <c r="H46" s="37"/>
      <c r="I46" s="37"/>
      <c r="J46" s="38"/>
      <c r="K46" s="38"/>
      <c r="L46" s="37"/>
      <c r="M46" s="37"/>
      <c r="N46" s="37"/>
      <c r="O46" s="37"/>
      <c r="P46" s="37"/>
      <c r="Q46" s="37"/>
      <c r="R46" s="13" t="str">
        <f t="shared" ca="1" si="0"/>
        <v/>
      </c>
      <c r="S46" s="13" t="str">
        <f ca="1">IF(A46="","",IF(OR(M46='02_マスタ'!$E$10,M46='02_マスタ'!$E$12),"",IF(L46="High","High",IF(AND(K46&lt;&gt;"",K46&lt;TODAY()),INDEX(_ゴミ箱_Backup!$B$117:$D$247,MATCH("ALERT_OVERDUE",_ゴミ箱_Backup!$A$117:$A$247,0),MATCH(言語切替!$B$3,_ゴミ箱_Backup!$B$1:$D$1,0)),IF(AND(K46&lt;&gt;"",K46-TODAY()&lt;=7),INDEX(_ゴミ箱_Backup!$B$117:$D$247,MATCH("ALERT_APPROACHING",_ゴミ箱_Backup!$A$117:$A$247,0),MATCH(言語切替!$B$3,_ゴミ箱_Backup!$B$1:$D$1,0)),IF(OR(M46='02_マスタ'!$E$7,M46='02_マスタ'!$E$8),INDEX(_ゴミ箱_Backup!$B$117:$D$247,MATCH("ALERT_CHECK",_ゴミ箱_Backup!$A$117:$A$247,0),MATCH(言語切替!$B$3,_ゴミ箱_Backup!$B$1:$D$1,0)),""))))))</f>
        <v/>
      </c>
      <c r="T46" s="53"/>
      <c r="U46" s="61" t="str">
        <f t="shared" si="1"/>
        <v/>
      </c>
      <c r="V46" s="61" t="str">
        <f t="shared" si="2"/>
        <v/>
      </c>
      <c r="W46" s="61" t="str">
        <f t="shared" si="3"/>
        <v/>
      </c>
      <c r="X46" s="61" t="str">
        <f t="shared" si="4"/>
        <v/>
      </c>
      <c r="Y46" s="61" t="str">
        <f t="shared" si="5"/>
        <v/>
      </c>
      <c r="Z46" s="61" t="str">
        <f t="shared" si="6"/>
        <v/>
      </c>
      <c r="AA46" s="61" t="str">
        <f t="shared" si="7"/>
        <v/>
      </c>
      <c r="AB46" s="61" t="str">
        <f t="shared" si="8"/>
        <v/>
      </c>
      <c r="AC46" s="61" t="str">
        <f t="shared" si="9"/>
        <v/>
      </c>
      <c r="AD46" s="61" t="str">
        <f t="shared" si="10"/>
        <v/>
      </c>
      <c r="AE46" s="61" t="str">
        <f t="shared" si="11"/>
        <v/>
      </c>
      <c r="AF46" s="61" t="str">
        <f t="shared" si="12"/>
        <v/>
      </c>
      <c r="AG46" s="61" t="str">
        <f t="shared" si="13"/>
        <v/>
      </c>
      <c r="AH46" s="61" t="str">
        <f t="shared" si="14"/>
        <v/>
      </c>
      <c r="AI46" s="61" t="str">
        <f t="shared" si="15"/>
        <v/>
      </c>
    </row>
    <row r="47" spans="1:35" x14ac:dyDescent="0.25">
      <c r="A47" s="40"/>
      <c r="B47" s="41"/>
      <c r="C47" s="41"/>
      <c r="D47" s="41"/>
      <c r="E47" s="41"/>
      <c r="F47" s="41"/>
      <c r="G47" s="41"/>
      <c r="H47" s="41"/>
      <c r="I47" s="41"/>
      <c r="J47" s="42"/>
      <c r="K47" s="42"/>
      <c r="L47" s="41"/>
      <c r="M47" s="41"/>
      <c r="N47" s="41"/>
      <c r="O47" s="41"/>
      <c r="P47" s="41"/>
      <c r="Q47" s="41"/>
      <c r="R47" s="16" t="str">
        <f t="shared" ca="1" si="0"/>
        <v/>
      </c>
      <c r="S47" s="16" t="str">
        <f ca="1">IF(A47="","",IF(OR(M47='02_マスタ'!$E$10,M47='02_マスタ'!$E$12),"",IF(L47="High","High",IF(AND(K47&lt;&gt;"",K47&lt;TODAY()),INDEX(_ゴミ箱_Backup!$B$117:$D$247,MATCH("ALERT_OVERDUE",_ゴミ箱_Backup!$A$117:$A$247,0),MATCH(言語切替!$B$3,_ゴミ箱_Backup!$B$1:$D$1,0)),IF(AND(K47&lt;&gt;"",K47-TODAY()&lt;=7),INDEX(_ゴミ箱_Backup!$B$117:$D$247,MATCH("ALERT_APPROACHING",_ゴミ箱_Backup!$A$117:$A$247,0),MATCH(言語切替!$B$3,_ゴミ箱_Backup!$B$1:$D$1,0)),IF(OR(M47='02_マスタ'!$E$7,M47='02_マスタ'!$E$8),INDEX(_ゴミ箱_Backup!$B$117:$D$247,MATCH("ALERT_CHECK",_ゴミ箱_Backup!$A$117:$A$247,0),MATCH(言語切替!$B$3,_ゴミ箱_Backup!$B$1:$D$1,0)),""))))))</f>
        <v/>
      </c>
      <c r="T47" s="52"/>
      <c r="U47" s="61" t="str">
        <f t="shared" si="1"/>
        <v/>
      </c>
      <c r="V47" s="61" t="str">
        <f t="shared" si="2"/>
        <v/>
      </c>
      <c r="W47" s="61" t="str">
        <f t="shared" si="3"/>
        <v/>
      </c>
      <c r="X47" s="61" t="str">
        <f t="shared" si="4"/>
        <v/>
      </c>
      <c r="Y47" s="61" t="str">
        <f t="shared" si="5"/>
        <v/>
      </c>
      <c r="Z47" s="61" t="str">
        <f t="shared" si="6"/>
        <v/>
      </c>
      <c r="AA47" s="61" t="str">
        <f t="shared" si="7"/>
        <v/>
      </c>
      <c r="AB47" s="61" t="str">
        <f t="shared" si="8"/>
        <v/>
      </c>
      <c r="AC47" s="61" t="str">
        <f t="shared" si="9"/>
        <v/>
      </c>
      <c r="AD47" s="61" t="str">
        <f t="shared" si="10"/>
        <v/>
      </c>
      <c r="AE47" s="61" t="str">
        <f t="shared" si="11"/>
        <v/>
      </c>
      <c r="AF47" s="61" t="str">
        <f t="shared" si="12"/>
        <v/>
      </c>
      <c r="AG47" s="61" t="str">
        <f t="shared" si="13"/>
        <v/>
      </c>
      <c r="AH47" s="61" t="str">
        <f t="shared" si="14"/>
        <v/>
      </c>
      <c r="AI47" s="61" t="str">
        <f t="shared" si="15"/>
        <v/>
      </c>
    </row>
    <row r="48" spans="1:35" x14ac:dyDescent="0.25">
      <c r="A48" s="36"/>
      <c r="B48" s="37"/>
      <c r="C48" s="37"/>
      <c r="D48" s="37"/>
      <c r="E48" s="37"/>
      <c r="F48" s="37"/>
      <c r="G48" s="37"/>
      <c r="H48" s="37"/>
      <c r="I48" s="37"/>
      <c r="J48" s="38"/>
      <c r="K48" s="38"/>
      <c r="L48" s="37"/>
      <c r="M48" s="37"/>
      <c r="N48" s="37"/>
      <c r="O48" s="37"/>
      <c r="P48" s="37"/>
      <c r="Q48" s="37"/>
      <c r="R48" s="13" t="str">
        <f t="shared" ca="1" si="0"/>
        <v/>
      </c>
      <c r="S48" s="13" t="str">
        <f ca="1">IF(A48="","",IF(OR(M48='02_マスタ'!$E$10,M48='02_マスタ'!$E$12),"",IF(L48="High","High",IF(AND(K48&lt;&gt;"",K48&lt;TODAY()),INDEX(_ゴミ箱_Backup!$B$117:$D$247,MATCH("ALERT_OVERDUE",_ゴミ箱_Backup!$A$117:$A$247,0),MATCH(言語切替!$B$3,_ゴミ箱_Backup!$B$1:$D$1,0)),IF(AND(K48&lt;&gt;"",K48-TODAY()&lt;=7),INDEX(_ゴミ箱_Backup!$B$117:$D$247,MATCH("ALERT_APPROACHING",_ゴミ箱_Backup!$A$117:$A$247,0),MATCH(言語切替!$B$3,_ゴミ箱_Backup!$B$1:$D$1,0)),IF(OR(M48='02_マスタ'!$E$7,M48='02_マスタ'!$E$8),INDEX(_ゴミ箱_Backup!$B$117:$D$247,MATCH("ALERT_CHECK",_ゴミ箱_Backup!$A$117:$A$247,0),MATCH(言語切替!$B$3,_ゴミ箱_Backup!$B$1:$D$1,0)),""))))))</f>
        <v/>
      </c>
      <c r="T48" s="53"/>
      <c r="U48" s="61" t="str">
        <f t="shared" si="1"/>
        <v/>
      </c>
      <c r="V48" s="61" t="str">
        <f t="shared" si="2"/>
        <v/>
      </c>
      <c r="W48" s="61" t="str">
        <f t="shared" si="3"/>
        <v/>
      </c>
      <c r="X48" s="61" t="str">
        <f t="shared" si="4"/>
        <v/>
      </c>
      <c r="Y48" s="61" t="str">
        <f t="shared" si="5"/>
        <v/>
      </c>
      <c r="Z48" s="61" t="str">
        <f t="shared" si="6"/>
        <v/>
      </c>
      <c r="AA48" s="61" t="str">
        <f t="shared" si="7"/>
        <v/>
      </c>
      <c r="AB48" s="61" t="str">
        <f t="shared" si="8"/>
        <v/>
      </c>
      <c r="AC48" s="61" t="str">
        <f t="shared" si="9"/>
        <v/>
      </c>
      <c r="AD48" s="61" t="str">
        <f t="shared" si="10"/>
        <v/>
      </c>
      <c r="AE48" s="61" t="str">
        <f t="shared" si="11"/>
        <v/>
      </c>
      <c r="AF48" s="61" t="str">
        <f t="shared" si="12"/>
        <v/>
      </c>
      <c r="AG48" s="61" t="str">
        <f t="shared" si="13"/>
        <v/>
      </c>
      <c r="AH48" s="61" t="str">
        <f t="shared" si="14"/>
        <v/>
      </c>
      <c r="AI48" s="61" t="str">
        <f t="shared" si="15"/>
        <v/>
      </c>
    </row>
    <row r="49" spans="1:35" x14ac:dyDescent="0.25">
      <c r="A49" s="40"/>
      <c r="B49" s="41"/>
      <c r="C49" s="41"/>
      <c r="D49" s="41"/>
      <c r="E49" s="41"/>
      <c r="F49" s="41"/>
      <c r="G49" s="41"/>
      <c r="H49" s="41"/>
      <c r="I49" s="41"/>
      <c r="J49" s="42"/>
      <c r="K49" s="42"/>
      <c r="L49" s="41"/>
      <c r="M49" s="41"/>
      <c r="N49" s="41"/>
      <c r="O49" s="41"/>
      <c r="P49" s="41"/>
      <c r="Q49" s="41"/>
      <c r="R49" s="16" t="str">
        <f t="shared" ca="1" si="0"/>
        <v/>
      </c>
      <c r="S49" s="16" t="str">
        <f ca="1">IF(A49="","",IF(OR(M49='02_マスタ'!$E$10,M49='02_マスタ'!$E$12),"",IF(L49="High","High",IF(AND(K49&lt;&gt;"",K49&lt;TODAY()),INDEX(_ゴミ箱_Backup!$B$117:$D$247,MATCH("ALERT_OVERDUE",_ゴミ箱_Backup!$A$117:$A$247,0),MATCH(言語切替!$B$3,_ゴミ箱_Backup!$B$1:$D$1,0)),IF(AND(K49&lt;&gt;"",K49-TODAY()&lt;=7),INDEX(_ゴミ箱_Backup!$B$117:$D$247,MATCH("ALERT_APPROACHING",_ゴミ箱_Backup!$A$117:$A$247,0),MATCH(言語切替!$B$3,_ゴミ箱_Backup!$B$1:$D$1,0)),IF(OR(M49='02_マスタ'!$E$7,M49='02_マスタ'!$E$8),INDEX(_ゴミ箱_Backup!$B$117:$D$247,MATCH("ALERT_CHECK",_ゴミ箱_Backup!$A$117:$A$247,0),MATCH(言語切替!$B$3,_ゴミ箱_Backup!$B$1:$D$1,0)),""))))))</f>
        <v/>
      </c>
      <c r="T49" s="52"/>
      <c r="U49" s="61" t="str">
        <f t="shared" si="1"/>
        <v/>
      </c>
      <c r="V49" s="61" t="str">
        <f t="shared" si="2"/>
        <v/>
      </c>
      <c r="W49" s="61" t="str">
        <f t="shared" si="3"/>
        <v/>
      </c>
      <c r="X49" s="61" t="str">
        <f t="shared" si="4"/>
        <v/>
      </c>
      <c r="Y49" s="61" t="str">
        <f t="shared" si="5"/>
        <v/>
      </c>
      <c r="Z49" s="61" t="str">
        <f t="shared" si="6"/>
        <v/>
      </c>
      <c r="AA49" s="61" t="str">
        <f t="shared" si="7"/>
        <v/>
      </c>
      <c r="AB49" s="61" t="str">
        <f t="shared" si="8"/>
        <v/>
      </c>
      <c r="AC49" s="61" t="str">
        <f t="shared" si="9"/>
        <v/>
      </c>
      <c r="AD49" s="61" t="str">
        <f t="shared" si="10"/>
        <v/>
      </c>
      <c r="AE49" s="61" t="str">
        <f t="shared" si="11"/>
        <v/>
      </c>
      <c r="AF49" s="61" t="str">
        <f t="shared" si="12"/>
        <v/>
      </c>
      <c r="AG49" s="61" t="str">
        <f t="shared" si="13"/>
        <v/>
      </c>
      <c r="AH49" s="61" t="str">
        <f t="shared" si="14"/>
        <v/>
      </c>
      <c r="AI49" s="61" t="str">
        <f t="shared" si="15"/>
        <v/>
      </c>
    </row>
    <row r="50" spans="1:35" x14ac:dyDescent="0.25">
      <c r="A50" s="36"/>
      <c r="B50" s="37"/>
      <c r="C50" s="37"/>
      <c r="D50" s="37"/>
      <c r="E50" s="37"/>
      <c r="F50" s="37"/>
      <c r="G50" s="37"/>
      <c r="H50" s="37"/>
      <c r="I50" s="37"/>
      <c r="J50" s="38"/>
      <c r="K50" s="38"/>
      <c r="L50" s="37"/>
      <c r="M50" s="37"/>
      <c r="N50" s="37"/>
      <c r="O50" s="37"/>
      <c r="P50" s="37"/>
      <c r="Q50" s="37"/>
      <c r="R50" s="13" t="str">
        <f t="shared" ca="1" si="0"/>
        <v/>
      </c>
      <c r="S50" s="13" t="str">
        <f ca="1">IF(A50="","",IF(OR(M50='02_マスタ'!$E$10,M50='02_マスタ'!$E$12),"",IF(L50="High","High",IF(AND(K50&lt;&gt;"",K50&lt;TODAY()),INDEX(_ゴミ箱_Backup!$B$117:$D$247,MATCH("ALERT_OVERDUE",_ゴミ箱_Backup!$A$117:$A$247,0),MATCH(言語切替!$B$3,_ゴミ箱_Backup!$B$1:$D$1,0)),IF(AND(K50&lt;&gt;"",K50-TODAY()&lt;=7),INDEX(_ゴミ箱_Backup!$B$117:$D$247,MATCH("ALERT_APPROACHING",_ゴミ箱_Backup!$A$117:$A$247,0),MATCH(言語切替!$B$3,_ゴミ箱_Backup!$B$1:$D$1,0)),IF(OR(M50='02_マスタ'!$E$7,M50='02_マスタ'!$E$8),INDEX(_ゴミ箱_Backup!$B$117:$D$247,MATCH("ALERT_CHECK",_ゴミ箱_Backup!$A$117:$A$247,0),MATCH(言語切替!$B$3,_ゴミ箱_Backup!$B$1:$D$1,0)),""))))))</f>
        <v/>
      </c>
      <c r="T50" s="53"/>
      <c r="U50" s="61" t="str">
        <f t="shared" si="1"/>
        <v/>
      </c>
      <c r="V50" s="61" t="str">
        <f t="shared" si="2"/>
        <v/>
      </c>
      <c r="W50" s="61" t="str">
        <f t="shared" si="3"/>
        <v/>
      </c>
      <c r="X50" s="61" t="str">
        <f t="shared" si="4"/>
        <v/>
      </c>
      <c r="Y50" s="61" t="str">
        <f t="shared" si="5"/>
        <v/>
      </c>
      <c r="Z50" s="61" t="str">
        <f t="shared" si="6"/>
        <v/>
      </c>
      <c r="AA50" s="61" t="str">
        <f t="shared" si="7"/>
        <v/>
      </c>
      <c r="AB50" s="61" t="str">
        <f t="shared" si="8"/>
        <v/>
      </c>
      <c r="AC50" s="61" t="str">
        <f t="shared" si="9"/>
        <v/>
      </c>
      <c r="AD50" s="61" t="str">
        <f t="shared" si="10"/>
        <v/>
      </c>
      <c r="AE50" s="61" t="str">
        <f t="shared" si="11"/>
        <v/>
      </c>
      <c r="AF50" s="61" t="str">
        <f t="shared" si="12"/>
        <v/>
      </c>
      <c r="AG50" s="61" t="str">
        <f t="shared" si="13"/>
        <v/>
      </c>
      <c r="AH50" s="61" t="str">
        <f t="shared" si="14"/>
        <v/>
      </c>
      <c r="AI50" s="61" t="str">
        <f t="shared" si="15"/>
        <v/>
      </c>
    </row>
    <row r="51" spans="1:35" x14ac:dyDescent="0.25">
      <c r="A51" s="40"/>
      <c r="B51" s="41"/>
      <c r="C51" s="41"/>
      <c r="D51" s="41"/>
      <c r="E51" s="41"/>
      <c r="F51" s="41"/>
      <c r="G51" s="41"/>
      <c r="H51" s="41"/>
      <c r="I51" s="41"/>
      <c r="J51" s="42"/>
      <c r="K51" s="42"/>
      <c r="L51" s="41"/>
      <c r="M51" s="41"/>
      <c r="N51" s="41"/>
      <c r="O51" s="41"/>
      <c r="P51" s="41"/>
      <c r="Q51" s="41"/>
      <c r="R51" s="16" t="str">
        <f t="shared" ca="1" si="0"/>
        <v/>
      </c>
      <c r="S51" s="16" t="str">
        <f ca="1">IF(A51="","",IF(OR(M51='02_マスタ'!$E$10,M51='02_マスタ'!$E$12),"",IF(L51="High","High",IF(AND(K51&lt;&gt;"",K51&lt;TODAY()),INDEX(_ゴミ箱_Backup!$B$117:$D$247,MATCH("ALERT_OVERDUE",_ゴミ箱_Backup!$A$117:$A$247,0),MATCH(言語切替!$B$3,_ゴミ箱_Backup!$B$1:$D$1,0)),IF(AND(K51&lt;&gt;"",K51-TODAY()&lt;=7),INDEX(_ゴミ箱_Backup!$B$117:$D$247,MATCH("ALERT_APPROACHING",_ゴミ箱_Backup!$A$117:$A$247,0),MATCH(言語切替!$B$3,_ゴミ箱_Backup!$B$1:$D$1,0)),IF(OR(M51='02_マスタ'!$E$7,M51='02_マスタ'!$E$8),INDEX(_ゴミ箱_Backup!$B$117:$D$247,MATCH("ALERT_CHECK",_ゴミ箱_Backup!$A$117:$A$247,0),MATCH(言語切替!$B$3,_ゴミ箱_Backup!$B$1:$D$1,0)),""))))))</f>
        <v/>
      </c>
      <c r="T51" s="52"/>
      <c r="U51" s="61" t="str">
        <f t="shared" si="1"/>
        <v/>
      </c>
      <c r="V51" s="61" t="str">
        <f t="shared" si="2"/>
        <v/>
      </c>
      <c r="W51" s="61" t="str">
        <f t="shared" si="3"/>
        <v/>
      </c>
      <c r="X51" s="61" t="str">
        <f t="shared" si="4"/>
        <v/>
      </c>
      <c r="Y51" s="61" t="str">
        <f t="shared" si="5"/>
        <v/>
      </c>
      <c r="Z51" s="61" t="str">
        <f t="shared" si="6"/>
        <v/>
      </c>
      <c r="AA51" s="61" t="str">
        <f t="shared" si="7"/>
        <v/>
      </c>
      <c r="AB51" s="61" t="str">
        <f t="shared" si="8"/>
        <v/>
      </c>
      <c r="AC51" s="61" t="str">
        <f t="shared" si="9"/>
        <v/>
      </c>
      <c r="AD51" s="61" t="str">
        <f t="shared" si="10"/>
        <v/>
      </c>
      <c r="AE51" s="61" t="str">
        <f t="shared" si="11"/>
        <v/>
      </c>
      <c r="AF51" s="61" t="str">
        <f t="shared" si="12"/>
        <v/>
      </c>
      <c r="AG51" s="61" t="str">
        <f t="shared" si="13"/>
        <v/>
      </c>
      <c r="AH51" s="61" t="str">
        <f t="shared" si="14"/>
        <v/>
      </c>
      <c r="AI51" s="61" t="str">
        <f t="shared" si="15"/>
        <v/>
      </c>
    </row>
    <row r="52" spans="1:35" x14ac:dyDescent="0.25">
      <c r="A52" s="36"/>
      <c r="B52" s="37"/>
      <c r="C52" s="37"/>
      <c r="D52" s="37"/>
      <c r="E52" s="37"/>
      <c r="F52" s="37"/>
      <c r="G52" s="37"/>
      <c r="H52" s="37"/>
      <c r="I52" s="37"/>
      <c r="J52" s="38"/>
      <c r="K52" s="38"/>
      <c r="L52" s="37"/>
      <c r="M52" s="37"/>
      <c r="N52" s="37"/>
      <c r="O52" s="37"/>
      <c r="P52" s="37"/>
      <c r="Q52" s="37"/>
      <c r="R52" s="13" t="str">
        <f t="shared" ca="1" si="0"/>
        <v/>
      </c>
      <c r="S52" s="13" t="str">
        <f ca="1">IF(A52="","",IF(OR(M52='02_マスタ'!$E$10,M52='02_マスタ'!$E$12),"",IF(L52="High","High",IF(AND(K52&lt;&gt;"",K52&lt;TODAY()),INDEX(_ゴミ箱_Backup!$B$117:$D$247,MATCH("ALERT_OVERDUE",_ゴミ箱_Backup!$A$117:$A$247,0),MATCH(言語切替!$B$3,_ゴミ箱_Backup!$B$1:$D$1,0)),IF(AND(K52&lt;&gt;"",K52-TODAY()&lt;=7),INDEX(_ゴミ箱_Backup!$B$117:$D$247,MATCH("ALERT_APPROACHING",_ゴミ箱_Backup!$A$117:$A$247,0),MATCH(言語切替!$B$3,_ゴミ箱_Backup!$B$1:$D$1,0)),IF(OR(M52='02_マスタ'!$E$7,M52='02_マスタ'!$E$8),INDEX(_ゴミ箱_Backup!$B$117:$D$247,MATCH("ALERT_CHECK",_ゴミ箱_Backup!$A$117:$A$247,0),MATCH(言語切替!$B$3,_ゴミ箱_Backup!$B$1:$D$1,0)),""))))))</f>
        <v/>
      </c>
      <c r="T52" s="53"/>
      <c r="U52" s="61" t="str">
        <f t="shared" si="1"/>
        <v/>
      </c>
      <c r="V52" s="61" t="str">
        <f t="shared" si="2"/>
        <v/>
      </c>
      <c r="W52" s="61" t="str">
        <f t="shared" si="3"/>
        <v/>
      </c>
      <c r="X52" s="61" t="str">
        <f t="shared" si="4"/>
        <v/>
      </c>
      <c r="Y52" s="61" t="str">
        <f t="shared" si="5"/>
        <v/>
      </c>
      <c r="Z52" s="61" t="str">
        <f t="shared" si="6"/>
        <v/>
      </c>
      <c r="AA52" s="61" t="str">
        <f t="shared" si="7"/>
        <v/>
      </c>
      <c r="AB52" s="61" t="str">
        <f t="shared" si="8"/>
        <v/>
      </c>
      <c r="AC52" s="61" t="str">
        <f t="shared" si="9"/>
        <v/>
      </c>
      <c r="AD52" s="61" t="str">
        <f t="shared" si="10"/>
        <v/>
      </c>
      <c r="AE52" s="61" t="str">
        <f t="shared" si="11"/>
        <v/>
      </c>
      <c r="AF52" s="61" t="str">
        <f t="shared" si="12"/>
        <v/>
      </c>
      <c r="AG52" s="61" t="str">
        <f t="shared" si="13"/>
        <v/>
      </c>
      <c r="AH52" s="61" t="str">
        <f t="shared" si="14"/>
        <v/>
      </c>
      <c r="AI52" s="61" t="str">
        <f t="shared" si="15"/>
        <v/>
      </c>
    </row>
    <row r="53" spans="1:35" x14ac:dyDescent="0.25">
      <c r="A53" s="40"/>
      <c r="B53" s="41"/>
      <c r="C53" s="41"/>
      <c r="D53" s="41"/>
      <c r="E53" s="41"/>
      <c r="F53" s="41"/>
      <c r="G53" s="41"/>
      <c r="H53" s="41"/>
      <c r="I53" s="41"/>
      <c r="J53" s="42"/>
      <c r="K53" s="42"/>
      <c r="L53" s="41"/>
      <c r="M53" s="41"/>
      <c r="N53" s="41"/>
      <c r="O53" s="41"/>
      <c r="P53" s="41"/>
      <c r="Q53" s="41"/>
      <c r="R53" s="16" t="str">
        <f t="shared" ca="1" si="0"/>
        <v/>
      </c>
      <c r="S53" s="16" t="str">
        <f ca="1">IF(A53="","",IF(OR(M53='02_マスタ'!$E$10,M53='02_マスタ'!$E$12),"",IF(L53="High","High",IF(AND(K53&lt;&gt;"",K53&lt;TODAY()),INDEX(_ゴミ箱_Backup!$B$117:$D$247,MATCH("ALERT_OVERDUE",_ゴミ箱_Backup!$A$117:$A$247,0),MATCH(言語切替!$B$3,_ゴミ箱_Backup!$B$1:$D$1,0)),IF(AND(K53&lt;&gt;"",K53-TODAY()&lt;=7),INDEX(_ゴミ箱_Backup!$B$117:$D$247,MATCH("ALERT_APPROACHING",_ゴミ箱_Backup!$A$117:$A$247,0),MATCH(言語切替!$B$3,_ゴミ箱_Backup!$B$1:$D$1,0)),IF(OR(M53='02_マスタ'!$E$7,M53='02_マスタ'!$E$8),INDEX(_ゴミ箱_Backup!$B$117:$D$247,MATCH("ALERT_CHECK",_ゴミ箱_Backup!$A$117:$A$247,0),MATCH(言語切替!$B$3,_ゴミ箱_Backup!$B$1:$D$1,0)),""))))))</f>
        <v/>
      </c>
      <c r="T53" s="52"/>
      <c r="U53" s="61" t="str">
        <f t="shared" si="1"/>
        <v/>
      </c>
      <c r="V53" s="61" t="str">
        <f t="shared" si="2"/>
        <v/>
      </c>
      <c r="W53" s="61" t="str">
        <f t="shared" si="3"/>
        <v/>
      </c>
      <c r="X53" s="61" t="str">
        <f t="shared" si="4"/>
        <v/>
      </c>
      <c r="Y53" s="61" t="str">
        <f t="shared" si="5"/>
        <v/>
      </c>
      <c r="Z53" s="61" t="str">
        <f t="shared" si="6"/>
        <v/>
      </c>
      <c r="AA53" s="61" t="str">
        <f t="shared" si="7"/>
        <v/>
      </c>
      <c r="AB53" s="61" t="str">
        <f t="shared" si="8"/>
        <v/>
      </c>
      <c r="AC53" s="61" t="str">
        <f t="shared" si="9"/>
        <v/>
      </c>
      <c r="AD53" s="61" t="str">
        <f t="shared" si="10"/>
        <v/>
      </c>
      <c r="AE53" s="61" t="str">
        <f t="shared" si="11"/>
        <v/>
      </c>
      <c r="AF53" s="61" t="str">
        <f t="shared" si="12"/>
        <v/>
      </c>
      <c r="AG53" s="61" t="str">
        <f t="shared" si="13"/>
        <v/>
      </c>
      <c r="AH53" s="61" t="str">
        <f t="shared" si="14"/>
        <v/>
      </c>
      <c r="AI53" s="61" t="str">
        <f t="shared" si="15"/>
        <v/>
      </c>
    </row>
    <row r="54" spans="1:35" x14ac:dyDescent="0.25">
      <c r="A54" s="36"/>
      <c r="B54" s="37"/>
      <c r="C54" s="37"/>
      <c r="D54" s="37"/>
      <c r="E54" s="37"/>
      <c r="F54" s="37"/>
      <c r="G54" s="37"/>
      <c r="H54" s="37"/>
      <c r="I54" s="37"/>
      <c r="J54" s="38"/>
      <c r="K54" s="38"/>
      <c r="L54" s="37"/>
      <c r="M54" s="37"/>
      <c r="N54" s="37"/>
      <c r="O54" s="37"/>
      <c r="P54" s="37"/>
      <c r="Q54" s="37"/>
      <c r="R54" s="13" t="str">
        <f t="shared" ca="1" si="0"/>
        <v/>
      </c>
      <c r="S54" s="13" t="str">
        <f ca="1">IF(A54="","",IF(OR(M54='02_マスタ'!$E$10,M54='02_マスタ'!$E$12),"",IF(L54="High","High",IF(AND(K54&lt;&gt;"",K54&lt;TODAY()),INDEX(_ゴミ箱_Backup!$B$117:$D$247,MATCH("ALERT_OVERDUE",_ゴミ箱_Backup!$A$117:$A$247,0),MATCH(言語切替!$B$3,_ゴミ箱_Backup!$B$1:$D$1,0)),IF(AND(K54&lt;&gt;"",K54-TODAY()&lt;=7),INDEX(_ゴミ箱_Backup!$B$117:$D$247,MATCH("ALERT_APPROACHING",_ゴミ箱_Backup!$A$117:$A$247,0),MATCH(言語切替!$B$3,_ゴミ箱_Backup!$B$1:$D$1,0)),IF(OR(M54='02_マスタ'!$E$7,M54='02_マスタ'!$E$8),INDEX(_ゴミ箱_Backup!$B$117:$D$247,MATCH("ALERT_CHECK",_ゴミ箱_Backup!$A$117:$A$247,0),MATCH(言語切替!$B$3,_ゴミ箱_Backup!$B$1:$D$1,0)),""))))))</f>
        <v/>
      </c>
      <c r="T54" s="53"/>
      <c r="U54" s="61" t="str">
        <f t="shared" si="1"/>
        <v/>
      </c>
      <c r="V54" s="61" t="str">
        <f t="shared" si="2"/>
        <v/>
      </c>
      <c r="W54" s="61" t="str">
        <f t="shared" si="3"/>
        <v/>
      </c>
      <c r="X54" s="61" t="str">
        <f t="shared" si="4"/>
        <v/>
      </c>
      <c r="Y54" s="61" t="str">
        <f t="shared" si="5"/>
        <v/>
      </c>
      <c r="Z54" s="61" t="str">
        <f t="shared" si="6"/>
        <v/>
      </c>
      <c r="AA54" s="61" t="str">
        <f t="shared" si="7"/>
        <v/>
      </c>
      <c r="AB54" s="61" t="str">
        <f t="shared" si="8"/>
        <v/>
      </c>
      <c r="AC54" s="61" t="str">
        <f t="shared" si="9"/>
        <v/>
      </c>
      <c r="AD54" s="61" t="str">
        <f t="shared" si="10"/>
        <v/>
      </c>
      <c r="AE54" s="61" t="str">
        <f t="shared" si="11"/>
        <v/>
      </c>
      <c r="AF54" s="61" t="str">
        <f t="shared" si="12"/>
        <v/>
      </c>
      <c r="AG54" s="61" t="str">
        <f t="shared" si="13"/>
        <v/>
      </c>
      <c r="AH54" s="61" t="str">
        <f t="shared" si="14"/>
        <v/>
      </c>
      <c r="AI54" s="61" t="str">
        <f t="shared" si="15"/>
        <v/>
      </c>
    </row>
    <row r="55" spans="1:35" x14ac:dyDescent="0.25">
      <c r="A55" s="40"/>
      <c r="B55" s="41"/>
      <c r="C55" s="41"/>
      <c r="D55" s="41"/>
      <c r="E55" s="41"/>
      <c r="F55" s="41"/>
      <c r="G55" s="41"/>
      <c r="H55" s="41"/>
      <c r="I55" s="41"/>
      <c r="J55" s="42"/>
      <c r="K55" s="42"/>
      <c r="L55" s="41"/>
      <c r="M55" s="41"/>
      <c r="N55" s="41"/>
      <c r="O55" s="41"/>
      <c r="P55" s="41"/>
      <c r="Q55" s="41"/>
      <c r="R55" s="16" t="str">
        <f t="shared" ca="1" si="0"/>
        <v/>
      </c>
      <c r="S55" s="16" t="str">
        <f ca="1">IF(A55="","",IF(OR(M55='02_マスタ'!$E$10,M55='02_マスタ'!$E$12),"",IF(L55="High","High",IF(AND(K55&lt;&gt;"",K55&lt;TODAY()),INDEX(_ゴミ箱_Backup!$B$117:$D$247,MATCH("ALERT_OVERDUE",_ゴミ箱_Backup!$A$117:$A$247,0),MATCH(言語切替!$B$3,_ゴミ箱_Backup!$B$1:$D$1,0)),IF(AND(K55&lt;&gt;"",K55-TODAY()&lt;=7),INDEX(_ゴミ箱_Backup!$B$117:$D$247,MATCH("ALERT_APPROACHING",_ゴミ箱_Backup!$A$117:$A$247,0),MATCH(言語切替!$B$3,_ゴミ箱_Backup!$B$1:$D$1,0)),IF(OR(M55='02_マスタ'!$E$7,M55='02_マスタ'!$E$8),INDEX(_ゴミ箱_Backup!$B$117:$D$247,MATCH("ALERT_CHECK",_ゴミ箱_Backup!$A$117:$A$247,0),MATCH(言語切替!$B$3,_ゴミ箱_Backup!$B$1:$D$1,0)),""))))))</f>
        <v/>
      </c>
      <c r="T55" s="52"/>
      <c r="U55" s="61" t="str">
        <f t="shared" si="1"/>
        <v/>
      </c>
      <c r="V55" s="61" t="str">
        <f t="shared" si="2"/>
        <v/>
      </c>
      <c r="W55" s="61" t="str">
        <f t="shared" si="3"/>
        <v/>
      </c>
      <c r="X55" s="61" t="str">
        <f t="shared" si="4"/>
        <v/>
      </c>
      <c r="Y55" s="61" t="str">
        <f t="shared" si="5"/>
        <v/>
      </c>
      <c r="Z55" s="61" t="str">
        <f t="shared" si="6"/>
        <v/>
      </c>
      <c r="AA55" s="61" t="str">
        <f t="shared" si="7"/>
        <v/>
      </c>
      <c r="AB55" s="61" t="str">
        <f t="shared" si="8"/>
        <v/>
      </c>
      <c r="AC55" s="61" t="str">
        <f t="shared" si="9"/>
        <v/>
      </c>
      <c r="AD55" s="61" t="str">
        <f t="shared" si="10"/>
        <v/>
      </c>
      <c r="AE55" s="61" t="str">
        <f t="shared" si="11"/>
        <v/>
      </c>
      <c r="AF55" s="61" t="str">
        <f t="shared" si="12"/>
        <v/>
      </c>
      <c r="AG55" s="61" t="str">
        <f t="shared" si="13"/>
        <v/>
      </c>
      <c r="AH55" s="61" t="str">
        <f t="shared" si="14"/>
        <v/>
      </c>
      <c r="AI55" s="61" t="str">
        <f t="shared" si="15"/>
        <v/>
      </c>
    </row>
    <row r="56" spans="1:35" x14ac:dyDescent="0.25">
      <c r="A56" s="36"/>
      <c r="B56" s="37"/>
      <c r="C56" s="37"/>
      <c r="D56" s="37"/>
      <c r="E56" s="37"/>
      <c r="F56" s="37"/>
      <c r="G56" s="37"/>
      <c r="H56" s="37"/>
      <c r="I56" s="37"/>
      <c r="J56" s="38"/>
      <c r="K56" s="38"/>
      <c r="L56" s="37"/>
      <c r="M56" s="37"/>
      <c r="N56" s="37"/>
      <c r="O56" s="37"/>
      <c r="P56" s="37"/>
      <c r="Q56" s="37"/>
      <c r="R56" s="13" t="str">
        <f t="shared" ca="1" si="0"/>
        <v/>
      </c>
      <c r="S56" s="13" t="str">
        <f ca="1">IF(A56="","",IF(OR(M56='02_マスタ'!$E$10,M56='02_マスタ'!$E$12),"",IF(L56="High","High",IF(AND(K56&lt;&gt;"",K56&lt;TODAY()),INDEX(_ゴミ箱_Backup!$B$117:$D$247,MATCH("ALERT_OVERDUE",_ゴミ箱_Backup!$A$117:$A$247,0),MATCH(言語切替!$B$3,_ゴミ箱_Backup!$B$1:$D$1,0)),IF(AND(K56&lt;&gt;"",K56-TODAY()&lt;=7),INDEX(_ゴミ箱_Backup!$B$117:$D$247,MATCH("ALERT_APPROACHING",_ゴミ箱_Backup!$A$117:$A$247,0),MATCH(言語切替!$B$3,_ゴミ箱_Backup!$B$1:$D$1,0)),IF(OR(M56='02_マスタ'!$E$7,M56='02_マスタ'!$E$8),INDEX(_ゴミ箱_Backup!$B$117:$D$247,MATCH("ALERT_CHECK",_ゴミ箱_Backup!$A$117:$A$247,0),MATCH(言語切替!$B$3,_ゴミ箱_Backup!$B$1:$D$1,0)),""))))))</f>
        <v/>
      </c>
      <c r="T56" s="53"/>
      <c r="U56" s="61" t="str">
        <f t="shared" si="1"/>
        <v/>
      </c>
      <c r="V56" s="61" t="str">
        <f t="shared" si="2"/>
        <v/>
      </c>
      <c r="W56" s="61" t="str">
        <f t="shared" si="3"/>
        <v/>
      </c>
      <c r="X56" s="61" t="str">
        <f t="shared" si="4"/>
        <v/>
      </c>
      <c r="Y56" s="61" t="str">
        <f t="shared" si="5"/>
        <v/>
      </c>
      <c r="Z56" s="61" t="str">
        <f t="shared" si="6"/>
        <v/>
      </c>
      <c r="AA56" s="61" t="str">
        <f t="shared" si="7"/>
        <v/>
      </c>
      <c r="AB56" s="61" t="str">
        <f t="shared" si="8"/>
        <v/>
      </c>
      <c r="AC56" s="61" t="str">
        <f t="shared" si="9"/>
        <v/>
      </c>
      <c r="AD56" s="61" t="str">
        <f t="shared" si="10"/>
        <v/>
      </c>
      <c r="AE56" s="61" t="str">
        <f t="shared" si="11"/>
        <v/>
      </c>
      <c r="AF56" s="61" t="str">
        <f t="shared" si="12"/>
        <v/>
      </c>
      <c r="AG56" s="61" t="str">
        <f t="shared" si="13"/>
        <v/>
      </c>
      <c r="AH56" s="61" t="str">
        <f t="shared" si="14"/>
        <v/>
      </c>
      <c r="AI56" s="61" t="str">
        <f t="shared" si="15"/>
        <v/>
      </c>
    </row>
    <row r="57" spans="1:35" x14ac:dyDescent="0.25">
      <c r="A57" s="40"/>
      <c r="B57" s="41"/>
      <c r="C57" s="41"/>
      <c r="D57" s="41"/>
      <c r="E57" s="41"/>
      <c r="F57" s="41"/>
      <c r="G57" s="41"/>
      <c r="H57" s="41"/>
      <c r="I57" s="41"/>
      <c r="J57" s="42"/>
      <c r="K57" s="42"/>
      <c r="L57" s="41"/>
      <c r="M57" s="41"/>
      <c r="N57" s="41"/>
      <c r="O57" s="41"/>
      <c r="P57" s="41"/>
      <c r="Q57" s="41"/>
      <c r="R57" s="16" t="str">
        <f t="shared" ca="1" si="0"/>
        <v/>
      </c>
      <c r="S57" s="16" t="str">
        <f ca="1">IF(A57="","",IF(OR(M57='02_マスタ'!$E$10,M57='02_マスタ'!$E$12),"",IF(L57="High","High",IF(AND(K57&lt;&gt;"",K57&lt;TODAY()),INDEX(_ゴミ箱_Backup!$B$117:$D$247,MATCH("ALERT_OVERDUE",_ゴミ箱_Backup!$A$117:$A$247,0),MATCH(言語切替!$B$3,_ゴミ箱_Backup!$B$1:$D$1,0)),IF(AND(K57&lt;&gt;"",K57-TODAY()&lt;=7),INDEX(_ゴミ箱_Backup!$B$117:$D$247,MATCH("ALERT_APPROACHING",_ゴミ箱_Backup!$A$117:$A$247,0),MATCH(言語切替!$B$3,_ゴミ箱_Backup!$B$1:$D$1,0)),IF(OR(M57='02_マスタ'!$E$7,M57='02_マスタ'!$E$8),INDEX(_ゴミ箱_Backup!$B$117:$D$247,MATCH("ALERT_CHECK",_ゴミ箱_Backup!$A$117:$A$247,0),MATCH(言語切替!$B$3,_ゴミ箱_Backup!$B$1:$D$1,0)),""))))))</f>
        <v/>
      </c>
      <c r="T57" s="52"/>
      <c r="U57" s="61" t="str">
        <f t="shared" si="1"/>
        <v/>
      </c>
      <c r="V57" s="61" t="str">
        <f t="shared" si="2"/>
        <v/>
      </c>
      <c r="W57" s="61" t="str">
        <f t="shared" si="3"/>
        <v/>
      </c>
      <c r="X57" s="61" t="str">
        <f t="shared" si="4"/>
        <v/>
      </c>
      <c r="Y57" s="61" t="str">
        <f t="shared" si="5"/>
        <v/>
      </c>
      <c r="Z57" s="61" t="str">
        <f t="shared" si="6"/>
        <v/>
      </c>
      <c r="AA57" s="61" t="str">
        <f t="shared" si="7"/>
        <v/>
      </c>
      <c r="AB57" s="61" t="str">
        <f t="shared" si="8"/>
        <v/>
      </c>
      <c r="AC57" s="61" t="str">
        <f t="shared" si="9"/>
        <v/>
      </c>
      <c r="AD57" s="61" t="str">
        <f t="shared" si="10"/>
        <v/>
      </c>
      <c r="AE57" s="61" t="str">
        <f t="shared" si="11"/>
        <v/>
      </c>
      <c r="AF57" s="61" t="str">
        <f t="shared" si="12"/>
        <v/>
      </c>
      <c r="AG57" s="61" t="str">
        <f t="shared" si="13"/>
        <v/>
      </c>
      <c r="AH57" s="61" t="str">
        <f t="shared" si="14"/>
        <v/>
      </c>
      <c r="AI57" s="61" t="str">
        <f t="shared" si="15"/>
        <v/>
      </c>
    </row>
    <row r="58" spans="1:35" x14ac:dyDescent="0.25">
      <c r="A58" s="36"/>
      <c r="B58" s="37"/>
      <c r="C58" s="37"/>
      <c r="D58" s="37"/>
      <c r="E58" s="37"/>
      <c r="F58" s="37"/>
      <c r="G58" s="37"/>
      <c r="H58" s="37"/>
      <c r="I58" s="37"/>
      <c r="J58" s="38"/>
      <c r="K58" s="38"/>
      <c r="L58" s="37"/>
      <c r="M58" s="37"/>
      <c r="N58" s="37"/>
      <c r="O58" s="37"/>
      <c r="P58" s="37"/>
      <c r="Q58" s="37"/>
      <c r="R58" s="13" t="str">
        <f t="shared" ca="1" si="0"/>
        <v/>
      </c>
      <c r="S58" s="13" t="str">
        <f ca="1">IF(A58="","",IF(OR(M58='02_マスタ'!$E$10,M58='02_マスタ'!$E$12),"",IF(L58="High","High",IF(AND(K58&lt;&gt;"",K58&lt;TODAY()),INDEX(_ゴミ箱_Backup!$B$117:$D$247,MATCH("ALERT_OVERDUE",_ゴミ箱_Backup!$A$117:$A$247,0),MATCH(言語切替!$B$3,_ゴミ箱_Backup!$B$1:$D$1,0)),IF(AND(K58&lt;&gt;"",K58-TODAY()&lt;=7),INDEX(_ゴミ箱_Backup!$B$117:$D$247,MATCH("ALERT_APPROACHING",_ゴミ箱_Backup!$A$117:$A$247,0),MATCH(言語切替!$B$3,_ゴミ箱_Backup!$B$1:$D$1,0)),IF(OR(M58='02_マスタ'!$E$7,M58='02_マスタ'!$E$8),INDEX(_ゴミ箱_Backup!$B$117:$D$247,MATCH("ALERT_CHECK",_ゴミ箱_Backup!$A$117:$A$247,0),MATCH(言語切替!$B$3,_ゴミ箱_Backup!$B$1:$D$1,0)),""))))))</f>
        <v/>
      </c>
      <c r="T58" s="53"/>
      <c r="U58" s="61" t="str">
        <f t="shared" si="1"/>
        <v/>
      </c>
      <c r="V58" s="61" t="str">
        <f t="shared" si="2"/>
        <v/>
      </c>
      <c r="W58" s="61" t="str">
        <f t="shared" si="3"/>
        <v/>
      </c>
      <c r="X58" s="61" t="str">
        <f t="shared" si="4"/>
        <v/>
      </c>
      <c r="Y58" s="61" t="str">
        <f t="shared" si="5"/>
        <v/>
      </c>
      <c r="Z58" s="61" t="str">
        <f t="shared" si="6"/>
        <v/>
      </c>
      <c r="AA58" s="61" t="str">
        <f t="shared" si="7"/>
        <v/>
      </c>
      <c r="AB58" s="61" t="str">
        <f t="shared" si="8"/>
        <v/>
      </c>
      <c r="AC58" s="61" t="str">
        <f t="shared" si="9"/>
        <v/>
      </c>
      <c r="AD58" s="61" t="str">
        <f t="shared" si="10"/>
        <v/>
      </c>
      <c r="AE58" s="61" t="str">
        <f t="shared" si="11"/>
        <v/>
      </c>
      <c r="AF58" s="61" t="str">
        <f t="shared" si="12"/>
        <v/>
      </c>
      <c r="AG58" s="61" t="str">
        <f t="shared" si="13"/>
        <v/>
      </c>
      <c r="AH58" s="61" t="str">
        <f t="shared" si="14"/>
        <v/>
      </c>
      <c r="AI58" s="61" t="str">
        <f t="shared" si="15"/>
        <v/>
      </c>
    </row>
    <row r="59" spans="1:35" x14ac:dyDescent="0.25">
      <c r="A59" s="40"/>
      <c r="B59" s="41"/>
      <c r="C59" s="41"/>
      <c r="D59" s="41"/>
      <c r="E59" s="41"/>
      <c r="F59" s="41"/>
      <c r="G59" s="41"/>
      <c r="H59" s="41"/>
      <c r="I59" s="41"/>
      <c r="J59" s="42"/>
      <c r="K59" s="42"/>
      <c r="L59" s="41"/>
      <c r="M59" s="41"/>
      <c r="N59" s="41"/>
      <c r="O59" s="41"/>
      <c r="P59" s="41"/>
      <c r="Q59" s="41"/>
      <c r="R59" s="16" t="str">
        <f t="shared" ca="1" si="0"/>
        <v/>
      </c>
      <c r="S59" s="16" t="str">
        <f ca="1">IF(A59="","",IF(OR(M59='02_マスタ'!$E$10,M59='02_マスタ'!$E$12),"",IF(L59="High","High",IF(AND(K59&lt;&gt;"",K59&lt;TODAY()),INDEX(_ゴミ箱_Backup!$B$117:$D$247,MATCH("ALERT_OVERDUE",_ゴミ箱_Backup!$A$117:$A$247,0),MATCH(言語切替!$B$3,_ゴミ箱_Backup!$B$1:$D$1,0)),IF(AND(K59&lt;&gt;"",K59-TODAY()&lt;=7),INDEX(_ゴミ箱_Backup!$B$117:$D$247,MATCH("ALERT_APPROACHING",_ゴミ箱_Backup!$A$117:$A$247,0),MATCH(言語切替!$B$3,_ゴミ箱_Backup!$B$1:$D$1,0)),IF(OR(M59='02_マスタ'!$E$7,M59='02_マスタ'!$E$8),INDEX(_ゴミ箱_Backup!$B$117:$D$247,MATCH("ALERT_CHECK",_ゴミ箱_Backup!$A$117:$A$247,0),MATCH(言語切替!$B$3,_ゴミ箱_Backup!$B$1:$D$1,0)),""))))))</f>
        <v/>
      </c>
      <c r="T59" s="52"/>
      <c r="U59" s="61" t="str">
        <f t="shared" si="1"/>
        <v/>
      </c>
      <c r="V59" s="61" t="str">
        <f t="shared" si="2"/>
        <v/>
      </c>
      <c r="W59" s="61" t="str">
        <f t="shared" si="3"/>
        <v/>
      </c>
      <c r="X59" s="61" t="str">
        <f t="shared" si="4"/>
        <v/>
      </c>
      <c r="Y59" s="61" t="str">
        <f t="shared" si="5"/>
        <v/>
      </c>
      <c r="Z59" s="61" t="str">
        <f t="shared" si="6"/>
        <v/>
      </c>
      <c r="AA59" s="61" t="str">
        <f t="shared" si="7"/>
        <v/>
      </c>
      <c r="AB59" s="61" t="str">
        <f t="shared" si="8"/>
        <v/>
      </c>
      <c r="AC59" s="61" t="str">
        <f t="shared" si="9"/>
        <v/>
      </c>
      <c r="AD59" s="61" t="str">
        <f t="shared" si="10"/>
        <v/>
      </c>
      <c r="AE59" s="61" t="str">
        <f t="shared" si="11"/>
        <v/>
      </c>
      <c r="AF59" s="61" t="str">
        <f t="shared" si="12"/>
        <v/>
      </c>
      <c r="AG59" s="61" t="str">
        <f t="shared" si="13"/>
        <v/>
      </c>
      <c r="AH59" s="61" t="str">
        <f t="shared" si="14"/>
        <v/>
      </c>
      <c r="AI59" s="61" t="str">
        <f t="shared" si="15"/>
        <v/>
      </c>
    </row>
    <row r="60" spans="1:35" x14ac:dyDescent="0.25">
      <c r="A60" s="36"/>
      <c r="B60" s="37"/>
      <c r="C60" s="37"/>
      <c r="D60" s="37"/>
      <c r="E60" s="37"/>
      <c r="F60" s="37"/>
      <c r="G60" s="37"/>
      <c r="H60" s="37"/>
      <c r="I60" s="37"/>
      <c r="J60" s="38"/>
      <c r="K60" s="38"/>
      <c r="L60" s="37"/>
      <c r="M60" s="37"/>
      <c r="N60" s="37"/>
      <c r="O60" s="37"/>
      <c r="P60" s="37"/>
      <c r="Q60" s="37"/>
      <c r="R60" s="13" t="str">
        <f t="shared" ca="1" si="0"/>
        <v/>
      </c>
      <c r="S60" s="13" t="str">
        <f ca="1">IF(A60="","",IF(OR(M60='02_マスタ'!$E$10,M60='02_マスタ'!$E$12),"",IF(L60="High","High",IF(AND(K60&lt;&gt;"",K60&lt;TODAY()),INDEX(_ゴミ箱_Backup!$B$117:$D$247,MATCH("ALERT_OVERDUE",_ゴミ箱_Backup!$A$117:$A$247,0),MATCH(言語切替!$B$3,_ゴミ箱_Backup!$B$1:$D$1,0)),IF(AND(K60&lt;&gt;"",K60-TODAY()&lt;=7),INDEX(_ゴミ箱_Backup!$B$117:$D$247,MATCH("ALERT_APPROACHING",_ゴミ箱_Backup!$A$117:$A$247,0),MATCH(言語切替!$B$3,_ゴミ箱_Backup!$B$1:$D$1,0)),IF(OR(M60='02_マスタ'!$E$7,M60='02_マスタ'!$E$8),INDEX(_ゴミ箱_Backup!$B$117:$D$247,MATCH("ALERT_CHECK",_ゴミ箱_Backup!$A$117:$A$247,0),MATCH(言語切替!$B$3,_ゴミ箱_Backup!$B$1:$D$1,0)),""))))))</f>
        <v/>
      </c>
      <c r="T60" s="53"/>
      <c r="U60" s="61" t="str">
        <f t="shared" si="1"/>
        <v/>
      </c>
      <c r="V60" s="61" t="str">
        <f t="shared" si="2"/>
        <v/>
      </c>
      <c r="W60" s="61" t="str">
        <f t="shared" si="3"/>
        <v/>
      </c>
      <c r="X60" s="61" t="str">
        <f t="shared" si="4"/>
        <v/>
      </c>
      <c r="Y60" s="61" t="str">
        <f t="shared" si="5"/>
        <v/>
      </c>
      <c r="Z60" s="61" t="str">
        <f t="shared" si="6"/>
        <v/>
      </c>
      <c r="AA60" s="61" t="str">
        <f t="shared" si="7"/>
        <v/>
      </c>
      <c r="AB60" s="61" t="str">
        <f t="shared" si="8"/>
        <v/>
      </c>
      <c r="AC60" s="61" t="str">
        <f t="shared" si="9"/>
        <v/>
      </c>
      <c r="AD60" s="61" t="str">
        <f t="shared" si="10"/>
        <v/>
      </c>
      <c r="AE60" s="61" t="str">
        <f t="shared" si="11"/>
        <v/>
      </c>
      <c r="AF60" s="61" t="str">
        <f t="shared" si="12"/>
        <v/>
      </c>
      <c r="AG60" s="61" t="str">
        <f t="shared" si="13"/>
        <v/>
      </c>
      <c r="AH60" s="61" t="str">
        <f t="shared" si="14"/>
        <v/>
      </c>
      <c r="AI60" s="61" t="str">
        <f t="shared" si="15"/>
        <v/>
      </c>
    </row>
    <row r="61" spans="1:35" x14ac:dyDescent="0.25">
      <c r="A61" s="40"/>
      <c r="B61" s="41"/>
      <c r="C61" s="41"/>
      <c r="D61" s="41"/>
      <c r="E61" s="41"/>
      <c r="F61" s="41"/>
      <c r="G61" s="41"/>
      <c r="H61" s="41"/>
      <c r="I61" s="41"/>
      <c r="J61" s="42"/>
      <c r="K61" s="42"/>
      <c r="L61" s="41"/>
      <c r="M61" s="41"/>
      <c r="N61" s="41"/>
      <c r="O61" s="41"/>
      <c r="P61" s="41"/>
      <c r="Q61" s="41"/>
      <c r="R61" s="16" t="str">
        <f t="shared" ca="1" si="0"/>
        <v/>
      </c>
      <c r="S61" s="16" t="str">
        <f ca="1">IF(A61="","",IF(OR(M61='02_マスタ'!$E$10,M61='02_マスタ'!$E$12),"",IF(L61="High","High",IF(AND(K61&lt;&gt;"",K61&lt;TODAY()),INDEX(_ゴミ箱_Backup!$B$117:$D$247,MATCH("ALERT_OVERDUE",_ゴミ箱_Backup!$A$117:$A$247,0),MATCH(言語切替!$B$3,_ゴミ箱_Backup!$B$1:$D$1,0)),IF(AND(K61&lt;&gt;"",K61-TODAY()&lt;=7),INDEX(_ゴミ箱_Backup!$B$117:$D$247,MATCH("ALERT_APPROACHING",_ゴミ箱_Backup!$A$117:$A$247,0),MATCH(言語切替!$B$3,_ゴミ箱_Backup!$B$1:$D$1,0)),IF(OR(M61='02_マスタ'!$E$7,M61='02_マスタ'!$E$8),INDEX(_ゴミ箱_Backup!$B$117:$D$247,MATCH("ALERT_CHECK",_ゴミ箱_Backup!$A$117:$A$247,0),MATCH(言語切替!$B$3,_ゴミ箱_Backup!$B$1:$D$1,0)),""))))))</f>
        <v/>
      </c>
      <c r="T61" s="52"/>
      <c r="U61" s="61" t="str">
        <f t="shared" si="1"/>
        <v/>
      </c>
      <c r="V61" s="61" t="str">
        <f t="shared" si="2"/>
        <v/>
      </c>
      <c r="W61" s="61" t="str">
        <f t="shared" si="3"/>
        <v/>
      </c>
      <c r="X61" s="61" t="str">
        <f t="shared" si="4"/>
        <v/>
      </c>
      <c r="Y61" s="61" t="str">
        <f t="shared" si="5"/>
        <v/>
      </c>
      <c r="Z61" s="61" t="str">
        <f t="shared" si="6"/>
        <v/>
      </c>
      <c r="AA61" s="61" t="str">
        <f t="shared" si="7"/>
        <v/>
      </c>
      <c r="AB61" s="61" t="str">
        <f t="shared" si="8"/>
        <v/>
      </c>
      <c r="AC61" s="61" t="str">
        <f t="shared" si="9"/>
        <v/>
      </c>
      <c r="AD61" s="61" t="str">
        <f t="shared" si="10"/>
        <v/>
      </c>
      <c r="AE61" s="61" t="str">
        <f t="shared" si="11"/>
        <v/>
      </c>
      <c r="AF61" s="61" t="str">
        <f t="shared" si="12"/>
        <v/>
      </c>
      <c r="AG61" s="61" t="str">
        <f t="shared" si="13"/>
        <v/>
      </c>
      <c r="AH61" s="61" t="str">
        <f t="shared" si="14"/>
        <v/>
      </c>
      <c r="AI61" s="61" t="str">
        <f t="shared" si="15"/>
        <v/>
      </c>
    </row>
    <row r="62" spans="1:35" x14ac:dyDescent="0.25">
      <c r="A62" s="36"/>
      <c r="B62" s="37"/>
      <c r="C62" s="37"/>
      <c r="D62" s="37"/>
      <c r="E62" s="37"/>
      <c r="F62" s="37"/>
      <c r="G62" s="37"/>
      <c r="H62" s="37"/>
      <c r="I62" s="37"/>
      <c r="J62" s="38"/>
      <c r="K62" s="38"/>
      <c r="L62" s="37"/>
      <c r="M62" s="37"/>
      <c r="N62" s="37"/>
      <c r="O62" s="37"/>
      <c r="P62" s="37"/>
      <c r="Q62" s="37"/>
      <c r="R62" s="13" t="str">
        <f t="shared" ca="1" si="0"/>
        <v/>
      </c>
      <c r="S62" s="13" t="str">
        <f ca="1">IF(A62="","",IF(OR(M62='02_マスタ'!$E$10,M62='02_マスタ'!$E$12),"",IF(L62="High","High",IF(AND(K62&lt;&gt;"",K62&lt;TODAY()),INDEX(_ゴミ箱_Backup!$B$117:$D$247,MATCH("ALERT_OVERDUE",_ゴミ箱_Backup!$A$117:$A$247,0),MATCH(言語切替!$B$3,_ゴミ箱_Backup!$B$1:$D$1,0)),IF(AND(K62&lt;&gt;"",K62-TODAY()&lt;=7),INDEX(_ゴミ箱_Backup!$B$117:$D$247,MATCH("ALERT_APPROACHING",_ゴミ箱_Backup!$A$117:$A$247,0),MATCH(言語切替!$B$3,_ゴミ箱_Backup!$B$1:$D$1,0)),IF(OR(M62='02_マスタ'!$E$7,M62='02_マスタ'!$E$8),INDEX(_ゴミ箱_Backup!$B$117:$D$247,MATCH("ALERT_CHECK",_ゴミ箱_Backup!$A$117:$A$247,0),MATCH(言語切替!$B$3,_ゴミ箱_Backup!$B$1:$D$1,0)),""))))))</f>
        <v/>
      </c>
      <c r="T62" s="53"/>
      <c r="U62" s="61" t="str">
        <f t="shared" si="1"/>
        <v/>
      </c>
      <c r="V62" s="61" t="str">
        <f t="shared" si="2"/>
        <v/>
      </c>
      <c r="W62" s="61" t="str">
        <f t="shared" si="3"/>
        <v/>
      </c>
      <c r="X62" s="61" t="str">
        <f t="shared" si="4"/>
        <v/>
      </c>
      <c r="Y62" s="61" t="str">
        <f t="shared" si="5"/>
        <v/>
      </c>
      <c r="Z62" s="61" t="str">
        <f t="shared" si="6"/>
        <v/>
      </c>
      <c r="AA62" s="61" t="str">
        <f t="shared" si="7"/>
        <v/>
      </c>
      <c r="AB62" s="61" t="str">
        <f t="shared" si="8"/>
        <v/>
      </c>
      <c r="AC62" s="61" t="str">
        <f t="shared" si="9"/>
        <v/>
      </c>
      <c r="AD62" s="61" t="str">
        <f t="shared" si="10"/>
        <v/>
      </c>
      <c r="AE62" s="61" t="str">
        <f t="shared" si="11"/>
        <v/>
      </c>
      <c r="AF62" s="61" t="str">
        <f t="shared" si="12"/>
        <v/>
      </c>
      <c r="AG62" s="61" t="str">
        <f t="shared" si="13"/>
        <v/>
      </c>
      <c r="AH62" s="61" t="str">
        <f t="shared" si="14"/>
        <v/>
      </c>
      <c r="AI62" s="61" t="str">
        <f t="shared" si="15"/>
        <v/>
      </c>
    </row>
    <row r="63" spans="1:35" x14ac:dyDescent="0.25">
      <c r="A63" s="40"/>
      <c r="B63" s="41"/>
      <c r="C63" s="41"/>
      <c r="D63" s="41"/>
      <c r="E63" s="41"/>
      <c r="F63" s="41"/>
      <c r="G63" s="41"/>
      <c r="H63" s="41"/>
      <c r="I63" s="41"/>
      <c r="J63" s="42"/>
      <c r="K63" s="42"/>
      <c r="L63" s="41"/>
      <c r="M63" s="41"/>
      <c r="N63" s="41"/>
      <c r="O63" s="41"/>
      <c r="P63" s="41"/>
      <c r="Q63" s="41"/>
      <c r="R63" s="16" t="str">
        <f t="shared" ca="1" si="0"/>
        <v/>
      </c>
      <c r="S63" s="16" t="str">
        <f ca="1">IF(A63="","",IF(OR(M63='02_マスタ'!$E$10,M63='02_マスタ'!$E$12),"",IF(L63="High","High",IF(AND(K63&lt;&gt;"",K63&lt;TODAY()),INDEX(_ゴミ箱_Backup!$B$117:$D$247,MATCH("ALERT_OVERDUE",_ゴミ箱_Backup!$A$117:$A$247,0),MATCH(言語切替!$B$3,_ゴミ箱_Backup!$B$1:$D$1,0)),IF(AND(K63&lt;&gt;"",K63-TODAY()&lt;=7),INDEX(_ゴミ箱_Backup!$B$117:$D$247,MATCH("ALERT_APPROACHING",_ゴミ箱_Backup!$A$117:$A$247,0),MATCH(言語切替!$B$3,_ゴミ箱_Backup!$B$1:$D$1,0)),IF(OR(M63='02_マスタ'!$E$7,M63='02_マスタ'!$E$8),INDEX(_ゴミ箱_Backup!$B$117:$D$247,MATCH("ALERT_CHECK",_ゴミ箱_Backup!$A$117:$A$247,0),MATCH(言語切替!$B$3,_ゴミ箱_Backup!$B$1:$D$1,0)),""))))))</f>
        <v/>
      </c>
      <c r="T63" s="52"/>
      <c r="U63" s="61" t="str">
        <f t="shared" si="1"/>
        <v/>
      </c>
      <c r="V63" s="61" t="str">
        <f t="shared" si="2"/>
        <v/>
      </c>
      <c r="W63" s="61" t="str">
        <f t="shared" si="3"/>
        <v/>
      </c>
      <c r="X63" s="61" t="str">
        <f t="shared" si="4"/>
        <v/>
      </c>
      <c r="Y63" s="61" t="str">
        <f t="shared" si="5"/>
        <v/>
      </c>
      <c r="Z63" s="61" t="str">
        <f t="shared" si="6"/>
        <v/>
      </c>
      <c r="AA63" s="61" t="str">
        <f t="shared" si="7"/>
        <v/>
      </c>
      <c r="AB63" s="61" t="str">
        <f t="shared" si="8"/>
        <v/>
      </c>
      <c r="AC63" s="61" t="str">
        <f t="shared" si="9"/>
        <v/>
      </c>
      <c r="AD63" s="61" t="str">
        <f t="shared" si="10"/>
        <v/>
      </c>
      <c r="AE63" s="61" t="str">
        <f t="shared" si="11"/>
        <v/>
      </c>
      <c r="AF63" s="61" t="str">
        <f t="shared" si="12"/>
        <v/>
      </c>
      <c r="AG63" s="61" t="str">
        <f t="shared" si="13"/>
        <v/>
      </c>
      <c r="AH63" s="61" t="str">
        <f t="shared" si="14"/>
        <v/>
      </c>
      <c r="AI63" s="61" t="str">
        <f t="shared" si="15"/>
        <v/>
      </c>
    </row>
    <row r="64" spans="1:35" x14ac:dyDescent="0.25">
      <c r="A64" s="36"/>
      <c r="B64" s="37"/>
      <c r="C64" s="37"/>
      <c r="D64" s="37"/>
      <c r="E64" s="37"/>
      <c r="F64" s="37"/>
      <c r="G64" s="37"/>
      <c r="H64" s="37"/>
      <c r="I64" s="37"/>
      <c r="J64" s="38"/>
      <c r="K64" s="38"/>
      <c r="L64" s="37"/>
      <c r="M64" s="37"/>
      <c r="N64" s="37"/>
      <c r="O64" s="37"/>
      <c r="P64" s="37"/>
      <c r="Q64" s="37"/>
      <c r="R64" s="13" t="str">
        <f t="shared" ca="1" si="0"/>
        <v/>
      </c>
      <c r="S64" s="13" t="str">
        <f ca="1">IF(A64="","",IF(OR(M64='02_マスタ'!$E$10,M64='02_マスタ'!$E$12),"",IF(L64="High","High",IF(AND(K64&lt;&gt;"",K64&lt;TODAY()),INDEX(_ゴミ箱_Backup!$B$117:$D$247,MATCH("ALERT_OVERDUE",_ゴミ箱_Backup!$A$117:$A$247,0),MATCH(言語切替!$B$3,_ゴミ箱_Backup!$B$1:$D$1,0)),IF(AND(K64&lt;&gt;"",K64-TODAY()&lt;=7),INDEX(_ゴミ箱_Backup!$B$117:$D$247,MATCH("ALERT_APPROACHING",_ゴミ箱_Backup!$A$117:$A$247,0),MATCH(言語切替!$B$3,_ゴミ箱_Backup!$B$1:$D$1,0)),IF(OR(M64='02_マスタ'!$E$7,M64='02_マスタ'!$E$8),INDEX(_ゴミ箱_Backup!$B$117:$D$247,MATCH("ALERT_CHECK",_ゴミ箱_Backup!$A$117:$A$247,0),MATCH(言語切替!$B$3,_ゴミ箱_Backup!$B$1:$D$1,0)),""))))))</f>
        <v/>
      </c>
      <c r="T64" s="53"/>
      <c r="U64" s="61" t="str">
        <f t="shared" si="1"/>
        <v/>
      </c>
      <c r="V64" s="61" t="str">
        <f t="shared" si="2"/>
        <v/>
      </c>
      <c r="W64" s="61" t="str">
        <f t="shared" si="3"/>
        <v/>
      </c>
      <c r="X64" s="61" t="str">
        <f t="shared" si="4"/>
        <v/>
      </c>
      <c r="Y64" s="61" t="str">
        <f t="shared" si="5"/>
        <v/>
      </c>
      <c r="Z64" s="61" t="str">
        <f t="shared" si="6"/>
        <v/>
      </c>
      <c r="AA64" s="61" t="str">
        <f t="shared" si="7"/>
        <v/>
      </c>
      <c r="AB64" s="61" t="str">
        <f t="shared" si="8"/>
        <v/>
      </c>
      <c r="AC64" s="61" t="str">
        <f t="shared" si="9"/>
        <v/>
      </c>
      <c r="AD64" s="61" t="str">
        <f t="shared" si="10"/>
        <v/>
      </c>
      <c r="AE64" s="61" t="str">
        <f t="shared" si="11"/>
        <v/>
      </c>
      <c r="AF64" s="61" t="str">
        <f t="shared" si="12"/>
        <v/>
      </c>
      <c r="AG64" s="61" t="str">
        <f t="shared" si="13"/>
        <v/>
      </c>
      <c r="AH64" s="61" t="str">
        <f t="shared" si="14"/>
        <v/>
      </c>
      <c r="AI64" s="61" t="str">
        <f t="shared" si="15"/>
        <v/>
      </c>
    </row>
    <row r="65" spans="1:35" x14ac:dyDescent="0.25">
      <c r="A65" s="40"/>
      <c r="B65" s="41"/>
      <c r="C65" s="41"/>
      <c r="D65" s="41"/>
      <c r="E65" s="41"/>
      <c r="F65" s="41"/>
      <c r="G65" s="41"/>
      <c r="H65" s="41"/>
      <c r="I65" s="41"/>
      <c r="J65" s="42"/>
      <c r="K65" s="42"/>
      <c r="L65" s="41"/>
      <c r="M65" s="41"/>
      <c r="N65" s="41"/>
      <c r="O65" s="41"/>
      <c r="P65" s="41"/>
      <c r="Q65" s="41"/>
      <c r="R65" s="16" t="str">
        <f t="shared" ca="1" si="0"/>
        <v/>
      </c>
      <c r="S65" s="16" t="str">
        <f ca="1">IF(A65="","",IF(OR(M65='02_マスタ'!$E$10,M65='02_マスタ'!$E$12),"",IF(L65="High","High",IF(AND(K65&lt;&gt;"",K65&lt;TODAY()),INDEX(_ゴミ箱_Backup!$B$117:$D$247,MATCH("ALERT_OVERDUE",_ゴミ箱_Backup!$A$117:$A$247,0),MATCH(言語切替!$B$3,_ゴミ箱_Backup!$B$1:$D$1,0)),IF(AND(K65&lt;&gt;"",K65-TODAY()&lt;=7),INDEX(_ゴミ箱_Backup!$B$117:$D$247,MATCH("ALERT_APPROACHING",_ゴミ箱_Backup!$A$117:$A$247,0),MATCH(言語切替!$B$3,_ゴミ箱_Backup!$B$1:$D$1,0)),IF(OR(M65='02_マスタ'!$E$7,M65='02_マスタ'!$E$8),INDEX(_ゴミ箱_Backup!$B$117:$D$247,MATCH("ALERT_CHECK",_ゴミ箱_Backup!$A$117:$A$247,0),MATCH(言語切替!$B$3,_ゴミ箱_Backup!$B$1:$D$1,0)),""))))))</f>
        <v/>
      </c>
      <c r="T65" s="52"/>
      <c r="U65" s="61" t="str">
        <f t="shared" si="1"/>
        <v/>
      </c>
      <c r="V65" s="61" t="str">
        <f t="shared" si="2"/>
        <v/>
      </c>
      <c r="W65" s="61" t="str">
        <f t="shared" si="3"/>
        <v/>
      </c>
      <c r="X65" s="61" t="str">
        <f t="shared" si="4"/>
        <v/>
      </c>
      <c r="Y65" s="61" t="str">
        <f t="shared" si="5"/>
        <v/>
      </c>
      <c r="Z65" s="61" t="str">
        <f t="shared" si="6"/>
        <v/>
      </c>
      <c r="AA65" s="61" t="str">
        <f t="shared" si="7"/>
        <v/>
      </c>
      <c r="AB65" s="61" t="str">
        <f t="shared" si="8"/>
        <v/>
      </c>
      <c r="AC65" s="61" t="str">
        <f t="shared" si="9"/>
        <v/>
      </c>
      <c r="AD65" s="61" t="str">
        <f t="shared" si="10"/>
        <v/>
      </c>
      <c r="AE65" s="61" t="str">
        <f t="shared" si="11"/>
        <v/>
      </c>
      <c r="AF65" s="61" t="str">
        <f t="shared" si="12"/>
        <v/>
      </c>
      <c r="AG65" s="61" t="str">
        <f t="shared" si="13"/>
        <v/>
      </c>
      <c r="AH65" s="61" t="str">
        <f t="shared" si="14"/>
        <v/>
      </c>
      <c r="AI65" s="61" t="str">
        <f t="shared" si="15"/>
        <v/>
      </c>
    </row>
    <row r="66" spans="1:35" x14ac:dyDescent="0.25">
      <c r="A66" s="36"/>
      <c r="B66" s="37"/>
      <c r="C66" s="37"/>
      <c r="D66" s="37"/>
      <c r="E66" s="37"/>
      <c r="F66" s="37"/>
      <c r="G66" s="37"/>
      <c r="H66" s="37"/>
      <c r="I66" s="37"/>
      <c r="J66" s="38"/>
      <c r="K66" s="38"/>
      <c r="L66" s="37"/>
      <c r="M66" s="37"/>
      <c r="N66" s="37"/>
      <c r="O66" s="37"/>
      <c r="P66" s="37"/>
      <c r="Q66" s="37"/>
      <c r="R66" s="13" t="str">
        <f t="shared" ca="1" si="0"/>
        <v/>
      </c>
      <c r="S66" s="13" t="str">
        <f ca="1">IF(A66="","",IF(OR(M66='02_マスタ'!$E$10,M66='02_マスタ'!$E$12),"",IF(L66="High","High",IF(AND(K66&lt;&gt;"",K66&lt;TODAY()),INDEX(_ゴミ箱_Backup!$B$117:$D$247,MATCH("ALERT_OVERDUE",_ゴミ箱_Backup!$A$117:$A$247,0),MATCH(言語切替!$B$3,_ゴミ箱_Backup!$B$1:$D$1,0)),IF(AND(K66&lt;&gt;"",K66-TODAY()&lt;=7),INDEX(_ゴミ箱_Backup!$B$117:$D$247,MATCH("ALERT_APPROACHING",_ゴミ箱_Backup!$A$117:$A$247,0),MATCH(言語切替!$B$3,_ゴミ箱_Backup!$B$1:$D$1,0)),IF(OR(M66='02_マスタ'!$E$7,M66='02_マスタ'!$E$8),INDEX(_ゴミ箱_Backup!$B$117:$D$247,MATCH("ALERT_CHECK",_ゴミ箱_Backup!$A$117:$A$247,0),MATCH(言語切替!$B$3,_ゴミ箱_Backup!$B$1:$D$1,0)),""))))))</f>
        <v/>
      </c>
      <c r="T66" s="53"/>
      <c r="U66" s="61" t="str">
        <f t="shared" si="1"/>
        <v/>
      </c>
      <c r="V66" s="61" t="str">
        <f t="shared" si="2"/>
        <v/>
      </c>
      <c r="W66" s="61" t="str">
        <f t="shared" si="3"/>
        <v/>
      </c>
      <c r="X66" s="61" t="str">
        <f t="shared" si="4"/>
        <v/>
      </c>
      <c r="Y66" s="61" t="str">
        <f t="shared" si="5"/>
        <v/>
      </c>
      <c r="Z66" s="61" t="str">
        <f t="shared" si="6"/>
        <v/>
      </c>
      <c r="AA66" s="61" t="str">
        <f t="shared" si="7"/>
        <v/>
      </c>
      <c r="AB66" s="61" t="str">
        <f t="shared" si="8"/>
        <v/>
      </c>
      <c r="AC66" s="61" t="str">
        <f t="shared" si="9"/>
        <v/>
      </c>
      <c r="AD66" s="61" t="str">
        <f t="shared" si="10"/>
        <v/>
      </c>
      <c r="AE66" s="61" t="str">
        <f t="shared" si="11"/>
        <v/>
      </c>
      <c r="AF66" s="61" t="str">
        <f t="shared" si="12"/>
        <v/>
      </c>
      <c r="AG66" s="61" t="str">
        <f t="shared" si="13"/>
        <v/>
      </c>
      <c r="AH66" s="61" t="str">
        <f t="shared" si="14"/>
        <v/>
      </c>
      <c r="AI66" s="61" t="str">
        <f t="shared" si="15"/>
        <v/>
      </c>
    </row>
    <row r="67" spans="1:35" x14ac:dyDescent="0.25">
      <c r="A67" s="40"/>
      <c r="B67" s="41"/>
      <c r="C67" s="41"/>
      <c r="D67" s="41"/>
      <c r="E67" s="41"/>
      <c r="F67" s="41"/>
      <c r="G67" s="41"/>
      <c r="H67" s="41"/>
      <c r="I67" s="41"/>
      <c r="J67" s="42"/>
      <c r="K67" s="42"/>
      <c r="L67" s="41"/>
      <c r="M67" s="41"/>
      <c r="N67" s="41"/>
      <c r="O67" s="41"/>
      <c r="P67" s="41"/>
      <c r="Q67" s="41"/>
      <c r="R67" s="16" t="str">
        <f t="shared" ca="1" si="0"/>
        <v/>
      </c>
      <c r="S67" s="16" t="str">
        <f ca="1">IF(A67="","",IF(OR(M67='02_マスタ'!$E$10,M67='02_マスタ'!$E$12),"",IF(L67="High","High",IF(AND(K67&lt;&gt;"",K67&lt;TODAY()),INDEX(_ゴミ箱_Backup!$B$117:$D$247,MATCH("ALERT_OVERDUE",_ゴミ箱_Backup!$A$117:$A$247,0),MATCH(言語切替!$B$3,_ゴミ箱_Backup!$B$1:$D$1,0)),IF(AND(K67&lt;&gt;"",K67-TODAY()&lt;=7),INDEX(_ゴミ箱_Backup!$B$117:$D$247,MATCH("ALERT_APPROACHING",_ゴミ箱_Backup!$A$117:$A$247,0),MATCH(言語切替!$B$3,_ゴミ箱_Backup!$B$1:$D$1,0)),IF(OR(M67='02_マスタ'!$E$7,M67='02_マスタ'!$E$8),INDEX(_ゴミ箱_Backup!$B$117:$D$247,MATCH("ALERT_CHECK",_ゴミ箱_Backup!$A$117:$A$247,0),MATCH(言語切替!$B$3,_ゴミ箱_Backup!$B$1:$D$1,0)),""))))))</f>
        <v/>
      </c>
      <c r="T67" s="52"/>
      <c r="U67" s="61" t="str">
        <f t="shared" si="1"/>
        <v/>
      </c>
      <c r="V67" s="61" t="str">
        <f t="shared" si="2"/>
        <v/>
      </c>
      <c r="W67" s="61" t="str">
        <f t="shared" si="3"/>
        <v/>
      </c>
      <c r="X67" s="61" t="str">
        <f t="shared" si="4"/>
        <v/>
      </c>
      <c r="Y67" s="61" t="str">
        <f t="shared" si="5"/>
        <v/>
      </c>
      <c r="Z67" s="61" t="str">
        <f t="shared" si="6"/>
        <v/>
      </c>
      <c r="AA67" s="61" t="str">
        <f t="shared" si="7"/>
        <v/>
      </c>
      <c r="AB67" s="61" t="str">
        <f t="shared" si="8"/>
        <v/>
      </c>
      <c r="AC67" s="61" t="str">
        <f t="shared" si="9"/>
        <v/>
      </c>
      <c r="AD67" s="61" t="str">
        <f t="shared" si="10"/>
        <v/>
      </c>
      <c r="AE67" s="61" t="str">
        <f t="shared" si="11"/>
        <v/>
      </c>
      <c r="AF67" s="61" t="str">
        <f t="shared" si="12"/>
        <v/>
      </c>
      <c r="AG67" s="61" t="str">
        <f t="shared" si="13"/>
        <v/>
      </c>
      <c r="AH67" s="61" t="str">
        <f t="shared" si="14"/>
        <v/>
      </c>
      <c r="AI67" s="61" t="str">
        <f t="shared" si="15"/>
        <v/>
      </c>
    </row>
    <row r="68" spans="1:35" x14ac:dyDescent="0.25">
      <c r="A68" s="36"/>
      <c r="B68" s="37"/>
      <c r="C68" s="37"/>
      <c r="D68" s="37"/>
      <c r="E68" s="37"/>
      <c r="F68" s="37"/>
      <c r="G68" s="37"/>
      <c r="H68" s="37"/>
      <c r="I68" s="37"/>
      <c r="J68" s="38"/>
      <c r="K68" s="38"/>
      <c r="L68" s="37"/>
      <c r="M68" s="37"/>
      <c r="N68" s="37"/>
      <c r="O68" s="37"/>
      <c r="P68" s="37"/>
      <c r="Q68" s="37"/>
      <c r="R68" s="13" t="str">
        <f t="shared" ca="1" si="0"/>
        <v/>
      </c>
      <c r="S68" s="13" t="str">
        <f ca="1">IF(A68="","",IF(OR(M68='02_マスタ'!$E$10,M68='02_マスタ'!$E$12),"",IF(L68="High","High",IF(AND(K68&lt;&gt;"",K68&lt;TODAY()),INDEX(_ゴミ箱_Backup!$B$117:$D$247,MATCH("ALERT_OVERDUE",_ゴミ箱_Backup!$A$117:$A$247,0),MATCH(言語切替!$B$3,_ゴミ箱_Backup!$B$1:$D$1,0)),IF(AND(K68&lt;&gt;"",K68-TODAY()&lt;=7),INDEX(_ゴミ箱_Backup!$B$117:$D$247,MATCH("ALERT_APPROACHING",_ゴミ箱_Backup!$A$117:$A$247,0),MATCH(言語切替!$B$3,_ゴミ箱_Backup!$B$1:$D$1,0)),IF(OR(M68='02_マスタ'!$E$7,M68='02_マスタ'!$E$8),INDEX(_ゴミ箱_Backup!$B$117:$D$247,MATCH("ALERT_CHECK",_ゴミ箱_Backup!$A$117:$A$247,0),MATCH(言語切替!$B$3,_ゴミ箱_Backup!$B$1:$D$1,0)),""))))))</f>
        <v/>
      </c>
      <c r="T68" s="53"/>
      <c r="U68" s="61" t="str">
        <f t="shared" si="1"/>
        <v/>
      </c>
      <c r="V68" s="61" t="str">
        <f t="shared" si="2"/>
        <v/>
      </c>
      <c r="W68" s="61" t="str">
        <f t="shared" si="3"/>
        <v/>
      </c>
      <c r="X68" s="61" t="str">
        <f t="shared" si="4"/>
        <v/>
      </c>
      <c r="Y68" s="61" t="str">
        <f t="shared" si="5"/>
        <v/>
      </c>
      <c r="Z68" s="61" t="str">
        <f t="shared" si="6"/>
        <v/>
      </c>
      <c r="AA68" s="61" t="str">
        <f t="shared" si="7"/>
        <v/>
      </c>
      <c r="AB68" s="61" t="str">
        <f t="shared" si="8"/>
        <v/>
      </c>
      <c r="AC68" s="61" t="str">
        <f t="shared" si="9"/>
        <v/>
      </c>
      <c r="AD68" s="61" t="str">
        <f t="shared" si="10"/>
        <v/>
      </c>
      <c r="AE68" s="61" t="str">
        <f t="shared" si="11"/>
        <v/>
      </c>
      <c r="AF68" s="61" t="str">
        <f t="shared" si="12"/>
        <v/>
      </c>
      <c r="AG68" s="61" t="str">
        <f t="shared" si="13"/>
        <v/>
      </c>
      <c r="AH68" s="61" t="str">
        <f t="shared" si="14"/>
        <v/>
      </c>
      <c r="AI68" s="61" t="str">
        <f t="shared" si="15"/>
        <v/>
      </c>
    </row>
    <row r="69" spans="1:35" x14ac:dyDescent="0.25">
      <c r="A69" s="40"/>
      <c r="B69" s="41"/>
      <c r="C69" s="41"/>
      <c r="D69" s="41"/>
      <c r="E69" s="41"/>
      <c r="F69" s="41"/>
      <c r="G69" s="41"/>
      <c r="H69" s="41"/>
      <c r="I69" s="41"/>
      <c r="J69" s="42"/>
      <c r="K69" s="42"/>
      <c r="L69" s="41"/>
      <c r="M69" s="41"/>
      <c r="N69" s="41"/>
      <c r="O69" s="41"/>
      <c r="P69" s="41"/>
      <c r="Q69" s="41"/>
      <c r="R69" s="16" t="str">
        <f t="shared" ref="R69:R132" ca="1" si="16">IF(K69="","",K69-TODAY())</f>
        <v/>
      </c>
      <c r="S69" s="16" t="str">
        <f ca="1">IF(A69="","",IF(OR(M69='02_マスタ'!$E$10,M69='02_マスタ'!$E$12),"",IF(L69="High","High",IF(AND(K69&lt;&gt;"",K69&lt;TODAY()),INDEX(_ゴミ箱_Backup!$B$117:$D$247,MATCH("ALERT_OVERDUE",_ゴミ箱_Backup!$A$117:$A$247,0),MATCH(言語切替!$B$3,_ゴミ箱_Backup!$B$1:$D$1,0)),IF(AND(K69&lt;&gt;"",K69-TODAY()&lt;=7),INDEX(_ゴミ箱_Backup!$B$117:$D$247,MATCH("ALERT_APPROACHING",_ゴミ箱_Backup!$A$117:$A$247,0),MATCH(言語切替!$B$3,_ゴミ箱_Backup!$B$1:$D$1,0)),IF(OR(M69='02_マスタ'!$E$7,M69='02_マスタ'!$E$8),INDEX(_ゴミ箱_Backup!$B$117:$D$247,MATCH("ALERT_CHECK",_ゴミ箱_Backup!$A$117:$A$247,0),MATCH(言語切替!$B$3,_ゴミ箱_Backup!$B$1:$D$1,0)),""))))))</f>
        <v/>
      </c>
      <c r="T69" s="52"/>
      <c r="U69" s="61" t="str">
        <f t="shared" ref="U69:U132" si="17">IF(E69="","",IFERROR(_xlfn.TRANSLATE(E69,,"ja"),""))</f>
        <v/>
      </c>
      <c r="V69" s="61" t="str">
        <f t="shared" ref="V69:V132" si="18">IF(E69="","",IFERROR(_xlfn.TRANSLATE(E69,,"zh-Hans"),""))</f>
        <v/>
      </c>
      <c r="W69" s="61" t="str">
        <f t="shared" ref="W69:W132" si="19">IF(E69="","",IFERROR(_xlfn.TRANSLATE(E69,,"vi"),""))</f>
        <v/>
      </c>
      <c r="X69" s="61" t="str">
        <f t="shared" ref="X69:X132" si="20">IF(F69="","",IFERROR(_xlfn.TRANSLATE(F69,,"ja"),""))</f>
        <v/>
      </c>
      <c r="Y69" s="61" t="str">
        <f t="shared" ref="Y69:Y132" si="21">IF(F69="","",IFERROR(_xlfn.TRANSLATE(F69,,"zh-Hans"),""))</f>
        <v/>
      </c>
      <c r="Z69" s="61" t="str">
        <f t="shared" ref="Z69:Z132" si="22">IF(F69="","",IFERROR(_xlfn.TRANSLATE(F69,,"vi"),""))</f>
        <v/>
      </c>
      <c r="AA69" s="61" t="str">
        <f t="shared" ref="AA69:AA132" si="23">IF(G69="","",IFERROR(_xlfn.TRANSLATE(G69,,"ja"),""))</f>
        <v/>
      </c>
      <c r="AB69" s="61" t="str">
        <f t="shared" ref="AB69:AB132" si="24">IF(G69="","",IFERROR(_xlfn.TRANSLATE(G69,,"zh-Hans"),""))</f>
        <v/>
      </c>
      <c r="AC69" s="61" t="str">
        <f t="shared" ref="AC69:AC132" si="25">IF(G69="","",IFERROR(_xlfn.TRANSLATE(G69,,"vi"),""))</f>
        <v/>
      </c>
      <c r="AD69" s="61" t="str">
        <f t="shared" ref="AD69:AD132" si="26">IF(O69="","",IFERROR(_xlfn.TRANSLATE(O69,,"ja"),""))</f>
        <v/>
      </c>
      <c r="AE69" s="61" t="str">
        <f t="shared" ref="AE69:AE132" si="27">IF(O69="","",IFERROR(_xlfn.TRANSLATE(O69,,"zh-Hans"),""))</f>
        <v/>
      </c>
      <c r="AF69" s="61" t="str">
        <f t="shared" ref="AF69:AF132" si="28">IF(O69="","",IFERROR(_xlfn.TRANSLATE(O69,,"vi"),""))</f>
        <v/>
      </c>
      <c r="AG69" s="61" t="str">
        <f t="shared" ref="AG69:AG132" si="29">IF(P69="","",IFERROR(_xlfn.TRANSLATE(P69,,"ja"),""))</f>
        <v/>
      </c>
      <c r="AH69" s="61" t="str">
        <f t="shared" ref="AH69:AH132" si="30">IF(P69="","",IFERROR(_xlfn.TRANSLATE(P69,,"zh-Hans"),""))</f>
        <v/>
      </c>
      <c r="AI69" s="61" t="str">
        <f t="shared" ref="AI69:AI132" si="31">IF(P69="","",IFERROR(_xlfn.TRANSLATE(P69,,"vi"),""))</f>
        <v/>
      </c>
    </row>
    <row r="70" spans="1:35" x14ac:dyDescent="0.25">
      <c r="A70" s="36"/>
      <c r="B70" s="37"/>
      <c r="C70" s="37"/>
      <c r="D70" s="37"/>
      <c r="E70" s="37"/>
      <c r="F70" s="37"/>
      <c r="G70" s="37"/>
      <c r="H70" s="37"/>
      <c r="I70" s="37"/>
      <c r="J70" s="38"/>
      <c r="K70" s="38"/>
      <c r="L70" s="37"/>
      <c r="M70" s="37"/>
      <c r="N70" s="37"/>
      <c r="O70" s="37"/>
      <c r="P70" s="37"/>
      <c r="Q70" s="37"/>
      <c r="R70" s="13" t="str">
        <f t="shared" ca="1" si="16"/>
        <v/>
      </c>
      <c r="S70" s="13" t="str">
        <f ca="1">IF(A70="","",IF(OR(M70='02_マスタ'!$E$10,M70='02_マスタ'!$E$12),"",IF(L70="High","High",IF(AND(K70&lt;&gt;"",K70&lt;TODAY()),INDEX(_ゴミ箱_Backup!$B$117:$D$247,MATCH("ALERT_OVERDUE",_ゴミ箱_Backup!$A$117:$A$247,0),MATCH(言語切替!$B$3,_ゴミ箱_Backup!$B$1:$D$1,0)),IF(AND(K70&lt;&gt;"",K70-TODAY()&lt;=7),INDEX(_ゴミ箱_Backup!$B$117:$D$247,MATCH("ALERT_APPROACHING",_ゴミ箱_Backup!$A$117:$A$247,0),MATCH(言語切替!$B$3,_ゴミ箱_Backup!$B$1:$D$1,0)),IF(OR(M70='02_マスタ'!$E$7,M70='02_マスタ'!$E$8),INDEX(_ゴミ箱_Backup!$B$117:$D$247,MATCH("ALERT_CHECK",_ゴミ箱_Backup!$A$117:$A$247,0),MATCH(言語切替!$B$3,_ゴミ箱_Backup!$B$1:$D$1,0)),""))))))</f>
        <v/>
      </c>
      <c r="T70" s="53"/>
      <c r="U70" s="61" t="str">
        <f t="shared" si="17"/>
        <v/>
      </c>
      <c r="V70" s="61" t="str">
        <f t="shared" si="18"/>
        <v/>
      </c>
      <c r="W70" s="61" t="str">
        <f t="shared" si="19"/>
        <v/>
      </c>
      <c r="X70" s="61" t="str">
        <f t="shared" si="20"/>
        <v/>
      </c>
      <c r="Y70" s="61" t="str">
        <f t="shared" si="21"/>
        <v/>
      </c>
      <c r="Z70" s="61" t="str">
        <f t="shared" si="22"/>
        <v/>
      </c>
      <c r="AA70" s="61" t="str">
        <f t="shared" si="23"/>
        <v/>
      </c>
      <c r="AB70" s="61" t="str">
        <f t="shared" si="24"/>
        <v/>
      </c>
      <c r="AC70" s="61" t="str">
        <f t="shared" si="25"/>
        <v/>
      </c>
      <c r="AD70" s="61" t="str">
        <f t="shared" si="26"/>
        <v/>
      </c>
      <c r="AE70" s="61" t="str">
        <f t="shared" si="27"/>
        <v/>
      </c>
      <c r="AF70" s="61" t="str">
        <f t="shared" si="28"/>
        <v/>
      </c>
      <c r="AG70" s="61" t="str">
        <f t="shared" si="29"/>
        <v/>
      </c>
      <c r="AH70" s="61" t="str">
        <f t="shared" si="30"/>
        <v/>
      </c>
      <c r="AI70" s="61" t="str">
        <f t="shared" si="31"/>
        <v/>
      </c>
    </row>
    <row r="71" spans="1:35" x14ac:dyDescent="0.25">
      <c r="A71" s="40"/>
      <c r="B71" s="41"/>
      <c r="C71" s="41"/>
      <c r="D71" s="41"/>
      <c r="E71" s="41"/>
      <c r="F71" s="41"/>
      <c r="G71" s="41"/>
      <c r="H71" s="41"/>
      <c r="I71" s="41"/>
      <c r="J71" s="42"/>
      <c r="K71" s="42"/>
      <c r="L71" s="41"/>
      <c r="M71" s="41"/>
      <c r="N71" s="41"/>
      <c r="O71" s="41"/>
      <c r="P71" s="41"/>
      <c r="Q71" s="41"/>
      <c r="R71" s="16" t="str">
        <f t="shared" ca="1" si="16"/>
        <v/>
      </c>
      <c r="S71" s="16" t="str">
        <f ca="1">IF(A71="","",IF(OR(M71='02_マスタ'!$E$10,M71='02_マスタ'!$E$12),"",IF(L71="High","High",IF(AND(K71&lt;&gt;"",K71&lt;TODAY()),INDEX(_ゴミ箱_Backup!$B$117:$D$247,MATCH("ALERT_OVERDUE",_ゴミ箱_Backup!$A$117:$A$247,0),MATCH(言語切替!$B$3,_ゴミ箱_Backup!$B$1:$D$1,0)),IF(AND(K71&lt;&gt;"",K71-TODAY()&lt;=7),INDEX(_ゴミ箱_Backup!$B$117:$D$247,MATCH("ALERT_APPROACHING",_ゴミ箱_Backup!$A$117:$A$247,0),MATCH(言語切替!$B$3,_ゴミ箱_Backup!$B$1:$D$1,0)),IF(OR(M71='02_マスタ'!$E$7,M71='02_マスタ'!$E$8),INDEX(_ゴミ箱_Backup!$B$117:$D$247,MATCH("ALERT_CHECK",_ゴミ箱_Backup!$A$117:$A$247,0),MATCH(言語切替!$B$3,_ゴミ箱_Backup!$B$1:$D$1,0)),""))))))</f>
        <v/>
      </c>
      <c r="T71" s="52"/>
      <c r="U71" s="61" t="str">
        <f t="shared" si="17"/>
        <v/>
      </c>
      <c r="V71" s="61" t="str">
        <f t="shared" si="18"/>
        <v/>
      </c>
      <c r="W71" s="61" t="str">
        <f t="shared" si="19"/>
        <v/>
      </c>
      <c r="X71" s="61" t="str">
        <f t="shared" si="20"/>
        <v/>
      </c>
      <c r="Y71" s="61" t="str">
        <f t="shared" si="21"/>
        <v/>
      </c>
      <c r="Z71" s="61" t="str">
        <f t="shared" si="22"/>
        <v/>
      </c>
      <c r="AA71" s="61" t="str">
        <f t="shared" si="23"/>
        <v/>
      </c>
      <c r="AB71" s="61" t="str">
        <f t="shared" si="24"/>
        <v/>
      </c>
      <c r="AC71" s="61" t="str">
        <f t="shared" si="25"/>
        <v/>
      </c>
      <c r="AD71" s="61" t="str">
        <f t="shared" si="26"/>
        <v/>
      </c>
      <c r="AE71" s="61" t="str">
        <f t="shared" si="27"/>
        <v/>
      </c>
      <c r="AF71" s="61" t="str">
        <f t="shared" si="28"/>
        <v/>
      </c>
      <c r="AG71" s="61" t="str">
        <f t="shared" si="29"/>
        <v/>
      </c>
      <c r="AH71" s="61" t="str">
        <f t="shared" si="30"/>
        <v/>
      </c>
      <c r="AI71" s="61" t="str">
        <f t="shared" si="31"/>
        <v/>
      </c>
    </row>
    <row r="72" spans="1:35" x14ac:dyDescent="0.25">
      <c r="A72" s="36"/>
      <c r="B72" s="37"/>
      <c r="C72" s="37"/>
      <c r="D72" s="37"/>
      <c r="E72" s="37"/>
      <c r="F72" s="37"/>
      <c r="G72" s="37"/>
      <c r="H72" s="37"/>
      <c r="I72" s="37"/>
      <c r="J72" s="38"/>
      <c r="K72" s="38"/>
      <c r="L72" s="37"/>
      <c r="M72" s="37"/>
      <c r="N72" s="37"/>
      <c r="O72" s="37"/>
      <c r="P72" s="37"/>
      <c r="Q72" s="37"/>
      <c r="R72" s="13" t="str">
        <f t="shared" ca="1" si="16"/>
        <v/>
      </c>
      <c r="S72" s="13" t="str">
        <f ca="1">IF(A72="","",IF(OR(M72='02_マスタ'!$E$10,M72='02_マスタ'!$E$12),"",IF(L72="High","High",IF(AND(K72&lt;&gt;"",K72&lt;TODAY()),INDEX(_ゴミ箱_Backup!$B$117:$D$247,MATCH("ALERT_OVERDUE",_ゴミ箱_Backup!$A$117:$A$247,0),MATCH(言語切替!$B$3,_ゴミ箱_Backup!$B$1:$D$1,0)),IF(AND(K72&lt;&gt;"",K72-TODAY()&lt;=7),INDEX(_ゴミ箱_Backup!$B$117:$D$247,MATCH("ALERT_APPROACHING",_ゴミ箱_Backup!$A$117:$A$247,0),MATCH(言語切替!$B$3,_ゴミ箱_Backup!$B$1:$D$1,0)),IF(OR(M72='02_マスタ'!$E$7,M72='02_マスタ'!$E$8),INDEX(_ゴミ箱_Backup!$B$117:$D$247,MATCH("ALERT_CHECK",_ゴミ箱_Backup!$A$117:$A$247,0),MATCH(言語切替!$B$3,_ゴミ箱_Backup!$B$1:$D$1,0)),""))))))</f>
        <v/>
      </c>
      <c r="T72" s="53"/>
      <c r="U72" s="61" t="str">
        <f t="shared" si="17"/>
        <v/>
      </c>
      <c r="V72" s="61" t="str">
        <f t="shared" si="18"/>
        <v/>
      </c>
      <c r="W72" s="61" t="str">
        <f t="shared" si="19"/>
        <v/>
      </c>
      <c r="X72" s="61" t="str">
        <f t="shared" si="20"/>
        <v/>
      </c>
      <c r="Y72" s="61" t="str">
        <f t="shared" si="21"/>
        <v/>
      </c>
      <c r="Z72" s="61" t="str">
        <f t="shared" si="22"/>
        <v/>
      </c>
      <c r="AA72" s="61" t="str">
        <f t="shared" si="23"/>
        <v/>
      </c>
      <c r="AB72" s="61" t="str">
        <f t="shared" si="24"/>
        <v/>
      </c>
      <c r="AC72" s="61" t="str">
        <f t="shared" si="25"/>
        <v/>
      </c>
      <c r="AD72" s="61" t="str">
        <f t="shared" si="26"/>
        <v/>
      </c>
      <c r="AE72" s="61" t="str">
        <f t="shared" si="27"/>
        <v/>
      </c>
      <c r="AF72" s="61" t="str">
        <f t="shared" si="28"/>
        <v/>
      </c>
      <c r="AG72" s="61" t="str">
        <f t="shared" si="29"/>
        <v/>
      </c>
      <c r="AH72" s="61" t="str">
        <f t="shared" si="30"/>
        <v/>
      </c>
      <c r="AI72" s="61" t="str">
        <f t="shared" si="31"/>
        <v/>
      </c>
    </row>
    <row r="73" spans="1:35" x14ac:dyDescent="0.25">
      <c r="A73" s="40"/>
      <c r="B73" s="41"/>
      <c r="C73" s="41"/>
      <c r="D73" s="41"/>
      <c r="E73" s="41"/>
      <c r="F73" s="41"/>
      <c r="G73" s="41"/>
      <c r="H73" s="41"/>
      <c r="I73" s="41"/>
      <c r="J73" s="42"/>
      <c r="K73" s="42"/>
      <c r="L73" s="41"/>
      <c r="M73" s="41"/>
      <c r="N73" s="41"/>
      <c r="O73" s="41"/>
      <c r="P73" s="41"/>
      <c r="Q73" s="41"/>
      <c r="R73" s="16" t="str">
        <f t="shared" ca="1" si="16"/>
        <v/>
      </c>
      <c r="S73" s="16" t="str">
        <f ca="1">IF(A73="","",IF(OR(M73='02_マスタ'!$E$10,M73='02_マスタ'!$E$12),"",IF(L73="High","High",IF(AND(K73&lt;&gt;"",K73&lt;TODAY()),INDEX(_ゴミ箱_Backup!$B$117:$D$247,MATCH("ALERT_OVERDUE",_ゴミ箱_Backup!$A$117:$A$247,0),MATCH(言語切替!$B$3,_ゴミ箱_Backup!$B$1:$D$1,0)),IF(AND(K73&lt;&gt;"",K73-TODAY()&lt;=7),INDEX(_ゴミ箱_Backup!$B$117:$D$247,MATCH("ALERT_APPROACHING",_ゴミ箱_Backup!$A$117:$A$247,0),MATCH(言語切替!$B$3,_ゴミ箱_Backup!$B$1:$D$1,0)),IF(OR(M73='02_マスタ'!$E$7,M73='02_マスタ'!$E$8),INDEX(_ゴミ箱_Backup!$B$117:$D$247,MATCH("ALERT_CHECK",_ゴミ箱_Backup!$A$117:$A$247,0),MATCH(言語切替!$B$3,_ゴミ箱_Backup!$B$1:$D$1,0)),""))))))</f>
        <v/>
      </c>
      <c r="T73" s="52"/>
      <c r="U73" s="61" t="str">
        <f t="shared" si="17"/>
        <v/>
      </c>
      <c r="V73" s="61" t="str">
        <f t="shared" si="18"/>
        <v/>
      </c>
      <c r="W73" s="61" t="str">
        <f t="shared" si="19"/>
        <v/>
      </c>
      <c r="X73" s="61" t="str">
        <f t="shared" si="20"/>
        <v/>
      </c>
      <c r="Y73" s="61" t="str">
        <f t="shared" si="21"/>
        <v/>
      </c>
      <c r="Z73" s="61" t="str">
        <f t="shared" si="22"/>
        <v/>
      </c>
      <c r="AA73" s="61" t="str">
        <f t="shared" si="23"/>
        <v/>
      </c>
      <c r="AB73" s="61" t="str">
        <f t="shared" si="24"/>
        <v/>
      </c>
      <c r="AC73" s="61" t="str">
        <f t="shared" si="25"/>
        <v/>
      </c>
      <c r="AD73" s="61" t="str">
        <f t="shared" si="26"/>
        <v/>
      </c>
      <c r="AE73" s="61" t="str">
        <f t="shared" si="27"/>
        <v/>
      </c>
      <c r="AF73" s="61" t="str">
        <f t="shared" si="28"/>
        <v/>
      </c>
      <c r="AG73" s="61" t="str">
        <f t="shared" si="29"/>
        <v/>
      </c>
      <c r="AH73" s="61" t="str">
        <f t="shared" si="30"/>
        <v/>
      </c>
      <c r="AI73" s="61" t="str">
        <f t="shared" si="31"/>
        <v/>
      </c>
    </row>
    <row r="74" spans="1:35" x14ac:dyDescent="0.25">
      <c r="A74" s="36"/>
      <c r="B74" s="37"/>
      <c r="C74" s="37"/>
      <c r="D74" s="37"/>
      <c r="E74" s="37"/>
      <c r="F74" s="37"/>
      <c r="G74" s="37"/>
      <c r="H74" s="37"/>
      <c r="I74" s="37"/>
      <c r="J74" s="38"/>
      <c r="K74" s="38"/>
      <c r="L74" s="37"/>
      <c r="M74" s="37"/>
      <c r="N74" s="37"/>
      <c r="O74" s="37"/>
      <c r="P74" s="37"/>
      <c r="Q74" s="37"/>
      <c r="R74" s="13" t="str">
        <f t="shared" ca="1" si="16"/>
        <v/>
      </c>
      <c r="S74" s="13" t="str">
        <f ca="1">IF(A74="","",IF(OR(M74='02_マスタ'!$E$10,M74='02_マスタ'!$E$12),"",IF(L74="High","High",IF(AND(K74&lt;&gt;"",K74&lt;TODAY()),INDEX(_ゴミ箱_Backup!$B$117:$D$247,MATCH("ALERT_OVERDUE",_ゴミ箱_Backup!$A$117:$A$247,0),MATCH(言語切替!$B$3,_ゴミ箱_Backup!$B$1:$D$1,0)),IF(AND(K74&lt;&gt;"",K74-TODAY()&lt;=7),INDEX(_ゴミ箱_Backup!$B$117:$D$247,MATCH("ALERT_APPROACHING",_ゴミ箱_Backup!$A$117:$A$247,0),MATCH(言語切替!$B$3,_ゴミ箱_Backup!$B$1:$D$1,0)),IF(OR(M74='02_マスタ'!$E$7,M74='02_マスタ'!$E$8),INDEX(_ゴミ箱_Backup!$B$117:$D$247,MATCH("ALERT_CHECK",_ゴミ箱_Backup!$A$117:$A$247,0),MATCH(言語切替!$B$3,_ゴミ箱_Backup!$B$1:$D$1,0)),""))))))</f>
        <v/>
      </c>
      <c r="T74" s="53"/>
      <c r="U74" s="61" t="str">
        <f t="shared" si="17"/>
        <v/>
      </c>
      <c r="V74" s="61" t="str">
        <f t="shared" si="18"/>
        <v/>
      </c>
      <c r="W74" s="61" t="str">
        <f t="shared" si="19"/>
        <v/>
      </c>
      <c r="X74" s="61" t="str">
        <f t="shared" si="20"/>
        <v/>
      </c>
      <c r="Y74" s="61" t="str">
        <f t="shared" si="21"/>
        <v/>
      </c>
      <c r="Z74" s="61" t="str">
        <f t="shared" si="22"/>
        <v/>
      </c>
      <c r="AA74" s="61" t="str">
        <f t="shared" si="23"/>
        <v/>
      </c>
      <c r="AB74" s="61" t="str">
        <f t="shared" si="24"/>
        <v/>
      </c>
      <c r="AC74" s="61" t="str">
        <f t="shared" si="25"/>
        <v/>
      </c>
      <c r="AD74" s="61" t="str">
        <f t="shared" si="26"/>
        <v/>
      </c>
      <c r="AE74" s="61" t="str">
        <f t="shared" si="27"/>
        <v/>
      </c>
      <c r="AF74" s="61" t="str">
        <f t="shared" si="28"/>
        <v/>
      </c>
      <c r="AG74" s="61" t="str">
        <f t="shared" si="29"/>
        <v/>
      </c>
      <c r="AH74" s="61" t="str">
        <f t="shared" si="30"/>
        <v/>
      </c>
      <c r="AI74" s="61" t="str">
        <f t="shared" si="31"/>
        <v/>
      </c>
    </row>
    <row r="75" spans="1:35" x14ac:dyDescent="0.25">
      <c r="A75" s="40"/>
      <c r="B75" s="41"/>
      <c r="C75" s="41"/>
      <c r="D75" s="41"/>
      <c r="E75" s="41"/>
      <c r="F75" s="41"/>
      <c r="G75" s="41"/>
      <c r="H75" s="41"/>
      <c r="I75" s="41"/>
      <c r="J75" s="42"/>
      <c r="K75" s="42"/>
      <c r="L75" s="41"/>
      <c r="M75" s="41"/>
      <c r="N75" s="41"/>
      <c r="O75" s="41"/>
      <c r="P75" s="41"/>
      <c r="Q75" s="41"/>
      <c r="R75" s="16" t="str">
        <f t="shared" ca="1" si="16"/>
        <v/>
      </c>
      <c r="S75" s="16" t="str">
        <f ca="1">IF(A75="","",IF(OR(M75='02_マスタ'!$E$10,M75='02_マスタ'!$E$12),"",IF(L75="High","High",IF(AND(K75&lt;&gt;"",K75&lt;TODAY()),INDEX(_ゴミ箱_Backup!$B$117:$D$247,MATCH("ALERT_OVERDUE",_ゴミ箱_Backup!$A$117:$A$247,0),MATCH(言語切替!$B$3,_ゴミ箱_Backup!$B$1:$D$1,0)),IF(AND(K75&lt;&gt;"",K75-TODAY()&lt;=7),INDEX(_ゴミ箱_Backup!$B$117:$D$247,MATCH("ALERT_APPROACHING",_ゴミ箱_Backup!$A$117:$A$247,0),MATCH(言語切替!$B$3,_ゴミ箱_Backup!$B$1:$D$1,0)),IF(OR(M75='02_マスタ'!$E$7,M75='02_マスタ'!$E$8),INDEX(_ゴミ箱_Backup!$B$117:$D$247,MATCH("ALERT_CHECK",_ゴミ箱_Backup!$A$117:$A$247,0),MATCH(言語切替!$B$3,_ゴミ箱_Backup!$B$1:$D$1,0)),""))))))</f>
        <v/>
      </c>
      <c r="T75" s="52"/>
      <c r="U75" s="61" t="str">
        <f t="shared" si="17"/>
        <v/>
      </c>
      <c r="V75" s="61" t="str">
        <f t="shared" si="18"/>
        <v/>
      </c>
      <c r="W75" s="61" t="str">
        <f t="shared" si="19"/>
        <v/>
      </c>
      <c r="X75" s="61" t="str">
        <f t="shared" si="20"/>
        <v/>
      </c>
      <c r="Y75" s="61" t="str">
        <f t="shared" si="21"/>
        <v/>
      </c>
      <c r="Z75" s="61" t="str">
        <f t="shared" si="22"/>
        <v/>
      </c>
      <c r="AA75" s="61" t="str">
        <f t="shared" si="23"/>
        <v/>
      </c>
      <c r="AB75" s="61" t="str">
        <f t="shared" si="24"/>
        <v/>
      </c>
      <c r="AC75" s="61" t="str">
        <f t="shared" si="25"/>
        <v/>
      </c>
      <c r="AD75" s="61" t="str">
        <f t="shared" si="26"/>
        <v/>
      </c>
      <c r="AE75" s="61" t="str">
        <f t="shared" si="27"/>
        <v/>
      </c>
      <c r="AF75" s="61" t="str">
        <f t="shared" si="28"/>
        <v/>
      </c>
      <c r="AG75" s="61" t="str">
        <f t="shared" si="29"/>
        <v/>
      </c>
      <c r="AH75" s="61" t="str">
        <f t="shared" si="30"/>
        <v/>
      </c>
      <c r="AI75" s="61" t="str">
        <f t="shared" si="31"/>
        <v/>
      </c>
    </row>
    <row r="76" spans="1:35" x14ac:dyDescent="0.25">
      <c r="A76" s="36"/>
      <c r="B76" s="37"/>
      <c r="C76" s="37"/>
      <c r="D76" s="37"/>
      <c r="E76" s="37"/>
      <c r="F76" s="37"/>
      <c r="G76" s="37"/>
      <c r="H76" s="37"/>
      <c r="I76" s="37"/>
      <c r="J76" s="38"/>
      <c r="K76" s="38"/>
      <c r="L76" s="37"/>
      <c r="M76" s="37"/>
      <c r="N76" s="37"/>
      <c r="O76" s="37"/>
      <c r="P76" s="37"/>
      <c r="Q76" s="37"/>
      <c r="R76" s="13" t="str">
        <f t="shared" ca="1" si="16"/>
        <v/>
      </c>
      <c r="S76" s="13" t="str">
        <f ca="1">IF(A76="","",IF(OR(M76='02_マスタ'!$E$10,M76='02_マスタ'!$E$12),"",IF(L76="High","High",IF(AND(K76&lt;&gt;"",K76&lt;TODAY()),INDEX(_ゴミ箱_Backup!$B$117:$D$247,MATCH("ALERT_OVERDUE",_ゴミ箱_Backup!$A$117:$A$247,0),MATCH(言語切替!$B$3,_ゴミ箱_Backup!$B$1:$D$1,0)),IF(AND(K76&lt;&gt;"",K76-TODAY()&lt;=7),INDEX(_ゴミ箱_Backup!$B$117:$D$247,MATCH("ALERT_APPROACHING",_ゴミ箱_Backup!$A$117:$A$247,0),MATCH(言語切替!$B$3,_ゴミ箱_Backup!$B$1:$D$1,0)),IF(OR(M76='02_マスタ'!$E$7,M76='02_マスタ'!$E$8),INDEX(_ゴミ箱_Backup!$B$117:$D$247,MATCH("ALERT_CHECK",_ゴミ箱_Backup!$A$117:$A$247,0),MATCH(言語切替!$B$3,_ゴミ箱_Backup!$B$1:$D$1,0)),""))))))</f>
        <v/>
      </c>
      <c r="T76" s="53"/>
      <c r="U76" s="61" t="str">
        <f t="shared" si="17"/>
        <v/>
      </c>
      <c r="V76" s="61" t="str">
        <f t="shared" si="18"/>
        <v/>
      </c>
      <c r="W76" s="61" t="str">
        <f t="shared" si="19"/>
        <v/>
      </c>
      <c r="X76" s="61" t="str">
        <f t="shared" si="20"/>
        <v/>
      </c>
      <c r="Y76" s="61" t="str">
        <f t="shared" si="21"/>
        <v/>
      </c>
      <c r="Z76" s="61" t="str">
        <f t="shared" si="22"/>
        <v/>
      </c>
      <c r="AA76" s="61" t="str">
        <f t="shared" si="23"/>
        <v/>
      </c>
      <c r="AB76" s="61" t="str">
        <f t="shared" si="24"/>
        <v/>
      </c>
      <c r="AC76" s="61" t="str">
        <f t="shared" si="25"/>
        <v/>
      </c>
      <c r="AD76" s="61" t="str">
        <f t="shared" si="26"/>
        <v/>
      </c>
      <c r="AE76" s="61" t="str">
        <f t="shared" si="27"/>
        <v/>
      </c>
      <c r="AF76" s="61" t="str">
        <f t="shared" si="28"/>
        <v/>
      </c>
      <c r="AG76" s="61" t="str">
        <f t="shared" si="29"/>
        <v/>
      </c>
      <c r="AH76" s="61" t="str">
        <f t="shared" si="30"/>
        <v/>
      </c>
      <c r="AI76" s="61" t="str">
        <f t="shared" si="31"/>
        <v/>
      </c>
    </row>
    <row r="77" spans="1:35" x14ac:dyDescent="0.25">
      <c r="A77" s="40"/>
      <c r="B77" s="41"/>
      <c r="C77" s="41"/>
      <c r="D77" s="41"/>
      <c r="E77" s="41"/>
      <c r="F77" s="41"/>
      <c r="G77" s="41"/>
      <c r="H77" s="41"/>
      <c r="I77" s="41"/>
      <c r="J77" s="42"/>
      <c r="K77" s="42"/>
      <c r="L77" s="41"/>
      <c r="M77" s="41"/>
      <c r="N77" s="41"/>
      <c r="O77" s="41"/>
      <c r="P77" s="41"/>
      <c r="Q77" s="41"/>
      <c r="R77" s="16" t="str">
        <f t="shared" ca="1" si="16"/>
        <v/>
      </c>
      <c r="S77" s="16" t="str">
        <f ca="1">IF(A77="","",IF(OR(M77='02_マスタ'!$E$10,M77='02_マスタ'!$E$12),"",IF(L77="High","High",IF(AND(K77&lt;&gt;"",K77&lt;TODAY()),INDEX(_ゴミ箱_Backup!$B$117:$D$247,MATCH("ALERT_OVERDUE",_ゴミ箱_Backup!$A$117:$A$247,0),MATCH(言語切替!$B$3,_ゴミ箱_Backup!$B$1:$D$1,0)),IF(AND(K77&lt;&gt;"",K77-TODAY()&lt;=7),INDEX(_ゴミ箱_Backup!$B$117:$D$247,MATCH("ALERT_APPROACHING",_ゴミ箱_Backup!$A$117:$A$247,0),MATCH(言語切替!$B$3,_ゴミ箱_Backup!$B$1:$D$1,0)),IF(OR(M77='02_マスタ'!$E$7,M77='02_マスタ'!$E$8),INDEX(_ゴミ箱_Backup!$B$117:$D$247,MATCH("ALERT_CHECK",_ゴミ箱_Backup!$A$117:$A$247,0),MATCH(言語切替!$B$3,_ゴミ箱_Backup!$B$1:$D$1,0)),""))))))</f>
        <v/>
      </c>
      <c r="T77" s="52"/>
      <c r="U77" s="61" t="str">
        <f t="shared" si="17"/>
        <v/>
      </c>
      <c r="V77" s="61" t="str">
        <f t="shared" si="18"/>
        <v/>
      </c>
      <c r="W77" s="61" t="str">
        <f t="shared" si="19"/>
        <v/>
      </c>
      <c r="X77" s="61" t="str">
        <f t="shared" si="20"/>
        <v/>
      </c>
      <c r="Y77" s="61" t="str">
        <f t="shared" si="21"/>
        <v/>
      </c>
      <c r="Z77" s="61" t="str">
        <f t="shared" si="22"/>
        <v/>
      </c>
      <c r="AA77" s="61" t="str">
        <f t="shared" si="23"/>
        <v/>
      </c>
      <c r="AB77" s="61" t="str">
        <f t="shared" si="24"/>
        <v/>
      </c>
      <c r="AC77" s="61" t="str">
        <f t="shared" si="25"/>
        <v/>
      </c>
      <c r="AD77" s="61" t="str">
        <f t="shared" si="26"/>
        <v/>
      </c>
      <c r="AE77" s="61" t="str">
        <f t="shared" si="27"/>
        <v/>
      </c>
      <c r="AF77" s="61" t="str">
        <f t="shared" si="28"/>
        <v/>
      </c>
      <c r="AG77" s="61" t="str">
        <f t="shared" si="29"/>
        <v/>
      </c>
      <c r="AH77" s="61" t="str">
        <f t="shared" si="30"/>
        <v/>
      </c>
      <c r="AI77" s="61" t="str">
        <f t="shared" si="31"/>
        <v/>
      </c>
    </row>
    <row r="78" spans="1:35" x14ac:dyDescent="0.25">
      <c r="A78" s="36"/>
      <c r="B78" s="37"/>
      <c r="C78" s="37"/>
      <c r="D78" s="37"/>
      <c r="E78" s="37"/>
      <c r="F78" s="37"/>
      <c r="G78" s="37"/>
      <c r="H78" s="37"/>
      <c r="I78" s="37"/>
      <c r="J78" s="38"/>
      <c r="K78" s="38"/>
      <c r="L78" s="37"/>
      <c r="M78" s="37"/>
      <c r="N78" s="37"/>
      <c r="O78" s="37"/>
      <c r="P78" s="37"/>
      <c r="Q78" s="37"/>
      <c r="R78" s="13" t="str">
        <f t="shared" ca="1" si="16"/>
        <v/>
      </c>
      <c r="S78" s="13" t="str">
        <f ca="1">IF(A78="","",IF(OR(M78='02_マスタ'!$E$10,M78='02_マスタ'!$E$12),"",IF(L78="High","High",IF(AND(K78&lt;&gt;"",K78&lt;TODAY()),INDEX(_ゴミ箱_Backup!$B$117:$D$247,MATCH("ALERT_OVERDUE",_ゴミ箱_Backup!$A$117:$A$247,0),MATCH(言語切替!$B$3,_ゴミ箱_Backup!$B$1:$D$1,0)),IF(AND(K78&lt;&gt;"",K78-TODAY()&lt;=7),INDEX(_ゴミ箱_Backup!$B$117:$D$247,MATCH("ALERT_APPROACHING",_ゴミ箱_Backup!$A$117:$A$247,0),MATCH(言語切替!$B$3,_ゴミ箱_Backup!$B$1:$D$1,0)),IF(OR(M78='02_マスタ'!$E$7,M78='02_マスタ'!$E$8),INDEX(_ゴミ箱_Backup!$B$117:$D$247,MATCH("ALERT_CHECK",_ゴミ箱_Backup!$A$117:$A$247,0),MATCH(言語切替!$B$3,_ゴミ箱_Backup!$B$1:$D$1,0)),""))))))</f>
        <v/>
      </c>
      <c r="T78" s="53"/>
      <c r="U78" s="61" t="str">
        <f t="shared" si="17"/>
        <v/>
      </c>
      <c r="V78" s="61" t="str">
        <f t="shared" si="18"/>
        <v/>
      </c>
      <c r="W78" s="61" t="str">
        <f t="shared" si="19"/>
        <v/>
      </c>
      <c r="X78" s="61" t="str">
        <f t="shared" si="20"/>
        <v/>
      </c>
      <c r="Y78" s="61" t="str">
        <f t="shared" si="21"/>
        <v/>
      </c>
      <c r="Z78" s="61" t="str">
        <f t="shared" si="22"/>
        <v/>
      </c>
      <c r="AA78" s="61" t="str">
        <f t="shared" si="23"/>
        <v/>
      </c>
      <c r="AB78" s="61" t="str">
        <f t="shared" si="24"/>
        <v/>
      </c>
      <c r="AC78" s="61" t="str">
        <f t="shared" si="25"/>
        <v/>
      </c>
      <c r="AD78" s="61" t="str">
        <f t="shared" si="26"/>
        <v/>
      </c>
      <c r="AE78" s="61" t="str">
        <f t="shared" si="27"/>
        <v/>
      </c>
      <c r="AF78" s="61" t="str">
        <f t="shared" si="28"/>
        <v/>
      </c>
      <c r="AG78" s="61" t="str">
        <f t="shared" si="29"/>
        <v/>
      </c>
      <c r="AH78" s="61" t="str">
        <f t="shared" si="30"/>
        <v/>
      </c>
      <c r="AI78" s="61" t="str">
        <f t="shared" si="31"/>
        <v/>
      </c>
    </row>
    <row r="79" spans="1:35" x14ac:dyDescent="0.25">
      <c r="A79" s="40"/>
      <c r="B79" s="41"/>
      <c r="C79" s="41"/>
      <c r="D79" s="41"/>
      <c r="E79" s="41"/>
      <c r="F79" s="41"/>
      <c r="G79" s="41"/>
      <c r="H79" s="41"/>
      <c r="I79" s="41"/>
      <c r="J79" s="42"/>
      <c r="K79" s="42"/>
      <c r="L79" s="41"/>
      <c r="M79" s="41"/>
      <c r="N79" s="41"/>
      <c r="O79" s="41"/>
      <c r="P79" s="41"/>
      <c r="Q79" s="41"/>
      <c r="R79" s="16" t="str">
        <f t="shared" ca="1" si="16"/>
        <v/>
      </c>
      <c r="S79" s="16" t="str">
        <f ca="1">IF(A79="","",IF(OR(M79='02_マスタ'!$E$10,M79='02_マスタ'!$E$12),"",IF(L79="High","High",IF(AND(K79&lt;&gt;"",K79&lt;TODAY()),INDEX(_ゴミ箱_Backup!$B$117:$D$247,MATCH("ALERT_OVERDUE",_ゴミ箱_Backup!$A$117:$A$247,0),MATCH(言語切替!$B$3,_ゴミ箱_Backup!$B$1:$D$1,0)),IF(AND(K79&lt;&gt;"",K79-TODAY()&lt;=7),INDEX(_ゴミ箱_Backup!$B$117:$D$247,MATCH("ALERT_APPROACHING",_ゴミ箱_Backup!$A$117:$A$247,0),MATCH(言語切替!$B$3,_ゴミ箱_Backup!$B$1:$D$1,0)),IF(OR(M79='02_マスタ'!$E$7,M79='02_マスタ'!$E$8),INDEX(_ゴミ箱_Backup!$B$117:$D$247,MATCH("ALERT_CHECK",_ゴミ箱_Backup!$A$117:$A$247,0),MATCH(言語切替!$B$3,_ゴミ箱_Backup!$B$1:$D$1,0)),""))))))</f>
        <v/>
      </c>
      <c r="T79" s="52"/>
      <c r="U79" s="61" t="str">
        <f t="shared" si="17"/>
        <v/>
      </c>
      <c r="V79" s="61" t="str">
        <f t="shared" si="18"/>
        <v/>
      </c>
      <c r="W79" s="61" t="str">
        <f t="shared" si="19"/>
        <v/>
      </c>
      <c r="X79" s="61" t="str">
        <f t="shared" si="20"/>
        <v/>
      </c>
      <c r="Y79" s="61" t="str">
        <f t="shared" si="21"/>
        <v/>
      </c>
      <c r="Z79" s="61" t="str">
        <f t="shared" si="22"/>
        <v/>
      </c>
      <c r="AA79" s="61" t="str">
        <f t="shared" si="23"/>
        <v/>
      </c>
      <c r="AB79" s="61" t="str">
        <f t="shared" si="24"/>
        <v/>
      </c>
      <c r="AC79" s="61" t="str">
        <f t="shared" si="25"/>
        <v/>
      </c>
      <c r="AD79" s="61" t="str">
        <f t="shared" si="26"/>
        <v/>
      </c>
      <c r="AE79" s="61" t="str">
        <f t="shared" si="27"/>
        <v/>
      </c>
      <c r="AF79" s="61" t="str">
        <f t="shared" si="28"/>
        <v/>
      </c>
      <c r="AG79" s="61" t="str">
        <f t="shared" si="29"/>
        <v/>
      </c>
      <c r="AH79" s="61" t="str">
        <f t="shared" si="30"/>
        <v/>
      </c>
      <c r="AI79" s="61" t="str">
        <f t="shared" si="31"/>
        <v/>
      </c>
    </row>
    <row r="80" spans="1:35" x14ac:dyDescent="0.25">
      <c r="A80" s="36"/>
      <c r="B80" s="37"/>
      <c r="C80" s="37"/>
      <c r="D80" s="37"/>
      <c r="E80" s="37"/>
      <c r="F80" s="37"/>
      <c r="G80" s="37"/>
      <c r="H80" s="37"/>
      <c r="I80" s="37"/>
      <c r="J80" s="38"/>
      <c r="K80" s="38"/>
      <c r="L80" s="37"/>
      <c r="M80" s="37"/>
      <c r="N80" s="37"/>
      <c r="O80" s="37"/>
      <c r="P80" s="37"/>
      <c r="Q80" s="37"/>
      <c r="R80" s="13" t="str">
        <f t="shared" ca="1" si="16"/>
        <v/>
      </c>
      <c r="S80" s="13" t="str">
        <f ca="1">IF(A80="","",IF(OR(M80='02_マスタ'!$E$10,M80='02_マスタ'!$E$12),"",IF(L80="High","High",IF(AND(K80&lt;&gt;"",K80&lt;TODAY()),INDEX(_ゴミ箱_Backup!$B$117:$D$247,MATCH("ALERT_OVERDUE",_ゴミ箱_Backup!$A$117:$A$247,0),MATCH(言語切替!$B$3,_ゴミ箱_Backup!$B$1:$D$1,0)),IF(AND(K80&lt;&gt;"",K80-TODAY()&lt;=7),INDEX(_ゴミ箱_Backup!$B$117:$D$247,MATCH("ALERT_APPROACHING",_ゴミ箱_Backup!$A$117:$A$247,0),MATCH(言語切替!$B$3,_ゴミ箱_Backup!$B$1:$D$1,0)),IF(OR(M80='02_マスタ'!$E$7,M80='02_マスタ'!$E$8),INDEX(_ゴミ箱_Backup!$B$117:$D$247,MATCH("ALERT_CHECK",_ゴミ箱_Backup!$A$117:$A$247,0),MATCH(言語切替!$B$3,_ゴミ箱_Backup!$B$1:$D$1,0)),""))))))</f>
        <v/>
      </c>
      <c r="T80" s="53"/>
      <c r="U80" s="61" t="str">
        <f t="shared" si="17"/>
        <v/>
      </c>
      <c r="V80" s="61" t="str">
        <f t="shared" si="18"/>
        <v/>
      </c>
      <c r="W80" s="61" t="str">
        <f t="shared" si="19"/>
        <v/>
      </c>
      <c r="X80" s="61" t="str">
        <f t="shared" si="20"/>
        <v/>
      </c>
      <c r="Y80" s="61" t="str">
        <f t="shared" si="21"/>
        <v/>
      </c>
      <c r="Z80" s="61" t="str">
        <f t="shared" si="22"/>
        <v/>
      </c>
      <c r="AA80" s="61" t="str">
        <f t="shared" si="23"/>
        <v/>
      </c>
      <c r="AB80" s="61" t="str">
        <f t="shared" si="24"/>
        <v/>
      </c>
      <c r="AC80" s="61" t="str">
        <f t="shared" si="25"/>
        <v/>
      </c>
      <c r="AD80" s="61" t="str">
        <f t="shared" si="26"/>
        <v/>
      </c>
      <c r="AE80" s="61" t="str">
        <f t="shared" si="27"/>
        <v/>
      </c>
      <c r="AF80" s="61" t="str">
        <f t="shared" si="28"/>
        <v/>
      </c>
      <c r="AG80" s="61" t="str">
        <f t="shared" si="29"/>
        <v/>
      </c>
      <c r="AH80" s="61" t="str">
        <f t="shared" si="30"/>
        <v/>
      </c>
      <c r="AI80" s="61" t="str">
        <f t="shared" si="31"/>
        <v/>
      </c>
    </row>
    <row r="81" spans="1:35" x14ac:dyDescent="0.25">
      <c r="A81" s="40"/>
      <c r="B81" s="41"/>
      <c r="C81" s="41"/>
      <c r="D81" s="41"/>
      <c r="E81" s="41"/>
      <c r="F81" s="41"/>
      <c r="G81" s="41"/>
      <c r="H81" s="41"/>
      <c r="I81" s="41"/>
      <c r="J81" s="42"/>
      <c r="K81" s="42"/>
      <c r="L81" s="41"/>
      <c r="M81" s="41"/>
      <c r="N81" s="41"/>
      <c r="O81" s="41"/>
      <c r="P81" s="41"/>
      <c r="Q81" s="41"/>
      <c r="R81" s="16" t="str">
        <f t="shared" ca="1" si="16"/>
        <v/>
      </c>
      <c r="S81" s="16" t="str">
        <f ca="1">IF(A81="","",IF(OR(M81='02_マスタ'!$E$10,M81='02_マスタ'!$E$12),"",IF(L81="High","High",IF(AND(K81&lt;&gt;"",K81&lt;TODAY()),INDEX(_ゴミ箱_Backup!$B$117:$D$247,MATCH("ALERT_OVERDUE",_ゴミ箱_Backup!$A$117:$A$247,0),MATCH(言語切替!$B$3,_ゴミ箱_Backup!$B$1:$D$1,0)),IF(AND(K81&lt;&gt;"",K81-TODAY()&lt;=7),INDEX(_ゴミ箱_Backup!$B$117:$D$247,MATCH("ALERT_APPROACHING",_ゴミ箱_Backup!$A$117:$A$247,0),MATCH(言語切替!$B$3,_ゴミ箱_Backup!$B$1:$D$1,0)),IF(OR(M81='02_マスタ'!$E$7,M81='02_マスタ'!$E$8),INDEX(_ゴミ箱_Backup!$B$117:$D$247,MATCH("ALERT_CHECK",_ゴミ箱_Backup!$A$117:$A$247,0),MATCH(言語切替!$B$3,_ゴミ箱_Backup!$B$1:$D$1,0)),""))))))</f>
        <v/>
      </c>
      <c r="T81" s="52"/>
      <c r="U81" s="61" t="str">
        <f t="shared" si="17"/>
        <v/>
      </c>
      <c r="V81" s="61" t="str">
        <f t="shared" si="18"/>
        <v/>
      </c>
      <c r="W81" s="61" t="str">
        <f t="shared" si="19"/>
        <v/>
      </c>
      <c r="X81" s="61" t="str">
        <f t="shared" si="20"/>
        <v/>
      </c>
      <c r="Y81" s="61" t="str">
        <f t="shared" si="21"/>
        <v/>
      </c>
      <c r="Z81" s="61" t="str">
        <f t="shared" si="22"/>
        <v/>
      </c>
      <c r="AA81" s="61" t="str">
        <f t="shared" si="23"/>
        <v/>
      </c>
      <c r="AB81" s="61" t="str">
        <f t="shared" si="24"/>
        <v/>
      </c>
      <c r="AC81" s="61" t="str">
        <f t="shared" si="25"/>
        <v/>
      </c>
      <c r="AD81" s="61" t="str">
        <f t="shared" si="26"/>
        <v/>
      </c>
      <c r="AE81" s="61" t="str">
        <f t="shared" si="27"/>
        <v/>
      </c>
      <c r="AF81" s="61" t="str">
        <f t="shared" si="28"/>
        <v/>
      </c>
      <c r="AG81" s="61" t="str">
        <f t="shared" si="29"/>
        <v/>
      </c>
      <c r="AH81" s="61" t="str">
        <f t="shared" si="30"/>
        <v/>
      </c>
      <c r="AI81" s="61" t="str">
        <f t="shared" si="31"/>
        <v/>
      </c>
    </row>
    <row r="82" spans="1:35" x14ac:dyDescent="0.25">
      <c r="A82" s="36"/>
      <c r="B82" s="37"/>
      <c r="C82" s="37"/>
      <c r="D82" s="37"/>
      <c r="E82" s="37"/>
      <c r="F82" s="37"/>
      <c r="G82" s="37"/>
      <c r="H82" s="37"/>
      <c r="I82" s="37"/>
      <c r="J82" s="38"/>
      <c r="K82" s="38"/>
      <c r="L82" s="37"/>
      <c r="M82" s="37"/>
      <c r="N82" s="37"/>
      <c r="O82" s="37"/>
      <c r="P82" s="37"/>
      <c r="Q82" s="37"/>
      <c r="R82" s="13" t="str">
        <f t="shared" ca="1" si="16"/>
        <v/>
      </c>
      <c r="S82" s="13" t="str">
        <f ca="1">IF(A82="","",IF(OR(M82='02_マスタ'!$E$10,M82='02_マスタ'!$E$12),"",IF(L82="High","High",IF(AND(K82&lt;&gt;"",K82&lt;TODAY()),INDEX(_ゴミ箱_Backup!$B$117:$D$247,MATCH("ALERT_OVERDUE",_ゴミ箱_Backup!$A$117:$A$247,0),MATCH(言語切替!$B$3,_ゴミ箱_Backup!$B$1:$D$1,0)),IF(AND(K82&lt;&gt;"",K82-TODAY()&lt;=7),INDEX(_ゴミ箱_Backup!$B$117:$D$247,MATCH("ALERT_APPROACHING",_ゴミ箱_Backup!$A$117:$A$247,0),MATCH(言語切替!$B$3,_ゴミ箱_Backup!$B$1:$D$1,0)),IF(OR(M82='02_マスタ'!$E$7,M82='02_マスタ'!$E$8),INDEX(_ゴミ箱_Backup!$B$117:$D$247,MATCH("ALERT_CHECK",_ゴミ箱_Backup!$A$117:$A$247,0),MATCH(言語切替!$B$3,_ゴミ箱_Backup!$B$1:$D$1,0)),""))))))</f>
        <v/>
      </c>
      <c r="T82" s="53"/>
      <c r="U82" s="61" t="str">
        <f t="shared" si="17"/>
        <v/>
      </c>
      <c r="V82" s="61" t="str">
        <f t="shared" si="18"/>
        <v/>
      </c>
      <c r="W82" s="61" t="str">
        <f t="shared" si="19"/>
        <v/>
      </c>
      <c r="X82" s="61" t="str">
        <f t="shared" si="20"/>
        <v/>
      </c>
      <c r="Y82" s="61" t="str">
        <f t="shared" si="21"/>
        <v/>
      </c>
      <c r="Z82" s="61" t="str">
        <f t="shared" si="22"/>
        <v/>
      </c>
      <c r="AA82" s="61" t="str">
        <f t="shared" si="23"/>
        <v/>
      </c>
      <c r="AB82" s="61" t="str">
        <f t="shared" si="24"/>
        <v/>
      </c>
      <c r="AC82" s="61" t="str">
        <f t="shared" si="25"/>
        <v/>
      </c>
      <c r="AD82" s="61" t="str">
        <f t="shared" si="26"/>
        <v/>
      </c>
      <c r="AE82" s="61" t="str">
        <f t="shared" si="27"/>
        <v/>
      </c>
      <c r="AF82" s="61" t="str">
        <f t="shared" si="28"/>
        <v/>
      </c>
      <c r="AG82" s="61" t="str">
        <f t="shared" si="29"/>
        <v/>
      </c>
      <c r="AH82" s="61" t="str">
        <f t="shared" si="30"/>
        <v/>
      </c>
      <c r="AI82" s="61" t="str">
        <f t="shared" si="31"/>
        <v/>
      </c>
    </row>
    <row r="83" spans="1:35" x14ac:dyDescent="0.25">
      <c r="A83" s="40"/>
      <c r="B83" s="41"/>
      <c r="C83" s="41"/>
      <c r="D83" s="41"/>
      <c r="E83" s="41"/>
      <c r="F83" s="41"/>
      <c r="G83" s="41"/>
      <c r="H83" s="41"/>
      <c r="I83" s="41"/>
      <c r="J83" s="42"/>
      <c r="K83" s="42"/>
      <c r="L83" s="41"/>
      <c r="M83" s="41"/>
      <c r="N83" s="41"/>
      <c r="O83" s="41"/>
      <c r="P83" s="41"/>
      <c r="Q83" s="41"/>
      <c r="R83" s="16" t="str">
        <f t="shared" ca="1" si="16"/>
        <v/>
      </c>
      <c r="S83" s="16" t="str">
        <f ca="1">IF(A83="","",IF(OR(M83='02_マスタ'!$E$10,M83='02_マスタ'!$E$12),"",IF(L83="High","High",IF(AND(K83&lt;&gt;"",K83&lt;TODAY()),INDEX(_ゴミ箱_Backup!$B$117:$D$247,MATCH("ALERT_OVERDUE",_ゴミ箱_Backup!$A$117:$A$247,0),MATCH(言語切替!$B$3,_ゴミ箱_Backup!$B$1:$D$1,0)),IF(AND(K83&lt;&gt;"",K83-TODAY()&lt;=7),INDEX(_ゴミ箱_Backup!$B$117:$D$247,MATCH("ALERT_APPROACHING",_ゴミ箱_Backup!$A$117:$A$247,0),MATCH(言語切替!$B$3,_ゴミ箱_Backup!$B$1:$D$1,0)),IF(OR(M83='02_マスタ'!$E$7,M83='02_マスタ'!$E$8),INDEX(_ゴミ箱_Backup!$B$117:$D$247,MATCH("ALERT_CHECK",_ゴミ箱_Backup!$A$117:$A$247,0),MATCH(言語切替!$B$3,_ゴミ箱_Backup!$B$1:$D$1,0)),""))))))</f>
        <v/>
      </c>
      <c r="T83" s="52"/>
      <c r="U83" s="61" t="str">
        <f t="shared" si="17"/>
        <v/>
      </c>
      <c r="V83" s="61" t="str">
        <f t="shared" si="18"/>
        <v/>
      </c>
      <c r="W83" s="61" t="str">
        <f t="shared" si="19"/>
        <v/>
      </c>
      <c r="X83" s="61" t="str">
        <f t="shared" si="20"/>
        <v/>
      </c>
      <c r="Y83" s="61" t="str">
        <f t="shared" si="21"/>
        <v/>
      </c>
      <c r="Z83" s="61" t="str">
        <f t="shared" si="22"/>
        <v/>
      </c>
      <c r="AA83" s="61" t="str">
        <f t="shared" si="23"/>
        <v/>
      </c>
      <c r="AB83" s="61" t="str">
        <f t="shared" si="24"/>
        <v/>
      </c>
      <c r="AC83" s="61" t="str">
        <f t="shared" si="25"/>
        <v/>
      </c>
      <c r="AD83" s="61" t="str">
        <f t="shared" si="26"/>
        <v/>
      </c>
      <c r="AE83" s="61" t="str">
        <f t="shared" si="27"/>
        <v/>
      </c>
      <c r="AF83" s="61" t="str">
        <f t="shared" si="28"/>
        <v/>
      </c>
      <c r="AG83" s="61" t="str">
        <f t="shared" si="29"/>
        <v/>
      </c>
      <c r="AH83" s="61" t="str">
        <f t="shared" si="30"/>
        <v/>
      </c>
      <c r="AI83" s="61" t="str">
        <f t="shared" si="31"/>
        <v/>
      </c>
    </row>
    <row r="84" spans="1:35" x14ac:dyDescent="0.25">
      <c r="A84" s="36"/>
      <c r="B84" s="37"/>
      <c r="C84" s="37"/>
      <c r="D84" s="37"/>
      <c r="E84" s="37"/>
      <c r="F84" s="37"/>
      <c r="G84" s="37"/>
      <c r="H84" s="37"/>
      <c r="I84" s="37"/>
      <c r="J84" s="38"/>
      <c r="K84" s="38"/>
      <c r="L84" s="37"/>
      <c r="M84" s="37"/>
      <c r="N84" s="37"/>
      <c r="O84" s="37"/>
      <c r="P84" s="37"/>
      <c r="Q84" s="37"/>
      <c r="R84" s="13" t="str">
        <f t="shared" ca="1" si="16"/>
        <v/>
      </c>
      <c r="S84" s="13" t="str">
        <f ca="1">IF(A84="","",IF(OR(M84='02_マスタ'!$E$10,M84='02_マスタ'!$E$12),"",IF(L84="High","High",IF(AND(K84&lt;&gt;"",K84&lt;TODAY()),INDEX(_ゴミ箱_Backup!$B$117:$D$247,MATCH("ALERT_OVERDUE",_ゴミ箱_Backup!$A$117:$A$247,0),MATCH(言語切替!$B$3,_ゴミ箱_Backup!$B$1:$D$1,0)),IF(AND(K84&lt;&gt;"",K84-TODAY()&lt;=7),INDEX(_ゴミ箱_Backup!$B$117:$D$247,MATCH("ALERT_APPROACHING",_ゴミ箱_Backup!$A$117:$A$247,0),MATCH(言語切替!$B$3,_ゴミ箱_Backup!$B$1:$D$1,0)),IF(OR(M84='02_マスタ'!$E$7,M84='02_マスタ'!$E$8),INDEX(_ゴミ箱_Backup!$B$117:$D$247,MATCH("ALERT_CHECK",_ゴミ箱_Backup!$A$117:$A$247,0),MATCH(言語切替!$B$3,_ゴミ箱_Backup!$B$1:$D$1,0)),""))))))</f>
        <v/>
      </c>
      <c r="T84" s="53"/>
      <c r="U84" s="61" t="str">
        <f t="shared" si="17"/>
        <v/>
      </c>
      <c r="V84" s="61" t="str">
        <f t="shared" si="18"/>
        <v/>
      </c>
      <c r="W84" s="61" t="str">
        <f t="shared" si="19"/>
        <v/>
      </c>
      <c r="X84" s="61" t="str">
        <f t="shared" si="20"/>
        <v/>
      </c>
      <c r="Y84" s="61" t="str">
        <f t="shared" si="21"/>
        <v/>
      </c>
      <c r="Z84" s="61" t="str">
        <f t="shared" si="22"/>
        <v/>
      </c>
      <c r="AA84" s="61" t="str">
        <f t="shared" si="23"/>
        <v/>
      </c>
      <c r="AB84" s="61" t="str">
        <f t="shared" si="24"/>
        <v/>
      </c>
      <c r="AC84" s="61" t="str">
        <f t="shared" si="25"/>
        <v/>
      </c>
      <c r="AD84" s="61" t="str">
        <f t="shared" si="26"/>
        <v/>
      </c>
      <c r="AE84" s="61" t="str">
        <f t="shared" si="27"/>
        <v/>
      </c>
      <c r="AF84" s="61" t="str">
        <f t="shared" si="28"/>
        <v/>
      </c>
      <c r="AG84" s="61" t="str">
        <f t="shared" si="29"/>
        <v/>
      </c>
      <c r="AH84" s="61" t="str">
        <f t="shared" si="30"/>
        <v/>
      </c>
      <c r="AI84" s="61" t="str">
        <f t="shared" si="31"/>
        <v/>
      </c>
    </row>
    <row r="85" spans="1:35" x14ac:dyDescent="0.25">
      <c r="A85" s="40"/>
      <c r="B85" s="41"/>
      <c r="C85" s="41"/>
      <c r="D85" s="41"/>
      <c r="E85" s="41"/>
      <c r="F85" s="41"/>
      <c r="G85" s="41"/>
      <c r="H85" s="41"/>
      <c r="I85" s="41"/>
      <c r="J85" s="42"/>
      <c r="K85" s="42"/>
      <c r="L85" s="41"/>
      <c r="M85" s="41"/>
      <c r="N85" s="41"/>
      <c r="O85" s="41"/>
      <c r="P85" s="41"/>
      <c r="Q85" s="41"/>
      <c r="R85" s="16" t="str">
        <f t="shared" ca="1" si="16"/>
        <v/>
      </c>
      <c r="S85" s="16" t="str">
        <f ca="1">IF(A85="","",IF(OR(M85='02_マスタ'!$E$10,M85='02_マスタ'!$E$12),"",IF(L85="High","High",IF(AND(K85&lt;&gt;"",K85&lt;TODAY()),INDEX(_ゴミ箱_Backup!$B$117:$D$247,MATCH("ALERT_OVERDUE",_ゴミ箱_Backup!$A$117:$A$247,0),MATCH(言語切替!$B$3,_ゴミ箱_Backup!$B$1:$D$1,0)),IF(AND(K85&lt;&gt;"",K85-TODAY()&lt;=7),INDEX(_ゴミ箱_Backup!$B$117:$D$247,MATCH("ALERT_APPROACHING",_ゴミ箱_Backup!$A$117:$A$247,0),MATCH(言語切替!$B$3,_ゴミ箱_Backup!$B$1:$D$1,0)),IF(OR(M85='02_マスタ'!$E$7,M85='02_マスタ'!$E$8),INDEX(_ゴミ箱_Backup!$B$117:$D$247,MATCH("ALERT_CHECK",_ゴミ箱_Backup!$A$117:$A$247,0),MATCH(言語切替!$B$3,_ゴミ箱_Backup!$B$1:$D$1,0)),""))))))</f>
        <v/>
      </c>
      <c r="T85" s="52"/>
      <c r="U85" s="61" t="str">
        <f t="shared" si="17"/>
        <v/>
      </c>
      <c r="V85" s="61" t="str">
        <f t="shared" si="18"/>
        <v/>
      </c>
      <c r="W85" s="61" t="str">
        <f t="shared" si="19"/>
        <v/>
      </c>
      <c r="X85" s="61" t="str">
        <f t="shared" si="20"/>
        <v/>
      </c>
      <c r="Y85" s="61" t="str">
        <f t="shared" si="21"/>
        <v/>
      </c>
      <c r="Z85" s="61" t="str">
        <f t="shared" si="22"/>
        <v/>
      </c>
      <c r="AA85" s="61" t="str">
        <f t="shared" si="23"/>
        <v/>
      </c>
      <c r="AB85" s="61" t="str">
        <f t="shared" si="24"/>
        <v/>
      </c>
      <c r="AC85" s="61" t="str">
        <f t="shared" si="25"/>
        <v/>
      </c>
      <c r="AD85" s="61" t="str">
        <f t="shared" si="26"/>
        <v/>
      </c>
      <c r="AE85" s="61" t="str">
        <f t="shared" si="27"/>
        <v/>
      </c>
      <c r="AF85" s="61" t="str">
        <f t="shared" si="28"/>
        <v/>
      </c>
      <c r="AG85" s="61" t="str">
        <f t="shared" si="29"/>
        <v/>
      </c>
      <c r="AH85" s="61" t="str">
        <f t="shared" si="30"/>
        <v/>
      </c>
      <c r="AI85" s="61" t="str">
        <f t="shared" si="31"/>
        <v/>
      </c>
    </row>
    <row r="86" spans="1:35" x14ac:dyDescent="0.25">
      <c r="A86" s="36"/>
      <c r="B86" s="37"/>
      <c r="C86" s="37"/>
      <c r="D86" s="37"/>
      <c r="E86" s="37"/>
      <c r="F86" s="37"/>
      <c r="G86" s="37"/>
      <c r="H86" s="37"/>
      <c r="I86" s="37"/>
      <c r="J86" s="38"/>
      <c r="K86" s="38"/>
      <c r="L86" s="37"/>
      <c r="M86" s="37"/>
      <c r="N86" s="37"/>
      <c r="O86" s="37"/>
      <c r="P86" s="37"/>
      <c r="Q86" s="37"/>
      <c r="R86" s="13" t="str">
        <f t="shared" ca="1" si="16"/>
        <v/>
      </c>
      <c r="S86" s="13" t="str">
        <f ca="1">IF(A86="","",IF(OR(M86='02_マスタ'!$E$10,M86='02_マスタ'!$E$12),"",IF(L86="High","High",IF(AND(K86&lt;&gt;"",K86&lt;TODAY()),INDEX(_ゴミ箱_Backup!$B$117:$D$247,MATCH("ALERT_OVERDUE",_ゴミ箱_Backup!$A$117:$A$247,0),MATCH(言語切替!$B$3,_ゴミ箱_Backup!$B$1:$D$1,0)),IF(AND(K86&lt;&gt;"",K86-TODAY()&lt;=7),INDEX(_ゴミ箱_Backup!$B$117:$D$247,MATCH("ALERT_APPROACHING",_ゴミ箱_Backup!$A$117:$A$247,0),MATCH(言語切替!$B$3,_ゴミ箱_Backup!$B$1:$D$1,0)),IF(OR(M86='02_マスタ'!$E$7,M86='02_マスタ'!$E$8),INDEX(_ゴミ箱_Backup!$B$117:$D$247,MATCH("ALERT_CHECK",_ゴミ箱_Backup!$A$117:$A$247,0),MATCH(言語切替!$B$3,_ゴミ箱_Backup!$B$1:$D$1,0)),""))))))</f>
        <v/>
      </c>
      <c r="T86" s="53"/>
      <c r="U86" s="61" t="str">
        <f t="shared" si="17"/>
        <v/>
      </c>
      <c r="V86" s="61" t="str">
        <f t="shared" si="18"/>
        <v/>
      </c>
      <c r="W86" s="61" t="str">
        <f t="shared" si="19"/>
        <v/>
      </c>
      <c r="X86" s="61" t="str">
        <f t="shared" si="20"/>
        <v/>
      </c>
      <c r="Y86" s="61" t="str">
        <f t="shared" si="21"/>
        <v/>
      </c>
      <c r="Z86" s="61" t="str">
        <f t="shared" si="22"/>
        <v/>
      </c>
      <c r="AA86" s="61" t="str">
        <f t="shared" si="23"/>
        <v/>
      </c>
      <c r="AB86" s="61" t="str">
        <f t="shared" si="24"/>
        <v/>
      </c>
      <c r="AC86" s="61" t="str">
        <f t="shared" si="25"/>
        <v/>
      </c>
      <c r="AD86" s="61" t="str">
        <f t="shared" si="26"/>
        <v/>
      </c>
      <c r="AE86" s="61" t="str">
        <f t="shared" si="27"/>
        <v/>
      </c>
      <c r="AF86" s="61" t="str">
        <f t="shared" si="28"/>
        <v/>
      </c>
      <c r="AG86" s="61" t="str">
        <f t="shared" si="29"/>
        <v/>
      </c>
      <c r="AH86" s="61" t="str">
        <f t="shared" si="30"/>
        <v/>
      </c>
      <c r="AI86" s="61" t="str">
        <f t="shared" si="31"/>
        <v/>
      </c>
    </row>
    <row r="87" spans="1:35" x14ac:dyDescent="0.25">
      <c r="A87" s="40"/>
      <c r="B87" s="41"/>
      <c r="C87" s="41"/>
      <c r="D87" s="41"/>
      <c r="E87" s="41"/>
      <c r="F87" s="41"/>
      <c r="G87" s="41"/>
      <c r="H87" s="41"/>
      <c r="I87" s="41"/>
      <c r="J87" s="42"/>
      <c r="K87" s="42"/>
      <c r="L87" s="41"/>
      <c r="M87" s="41"/>
      <c r="N87" s="41"/>
      <c r="O87" s="41"/>
      <c r="P87" s="41"/>
      <c r="Q87" s="41"/>
      <c r="R87" s="16" t="str">
        <f t="shared" ca="1" si="16"/>
        <v/>
      </c>
      <c r="S87" s="16" t="str">
        <f ca="1">IF(A87="","",IF(OR(M87='02_マスタ'!$E$10,M87='02_マスタ'!$E$12),"",IF(L87="High","High",IF(AND(K87&lt;&gt;"",K87&lt;TODAY()),INDEX(_ゴミ箱_Backup!$B$117:$D$247,MATCH("ALERT_OVERDUE",_ゴミ箱_Backup!$A$117:$A$247,0),MATCH(言語切替!$B$3,_ゴミ箱_Backup!$B$1:$D$1,0)),IF(AND(K87&lt;&gt;"",K87-TODAY()&lt;=7),INDEX(_ゴミ箱_Backup!$B$117:$D$247,MATCH("ALERT_APPROACHING",_ゴミ箱_Backup!$A$117:$A$247,0),MATCH(言語切替!$B$3,_ゴミ箱_Backup!$B$1:$D$1,0)),IF(OR(M87='02_マスタ'!$E$7,M87='02_マスタ'!$E$8),INDEX(_ゴミ箱_Backup!$B$117:$D$247,MATCH("ALERT_CHECK",_ゴミ箱_Backup!$A$117:$A$247,0),MATCH(言語切替!$B$3,_ゴミ箱_Backup!$B$1:$D$1,0)),""))))))</f>
        <v/>
      </c>
      <c r="T87" s="52"/>
      <c r="U87" s="61" t="str">
        <f t="shared" si="17"/>
        <v/>
      </c>
      <c r="V87" s="61" t="str">
        <f t="shared" si="18"/>
        <v/>
      </c>
      <c r="W87" s="61" t="str">
        <f t="shared" si="19"/>
        <v/>
      </c>
      <c r="X87" s="61" t="str">
        <f t="shared" si="20"/>
        <v/>
      </c>
      <c r="Y87" s="61" t="str">
        <f t="shared" si="21"/>
        <v/>
      </c>
      <c r="Z87" s="61" t="str">
        <f t="shared" si="22"/>
        <v/>
      </c>
      <c r="AA87" s="61" t="str">
        <f t="shared" si="23"/>
        <v/>
      </c>
      <c r="AB87" s="61" t="str">
        <f t="shared" si="24"/>
        <v/>
      </c>
      <c r="AC87" s="61" t="str">
        <f t="shared" si="25"/>
        <v/>
      </c>
      <c r="AD87" s="61" t="str">
        <f t="shared" si="26"/>
        <v/>
      </c>
      <c r="AE87" s="61" t="str">
        <f t="shared" si="27"/>
        <v/>
      </c>
      <c r="AF87" s="61" t="str">
        <f t="shared" si="28"/>
        <v/>
      </c>
      <c r="AG87" s="61" t="str">
        <f t="shared" si="29"/>
        <v/>
      </c>
      <c r="AH87" s="61" t="str">
        <f t="shared" si="30"/>
        <v/>
      </c>
      <c r="AI87" s="61" t="str">
        <f t="shared" si="31"/>
        <v/>
      </c>
    </row>
    <row r="88" spans="1:35" x14ac:dyDescent="0.25">
      <c r="A88" s="36"/>
      <c r="B88" s="37"/>
      <c r="C88" s="37"/>
      <c r="D88" s="37"/>
      <c r="E88" s="37"/>
      <c r="F88" s="37"/>
      <c r="G88" s="37"/>
      <c r="H88" s="37"/>
      <c r="I88" s="37"/>
      <c r="J88" s="38"/>
      <c r="K88" s="38"/>
      <c r="L88" s="37"/>
      <c r="M88" s="37"/>
      <c r="N88" s="37"/>
      <c r="O88" s="37"/>
      <c r="P88" s="37"/>
      <c r="Q88" s="37"/>
      <c r="R88" s="13" t="str">
        <f t="shared" ca="1" si="16"/>
        <v/>
      </c>
      <c r="S88" s="13" t="str">
        <f ca="1">IF(A88="","",IF(OR(M88='02_マスタ'!$E$10,M88='02_マスタ'!$E$12),"",IF(L88="High","High",IF(AND(K88&lt;&gt;"",K88&lt;TODAY()),INDEX(_ゴミ箱_Backup!$B$117:$D$247,MATCH("ALERT_OVERDUE",_ゴミ箱_Backup!$A$117:$A$247,0),MATCH(言語切替!$B$3,_ゴミ箱_Backup!$B$1:$D$1,0)),IF(AND(K88&lt;&gt;"",K88-TODAY()&lt;=7),INDEX(_ゴミ箱_Backup!$B$117:$D$247,MATCH("ALERT_APPROACHING",_ゴミ箱_Backup!$A$117:$A$247,0),MATCH(言語切替!$B$3,_ゴミ箱_Backup!$B$1:$D$1,0)),IF(OR(M88='02_マスタ'!$E$7,M88='02_マスタ'!$E$8),INDEX(_ゴミ箱_Backup!$B$117:$D$247,MATCH("ALERT_CHECK",_ゴミ箱_Backup!$A$117:$A$247,0),MATCH(言語切替!$B$3,_ゴミ箱_Backup!$B$1:$D$1,0)),""))))))</f>
        <v/>
      </c>
      <c r="T88" s="53"/>
      <c r="U88" s="61" t="str">
        <f t="shared" si="17"/>
        <v/>
      </c>
      <c r="V88" s="61" t="str">
        <f t="shared" si="18"/>
        <v/>
      </c>
      <c r="W88" s="61" t="str">
        <f t="shared" si="19"/>
        <v/>
      </c>
      <c r="X88" s="61" t="str">
        <f t="shared" si="20"/>
        <v/>
      </c>
      <c r="Y88" s="61" t="str">
        <f t="shared" si="21"/>
        <v/>
      </c>
      <c r="Z88" s="61" t="str">
        <f t="shared" si="22"/>
        <v/>
      </c>
      <c r="AA88" s="61" t="str">
        <f t="shared" si="23"/>
        <v/>
      </c>
      <c r="AB88" s="61" t="str">
        <f t="shared" si="24"/>
        <v/>
      </c>
      <c r="AC88" s="61" t="str">
        <f t="shared" si="25"/>
        <v/>
      </c>
      <c r="AD88" s="61" t="str">
        <f t="shared" si="26"/>
        <v/>
      </c>
      <c r="AE88" s="61" t="str">
        <f t="shared" si="27"/>
        <v/>
      </c>
      <c r="AF88" s="61" t="str">
        <f t="shared" si="28"/>
        <v/>
      </c>
      <c r="AG88" s="61" t="str">
        <f t="shared" si="29"/>
        <v/>
      </c>
      <c r="AH88" s="61" t="str">
        <f t="shared" si="30"/>
        <v/>
      </c>
      <c r="AI88" s="61" t="str">
        <f t="shared" si="31"/>
        <v/>
      </c>
    </row>
    <row r="89" spans="1:35" x14ac:dyDescent="0.25">
      <c r="A89" s="40"/>
      <c r="B89" s="41"/>
      <c r="C89" s="41"/>
      <c r="D89" s="41"/>
      <c r="E89" s="41"/>
      <c r="F89" s="41"/>
      <c r="G89" s="41"/>
      <c r="H89" s="41"/>
      <c r="I89" s="41"/>
      <c r="J89" s="42"/>
      <c r="K89" s="42"/>
      <c r="L89" s="41"/>
      <c r="M89" s="41"/>
      <c r="N89" s="41"/>
      <c r="O89" s="41"/>
      <c r="P89" s="41"/>
      <c r="Q89" s="41"/>
      <c r="R89" s="16" t="str">
        <f t="shared" ca="1" si="16"/>
        <v/>
      </c>
      <c r="S89" s="16" t="str">
        <f ca="1">IF(A89="","",IF(OR(M89='02_マスタ'!$E$10,M89='02_マスタ'!$E$12),"",IF(L89="High","High",IF(AND(K89&lt;&gt;"",K89&lt;TODAY()),INDEX(_ゴミ箱_Backup!$B$117:$D$247,MATCH("ALERT_OVERDUE",_ゴミ箱_Backup!$A$117:$A$247,0),MATCH(言語切替!$B$3,_ゴミ箱_Backup!$B$1:$D$1,0)),IF(AND(K89&lt;&gt;"",K89-TODAY()&lt;=7),INDEX(_ゴミ箱_Backup!$B$117:$D$247,MATCH("ALERT_APPROACHING",_ゴミ箱_Backup!$A$117:$A$247,0),MATCH(言語切替!$B$3,_ゴミ箱_Backup!$B$1:$D$1,0)),IF(OR(M89='02_マスタ'!$E$7,M89='02_マスタ'!$E$8),INDEX(_ゴミ箱_Backup!$B$117:$D$247,MATCH("ALERT_CHECK",_ゴミ箱_Backup!$A$117:$A$247,0),MATCH(言語切替!$B$3,_ゴミ箱_Backup!$B$1:$D$1,0)),""))))))</f>
        <v/>
      </c>
      <c r="T89" s="52"/>
      <c r="U89" s="61" t="str">
        <f t="shared" si="17"/>
        <v/>
      </c>
      <c r="V89" s="61" t="str">
        <f t="shared" si="18"/>
        <v/>
      </c>
      <c r="W89" s="61" t="str">
        <f t="shared" si="19"/>
        <v/>
      </c>
      <c r="X89" s="61" t="str">
        <f t="shared" si="20"/>
        <v/>
      </c>
      <c r="Y89" s="61" t="str">
        <f t="shared" si="21"/>
        <v/>
      </c>
      <c r="Z89" s="61" t="str">
        <f t="shared" si="22"/>
        <v/>
      </c>
      <c r="AA89" s="61" t="str">
        <f t="shared" si="23"/>
        <v/>
      </c>
      <c r="AB89" s="61" t="str">
        <f t="shared" si="24"/>
        <v/>
      </c>
      <c r="AC89" s="61" t="str">
        <f t="shared" si="25"/>
        <v/>
      </c>
      <c r="AD89" s="61" t="str">
        <f t="shared" si="26"/>
        <v/>
      </c>
      <c r="AE89" s="61" t="str">
        <f t="shared" si="27"/>
        <v/>
      </c>
      <c r="AF89" s="61" t="str">
        <f t="shared" si="28"/>
        <v/>
      </c>
      <c r="AG89" s="61" t="str">
        <f t="shared" si="29"/>
        <v/>
      </c>
      <c r="AH89" s="61" t="str">
        <f t="shared" si="30"/>
        <v/>
      </c>
      <c r="AI89" s="61" t="str">
        <f t="shared" si="31"/>
        <v/>
      </c>
    </row>
    <row r="90" spans="1:35" x14ac:dyDescent="0.25">
      <c r="A90" s="36"/>
      <c r="B90" s="37"/>
      <c r="C90" s="37"/>
      <c r="D90" s="37"/>
      <c r="E90" s="37"/>
      <c r="F90" s="37"/>
      <c r="G90" s="37"/>
      <c r="H90" s="37"/>
      <c r="I90" s="37"/>
      <c r="J90" s="38"/>
      <c r="K90" s="38"/>
      <c r="L90" s="37"/>
      <c r="M90" s="37"/>
      <c r="N90" s="37"/>
      <c r="O90" s="37"/>
      <c r="P90" s="37"/>
      <c r="Q90" s="37"/>
      <c r="R90" s="13" t="str">
        <f t="shared" ca="1" si="16"/>
        <v/>
      </c>
      <c r="S90" s="13" t="str">
        <f ca="1">IF(A90="","",IF(OR(M90='02_マスタ'!$E$10,M90='02_マスタ'!$E$12),"",IF(L90="High","High",IF(AND(K90&lt;&gt;"",K90&lt;TODAY()),INDEX(_ゴミ箱_Backup!$B$117:$D$247,MATCH("ALERT_OVERDUE",_ゴミ箱_Backup!$A$117:$A$247,0),MATCH(言語切替!$B$3,_ゴミ箱_Backup!$B$1:$D$1,0)),IF(AND(K90&lt;&gt;"",K90-TODAY()&lt;=7),INDEX(_ゴミ箱_Backup!$B$117:$D$247,MATCH("ALERT_APPROACHING",_ゴミ箱_Backup!$A$117:$A$247,0),MATCH(言語切替!$B$3,_ゴミ箱_Backup!$B$1:$D$1,0)),IF(OR(M90='02_マスタ'!$E$7,M90='02_マスタ'!$E$8),INDEX(_ゴミ箱_Backup!$B$117:$D$247,MATCH("ALERT_CHECK",_ゴミ箱_Backup!$A$117:$A$247,0),MATCH(言語切替!$B$3,_ゴミ箱_Backup!$B$1:$D$1,0)),""))))))</f>
        <v/>
      </c>
      <c r="T90" s="53"/>
      <c r="U90" s="61" t="str">
        <f t="shared" si="17"/>
        <v/>
      </c>
      <c r="V90" s="61" t="str">
        <f t="shared" si="18"/>
        <v/>
      </c>
      <c r="W90" s="61" t="str">
        <f t="shared" si="19"/>
        <v/>
      </c>
      <c r="X90" s="61" t="str">
        <f t="shared" si="20"/>
        <v/>
      </c>
      <c r="Y90" s="61" t="str">
        <f t="shared" si="21"/>
        <v/>
      </c>
      <c r="Z90" s="61" t="str">
        <f t="shared" si="22"/>
        <v/>
      </c>
      <c r="AA90" s="61" t="str">
        <f t="shared" si="23"/>
        <v/>
      </c>
      <c r="AB90" s="61" t="str">
        <f t="shared" si="24"/>
        <v/>
      </c>
      <c r="AC90" s="61" t="str">
        <f t="shared" si="25"/>
        <v/>
      </c>
      <c r="AD90" s="61" t="str">
        <f t="shared" si="26"/>
        <v/>
      </c>
      <c r="AE90" s="61" t="str">
        <f t="shared" si="27"/>
        <v/>
      </c>
      <c r="AF90" s="61" t="str">
        <f t="shared" si="28"/>
        <v/>
      </c>
      <c r="AG90" s="61" t="str">
        <f t="shared" si="29"/>
        <v/>
      </c>
      <c r="AH90" s="61" t="str">
        <f t="shared" si="30"/>
        <v/>
      </c>
      <c r="AI90" s="61" t="str">
        <f t="shared" si="31"/>
        <v/>
      </c>
    </row>
    <row r="91" spans="1:35" x14ac:dyDescent="0.25">
      <c r="A91" s="40"/>
      <c r="B91" s="41"/>
      <c r="C91" s="41"/>
      <c r="D91" s="41"/>
      <c r="E91" s="41"/>
      <c r="F91" s="41"/>
      <c r="G91" s="41"/>
      <c r="H91" s="41"/>
      <c r="I91" s="41"/>
      <c r="J91" s="42"/>
      <c r="K91" s="42"/>
      <c r="L91" s="41"/>
      <c r="M91" s="41"/>
      <c r="N91" s="41"/>
      <c r="O91" s="41"/>
      <c r="P91" s="41"/>
      <c r="Q91" s="41"/>
      <c r="R91" s="16" t="str">
        <f t="shared" ca="1" si="16"/>
        <v/>
      </c>
      <c r="S91" s="16" t="str">
        <f ca="1">IF(A91="","",IF(OR(M91='02_マスタ'!$E$10,M91='02_マスタ'!$E$12),"",IF(L91="High","High",IF(AND(K91&lt;&gt;"",K91&lt;TODAY()),INDEX(_ゴミ箱_Backup!$B$117:$D$247,MATCH("ALERT_OVERDUE",_ゴミ箱_Backup!$A$117:$A$247,0),MATCH(言語切替!$B$3,_ゴミ箱_Backup!$B$1:$D$1,0)),IF(AND(K91&lt;&gt;"",K91-TODAY()&lt;=7),INDEX(_ゴミ箱_Backup!$B$117:$D$247,MATCH("ALERT_APPROACHING",_ゴミ箱_Backup!$A$117:$A$247,0),MATCH(言語切替!$B$3,_ゴミ箱_Backup!$B$1:$D$1,0)),IF(OR(M91='02_マスタ'!$E$7,M91='02_マスタ'!$E$8),INDEX(_ゴミ箱_Backup!$B$117:$D$247,MATCH("ALERT_CHECK",_ゴミ箱_Backup!$A$117:$A$247,0),MATCH(言語切替!$B$3,_ゴミ箱_Backup!$B$1:$D$1,0)),""))))))</f>
        <v/>
      </c>
      <c r="T91" s="52"/>
      <c r="U91" s="61" t="str">
        <f t="shared" si="17"/>
        <v/>
      </c>
      <c r="V91" s="61" t="str">
        <f t="shared" si="18"/>
        <v/>
      </c>
      <c r="W91" s="61" t="str">
        <f t="shared" si="19"/>
        <v/>
      </c>
      <c r="X91" s="61" t="str">
        <f t="shared" si="20"/>
        <v/>
      </c>
      <c r="Y91" s="61" t="str">
        <f t="shared" si="21"/>
        <v/>
      </c>
      <c r="Z91" s="61" t="str">
        <f t="shared" si="22"/>
        <v/>
      </c>
      <c r="AA91" s="61" t="str">
        <f t="shared" si="23"/>
        <v/>
      </c>
      <c r="AB91" s="61" t="str">
        <f t="shared" si="24"/>
        <v/>
      </c>
      <c r="AC91" s="61" t="str">
        <f t="shared" si="25"/>
        <v/>
      </c>
      <c r="AD91" s="61" t="str">
        <f t="shared" si="26"/>
        <v/>
      </c>
      <c r="AE91" s="61" t="str">
        <f t="shared" si="27"/>
        <v/>
      </c>
      <c r="AF91" s="61" t="str">
        <f t="shared" si="28"/>
        <v/>
      </c>
      <c r="AG91" s="61" t="str">
        <f t="shared" si="29"/>
        <v/>
      </c>
      <c r="AH91" s="61" t="str">
        <f t="shared" si="30"/>
        <v/>
      </c>
      <c r="AI91" s="61" t="str">
        <f t="shared" si="31"/>
        <v/>
      </c>
    </row>
    <row r="92" spans="1:35" x14ac:dyDescent="0.25">
      <c r="A92" s="36"/>
      <c r="B92" s="37"/>
      <c r="C92" s="37"/>
      <c r="D92" s="37"/>
      <c r="E92" s="37"/>
      <c r="F92" s="37"/>
      <c r="G92" s="37"/>
      <c r="H92" s="37"/>
      <c r="I92" s="37"/>
      <c r="J92" s="38"/>
      <c r="K92" s="38"/>
      <c r="L92" s="37"/>
      <c r="M92" s="37"/>
      <c r="N92" s="37"/>
      <c r="O92" s="37"/>
      <c r="P92" s="37"/>
      <c r="Q92" s="37"/>
      <c r="R92" s="13" t="str">
        <f t="shared" ca="1" si="16"/>
        <v/>
      </c>
      <c r="S92" s="13" t="str">
        <f ca="1">IF(A92="","",IF(OR(M92='02_マスタ'!$E$10,M92='02_マスタ'!$E$12),"",IF(L92="High","High",IF(AND(K92&lt;&gt;"",K92&lt;TODAY()),INDEX(_ゴミ箱_Backup!$B$117:$D$247,MATCH("ALERT_OVERDUE",_ゴミ箱_Backup!$A$117:$A$247,0),MATCH(言語切替!$B$3,_ゴミ箱_Backup!$B$1:$D$1,0)),IF(AND(K92&lt;&gt;"",K92-TODAY()&lt;=7),INDEX(_ゴミ箱_Backup!$B$117:$D$247,MATCH("ALERT_APPROACHING",_ゴミ箱_Backup!$A$117:$A$247,0),MATCH(言語切替!$B$3,_ゴミ箱_Backup!$B$1:$D$1,0)),IF(OR(M92='02_マスタ'!$E$7,M92='02_マスタ'!$E$8),INDEX(_ゴミ箱_Backup!$B$117:$D$247,MATCH("ALERT_CHECK",_ゴミ箱_Backup!$A$117:$A$247,0),MATCH(言語切替!$B$3,_ゴミ箱_Backup!$B$1:$D$1,0)),""))))))</f>
        <v/>
      </c>
      <c r="T92" s="53"/>
      <c r="U92" s="61" t="str">
        <f t="shared" si="17"/>
        <v/>
      </c>
      <c r="V92" s="61" t="str">
        <f t="shared" si="18"/>
        <v/>
      </c>
      <c r="W92" s="61" t="str">
        <f t="shared" si="19"/>
        <v/>
      </c>
      <c r="X92" s="61" t="str">
        <f t="shared" si="20"/>
        <v/>
      </c>
      <c r="Y92" s="61" t="str">
        <f t="shared" si="21"/>
        <v/>
      </c>
      <c r="Z92" s="61" t="str">
        <f t="shared" si="22"/>
        <v/>
      </c>
      <c r="AA92" s="61" t="str">
        <f t="shared" si="23"/>
        <v/>
      </c>
      <c r="AB92" s="61" t="str">
        <f t="shared" si="24"/>
        <v/>
      </c>
      <c r="AC92" s="61" t="str">
        <f t="shared" si="25"/>
        <v/>
      </c>
      <c r="AD92" s="61" t="str">
        <f t="shared" si="26"/>
        <v/>
      </c>
      <c r="AE92" s="61" t="str">
        <f t="shared" si="27"/>
        <v/>
      </c>
      <c r="AF92" s="61" t="str">
        <f t="shared" si="28"/>
        <v/>
      </c>
      <c r="AG92" s="61" t="str">
        <f t="shared" si="29"/>
        <v/>
      </c>
      <c r="AH92" s="61" t="str">
        <f t="shared" si="30"/>
        <v/>
      </c>
      <c r="AI92" s="61" t="str">
        <f t="shared" si="31"/>
        <v/>
      </c>
    </row>
    <row r="93" spans="1:35" x14ac:dyDescent="0.25">
      <c r="A93" s="40"/>
      <c r="B93" s="41"/>
      <c r="C93" s="41"/>
      <c r="D93" s="41"/>
      <c r="E93" s="41"/>
      <c r="F93" s="41"/>
      <c r="G93" s="41"/>
      <c r="H93" s="41"/>
      <c r="I93" s="41"/>
      <c r="J93" s="42"/>
      <c r="K93" s="42"/>
      <c r="L93" s="41"/>
      <c r="M93" s="41"/>
      <c r="N93" s="41"/>
      <c r="O93" s="41"/>
      <c r="P93" s="41"/>
      <c r="Q93" s="41"/>
      <c r="R93" s="16" t="str">
        <f t="shared" ca="1" si="16"/>
        <v/>
      </c>
      <c r="S93" s="16" t="str">
        <f ca="1">IF(A93="","",IF(OR(M93='02_マスタ'!$E$10,M93='02_マスタ'!$E$12),"",IF(L93="High","High",IF(AND(K93&lt;&gt;"",K93&lt;TODAY()),INDEX(_ゴミ箱_Backup!$B$117:$D$247,MATCH("ALERT_OVERDUE",_ゴミ箱_Backup!$A$117:$A$247,0),MATCH(言語切替!$B$3,_ゴミ箱_Backup!$B$1:$D$1,0)),IF(AND(K93&lt;&gt;"",K93-TODAY()&lt;=7),INDEX(_ゴミ箱_Backup!$B$117:$D$247,MATCH("ALERT_APPROACHING",_ゴミ箱_Backup!$A$117:$A$247,0),MATCH(言語切替!$B$3,_ゴミ箱_Backup!$B$1:$D$1,0)),IF(OR(M93='02_マスタ'!$E$7,M93='02_マスタ'!$E$8),INDEX(_ゴミ箱_Backup!$B$117:$D$247,MATCH("ALERT_CHECK",_ゴミ箱_Backup!$A$117:$A$247,0),MATCH(言語切替!$B$3,_ゴミ箱_Backup!$B$1:$D$1,0)),""))))))</f>
        <v/>
      </c>
      <c r="T93" s="52"/>
      <c r="U93" s="61" t="str">
        <f t="shared" si="17"/>
        <v/>
      </c>
      <c r="V93" s="61" t="str">
        <f t="shared" si="18"/>
        <v/>
      </c>
      <c r="W93" s="61" t="str">
        <f t="shared" si="19"/>
        <v/>
      </c>
      <c r="X93" s="61" t="str">
        <f t="shared" si="20"/>
        <v/>
      </c>
      <c r="Y93" s="61" t="str">
        <f t="shared" si="21"/>
        <v/>
      </c>
      <c r="Z93" s="61" t="str">
        <f t="shared" si="22"/>
        <v/>
      </c>
      <c r="AA93" s="61" t="str">
        <f t="shared" si="23"/>
        <v/>
      </c>
      <c r="AB93" s="61" t="str">
        <f t="shared" si="24"/>
        <v/>
      </c>
      <c r="AC93" s="61" t="str">
        <f t="shared" si="25"/>
        <v/>
      </c>
      <c r="AD93" s="61" t="str">
        <f t="shared" si="26"/>
        <v/>
      </c>
      <c r="AE93" s="61" t="str">
        <f t="shared" si="27"/>
        <v/>
      </c>
      <c r="AF93" s="61" t="str">
        <f t="shared" si="28"/>
        <v/>
      </c>
      <c r="AG93" s="61" t="str">
        <f t="shared" si="29"/>
        <v/>
      </c>
      <c r="AH93" s="61" t="str">
        <f t="shared" si="30"/>
        <v/>
      </c>
      <c r="AI93" s="61" t="str">
        <f t="shared" si="31"/>
        <v/>
      </c>
    </row>
    <row r="94" spans="1:35" x14ac:dyDescent="0.25">
      <c r="A94" s="36"/>
      <c r="B94" s="37"/>
      <c r="C94" s="37"/>
      <c r="D94" s="37"/>
      <c r="E94" s="37"/>
      <c r="F94" s="37"/>
      <c r="G94" s="37"/>
      <c r="H94" s="37"/>
      <c r="I94" s="37"/>
      <c r="J94" s="38"/>
      <c r="K94" s="38"/>
      <c r="L94" s="37"/>
      <c r="M94" s="37"/>
      <c r="N94" s="37"/>
      <c r="O94" s="37"/>
      <c r="P94" s="37"/>
      <c r="Q94" s="37"/>
      <c r="R94" s="13" t="str">
        <f t="shared" ca="1" si="16"/>
        <v/>
      </c>
      <c r="S94" s="13" t="str">
        <f ca="1">IF(A94="","",IF(OR(M94='02_マスタ'!$E$10,M94='02_マスタ'!$E$12),"",IF(L94="High","High",IF(AND(K94&lt;&gt;"",K94&lt;TODAY()),INDEX(_ゴミ箱_Backup!$B$117:$D$247,MATCH("ALERT_OVERDUE",_ゴミ箱_Backup!$A$117:$A$247,0),MATCH(言語切替!$B$3,_ゴミ箱_Backup!$B$1:$D$1,0)),IF(AND(K94&lt;&gt;"",K94-TODAY()&lt;=7),INDEX(_ゴミ箱_Backup!$B$117:$D$247,MATCH("ALERT_APPROACHING",_ゴミ箱_Backup!$A$117:$A$247,0),MATCH(言語切替!$B$3,_ゴミ箱_Backup!$B$1:$D$1,0)),IF(OR(M94='02_マスタ'!$E$7,M94='02_マスタ'!$E$8),INDEX(_ゴミ箱_Backup!$B$117:$D$247,MATCH("ALERT_CHECK",_ゴミ箱_Backup!$A$117:$A$247,0),MATCH(言語切替!$B$3,_ゴミ箱_Backup!$B$1:$D$1,0)),""))))))</f>
        <v/>
      </c>
      <c r="T94" s="53"/>
      <c r="U94" s="61" t="str">
        <f t="shared" si="17"/>
        <v/>
      </c>
      <c r="V94" s="61" t="str">
        <f t="shared" si="18"/>
        <v/>
      </c>
      <c r="W94" s="61" t="str">
        <f t="shared" si="19"/>
        <v/>
      </c>
      <c r="X94" s="61" t="str">
        <f t="shared" si="20"/>
        <v/>
      </c>
      <c r="Y94" s="61" t="str">
        <f t="shared" si="21"/>
        <v/>
      </c>
      <c r="Z94" s="61" t="str">
        <f t="shared" si="22"/>
        <v/>
      </c>
      <c r="AA94" s="61" t="str">
        <f t="shared" si="23"/>
        <v/>
      </c>
      <c r="AB94" s="61" t="str">
        <f t="shared" si="24"/>
        <v/>
      </c>
      <c r="AC94" s="61" t="str">
        <f t="shared" si="25"/>
        <v/>
      </c>
      <c r="AD94" s="61" t="str">
        <f t="shared" si="26"/>
        <v/>
      </c>
      <c r="AE94" s="61" t="str">
        <f t="shared" si="27"/>
        <v/>
      </c>
      <c r="AF94" s="61" t="str">
        <f t="shared" si="28"/>
        <v/>
      </c>
      <c r="AG94" s="61" t="str">
        <f t="shared" si="29"/>
        <v/>
      </c>
      <c r="AH94" s="61" t="str">
        <f t="shared" si="30"/>
        <v/>
      </c>
      <c r="AI94" s="61" t="str">
        <f t="shared" si="31"/>
        <v/>
      </c>
    </row>
    <row r="95" spans="1:35" x14ac:dyDescent="0.25">
      <c r="A95" s="40"/>
      <c r="B95" s="41"/>
      <c r="C95" s="41"/>
      <c r="D95" s="41"/>
      <c r="E95" s="41"/>
      <c r="F95" s="41"/>
      <c r="G95" s="41"/>
      <c r="H95" s="41"/>
      <c r="I95" s="41"/>
      <c r="J95" s="42"/>
      <c r="K95" s="42"/>
      <c r="L95" s="41"/>
      <c r="M95" s="41"/>
      <c r="N95" s="41"/>
      <c r="O95" s="41"/>
      <c r="P95" s="41"/>
      <c r="Q95" s="41"/>
      <c r="R95" s="16" t="str">
        <f t="shared" ca="1" si="16"/>
        <v/>
      </c>
      <c r="S95" s="16" t="str">
        <f ca="1">IF(A95="","",IF(OR(M95='02_マスタ'!$E$10,M95='02_マスタ'!$E$12),"",IF(L95="High","High",IF(AND(K95&lt;&gt;"",K95&lt;TODAY()),INDEX(_ゴミ箱_Backup!$B$117:$D$247,MATCH("ALERT_OVERDUE",_ゴミ箱_Backup!$A$117:$A$247,0),MATCH(言語切替!$B$3,_ゴミ箱_Backup!$B$1:$D$1,0)),IF(AND(K95&lt;&gt;"",K95-TODAY()&lt;=7),INDEX(_ゴミ箱_Backup!$B$117:$D$247,MATCH("ALERT_APPROACHING",_ゴミ箱_Backup!$A$117:$A$247,0),MATCH(言語切替!$B$3,_ゴミ箱_Backup!$B$1:$D$1,0)),IF(OR(M95='02_マスタ'!$E$7,M95='02_マスタ'!$E$8),INDEX(_ゴミ箱_Backup!$B$117:$D$247,MATCH("ALERT_CHECK",_ゴミ箱_Backup!$A$117:$A$247,0),MATCH(言語切替!$B$3,_ゴミ箱_Backup!$B$1:$D$1,0)),""))))))</f>
        <v/>
      </c>
      <c r="T95" s="52"/>
      <c r="U95" s="61" t="str">
        <f t="shared" si="17"/>
        <v/>
      </c>
      <c r="V95" s="61" t="str">
        <f t="shared" si="18"/>
        <v/>
      </c>
      <c r="W95" s="61" t="str">
        <f t="shared" si="19"/>
        <v/>
      </c>
      <c r="X95" s="61" t="str">
        <f t="shared" si="20"/>
        <v/>
      </c>
      <c r="Y95" s="61" t="str">
        <f t="shared" si="21"/>
        <v/>
      </c>
      <c r="Z95" s="61" t="str">
        <f t="shared" si="22"/>
        <v/>
      </c>
      <c r="AA95" s="61" t="str">
        <f t="shared" si="23"/>
        <v/>
      </c>
      <c r="AB95" s="61" t="str">
        <f t="shared" si="24"/>
        <v/>
      </c>
      <c r="AC95" s="61" t="str">
        <f t="shared" si="25"/>
        <v/>
      </c>
      <c r="AD95" s="61" t="str">
        <f t="shared" si="26"/>
        <v/>
      </c>
      <c r="AE95" s="61" t="str">
        <f t="shared" si="27"/>
        <v/>
      </c>
      <c r="AF95" s="61" t="str">
        <f t="shared" si="28"/>
        <v/>
      </c>
      <c r="AG95" s="61" t="str">
        <f t="shared" si="29"/>
        <v/>
      </c>
      <c r="AH95" s="61" t="str">
        <f t="shared" si="30"/>
        <v/>
      </c>
      <c r="AI95" s="61" t="str">
        <f t="shared" si="31"/>
        <v/>
      </c>
    </row>
    <row r="96" spans="1:35" x14ac:dyDescent="0.25">
      <c r="A96" s="36"/>
      <c r="B96" s="37"/>
      <c r="C96" s="37"/>
      <c r="D96" s="37"/>
      <c r="E96" s="37"/>
      <c r="F96" s="37"/>
      <c r="G96" s="37"/>
      <c r="H96" s="37"/>
      <c r="I96" s="37"/>
      <c r="J96" s="38"/>
      <c r="K96" s="38"/>
      <c r="L96" s="37"/>
      <c r="M96" s="37"/>
      <c r="N96" s="37"/>
      <c r="O96" s="37"/>
      <c r="P96" s="37"/>
      <c r="Q96" s="37"/>
      <c r="R96" s="13" t="str">
        <f t="shared" ca="1" si="16"/>
        <v/>
      </c>
      <c r="S96" s="13" t="str">
        <f ca="1">IF(A96="","",IF(OR(M96='02_マスタ'!$E$10,M96='02_マスタ'!$E$12),"",IF(L96="High","High",IF(AND(K96&lt;&gt;"",K96&lt;TODAY()),INDEX(_ゴミ箱_Backup!$B$117:$D$247,MATCH("ALERT_OVERDUE",_ゴミ箱_Backup!$A$117:$A$247,0),MATCH(言語切替!$B$3,_ゴミ箱_Backup!$B$1:$D$1,0)),IF(AND(K96&lt;&gt;"",K96-TODAY()&lt;=7),INDEX(_ゴミ箱_Backup!$B$117:$D$247,MATCH("ALERT_APPROACHING",_ゴミ箱_Backup!$A$117:$A$247,0),MATCH(言語切替!$B$3,_ゴミ箱_Backup!$B$1:$D$1,0)),IF(OR(M96='02_マスタ'!$E$7,M96='02_マスタ'!$E$8),INDEX(_ゴミ箱_Backup!$B$117:$D$247,MATCH("ALERT_CHECK",_ゴミ箱_Backup!$A$117:$A$247,0),MATCH(言語切替!$B$3,_ゴミ箱_Backup!$B$1:$D$1,0)),""))))))</f>
        <v/>
      </c>
      <c r="T96" s="53"/>
      <c r="U96" s="61" t="str">
        <f t="shared" si="17"/>
        <v/>
      </c>
      <c r="V96" s="61" t="str">
        <f t="shared" si="18"/>
        <v/>
      </c>
      <c r="W96" s="61" t="str">
        <f t="shared" si="19"/>
        <v/>
      </c>
      <c r="X96" s="61" t="str">
        <f t="shared" si="20"/>
        <v/>
      </c>
      <c r="Y96" s="61" t="str">
        <f t="shared" si="21"/>
        <v/>
      </c>
      <c r="Z96" s="61" t="str">
        <f t="shared" si="22"/>
        <v/>
      </c>
      <c r="AA96" s="61" t="str">
        <f t="shared" si="23"/>
        <v/>
      </c>
      <c r="AB96" s="61" t="str">
        <f t="shared" si="24"/>
        <v/>
      </c>
      <c r="AC96" s="61" t="str">
        <f t="shared" si="25"/>
        <v/>
      </c>
      <c r="AD96" s="61" t="str">
        <f t="shared" si="26"/>
        <v/>
      </c>
      <c r="AE96" s="61" t="str">
        <f t="shared" si="27"/>
        <v/>
      </c>
      <c r="AF96" s="61" t="str">
        <f t="shared" si="28"/>
        <v/>
      </c>
      <c r="AG96" s="61" t="str">
        <f t="shared" si="29"/>
        <v/>
      </c>
      <c r="AH96" s="61" t="str">
        <f t="shared" si="30"/>
        <v/>
      </c>
      <c r="AI96" s="61" t="str">
        <f t="shared" si="31"/>
        <v/>
      </c>
    </row>
    <row r="97" spans="1:35" x14ac:dyDescent="0.25">
      <c r="A97" s="40"/>
      <c r="B97" s="41"/>
      <c r="C97" s="41"/>
      <c r="D97" s="41"/>
      <c r="E97" s="41"/>
      <c r="F97" s="41"/>
      <c r="G97" s="41"/>
      <c r="H97" s="41"/>
      <c r="I97" s="41"/>
      <c r="J97" s="42"/>
      <c r="K97" s="42"/>
      <c r="L97" s="41"/>
      <c r="M97" s="41"/>
      <c r="N97" s="41"/>
      <c r="O97" s="41"/>
      <c r="P97" s="41"/>
      <c r="Q97" s="41"/>
      <c r="R97" s="16" t="str">
        <f t="shared" ca="1" si="16"/>
        <v/>
      </c>
      <c r="S97" s="16" t="str">
        <f ca="1">IF(A97="","",IF(OR(M97='02_マスタ'!$E$10,M97='02_マスタ'!$E$12),"",IF(L97="High","High",IF(AND(K97&lt;&gt;"",K97&lt;TODAY()),INDEX(_ゴミ箱_Backup!$B$117:$D$247,MATCH("ALERT_OVERDUE",_ゴミ箱_Backup!$A$117:$A$247,0),MATCH(言語切替!$B$3,_ゴミ箱_Backup!$B$1:$D$1,0)),IF(AND(K97&lt;&gt;"",K97-TODAY()&lt;=7),INDEX(_ゴミ箱_Backup!$B$117:$D$247,MATCH("ALERT_APPROACHING",_ゴミ箱_Backup!$A$117:$A$247,0),MATCH(言語切替!$B$3,_ゴミ箱_Backup!$B$1:$D$1,0)),IF(OR(M97='02_マスタ'!$E$7,M97='02_マスタ'!$E$8),INDEX(_ゴミ箱_Backup!$B$117:$D$247,MATCH("ALERT_CHECK",_ゴミ箱_Backup!$A$117:$A$247,0),MATCH(言語切替!$B$3,_ゴミ箱_Backup!$B$1:$D$1,0)),""))))))</f>
        <v/>
      </c>
      <c r="T97" s="52"/>
      <c r="U97" s="61" t="str">
        <f t="shared" si="17"/>
        <v/>
      </c>
      <c r="V97" s="61" t="str">
        <f t="shared" si="18"/>
        <v/>
      </c>
      <c r="W97" s="61" t="str">
        <f t="shared" si="19"/>
        <v/>
      </c>
      <c r="X97" s="61" t="str">
        <f t="shared" si="20"/>
        <v/>
      </c>
      <c r="Y97" s="61" t="str">
        <f t="shared" si="21"/>
        <v/>
      </c>
      <c r="Z97" s="61" t="str">
        <f t="shared" si="22"/>
        <v/>
      </c>
      <c r="AA97" s="61" t="str">
        <f t="shared" si="23"/>
        <v/>
      </c>
      <c r="AB97" s="61" t="str">
        <f t="shared" si="24"/>
        <v/>
      </c>
      <c r="AC97" s="61" t="str">
        <f t="shared" si="25"/>
        <v/>
      </c>
      <c r="AD97" s="61" t="str">
        <f t="shared" si="26"/>
        <v/>
      </c>
      <c r="AE97" s="61" t="str">
        <f t="shared" si="27"/>
        <v/>
      </c>
      <c r="AF97" s="61" t="str">
        <f t="shared" si="28"/>
        <v/>
      </c>
      <c r="AG97" s="61" t="str">
        <f t="shared" si="29"/>
        <v/>
      </c>
      <c r="AH97" s="61" t="str">
        <f t="shared" si="30"/>
        <v/>
      </c>
      <c r="AI97" s="61" t="str">
        <f t="shared" si="31"/>
        <v/>
      </c>
    </row>
    <row r="98" spans="1:35" x14ac:dyDescent="0.25">
      <c r="A98" s="36"/>
      <c r="B98" s="37"/>
      <c r="C98" s="37"/>
      <c r="D98" s="37"/>
      <c r="E98" s="37"/>
      <c r="F98" s="37"/>
      <c r="G98" s="37"/>
      <c r="H98" s="37"/>
      <c r="I98" s="37"/>
      <c r="J98" s="38"/>
      <c r="K98" s="38"/>
      <c r="L98" s="37"/>
      <c r="M98" s="37"/>
      <c r="N98" s="37"/>
      <c r="O98" s="37"/>
      <c r="P98" s="37"/>
      <c r="Q98" s="37"/>
      <c r="R98" s="13" t="str">
        <f t="shared" ca="1" si="16"/>
        <v/>
      </c>
      <c r="S98" s="13" t="str">
        <f ca="1">IF(A98="","",IF(OR(M98='02_マスタ'!$E$10,M98='02_マスタ'!$E$12),"",IF(L98="High","High",IF(AND(K98&lt;&gt;"",K98&lt;TODAY()),INDEX(_ゴミ箱_Backup!$B$117:$D$247,MATCH("ALERT_OVERDUE",_ゴミ箱_Backup!$A$117:$A$247,0),MATCH(言語切替!$B$3,_ゴミ箱_Backup!$B$1:$D$1,0)),IF(AND(K98&lt;&gt;"",K98-TODAY()&lt;=7),INDEX(_ゴミ箱_Backup!$B$117:$D$247,MATCH("ALERT_APPROACHING",_ゴミ箱_Backup!$A$117:$A$247,0),MATCH(言語切替!$B$3,_ゴミ箱_Backup!$B$1:$D$1,0)),IF(OR(M98='02_マスタ'!$E$7,M98='02_マスタ'!$E$8),INDEX(_ゴミ箱_Backup!$B$117:$D$247,MATCH("ALERT_CHECK",_ゴミ箱_Backup!$A$117:$A$247,0),MATCH(言語切替!$B$3,_ゴミ箱_Backup!$B$1:$D$1,0)),""))))))</f>
        <v/>
      </c>
      <c r="T98" s="53"/>
      <c r="U98" s="61" t="str">
        <f t="shared" si="17"/>
        <v/>
      </c>
      <c r="V98" s="61" t="str">
        <f t="shared" si="18"/>
        <v/>
      </c>
      <c r="W98" s="61" t="str">
        <f t="shared" si="19"/>
        <v/>
      </c>
      <c r="X98" s="61" t="str">
        <f t="shared" si="20"/>
        <v/>
      </c>
      <c r="Y98" s="61" t="str">
        <f t="shared" si="21"/>
        <v/>
      </c>
      <c r="Z98" s="61" t="str">
        <f t="shared" si="22"/>
        <v/>
      </c>
      <c r="AA98" s="61" t="str">
        <f t="shared" si="23"/>
        <v/>
      </c>
      <c r="AB98" s="61" t="str">
        <f t="shared" si="24"/>
        <v/>
      </c>
      <c r="AC98" s="61" t="str">
        <f t="shared" si="25"/>
        <v/>
      </c>
      <c r="AD98" s="61" t="str">
        <f t="shared" si="26"/>
        <v/>
      </c>
      <c r="AE98" s="61" t="str">
        <f t="shared" si="27"/>
        <v/>
      </c>
      <c r="AF98" s="61" t="str">
        <f t="shared" si="28"/>
        <v/>
      </c>
      <c r="AG98" s="61" t="str">
        <f t="shared" si="29"/>
        <v/>
      </c>
      <c r="AH98" s="61" t="str">
        <f t="shared" si="30"/>
        <v/>
      </c>
      <c r="AI98" s="61" t="str">
        <f t="shared" si="31"/>
        <v/>
      </c>
    </row>
    <row r="99" spans="1:35" x14ac:dyDescent="0.25">
      <c r="A99" s="40"/>
      <c r="B99" s="41"/>
      <c r="C99" s="41"/>
      <c r="D99" s="41"/>
      <c r="E99" s="41"/>
      <c r="F99" s="41"/>
      <c r="G99" s="41"/>
      <c r="H99" s="41"/>
      <c r="I99" s="41"/>
      <c r="J99" s="42"/>
      <c r="K99" s="42"/>
      <c r="L99" s="41"/>
      <c r="M99" s="41"/>
      <c r="N99" s="41"/>
      <c r="O99" s="41"/>
      <c r="P99" s="41"/>
      <c r="Q99" s="41"/>
      <c r="R99" s="16" t="str">
        <f t="shared" ca="1" si="16"/>
        <v/>
      </c>
      <c r="S99" s="16" t="str">
        <f ca="1">IF(A99="","",IF(OR(M99='02_マスタ'!$E$10,M99='02_マスタ'!$E$12),"",IF(L99="High","High",IF(AND(K99&lt;&gt;"",K99&lt;TODAY()),INDEX(_ゴミ箱_Backup!$B$117:$D$247,MATCH("ALERT_OVERDUE",_ゴミ箱_Backup!$A$117:$A$247,0),MATCH(言語切替!$B$3,_ゴミ箱_Backup!$B$1:$D$1,0)),IF(AND(K99&lt;&gt;"",K99-TODAY()&lt;=7),INDEX(_ゴミ箱_Backup!$B$117:$D$247,MATCH("ALERT_APPROACHING",_ゴミ箱_Backup!$A$117:$A$247,0),MATCH(言語切替!$B$3,_ゴミ箱_Backup!$B$1:$D$1,0)),IF(OR(M99='02_マスタ'!$E$7,M99='02_マスタ'!$E$8),INDEX(_ゴミ箱_Backup!$B$117:$D$247,MATCH("ALERT_CHECK",_ゴミ箱_Backup!$A$117:$A$247,0),MATCH(言語切替!$B$3,_ゴミ箱_Backup!$B$1:$D$1,0)),""))))))</f>
        <v/>
      </c>
      <c r="T99" s="52"/>
      <c r="U99" s="61" t="str">
        <f t="shared" si="17"/>
        <v/>
      </c>
      <c r="V99" s="61" t="str">
        <f t="shared" si="18"/>
        <v/>
      </c>
      <c r="W99" s="61" t="str">
        <f t="shared" si="19"/>
        <v/>
      </c>
      <c r="X99" s="61" t="str">
        <f t="shared" si="20"/>
        <v/>
      </c>
      <c r="Y99" s="61" t="str">
        <f t="shared" si="21"/>
        <v/>
      </c>
      <c r="Z99" s="61" t="str">
        <f t="shared" si="22"/>
        <v/>
      </c>
      <c r="AA99" s="61" t="str">
        <f t="shared" si="23"/>
        <v/>
      </c>
      <c r="AB99" s="61" t="str">
        <f t="shared" si="24"/>
        <v/>
      </c>
      <c r="AC99" s="61" t="str">
        <f t="shared" si="25"/>
        <v/>
      </c>
      <c r="AD99" s="61" t="str">
        <f t="shared" si="26"/>
        <v/>
      </c>
      <c r="AE99" s="61" t="str">
        <f t="shared" si="27"/>
        <v/>
      </c>
      <c r="AF99" s="61" t="str">
        <f t="shared" si="28"/>
        <v/>
      </c>
      <c r="AG99" s="61" t="str">
        <f t="shared" si="29"/>
        <v/>
      </c>
      <c r="AH99" s="61" t="str">
        <f t="shared" si="30"/>
        <v/>
      </c>
      <c r="AI99" s="61" t="str">
        <f t="shared" si="31"/>
        <v/>
      </c>
    </row>
    <row r="100" spans="1:35" x14ac:dyDescent="0.25">
      <c r="A100" s="36"/>
      <c r="B100" s="37"/>
      <c r="C100" s="37"/>
      <c r="D100" s="37"/>
      <c r="E100" s="37"/>
      <c r="F100" s="37"/>
      <c r="G100" s="37"/>
      <c r="H100" s="37"/>
      <c r="I100" s="37"/>
      <c r="J100" s="38"/>
      <c r="K100" s="38"/>
      <c r="L100" s="37"/>
      <c r="M100" s="37"/>
      <c r="N100" s="37"/>
      <c r="O100" s="37"/>
      <c r="P100" s="37"/>
      <c r="Q100" s="37"/>
      <c r="R100" s="13" t="str">
        <f t="shared" ca="1" si="16"/>
        <v/>
      </c>
      <c r="S100" s="13" t="str">
        <f ca="1">IF(A100="","",IF(OR(M100='02_マスタ'!$E$10,M100='02_マスタ'!$E$12),"",IF(L100="High","High",IF(AND(K100&lt;&gt;"",K100&lt;TODAY()),INDEX(_ゴミ箱_Backup!$B$117:$D$247,MATCH("ALERT_OVERDUE",_ゴミ箱_Backup!$A$117:$A$247,0),MATCH(言語切替!$B$3,_ゴミ箱_Backup!$B$1:$D$1,0)),IF(AND(K100&lt;&gt;"",K100-TODAY()&lt;=7),INDEX(_ゴミ箱_Backup!$B$117:$D$247,MATCH("ALERT_APPROACHING",_ゴミ箱_Backup!$A$117:$A$247,0),MATCH(言語切替!$B$3,_ゴミ箱_Backup!$B$1:$D$1,0)),IF(OR(M100='02_マスタ'!$E$7,M100='02_マスタ'!$E$8),INDEX(_ゴミ箱_Backup!$B$117:$D$247,MATCH("ALERT_CHECK",_ゴミ箱_Backup!$A$117:$A$247,0),MATCH(言語切替!$B$3,_ゴミ箱_Backup!$B$1:$D$1,0)),""))))))</f>
        <v/>
      </c>
      <c r="T100" s="53"/>
      <c r="U100" s="61" t="str">
        <f t="shared" si="17"/>
        <v/>
      </c>
      <c r="V100" s="61" t="str">
        <f t="shared" si="18"/>
        <v/>
      </c>
      <c r="W100" s="61" t="str">
        <f t="shared" si="19"/>
        <v/>
      </c>
      <c r="X100" s="61" t="str">
        <f t="shared" si="20"/>
        <v/>
      </c>
      <c r="Y100" s="61" t="str">
        <f t="shared" si="21"/>
        <v/>
      </c>
      <c r="Z100" s="61" t="str">
        <f t="shared" si="22"/>
        <v/>
      </c>
      <c r="AA100" s="61" t="str">
        <f t="shared" si="23"/>
        <v/>
      </c>
      <c r="AB100" s="61" t="str">
        <f t="shared" si="24"/>
        <v/>
      </c>
      <c r="AC100" s="61" t="str">
        <f t="shared" si="25"/>
        <v/>
      </c>
      <c r="AD100" s="61" t="str">
        <f t="shared" si="26"/>
        <v/>
      </c>
      <c r="AE100" s="61" t="str">
        <f t="shared" si="27"/>
        <v/>
      </c>
      <c r="AF100" s="61" t="str">
        <f t="shared" si="28"/>
        <v/>
      </c>
      <c r="AG100" s="61" t="str">
        <f t="shared" si="29"/>
        <v/>
      </c>
      <c r="AH100" s="61" t="str">
        <f t="shared" si="30"/>
        <v/>
      </c>
      <c r="AI100" s="61" t="str">
        <f t="shared" si="31"/>
        <v/>
      </c>
    </row>
    <row r="101" spans="1:35" x14ac:dyDescent="0.25">
      <c r="A101" s="40"/>
      <c r="B101" s="41"/>
      <c r="C101" s="41"/>
      <c r="D101" s="41"/>
      <c r="E101" s="41"/>
      <c r="F101" s="41"/>
      <c r="G101" s="41"/>
      <c r="H101" s="41"/>
      <c r="I101" s="41"/>
      <c r="J101" s="42"/>
      <c r="K101" s="42"/>
      <c r="L101" s="41"/>
      <c r="M101" s="41"/>
      <c r="N101" s="41"/>
      <c r="O101" s="41"/>
      <c r="P101" s="41"/>
      <c r="Q101" s="41"/>
      <c r="R101" s="16" t="str">
        <f t="shared" ca="1" si="16"/>
        <v/>
      </c>
      <c r="S101" s="16" t="str">
        <f ca="1">IF(A101="","",IF(OR(M101='02_マスタ'!$E$10,M101='02_マスタ'!$E$12),"",IF(L101="High","High",IF(AND(K101&lt;&gt;"",K101&lt;TODAY()),INDEX(_ゴミ箱_Backup!$B$117:$D$247,MATCH("ALERT_OVERDUE",_ゴミ箱_Backup!$A$117:$A$247,0),MATCH(言語切替!$B$3,_ゴミ箱_Backup!$B$1:$D$1,0)),IF(AND(K101&lt;&gt;"",K101-TODAY()&lt;=7),INDEX(_ゴミ箱_Backup!$B$117:$D$247,MATCH("ALERT_APPROACHING",_ゴミ箱_Backup!$A$117:$A$247,0),MATCH(言語切替!$B$3,_ゴミ箱_Backup!$B$1:$D$1,0)),IF(OR(M101='02_マスタ'!$E$7,M101='02_マスタ'!$E$8),INDEX(_ゴミ箱_Backup!$B$117:$D$247,MATCH("ALERT_CHECK",_ゴミ箱_Backup!$A$117:$A$247,0),MATCH(言語切替!$B$3,_ゴミ箱_Backup!$B$1:$D$1,0)),""))))))</f>
        <v/>
      </c>
      <c r="T101" s="52"/>
      <c r="U101" s="61" t="str">
        <f t="shared" si="17"/>
        <v/>
      </c>
      <c r="V101" s="61" t="str">
        <f t="shared" si="18"/>
        <v/>
      </c>
      <c r="W101" s="61" t="str">
        <f t="shared" si="19"/>
        <v/>
      </c>
      <c r="X101" s="61" t="str">
        <f t="shared" si="20"/>
        <v/>
      </c>
      <c r="Y101" s="61" t="str">
        <f t="shared" si="21"/>
        <v/>
      </c>
      <c r="Z101" s="61" t="str">
        <f t="shared" si="22"/>
        <v/>
      </c>
      <c r="AA101" s="61" t="str">
        <f t="shared" si="23"/>
        <v/>
      </c>
      <c r="AB101" s="61" t="str">
        <f t="shared" si="24"/>
        <v/>
      </c>
      <c r="AC101" s="61" t="str">
        <f t="shared" si="25"/>
        <v/>
      </c>
      <c r="AD101" s="61" t="str">
        <f t="shared" si="26"/>
        <v/>
      </c>
      <c r="AE101" s="61" t="str">
        <f t="shared" si="27"/>
        <v/>
      </c>
      <c r="AF101" s="61" t="str">
        <f t="shared" si="28"/>
        <v/>
      </c>
      <c r="AG101" s="61" t="str">
        <f t="shared" si="29"/>
        <v/>
      </c>
      <c r="AH101" s="61" t="str">
        <f t="shared" si="30"/>
        <v/>
      </c>
      <c r="AI101" s="61" t="str">
        <f t="shared" si="31"/>
        <v/>
      </c>
    </row>
    <row r="102" spans="1:35" x14ac:dyDescent="0.25">
      <c r="A102" s="36"/>
      <c r="B102" s="37"/>
      <c r="C102" s="37"/>
      <c r="D102" s="37"/>
      <c r="E102" s="37"/>
      <c r="F102" s="37"/>
      <c r="G102" s="37"/>
      <c r="H102" s="37"/>
      <c r="I102" s="37"/>
      <c r="J102" s="38"/>
      <c r="K102" s="38"/>
      <c r="L102" s="37"/>
      <c r="M102" s="37"/>
      <c r="N102" s="37"/>
      <c r="O102" s="37"/>
      <c r="P102" s="37"/>
      <c r="Q102" s="37"/>
      <c r="R102" s="13" t="str">
        <f t="shared" ca="1" si="16"/>
        <v/>
      </c>
      <c r="S102" s="13" t="str">
        <f ca="1">IF(A102="","",IF(OR(M102='02_マスタ'!$E$10,M102='02_マスタ'!$E$12),"",IF(L102="High","High",IF(AND(K102&lt;&gt;"",K102&lt;TODAY()),INDEX(_ゴミ箱_Backup!$B$117:$D$247,MATCH("ALERT_OVERDUE",_ゴミ箱_Backup!$A$117:$A$247,0),MATCH(言語切替!$B$3,_ゴミ箱_Backup!$B$1:$D$1,0)),IF(AND(K102&lt;&gt;"",K102-TODAY()&lt;=7),INDEX(_ゴミ箱_Backup!$B$117:$D$247,MATCH("ALERT_APPROACHING",_ゴミ箱_Backup!$A$117:$A$247,0),MATCH(言語切替!$B$3,_ゴミ箱_Backup!$B$1:$D$1,0)),IF(OR(M102='02_マスタ'!$E$7,M102='02_マスタ'!$E$8),INDEX(_ゴミ箱_Backup!$B$117:$D$247,MATCH("ALERT_CHECK",_ゴミ箱_Backup!$A$117:$A$247,0),MATCH(言語切替!$B$3,_ゴミ箱_Backup!$B$1:$D$1,0)),""))))))</f>
        <v/>
      </c>
      <c r="T102" s="53"/>
      <c r="U102" s="61" t="str">
        <f t="shared" si="17"/>
        <v/>
      </c>
      <c r="V102" s="61" t="str">
        <f t="shared" si="18"/>
        <v/>
      </c>
      <c r="W102" s="61" t="str">
        <f t="shared" si="19"/>
        <v/>
      </c>
      <c r="X102" s="61" t="str">
        <f t="shared" si="20"/>
        <v/>
      </c>
      <c r="Y102" s="61" t="str">
        <f t="shared" si="21"/>
        <v/>
      </c>
      <c r="Z102" s="61" t="str">
        <f t="shared" si="22"/>
        <v/>
      </c>
      <c r="AA102" s="61" t="str">
        <f t="shared" si="23"/>
        <v/>
      </c>
      <c r="AB102" s="61" t="str">
        <f t="shared" si="24"/>
        <v/>
      </c>
      <c r="AC102" s="61" t="str">
        <f t="shared" si="25"/>
        <v/>
      </c>
      <c r="AD102" s="61" t="str">
        <f t="shared" si="26"/>
        <v/>
      </c>
      <c r="AE102" s="61" t="str">
        <f t="shared" si="27"/>
        <v/>
      </c>
      <c r="AF102" s="61" t="str">
        <f t="shared" si="28"/>
        <v/>
      </c>
      <c r="AG102" s="61" t="str">
        <f t="shared" si="29"/>
        <v/>
      </c>
      <c r="AH102" s="61" t="str">
        <f t="shared" si="30"/>
        <v/>
      </c>
      <c r="AI102" s="61" t="str">
        <f t="shared" si="31"/>
        <v/>
      </c>
    </row>
    <row r="103" spans="1:35" x14ac:dyDescent="0.25">
      <c r="A103" s="40"/>
      <c r="B103" s="41"/>
      <c r="C103" s="41"/>
      <c r="D103" s="41"/>
      <c r="E103" s="41"/>
      <c r="F103" s="41"/>
      <c r="G103" s="41"/>
      <c r="H103" s="41"/>
      <c r="I103" s="41"/>
      <c r="J103" s="42"/>
      <c r="K103" s="42"/>
      <c r="L103" s="41"/>
      <c r="M103" s="41"/>
      <c r="N103" s="41"/>
      <c r="O103" s="41"/>
      <c r="P103" s="41"/>
      <c r="Q103" s="41"/>
      <c r="R103" s="16" t="str">
        <f t="shared" ca="1" si="16"/>
        <v/>
      </c>
      <c r="S103" s="16" t="str">
        <f ca="1">IF(A103="","",IF(OR(M103='02_マスタ'!$E$10,M103='02_マスタ'!$E$12),"",IF(L103="High","High",IF(AND(K103&lt;&gt;"",K103&lt;TODAY()),INDEX(_ゴミ箱_Backup!$B$117:$D$247,MATCH("ALERT_OVERDUE",_ゴミ箱_Backup!$A$117:$A$247,0),MATCH(言語切替!$B$3,_ゴミ箱_Backup!$B$1:$D$1,0)),IF(AND(K103&lt;&gt;"",K103-TODAY()&lt;=7),INDEX(_ゴミ箱_Backup!$B$117:$D$247,MATCH("ALERT_APPROACHING",_ゴミ箱_Backup!$A$117:$A$247,0),MATCH(言語切替!$B$3,_ゴミ箱_Backup!$B$1:$D$1,0)),IF(OR(M103='02_マスタ'!$E$7,M103='02_マスタ'!$E$8),INDEX(_ゴミ箱_Backup!$B$117:$D$247,MATCH("ALERT_CHECK",_ゴミ箱_Backup!$A$117:$A$247,0),MATCH(言語切替!$B$3,_ゴミ箱_Backup!$B$1:$D$1,0)),""))))))</f>
        <v/>
      </c>
      <c r="T103" s="52"/>
      <c r="U103" s="61" t="str">
        <f t="shared" si="17"/>
        <v/>
      </c>
      <c r="V103" s="61" t="str">
        <f t="shared" si="18"/>
        <v/>
      </c>
      <c r="W103" s="61" t="str">
        <f t="shared" si="19"/>
        <v/>
      </c>
      <c r="X103" s="61" t="str">
        <f t="shared" si="20"/>
        <v/>
      </c>
      <c r="Y103" s="61" t="str">
        <f t="shared" si="21"/>
        <v/>
      </c>
      <c r="Z103" s="61" t="str">
        <f t="shared" si="22"/>
        <v/>
      </c>
      <c r="AA103" s="61" t="str">
        <f t="shared" si="23"/>
        <v/>
      </c>
      <c r="AB103" s="61" t="str">
        <f t="shared" si="24"/>
        <v/>
      </c>
      <c r="AC103" s="61" t="str">
        <f t="shared" si="25"/>
        <v/>
      </c>
      <c r="AD103" s="61" t="str">
        <f t="shared" si="26"/>
        <v/>
      </c>
      <c r="AE103" s="61" t="str">
        <f t="shared" si="27"/>
        <v/>
      </c>
      <c r="AF103" s="61" t="str">
        <f t="shared" si="28"/>
        <v/>
      </c>
      <c r="AG103" s="61" t="str">
        <f t="shared" si="29"/>
        <v/>
      </c>
      <c r="AH103" s="61" t="str">
        <f t="shared" si="30"/>
        <v/>
      </c>
      <c r="AI103" s="61" t="str">
        <f t="shared" si="31"/>
        <v/>
      </c>
    </row>
    <row r="104" spans="1:35" x14ac:dyDescent="0.25">
      <c r="A104" s="36"/>
      <c r="B104" s="37"/>
      <c r="C104" s="37"/>
      <c r="D104" s="37"/>
      <c r="E104" s="37"/>
      <c r="F104" s="37"/>
      <c r="G104" s="37"/>
      <c r="H104" s="37"/>
      <c r="I104" s="37"/>
      <c r="J104" s="38"/>
      <c r="K104" s="38"/>
      <c r="L104" s="37"/>
      <c r="M104" s="37"/>
      <c r="N104" s="37"/>
      <c r="O104" s="37"/>
      <c r="P104" s="37"/>
      <c r="Q104" s="37"/>
      <c r="R104" s="13" t="str">
        <f t="shared" ca="1" si="16"/>
        <v/>
      </c>
      <c r="S104" s="13" t="str">
        <f ca="1">IF(A104="","",IF(OR(M104='02_マスタ'!$E$10,M104='02_マスタ'!$E$12),"",IF(L104="High","High",IF(AND(K104&lt;&gt;"",K104&lt;TODAY()),INDEX(_ゴミ箱_Backup!$B$117:$D$247,MATCH("ALERT_OVERDUE",_ゴミ箱_Backup!$A$117:$A$247,0),MATCH(言語切替!$B$3,_ゴミ箱_Backup!$B$1:$D$1,0)),IF(AND(K104&lt;&gt;"",K104-TODAY()&lt;=7),INDEX(_ゴミ箱_Backup!$B$117:$D$247,MATCH("ALERT_APPROACHING",_ゴミ箱_Backup!$A$117:$A$247,0),MATCH(言語切替!$B$3,_ゴミ箱_Backup!$B$1:$D$1,0)),IF(OR(M104='02_マスタ'!$E$7,M104='02_マスタ'!$E$8),INDEX(_ゴミ箱_Backup!$B$117:$D$247,MATCH("ALERT_CHECK",_ゴミ箱_Backup!$A$117:$A$247,0),MATCH(言語切替!$B$3,_ゴミ箱_Backup!$B$1:$D$1,0)),""))))))</f>
        <v/>
      </c>
      <c r="T104" s="53"/>
      <c r="U104" s="61" t="str">
        <f t="shared" si="17"/>
        <v/>
      </c>
      <c r="V104" s="61" t="str">
        <f t="shared" si="18"/>
        <v/>
      </c>
      <c r="W104" s="61" t="str">
        <f t="shared" si="19"/>
        <v/>
      </c>
      <c r="X104" s="61" t="str">
        <f t="shared" si="20"/>
        <v/>
      </c>
      <c r="Y104" s="61" t="str">
        <f t="shared" si="21"/>
        <v/>
      </c>
      <c r="Z104" s="61" t="str">
        <f t="shared" si="22"/>
        <v/>
      </c>
      <c r="AA104" s="61" t="str">
        <f t="shared" si="23"/>
        <v/>
      </c>
      <c r="AB104" s="61" t="str">
        <f t="shared" si="24"/>
        <v/>
      </c>
      <c r="AC104" s="61" t="str">
        <f t="shared" si="25"/>
        <v/>
      </c>
      <c r="AD104" s="61" t="str">
        <f t="shared" si="26"/>
        <v/>
      </c>
      <c r="AE104" s="61" t="str">
        <f t="shared" si="27"/>
        <v/>
      </c>
      <c r="AF104" s="61" t="str">
        <f t="shared" si="28"/>
        <v/>
      </c>
      <c r="AG104" s="61" t="str">
        <f t="shared" si="29"/>
        <v/>
      </c>
      <c r="AH104" s="61" t="str">
        <f t="shared" si="30"/>
        <v/>
      </c>
      <c r="AI104" s="61" t="str">
        <f t="shared" si="31"/>
        <v/>
      </c>
    </row>
    <row r="105" spans="1:35" x14ac:dyDescent="0.25">
      <c r="A105" s="40"/>
      <c r="B105" s="41"/>
      <c r="C105" s="41"/>
      <c r="D105" s="41"/>
      <c r="E105" s="41"/>
      <c r="F105" s="41"/>
      <c r="G105" s="41"/>
      <c r="H105" s="41"/>
      <c r="I105" s="41"/>
      <c r="J105" s="42"/>
      <c r="K105" s="42"/>
      <c r="L105" s="41"/>
      <c r="M105" s="41"/>
      <c r="N105" s="41"/>
      <c r="O105" s="41"/>
      <c r="P105" s="41"/>
      <c r="Q105" s="41"/>
      <c r="R105" s="16" t="str">
        <f t="shared" ca="1" si="16"/>
        <v/>
      </c>
      <c r="S105" s="16" t="str">
        <f ca="1">IF(A105="","",IF(OR(M105='02_マスタ'!$E$10,M105='02_マスタ'!$E$12),"",IF(L105="High","High",IF(AND(K105&lt;&gt;"",K105&lt;TODAY()),INDEX(_ゴミ箱_Backup!$B$117:$D$247,MATCH("ALERT_OVERDUE",_ゴミ箱_Backup!$A$117:$A$247,0),MATCH(言語切替!$B$3,_ゴミ箱_Backup!$B$1:$D$1,0)),IF(AND(K105&lt;&gt;"",K105-TODAY()&lt;=7),INDEX(_ゴミ箱_Backup!$B$117:$D$247,MATCH("ALERT_APPROACHING",_ゴミ箱_Backup!$A$117:$A$247,0),MATCH(言語切替!$B$3,_ゴミ箱_Backup!$B$1:$D$1,0)),IF(OR(M105='02_マスタ'!$E$7,M105='02_マスタ'!$E$8),INDEX(_ゴミ箱_Backup!$B$117:$D$247,MATCH("ALERT_CHECK",_ゴミ箱_Backup!$A$117:$A$247,0),MATCH(言語切替!$B$3,_ゴミ箱_Backup!$B$1:$D$1,0)),""))))))</f>
        <v/>
      </c>
      <c r="T105" s="52"/>
      <c r="U105" s="61" t="str">
        <f t="shared" si="17"/>
        <v/>
      </c>
      <c r="V105" s="61" t="str">
        <f t="shared" si="18"/>
        <v/>
      </c>
      <c r="W105" s="61" t="str">
        <f t="shared" si="19"/>
        <v/>
      </c>
      <c r="X105" s="61" t="str">
        <f t="shared" si="20"/>
        <v/>
      </c>
      <c r="Y105" s="61" t="str">
        <f t="shared" si="21"/>
        <v/>
      </c>
      <c r="Z105" s="61" t="str">
        <f t="shared" si="22"/>
        <v/>
      </c>
      <c r="AA105" s="61" t="str">
        <f t="shared" si="23"/>
        <v/>
      </c>
      <c r="AB105" s="61" t="str">
        <f t="shared" si="24"/>
        <v/>
      </c>
      <c r="AC105" s="61" t="str">
        <f t="shared" si="25"/>
        <v/>
      </c>
      <c r="AD105" s="61" t="str">
        <f t="shared" si="26"/>
        <v/>
      </c>
      <c r="AE105" s="61" t="str">
        <f t="shared" si="27"/>
        <v/>
      </c>
      <c r="AF105" s="61" t="str">
        <f t="shared" si="28"/>
        <v/>
      </c>
      <c r="AG105" s="61" t="str">
        <f t="shared" si="29"/>
        <v/>
      </c>
      <c r="AH105" s="61" t="str">
        <f t="shared" si="30"/>
        <v/>
      </c>
      <c r="AI105" s="61" t="str">
        <f t="shared" si="31"/>
        <v/>
      </c>
    </row>
    <row r="106" spans="1:35" x14ac:dyDescent="0.25">
      <c r="A106" s="36"/>
      <c r="B106" s="37"/>
      <c r="C106" s="37"/>
      <c r="D106" s="37"/>
      <c r="E106" s="37"/>
      <c r="F106" s="37"/>
      <c r="G106" s="37"/>
      <c r="H106" s="37"/>
      <c r="I106" s="37"/>
      <c r="J106" s="38"/>
      <c r="K106" s="38"/>
      <c r="L106" s="37"/>
      <c r="M106" s="37"/>
      <c r="N106" s="37"/>
      <c r="O106" s="37"/>
      <c r="P106" s="37"/>
      <c r="Q106" s="37"/>
      <c r="R106" s="13" t="str">
        <f t="shared" ca="1" si="16"/>
        <v/>
      </c>
      <c r="S106" s="13" t="str">
        <f ca="1">IF(A106="","",IF(OR(M106='02_マスタ'!$E$10,M106='02_マスタ'!$E$12),"",IF(L106="High","High",IF(AND(K106&lt;&gt;"",K106&lt;TODAY()),INDEX(_ゴミ箱_Backup!$B$117:$D$247,MATCH("ALERT_OVERDUE",_ゴミ箱_Backup!$A$117:$A$247,0),MATCH(言語切替!$B$3,_ゴミ箱_Backup!$B$1:$D$1,0)),IF(AND(K106&lt;&gt;"",K106-TODAY()&lt;=7),INDEX(_ゴミ箱_Backup!$B$117:$D$247,MATCH("ALERT_APPROACHING",_ゴミ箱_Backup!$A$117:$A$247,0),MATCH(言語切替!$B$3,_ゴミ箱_Backup!$B$1:$D$1,0)),IF(OR(M106='02_マスタ'!$E$7,M106='02_マスタ'!$E$8),INDEX(_ゴミ箱_Backup!$B$117:$D$247,MATCH("ALERT_CHECK",_ゴミ箱_Backup!$A$117:$A$247,0),MATCH(言語切替!$B$3,_ゴミ箱_Backup!$B$1:$D$1,0)),""))))))</f>
        <v/>
      </c>
      <c r="T106" s="53"/>
      <c r="U106" s="61" t="str">
        <f t="shared" si="17"/>
        <v/>
      </c>
      <c r="V106" s="61" t="str">
        <f t="shared" si="18"/>
        <v/>
      </c>
      <c r="W106" s="61" t="str">
        <f t="shared" si="19"/>
        <v/>
      </c>
      <c r="X106" s="61" t="str">
        <f t="shared" si="20"/>
        <v/>
      </c>
      <c r="Y106" s="61" t="str">
        <f t="shared" si="21"/>
        <v/>
      </c>
      <c r="Z106" s="61" t="str">
        <f t="shared" si="22"/>
        <v/>
      </c>
      <c r="AA106" s="61" t="str">
        <f t="shared" si="23"/>
        <v/>
      </c>
      <c r="AB106" s="61" t="str">
        <f t="shared" si="24"/>
        <v/>
      </c>
      <c r="AC106" s="61" t="str">
        <f t="shared" si="25"/>
        <v/>
      </c>
      <c r="AD106" s="61" t="str">
        <f t="shared" si="26"/>
        <v/>
      </c>
      <c r="AE106" s="61" t="str">
        <f t="shared" si="27"/>
        <v/>
      </c>
      <c r="AF106" s="61" t="str">
        <f t="shared" si="28"/>
        <v/>
      </c>
      <c r="AG106" s="61" t="str">
        <f t="shared" si="29"/>
        <v/>
      </c>
      <c r="AH106" s="61" t="str">
        <f t="shared" si="30"/>
        <v/>
      </c>
      <c r="AI106" s="61" t="str">
        <f t="shared" si="31"/>
        <v/>
      </c>
    </row>
    <row r="107" spans="1:35" x14ac:dyDescent="0.25">
      <c r="A107" s="40"/>
      <c r="B107" s="41"/>
      <c r="C107" s="41"/>
      <c r="D107" s="41"/>
      <c r="E107" s="41"/>
      <c r="F107" s="41"/>
      <c r="G107" s="41"/>
      <c r="H107" s="41"/>
      <c r="I107" s="41"/>
      <c r="J107" s="42"/>
      <c r="K107" s="42"/>
      <c r="L107" s="41"/>
      <c r="M107" s="41"/>
      <c r="N107" s="41"/>
      <c r="O107" s="41"/>
      <c r="P107" s="41"/>
      <c r="Q107" s="41"/>
      <c r="R107" s="16" t="str">
        <f t="shared" ca="1" si="16"/>
        <v/>
      </c>
      <c r="S107" s="16" t="str">
        <f ca="1">IF(A107="","",IF(OR(M107='02_マスタ'!$E$10,M107='02_マスタ'!$E$12),"",IF(L107="High","High",IF(AND(K107&lt;&gt;"",K107&lt;TODAY()),INDEX(_ゴミ箱_Backup!$B$117:$D$247,MATCH("ALERT_OVERDUE",_ゴミ箱_Backup!$A$117:$A$247,0),MATCH(言語切替!$B$3,_ゴミ箱_Backup!$B$1:$D$1,0)),IF(AND(K107&lt;&gt;"",K107-TODAY()&lt;=7),INDEX(_ゴミ箱_Backup!$B$117:$D$247,MATCH("ALERT_APPROACHING",_ゴミ箱_Backup!$A$117:$A$247,0),MATCH(言語切替!$B$3,_ゴミ箱_Backup!$B$1:$D$1,0)),IF(OR(M107='02_マスタ'!$E$7,M107='02_マスタ'!$E$8),INDEX(_ゴミ箱_Backup!$B$117:$D$247,MATCH("ALERT_CHECK",_ゴミ箱_Backup!$A$117:$A$247,0),MATCH(言語切替!$B$3,_ゴミ箱_Backup!$B$1:$D$1,0)),""))))))</f>
        <v/>
      </c>
      <c r="T107" s="52"/>
      <c r="U107" s="61" t="str">
        <f t="shared" si="17"/>
        <v/>
      </c>
      <c r="V107" s="61" t="str">
        <f t="shared" si="18"/>
        <v/>
      </c>
      <c r="W107" s="61" t="str">
        <f t="shared" si="19"/>
        <v/>
      </c>
      <c r="X107" s="61" t="str">
        <f t="shared" si="20"/>
        <v/>
      </c>
      <c r="Y107" s="61" t="str">
        <f t="shared" si="21"/>
        <v/>
      </c>
      <c r="Z107" s="61" t="str">
        <f t="shared" si="22"/>
        <v/>
      </c>
      <c r="AA107" s="61" t="str">
        <f t="shared" si="23"/>
        <v/>
      </c>
      <c r="AB107" s="61" t="str">
        <f t="shared" si="24"/>
        <v/>
      </c>
      <c r="AC107" s="61" t="str">
        <f t="shared" si="25"/>
        <v/>
      </c>
      <c r="AD107" s="61" t="str">
        <f t="shared" si="26"/>
        <v/>
      </c>
      <c r="AE107" s="61" t="str">
        <f t="shared" si="27"/>
        <v/>
      </c>
      <c r="AF107" s="61" t="str">
        <f t="shared" si="28"/>
        <v/>
      </c>
      <c r="AG107" s="61" t="str">
        <f t="shared" si="29"/>
        <v/>
      </c>
      <c r="AH107" s="61" t="str">
        <f t="shared" si="30"/>
        <v/>
      </c>
      <c r="AI107" s="61" t="str">
        <f t="shared" si="31"/>
        <v/>
      </c>
    </row>
    <row r="108" spans="1:35" x14ac:dyDescent="0.25">
      <c r="A108" s="36"/>
      <c r="B108" s="37"/>
      <c r="C108" s="37"/>
      <c r="D108" s="37"/>
      <c r="E108" s="37"/>
      <c r="F108" s="37"/>
      <c r="G108" s="37"/>
      <c r="H108" s="37"/>
      <c r="I108" s="37"/>
      <c r="J108" s="38"/>
      <c r="K108" s="38"/>
      <c r="L108" s="37"/>
      <c r="M108" s="37"/>
      <c r="N108" s="37"/>
      <c r="O108" s="37"/>
      <c r="P108" s="37"/>
      <c r="Q108" s="37"/>
      <c r="R108" s="13" t="str">
        <f t="shared" ca="1" si="16"/>
        <v/>
      </c>
      <c r="S108" s="13" t="str">
        <f ca="1">IF(A108="","",IF(OR(M108='02_マスタ'!$E$10,M108='02_マスタ'!$E$12),"",IF(L108="High","High",IF(AND(K108&lt;&gt;"",K108&lt;TODAY()),INDEX(_ゴミ箱_Backup!$B$117:$D$247,MATCH("ALERT_OVERDUE",_ゴミ箱_Backup!$A$117:$A$247,0),MATCH(言語切替!$B$3,_ゴミ箱_Backup!$B$1:$D$1,0)),IF(AND(K108&lt;&gt;"",K108-TODAY()&lt;=7),INDEX(_ゴミ箱_Backup!$B$117:$D$247,MATCH("ALERT_APPROACHING",_ゴミ箱_Backup!$A$117:$A$247,0),MATCH(言語切替!$B$3,_ゴミ箱_Backup!$B$1:$D$1,0)),IF(OR(M108='02_マスタ'!$E$7,M108='02_マスタ'!$E$8),INDEX(_ゴミ箱_Backup!$B$117:$D$247,MATCH("ALERT_CHECK",_ゴミ箱_Backup!$A$117:$A$247,0),MATCH(言語切替!$B$3,_ゴミ箱_Backup!$B$1:$D$1,0)),""))))))</f>
        <v/>
      </c>
      <c r="T108" s="53"/>
      <c r="U108" s="61" t="str">
        <f t="shared" si="17"/>
        <v/>
      </c>
      <c r="V108" s="61" t="str">
        <f t="shared" si="18"/>
        <v/>
      </c>
      <c r="W108" s="61" t="str">
        <f t="shared" si="19"/>
        <v/>
      </c>
      <c r="X108" s="61" t="str">
        <f t="shared" si="20"/>
        <v/>
      </c>
      <c r="Y108" s="61" t="str">
        <f t="shared" si="21"/>
        <v/>
      </c>
      <c r="Z108" s="61" t="str">
        <f t="shared" si="22"/>
        <v/>
      </c>
      <c r="AA108" s="61" t="str">
        <f t="shared" si="23"/>
        <v/>
      </c>
      <c r="AB108" s="61" t="str">
        <f t="shared" si="24"/>
        <v/>
      </c>
      <c r="AC108" s="61" t="str">
        <f t="shared" si="25"/>
        <v/>
      </c>
      <c r="AD108" s="61" t="str">
        <f t="shared" si="26"/>
        <v/>
      </c>
      <c r="AE108" s="61" t="str">
        <f t="shared" si="27"/>
        <v/>
      </c>
      <c r="AF108" s="61" t="str">
        <f t="shared" si="28"/>
        <v/>
      </c>
      <c r="AG108" s="61" t="str">
        <f t="shared" si="29"/>
        <v/>
      </c>
      <c r="AH108" s="61" t="str">
        <f t="shared" si="30"/>
        <v/>
      </c>
      <c r="AI108" s="61" t="str">
        <f t="shared" si="31"/>
        <v/>
      </c>
    </row>
    <row r="109" spans="1:35" x14ac:dyDescent="0.25">
      <c r="A109" s="40"/>
      <c r="B109" s="41"/>
      <c r="C109" s="41"/>
      <c r="D109" s="41"/>
      <c r="E109" s="41"/>
      <c r="F109" s="41"/>
      <c r="G109" s="41"/>
      <c r="H109" s="41"/>
      <c r="I109" s="41"/>
      <c r="J109" s="42"/>
      <c r="K109" s="42"/>
      <c r="L109" s="41"/>
      <c r="M109" s="41"/>
      <c r="N109" s="41"/>
      <c r="O109" s="41"/>
      <c r="P109" s="41"/>
      <c r="Q109" s="41"/>
      <c r="R109" s="16" t="str">
        <f t="shared" ca="1" si="16"/>
        <v/>
      </c>
      <c r="S109" s="16" t="str">
        <f ca="1">IF(A109="","",IF(OR(M109='02_マスタ'!$E$10,M109='02_マスタ'!$E$12),"",IF(L109="High","High",IF(AND(K109&lt;&gt;"",K109&lt;TODAY()),INDEX(_ゴミ箱_Backup!$B$117:$D$247,MATCH("ALERT_OVERDUE",_ゴミ箱_Backup!$A$117:$A$247,0),MATCH(言語切替!$B$3,_ゴミ箱_Backup!$B$1:$D$1,0)),IF(AND(K109&lt;&gt;"",K109-TODAY()&lt;=7),INDEX(_ゴミ箱_Backup!$B$117:$D$247,MATCH("ALERT_APPROACHING",_ゴミ箱_Backup!$A$117:$A$247,0),MATCH(言語切替!$B$3,_ゴミ箱_Backup!$B$1:$D$1,0)),IF(OR(M109='02_マスタ'!$E$7,M109='02_マスタ'!$E$8),INDEX(_ゴミ箱_Backup!$B$117:$D$247,MATCH("ALERT_CHECK",_ゴミ箱_Backup!$A$117:$A$247,0),MATCH(言語切替!$B$3,_ゴミ箱_Backup!$B$1:$D$1,0)),""))))))</f>
        <v/>
      </c>
      <c r="T109" s="52"/>
      <c r="U109" s="61" t="str">
        <f t="shared" si="17"/>
        <v/>
      </c>
      <c r="V109" s="61" t="str">
        <f t="shared" si="18"/>
        <v/>
      </c>
      <c r="W109" s="61" t="str">
        <f t="shared" si="19"/>
        <v/>
      </c>
      <c r="X109" s="61" t="str">
        <f t="shared" si="20"/>
        <v/>
      </c>
      <c r="Y109" s="61" t="str">
        <f t="shared" si="21"/>
        <v/>
      </c>
      <c r="Z109" s="61" t="str">
        <f t="shared" si="22"/>
        <v/>
      </c>
      <c r="AA109" s="61" t="str">
        <f t="shared" si="23"/>
        <v/>
      </c>
      <c r="AB109" s="61" t="str">
        <f t="shared" si="24"/>
        <v/>
      </c>
      <c r="AC109" s="61" t="str">
        <f t="shared" si="25"/>
        <v/>
      </c>
      <c r="AD109" s="61" t="str">
        <f t="shared" si="26"/>
        <v/>
      </c>
      <c r="AE109" s="61" t="str">
        <f t="shared" si="27"/>
        <v/>
      </c>
      <c r="AF109" s="61" t="str">
        <f t="shared" si="28"/>
        <v/>
      </c>
      <c r="AG109" s="61" t="str">
        <f t="shared" si="29"/>
        <v/>
      </c>
      <c r="AH109" s="61" t="str">
        <f t="shared" si="30"/>
        <v/>
      </c>
      <c r="AI109" s="61" t="str">
        <f t="shared" si="31"/>
        <v/>
      </c>
    </row>
    <row r="110" spans="1:35" x14ac:dyDescent="0.25">
      <c r="A110" s="36"/>
      <c r="B110" s="37"/>
      <c r="C110" s="37"/>
      <c r="D110" s="37"/>
      <c r="E110" s="37"/>
      <c r="F110" s="37"/>
      <c r="G110" s="37"/>
      <c r="H110" s="37"/>
      <c r="I110" s="37"/>
      <c r="J110" s="38"/>
      <c r="K110" s="38"/>
      <c r="L110" s="37"/>
      <c r="M110" s="37"/>
      <c r="N110" s="37"/>
      <c r="O110" s="37"/>
      <c r="P110" s="37"/>
      <c r="Q110" s="37"/>
      <c r="R110" s="13" t="str">
        <f t="shared" ca="1" si="16"/>
        <v/>
      </c>
      <c r="S110" s="13" t="str">
        <f ca="1">IF(A110="","",IF(OR(M110='02_マスタ'!$E$10,M110='02_マスタ'!$E$12),"",IF(L110="High","High",IF(AND(K110&lt;&gt;"",K110&lt;TODAY()),INDEX(_ゴミ箱_Backup!$B$117:$D$247,MATCH("ALERT_OVERDUE",_ゴミ箱_Backup!$A$117:$A$247,0),MATCH(言語切替!$B$3,_ゴミ箱_Backup!$B$1:$D$1,0)),IF(AND(K110&lt;&gt;"",K110-TODAY()&lt;=7),INDEX(_ゴミ箱_Backup!$B$117:$D$247,MATCH("ALERT_APPROACHING",_ゴミ箱_Backup!$A$117:$A$247,0),MATCH(言語切替!$B$3,_ゴミ箱_Backup!$B$1:$D$1,0)),IF(OR(M110='02_マスタ'!$E$7,M110='02_マスタ'!$E$8),INDEX(_ゴミ箱_Backup!$B$117:$D$247,MATCH("ALERT_CHECK",_ゴミ箱_Backup!$A$117:$A$247,0),MATCH(言語切替!$B$3,_ゴミ箱_Backup!$B$1:$D$1,0)),""))))))</f>
        <v/>
      </c>
      <c r="T110" s="53"/>
      <c r="U110" s="61" t="str">
        <f t="shared" si="17"/>
        <v/>
      </c>
      <c r="V110" s="61" t="str">
        <f t="shared" si="18"/>
        <v/>
      </c>
      <c r="W110" s="61" t="str">
        <f t="shared" si="19"/>
        <v/>
      </c>
      <c r="X110" s="61" t="str">
        <f t="shared" si="20"/>
        <v/>
      </c>
      <c r="Y110" s="61" t="str">
        <f t="shared" si="21"/>
        <v/>
      </c>
      <c r="Z110" s="61" t="str">
        <f t="shared" si="22"/>
        <v/>
      </c>
      <c r="AA110" s="61" t="str">
        <f t="shared" si="23"/>
        <v/>
      </c>
      <c r="AB110" s="61" t="str">
        <f t="shared" si="24"/>
        <v/>
      </c>
      <c r="AC110" s="61" t="str">
        <f t="shared" si="25"/>
        <v/>
      </c>
      <c r="AD110" s="61" t="str">
        <f t="shared" si="26"/>
        <v/>
      </c>
      <c r="AE110" s="61" t="str">
        <f t="shared" si="27"/>
        <v/>
      </c>
      <c r="AF110" s="61" t="str">
        <f t="shared" si="28"/>
        <v/>
      </c>
      <c r="AG110" s="61" t="str">
        <f t="shared" si="29"/>
        <v/>
      </c>
      <c r="AH110" s="61" t="str">
        <f t="shared" si="30"/>
        <v/>
      </c>
      <c r="AI110" s="61" t="str">
        <f t="shared" si="31"/>
        <v/>
      </c>
    </row>
    <row r="111" spans="1:35" x14ac:dyDescent="0.25">
      <c r="A111" s="40"/>
      <c r="B111" s="41"/>
      <c r="C111" s="41"/>
      <c r="D111" s="41"/>
      <c r="E111" s="41"/>
      <c r="F111" s="41"/>
      <c r="G111" s="41"/>
      <c r="H111" s="41"/>
      <c r="I111" s="41"/>
      <c r="J111" s="42"/>
      <c r="K111" s="42"/>
      <c r="L111" s="41"/>
      <c r="M111" s="41"/>
      <c r="N111" s="41"/>
      <c r="O111" s="41"/>
      <c r="P111" s="41"/>
      <c r="Q111" s="41"/>
      <c r="R111" s="16" t="str">
        <f t="shared" ca="1" si="16"/>
        <v/>
      </c>
      <c r="S111" s="16" t="str">
        <f ca="1">IF(A111="","",IF(OR(M111='02_マスタ'!$E$10,M111='02_マスタ'!$E$12),"",IF(L111="High","High",IF(AND(K111&lt;&gt;"",K111&lt;TODAY()),INDEX(_ゴミ箱_Backup!$B$117:$D$247,MATCH("ALERT_OVERDUE",_ゴミ箱_Backup!$A$117:$A$247,0),MATCH(言語切替!$B$3,_ゴミ箱_Backup!$B$1:$D$1,0)),IF(AND(K111&lt;&gt;"",K111-TODAY()&lt;=7),INDEX(_ゴミ箱_Backup!$B$117:$D$247,MATCH("ALERT_APPROACHING",_ゴミ箱_Backup!$A$117:$A$247,0),MATCH(言語切替!$B$3,_ゴミ箱_Backup!$B$1:$D$1,0)),IF(OR(M111='02_マスタ'!$E$7,M111='02_マスタ'!$E$8),INDEX(_ゴミ箱_Backup!$B$117:$D$247,MATCH("ALERT_CHECK",_ゴミ箱_Backup!$A$117:$A$247,0),MATCH(言語切替!$B$3,_ゴミ箱_Backup!$B$1:$D$1,0)),""))))))</f>
        <v/>
      </c>
      <c r="T111" s="52"/>
      <c r="U111" s="61" t="str">
        <f t="shared" si="17"/>
        <v/>
      </c>
      <c r="V111" s="61" t="str">
        <f t="shared" si="18"/>
        <v/>
      </c>
      <c r="W111" s="61" t="str">
        <f t="shared" si="19"/>
        <v/>
      </c>
      <c r="X111" s="61" t="str">
        <f t="shared" si="20"/>
        <v/>
      </c>
      <c r="Y111" s="61" t="str">
        <f t="shared" si="21"/>
        <v/>
      </c>
      <c r="Z111" s="61" t="str">
        <f t="shared" si="22"/>
        <v/>
      </c>
      <c r="AA111" s="61" t="str">
        <f t="shared" si="23"/>
        <v/>
      </c>
      <c r="AB111" s="61" t="str">
        <f t="shared" si="24"/>
        <v/>
      </c>
      <c r="AC111" s="61" t="str">
        <f t="shared" si="25"/>
        <v/>
      </c>
      <c r="AD111" s="61" t="str">
        <f t="shared" si="26"/>
        <v/>
      </c>
      <c r="AE111" s="61" t="str">
        <f t="shared" si="27"/>
        <v/>
      </c>
      <c r="AF111" s="61" t="str">
        <f t="shared" si="28"/>
        <v/>
      </c>
      <c r="AG111" s="61" t="str">
        <f t="shared" si="29"/>
        <v/>
      </c>
      <c r="AH111" s="61" t="str">
        <f t="shared" si="30"/>
        <v/>
      </c>
      <c r="AI111" s="61" t="str">
        <f t="shared" si="31"/>
        <v/>
      </c>
    </row>
    <row r="112" spans="1:35" x14ac:dyDescent="0.25">
      <c r="A112" s="36"/>
      <c r="B112" s="37"/>
      <c r="C112" s="37"/>
      <c r="D112" s="37"/>
      <c r="E112" s="37"/>
      <c r="F112" s="37"/>
      <c r="G112" s="37"/>
      <c r="H112" s="37"/>
      <c r="I112" s="37"/>
      <c r="J112" s="38"/>
      <c r="K112" s="38"/>
      <c r="L112" s="37"/>
      <c r="M112" s="37"/>
      <c r="N112" s="37"/>
      <c r="O112" s="37"/>
      <c r="P112" s="37"/>
      <c r="Q112" s="37"/>
      <c r="R112" s="13" t="str">
        <f t="shared" ca="1" si="16"/>
        <v/>
      </c>
      <c r="S112" s="13" t="str">
        <f ca="1">IF(A112="","",IF(OR(M112='02_マスタ'!$E$10,M112='02_マスタ'!$E$12),"",IF(L112="High","High",IF(AND(K112&lt;&gt;"",K112&lt;TODAY()),INDEX(_ゴミ箱_Backup!$B$117:$D$247,MATCH("ALERT_OVERDUE",_ゴミ箱_Backup!$A$117:$A$247,0),MATCH(言語切替!$B$3,_ゴミ箱_Backup!$B$1:$D$1,0)),IF(AND(K112&lt;&gt;"",K112-TODAY()&lt;=7),INDEX(_ゴミ箱_Backup!$B$117:$D$247,MATCH("ALERT_APPROACHING",_ゴミ箱_Backup!$A$117:$A$247,0),MATCH(言語切替!$B$3,_ゴミ箱_Backup!$B$1:$D$1,0)),IF(OR(M112='02_マスタ'!$E$7,M112='02_マスタ'!$E$8),INDEX(_ゴミ箱_Backup!$B$117:$D$247,MATCH("ALERT_CHECK",_ゴミ箱_Backup!$A$117:$A$247,0),MATCH(言語切替!$B$3,_ゴミ箱_Backup!$B$1:$D$1,0)),""))))))</f>
        <v/>
      </c>
      <c r="T112" s="53"/>
      <c r="U112" s="61" t="str">
        <f t="shared" si="17"/>
        <v/>
      </c>
      <c r="V112" s="61" t="str">
        <f t="shared" si="18"/>
        <v/>
      </c>
      <c r="W112" s="61" t="str">
        <f t="shared" si="19"/>
        <v/>
      </c>
      <c r="X112" s="61" t="str">
        <f t="shared" si="20"/>
        <v/>
      </c>
      <c r="Y112" s="61" t="str">
        <f t="shared" si="21"/>
        <v/>
      </c>
      <c r="Z112" s="61" t="str">
        <f t="shared" si="22"/>
        <v/>
      </c>
      <c r="AA112" s="61" t="str">
        <f t="shared" si="23"/>
        <v/>
      </c>
      <c r="AB112" s="61" t="str">
        <f t="shared" si="24"/>
        <v/>
      </c>
      <c r="AC112" s="61" t="str">
        <f t="shared" si="25"/>
        <v/>
      </c>
      <c r="AD112" s="61" t="str">
        <f t="shared" si="26"/>
        <v/>
      </c>
      <c r="AE112" s="61" t="str">
        <f t="shared" si="27"/>
        <v/>
      </c>
      <c r="AF112" s="61" t="str">
        <f t="shared" si="28"/>
        <v/>
      </c>
      <c r="AG112" s="61" t="str">
        <f t="shared" si="29"/>
        <v/>
      </c>
      <c r="AH112" s="61" t="str">
        <f t="shared" si="30"/>
        <v/>
      </c>
      <c r="AI112" s="61" t="str">
        <f t="shared" si="31"/>
        <v/>
      </c>
    </row>
    <row r="113" spans="1:35" x14ac:dyDescent="0.25">
      <c r="A113" s="40"/>
      <c r="B113" s="41"/>
      <c r="C113" s="41"/>
      <c r="D113" s="41"/>
      <c r="E113" s="41"/>
      <c r="F113" s="41"/>
      <c r="G113" s="41"/>
      <c r="H113" s="41"/>
      <c r="I113" s="41"/>
      <c r="J113" s="42"/>
      <c r="K113" s="42"/>
      <c r="L113" s="41"/>
      <c r="M113" s="41"/>
      <c r="N113" s="41"/>
      <c r="O113" s="41"/>
      <c r="P113" s="41"/>
      <c r="Q113" s="41"/>
      <c r="R113" s="16" t="str">
        <f t="shared" ca="1" si="16"/>
        <v/>
      </c>
      <c r="S113" s="16" t="str">
        <f ca="1">IF(A113="","",IF(OR(M113='02_マスタ'!$E$10,M113='02_マスタ'!$E$12),"",IF(L113="High","High",IF(AND(K113&lt;&gt;"",K113&lt;TODAY()),INDEX(_ゴミ箱_Backup!$B$117:$D$247,MATCH("ALERT_OVERDUE",_ゴミ箱_Backup!$A$117:$A$247,0),MATCH(言語切替!$B$3,_ゴミ箱_Backup!$B$1:$D$1,0)),IF(AND(K113&lt;&gt;"",K113-TODAY()&lt;=7),INDEX(_ゴミ箱_Backup!$B$117:$D$247,MATCH("ALERT_APPROACHING",_ゴミ箱_Backup!$A$117:$A$247,0),MATCH(言語切替!$B$3,_ゴミ箱_Backup!$B$1:$D$1,0)),IF(OR(M113='02_マスタ'!$E$7,M113='02_マスタ'!$E$8),INDEX(_ゴミ箱_Backup!$B$117:$D$247,MATCH("ALERT_CHECK",_ゴミ箱_Backup!$A$117:$A$247,0),MATCH(言語切替!$B$3,_ゴミ箱_Backup!$B$1:$D$1,0)),""))))))</f>
        <v/>
      </c>
      <c r="T113" s="52"/>
      <c r="U113" s="61" t="str">
        <f t="shared" si="17"/>
        <v/>
      </c>
      <c r="V113" s="61" t="str">
        <f t="shared" si="18"/>
        <v/>
      </c>
      <c r="W113" s="61" t="str">
        <f t="shared" si="19"/>
        <v/>
      </c>
      <c r="X113" s="61" t="str">
        <f t="shared" si="20"/>
        <v/>
      </c>
      <c r="Y113" s="61" t="str">
        <f t="shared" si="21"/>
        <v/>
      </c>
      <c r="Z113" s="61" t="str">
        <f t="shared" si="22"/>
        <v/>
      </c>
      <c r="AA113" s="61" t="str">
        <f t="shared" si="23"/>
        <v/>
      </c>
      <c r="AB113" s="61" t="str">
        <f t="shared" si="24"/>
        <v/>
      </c>
      <c r="AC113" s="61" t="str">
        <f t="shared" si="25"/>
        <v/>
      </c>
      <c r="AD113" s="61" t="str">
        <f t="shared" si="26"/>
        <v/>
      </c>
      <c r="AE113" s="61" t="str">
        <f t="shared" si="27"/>
        <v/>
      </c>
      <c r="AF113" s="61" t="str">
        <f t="shared" si="28"/>
        <v/>
      </c>
      <c r="AG113" s="61" t="str">
        <f t="shared" si="29"/>
        <v/>
      </c>
      <c r="AH113" s="61" t="str">
        <f t="shared" si="30"/>
        <v/>
      </c>
      <c r="AI113" s="61" t="str">
        <f t="shared" si="31"/>
        <v/>
      </c>
    </row>
    <row r="114" spans="1:35" x14ac:dyDescent="0.25">
      <c r="A114" s="36"/>
      <c r="B114" s="37"/>
      <c r="C114" s="37"/>
      <c r="D114" s="37"/>
      <c r="E114" s="37"/>
      <c r="F114" s="37"/>
      <c r="G114" s="37"/>
      <c r="H114" s="37"/>
      <c r="I114" s="37"/>
      <c r="J114" s="38"/>
      <c r="K114" s="38"/>
      <c r="L114" s="37"/>
      <c r="M114" s="37"/>
      <c r="N114" s="37"/>
      <c r="O114" s="37"/>
      <c r="P114" s="37"/>
      <c r="Q114" s="37"/>
      <c r="R114" s="13" t="str">
        <f t="shared" ca="1" si="16"/>
        <v/>
      </c>
      <c r="S114" s="13" t="str">
        <f ca="1">IF(A114="","",IF(OR(M114='02_マスタ'!$E$10,M114='02_マスタ'!$E$12),"",IF(L114="High","High",IF(AND(K114&lt;&gt;"",K114&lt;TODAY()),INDEX(_ゴミ箱_Backup!$B$117:$D$247,MATCH("ALERT_OVERDUE",_ゴミ箱_Backup!$A$117:$A$247,0),MATCH(言語切替!$B$3,_ゴミ箱_Backup!$B$1:$D$1,0)),IF(AND(K114&lt;&gt;"",K114-TODAY()&lt;=7),INDEX(_ゴミ箱_Backup!$B$117:$D$247,MATCH("ALERT_APPROACHING",_ゴミ箱_Backup!$A$117:$A$247,0),MATCH(言語切替!$B$3,_ゴミ箱_Backup!$B$1:$D$1,0)),IF(OR(M114='02_マスタ'!$E$7,M114='02_マスタ'!$E$8),INDEX(_ゴミ箱_Backup!$B$117:$D$247,MATCH("ALERT_CHECK",_ゴミ箱_Backup!$A$117:$A$247,0),MATCH(言語切替!$B$3,_ゴミ箱_Backup!$B$1:$D$1,0)),""))))))</f>
        <v/>
      </c>
      <c r="T114" s="53"/>
      <c r="U114" s="61" t="str">
        <f t="shared" si="17"/>
        <v/>
      </c>
      <c r="V114" s="61" t="str">
        <f t="shared" si="18"/>
        <v/>
      </c>
      <c r="W114" s="61" t="str">
        <f t="shared" si="19"/>
        <v/>
      </c>
      <c r="X114" s="61" t="str">
        <f t="shared" si="20"/>
        <v/>
      </c>
      <c r="Y114" s="61" t="str">
        <f t="shared" si="21"/>
        <v/>
      </c>
      <c r="Z114" s="61" t="str">
        <f t="shared" si="22"/>
        <v/>
      </c>
      <c r="AA114" s="61" t="str">
        <f t="shared" si="23"/>
        <v/>
      </c>
      <c r="AB114" s="61" t="str">
        <f t="shared" si="24"/>
        <v/>
      </c>
      <c r="AC114" s="61" t="str">
        <f t="shared" si="25"/>
        <v/>
      </c>
      <c r="AD114" s="61" t="str">
        <f t="shared" si="26"/>
        <v/>
      </c>
      <c r="AE114" s="61" t="str">
        <f t="shared" si="27"/>
        <v/>
      </c>
      <c r="AF114" s="61" t="str">
        <f t="shared" si="28"/>
        <v/>
      </c>
      <c r="AG114" s="61" t="str">
        <f t="shared" si="29"/>
        <v/>
      </c>
      <c r="AH114" s="61" t="str">
        <f t="shared" si="30"/>
        <v/>
      </c>
      <c r="AI114" s="61" t="str">
        <f t="shared" si="31"/>
        <v/>
      </c>
    </row>
    <row r="115" spans="1:35" x14ac:dyDescent="0.25">
      <c r="A115" s="40"/>
      <c r="B115" s="41"/>
      <c r="C115" s="41"/>
      <c r="D115" s="41"/>
      <c r="E115" s="41"/>
      <c r="F115" s="41"/>
      <c r="G115" s="41"/>
      <c r="H115" s="41"/>
      <c r="I115" s="41"/>
      <c r="J115" s="42"/>
      <c r="K115" s="42"/>
      <c r="L115" s="41"/>
      <c r="M115" s="41"/>
      <c r="N115" s="41"/>
      <c r="O115" s="41"/>
      <c r="P115" s="41"/>
      <c r="Q115" s="41"/>
      <c r="R115" s="16" t="str">
        <f t="shared" ca="1" si="16"/>
        <v/>
      </c>
      <c r="S115" s="16" t="str">
        <f ca="1">IF(A115="","",IF(OR(M115='02_マスタ'!$E$10,M115='02_マスタ'!$E$12),"",IF(L115="High","High",IF(AND(K115&lt;&gt;"",K115&lt;TODAY()),INDEX(_ゴミ箱_Backup!$B$117:$D$247,MATCH("ALERT_OVERDUE",_ゴミ箱_Backup!$A$117:$A$247,0),MATCH(言語切替!$B$3,_ゴミ箱_Backup!$B$1:$D$1,0)),IF(AND(K115&lt;&gt;"",K115-TODAY()&lt;=7),INDEX(_ゴミ箱_Backup!$B$117:$D$247,MATCH("ALERT_APPROACHING",_ゴミ箱_Backup!$A$117:$A$247,0),MATCH(言語切替!$B$3,_ゴミ箱_Backup!$B$1:$D$1,0)),IF(OR(M115='02_マスタ'!$E$7,M115='02_マスタ'!$E$8),INDEX(_ゴミ箱_Backup!$B$117:$D$247,MATCH("ALERT_CHECK",_ゴミ箱_Backup!$A$117:$A$247,0),MATCH(言語切替!$B$3,_ゴミ箱_Backup!$B$1:$D$1,0)),""))))))</f>
        <v/>
      </c>
      <c r="T115" s="52"/>
      <c r="U115" s="61" t="str">
        <f t="shared" si="17"/>
        <v/>
      </c>
      <c r="V115" s="61" t="str">
        <f t="shared" si="18"/>
        <v/>
      </c>
      <c r="W115" s="61" t="str">
        <f t="shared" si="19"/>
        <v/>
      </c>
      <c r="X115" s="61" t="str">
        <f t="shared" si="20"/>
        <v/>
      </c>
      <c r="Y115" s="61" t="str">
        <f t="shared" si="21"/>
        <v/>
      </c>
      <c r="Z115" s="61" t="str">
        <f t="shared" si="22"/>
        <v/>
      </c>
      <c r="AA115" s="61" t="str">
        <f t="shared" si="23"/>
        <v/>
      </c>
      <c r="AB115" s="61" t="str">
        <f t="shared" si="24"/>
        <v/>
      </c>
      <c r="AC115" s="61" t="str">
        <f t="shared" si="25"/>
        <v/>
      </c>
      <c r="AD115" s="61" t="str">
        <f t="shared" si="26"/>
        <v/>
      </c>
      <c r="AE115" s="61" t="str">
        <f t="shared" si="27"/>
        <v/>
      </c>
      <c r="AF115" s="61" t="str">
        <f t="shared" si="28"/>
        <v/>
      </c>
      <c r="AG115" s="61" t="str">
        <f t="shared" si="29"/>
        <v/>
      </c>
      <c r="AH115" s="61" t="str">
        <f t="shared" si="30"/>
        <v/>
      </c>
      <c r="AI115" s="61" t="str">
        <f t="shared" si="31"/>
        <v/>
      </c>
    </row>
    <row r="116" spans="1:35" x14ac:dyDescent="0.25">
      <c r="A116" s="36"/>
      <c r="B116" s="37"/>
      <c r="C116" s="37"/>
      <c r="D116" s="37"/>
      <c r="E116" s="37"/>
      <c r="F116" s="37"/>
      <c r="G116" s="37"/>
      <c r="H116" s="37"/>
      <c r="I116" s="37"/>
      <c r="J116" s="38"/>
      <c r="K116" s="38"/>
      <c r="L116" s="37"/>
      <c r="M116" s="37"/>
      <c r="N116" s="37"/>
      <c r="O116" s="37"/>
      <c r="P116" s="37"/>
      <c r="Q116" s="37"/>
      <c r="R116" s="13" t="str">
        <f t="shared" ca="1" si="16"/>
        <v/>
      </c>
      <c r="S116" s="13" t="str">
        <f ca="1">IF(A116="","",IF(OR(M116='02_マスタ'!$E$10,M116='02_マスタ'!$E$12),"",IF(L116="High","High",IF(AND(K116&lt;&gt;"",K116&lt;TODAY()),INDEX(_ゴミ箱_Backup!$B$117:$D$247,MATCH("ALERT_OVERDUE",_ゴミ箱_Backup!$A$117:$A$247,0),MATCH(言語切替!$B$3,_ゴミ箱_Backup!$B$1:$D$1,0)),IF(AND(K116&lt;&gt;"",K116-TODAY()&lt;=7),INDEX(_ゴミ箱_Backup!$B$117:$D$247,MATCH("ALERT_APPROACHING",_ゴミ箱_Backup!$A$117:$A$247,0),MATCH(言語切替!$B$3,_ゴミ箱_Backup!$B$1:$D$1,0)),IF(OR(M116='02_マスタ'!$E$7,M116='02_マスタ'!$E$8),INDEX(_ゴミ箱_Backup!$B$117:$D$247,MATCH("ALERT_CHECK",_ゴミ箱_Backup!$A$117:$A$247,0),MATCH(言語切替!$B$3,_ゴミ箱_Backup!$B$1:$D$1,0)),""))))))</f>
        <v/>
      </c>
      <c r="T116" s="53"/>
      <c r="U116" s="61" t="str">
        <f t="shared" si="17"/>
        <v/>
      </c>
      <c r="V116" s="61" t="str">
        <f t="shared" si="18"/>
        <v/>
      </c>
      <c r="W116" s="61" t="str">
        <f t="shared" si="19"/>
        <v/>
      </c>
      <c r="X116" s="61" t="str">
        <f t="shared" si="20"/>
        <v/>
      </c>
      <c r="Y116" s="61" t="str">
        <f t="shared" si="21"/>
        <v/>
      </c>
      <c r="Z116" s="61" t="str">
        <f t="shared" si="22"/>
        <v/>
      </c>
      <c r="AA116" s="61" t="str">
        <f t="shared" si="23"/>
        <v/>
      </c>
      <c r="AB116" s="61" t="str">
        <f t="shared" si="24"/>
        <v/>
      </c>
      <c r="AC116" s="61" t="str">
        <f t="shared" si="25"/>
        <v/>
      </c>
      <c r="AD116" s="61" t="str">
        <f t="shared" si="26"/>
        <v/>
      </c>
      <c r="AE116" s="61" t="str">
        <f t="shared" si="27"/>
        <v/>
      </c>
      <c r="AF116" s="61" t="str">
        <f t="shared" si="28"/>
        <v/>
      </c>
      <c r="AG116" s="61" t="str">
        <f t="shared" si="29"/>
        <v/>
      </c>
      <c r="AH116" s="61" t="str">
        <f t="shared" si="30"/>
        <v/>
      </c>
      <c r="AI116" s="61" t="str">
        <f t="shared" si="31"/>
        <v/>
      </c>
    </row>
    <row r="117" spans="1:35" x14ac:dyDescent="0.25">
      <c r="A117" s="40"/>
      <c r="B117" s="41"/>
      <c r="C117" s="41"/>
      <c r="D117" s="41"/>
      <c r="E117" s="41"/>
      <c r="F117" s="41"/>
      <c r="G117" s="41"/>
      <c r="H117" s="41"/>
      <c r="I117" s="41"/>
      <c r="J117" s="42"/>
      <c r="K117" s="42"/>
      <c r="L117" s="41"/>
      <c r="M117" s="41"/>
      <c r="N117" s="41"/>
      <c r="O117" s="41"/>
      <c r="P117" s="41"/>
      <c r="Q117" s="41"/>
      <c r="R117" s="16" t="str">
        <f t="shared" ca="1" si="16"/>
        <v/>
      </c>
      <c r="S117" s="16" t="str">
        <f ca="1">IF(A117="","",IF(OR(M117='02_マスタ'!$E$10,M117='02_マスタ'!$E$12),"",IF(L117="High","High",IF(AND(K117&lt;&gt;"",K117&lt;TODAY()),INDEX(_ゴミ箱_Backup!$B$117:$D$247,MATCH("ALERT_OVERDUE",_ゴミ箱_Backup!$A$117:$A$247,0),MATCH(言語切替!$B$3,_ゴミ箱_Backup!$B$1:$D$1,0)),IF(AND(K117&lt;&gt;"",K117-TODAY()&lt;=7),INDEX(_ゴミ箱_Backup!$B$117:$D$247,MATCH("ALERT_APPROACHING",_ゴミ箱_Backup!$A$117:$A$247,0),MATCH(言語切替!$B$3,_ゴミ箱_Backup!$B$1:$D$1,0)),IF(OR(M117='02_マスタ'!$E$7,M117='02_マスタ'!$E$8),INDEX(_ゴミ箱_Backup!$B$117:$D$247,MATCH("ALERT_CHECK",_ゴミ箱_Backup!$A$117:$A$247,0),MATCH(言語切替!$B$3,_ゴミ箱_Backup!$B$1:$D$1,0)),""))))))</f>
        <v/>
      </c>
      <c r="T117" s="52"/>
      <c r="U117" s="61" t="str">
        <f t="shared" si="17"/>
        <v/>
      </c>
      <c r="V117" s="61" t="str">
        <f t="shared" si="18"/>
        <v/>
      </c>
      <c r="W117" s="61" t="str">
        <f t="shared" si="19"/>
        <v/>
      </c>
      <c r="X117" s="61" t="str">
        <f t="shared" si="20"/>
        <v/>
      </c>
      <c r="Y117" s="61" t="str">
        <f t="shared" si="21"/>
        <v/>
      </c>
      <c r="Z117" s="61" t="str">
        <f t="shared" si="22"/>
        <v/>
      </c>
      <c r="AA117" s="61" t="str">
        <f t="shared" si="23"/>
        <v/>
      </c>
      <c r="AB117" s="61" t="str">
        <f t="shared" si="24"/>
        <v/>
      </c>
      <c r="AC117" s="61" t="str">
        <f t="shared" si="25"/>
        <v/>
      </c>
      <c r="AD117" s="61" t="str">
        <f t="shared" si="26"/>
        <v/>
      </c>
      <c r="AE117" s="61" t="str">
        <f t="shared" si="27"/>
        <v/>
      </c>
      <c r="AF117" s="61" t="str">
        <f t="shared" si="28"/>
        <v/>
      </c>
      <c r="AG117" s="61" t="str">
        <f t="shared" si="29"/>
        <v/>
      </c>
      <c r="AH117" s="61" t="str">
        <f t="shared" si="30"/>
        <v/>
      </c>
      <c r="AI117" s="61" t="str">
        <f t="shared" si="31"/>
        <v/>
      </c>
    </row>
    <row r="118" spans="1:35" x14ac:dyDescent="0.25">
      <c r="A118" s="36"/>
      <c r="B118" s="37"/>
      <c r="C118" s="37"/>
      <c r="D118" s="37"/>
      <c r="E118" s="37"/>
      <c r="F118" s="37"/>
      <c r="G118" s="37"/>
      <c r="H118" s="37"/>
      <c r="I118" s="37"/>
      <c r="J118" s="38"/>
      <c r="K118" s="38"/>
      <c r="L118" s="37"/>
      <c r="M118" s="37"/>
      <c r="N118" s="37"/>
      <c r="O118" s="37"/>
      <c r="P118" s="37"/>
      <c r="Q118" s="37"/>
      <c r="R118" s="13" t="str">
        <f t="shared" ca="1" si="16"/>
        <v/>
      </c>
      <c r="S118" s="13" t="str">
        <f ca="1">IF(A118="","",IF(OR(M118='02_マスタ'!$E$10,M118='02_マスタ'!$E$12),"",IF(L118="High","High",IF(AND(K118&lt;&gt;"",K118&lt;TODAY()),INDEX(_ゴミ箱_Backup!$B$117:$D$247,MATCH("ALERT_OVERDUE",_ゴミ箱_Backup!$A$117:$A$247,0),MATCH(言語切替!$B$3,_ゴミ箱_Backup!$B$1:$D$1,0)),IF(AND(K118&lt;&gt;"",K118-TODAY()&lt;=7),INDEX(_ゴミ箱_Backup!$B$117:$D$247,MATCH("ALERT_APPROACHING",_ゴミ箱_Backup!$A$117:$A$247,0),MATCH(言語切替!$B$3,_ゴミ箱_Backup!$B$1:$D$1,0)),IF(OR(M118='02_マスタ'!$E$7,M118='02_マスタ'!$E$8),INDEX(_ゴミ箱_Backup!$B$117:$D$247,MATCH("ALERT_CHECK",_ゴミ箱_Backup!$A$117:$A$247,0),MATCH(言語切替!$B$3,_ゴミ箱_Backup!$B$1:$D$1,0)),""))))))</f>
        <v/>
      </c>
      <c r="T118" s="53"/>
      <c r="U118" s="61" t="str">
        <f t="shared" si="17"/>
        <v/>
      </c>
      <c r="V118" s="61" t="str">
        <f t="shared" si="18"/>
        <v/>
      </c>
      <c r="W118" s="61" t="str">
        <f t="shared" si="19"/>
        <v/>
      </c>
      <c r="X118" s="61" t="str">
        <f t="shared" si="20"/>
        <v/>
      </c>
      <c r="Y118" s="61" t="str">
        <f t="shared" si="21"/>
        <v/>
      </c>
      <c r="Z118" s="61" t="str">
        <f t="shared" si="22"/>
        <v/>
      </c>
      <c r="AA118" s="61" t="str">
        <f t="shared" si="23"/>
        <v/>
      </c>
      <c r="AB118" s="61" t="str">
        <f t="shared" si="24"/>
        <v/>
      </c>
      <c r="AC118" s="61" t="str">
        <f t="shared" si="25"/>
        <v/>
      </c>
      <c r="AD118" s="61" t="str">
        <f t="shared" si="26"/>
        <v/>
      </c>
      <c r="AE118" s="61" t="str">
        <f t="shared" si="27"/>
        <v/>
      </c>
      <c r="AF118" s="61" t="str">
        <f t="shared" si="28"/>
        <v/>
      </c>
      <c r="AG118" s="61" t="str">
        <f t="shared" si="29"/>
        <v/>
      </c>
      <c r="AH118" s="61" t="str">
        <f t="shared" si="30"/>
        <v/>
      </c>
      <c r="AI118" s="61" t="str">
        <f t="shared" si="31"/>
        <v/>
      </c>
    </row>
    <row r="119" spans="1:35" x14ac:dyDescent="0.25">
      <c r="A119" s="40"/>
      <c r="B119" s="41"/>
      <c r="C119" s="41"/>
      <c r="D119" s="41"/>
      <c r="E119" s="41"/>
      <c r="F119" s="41"/>
      <c r="G119" s="41"/>
      <c r="H119" s="41"/>
      <c r="I119" s="41"/>
      <c r="J119" s="42"/>
      <c r="K119" s="42"/>
      <c r="L119" s="41"/>
      <c r="M119" s="41"/>
      <c r="N119" s="41"/>
      <c r="O119" s="41"/>
      <c r="P119" s="41"/>
      <c r="Q119" s="41"/>
      <c r="R119" s="16" t="str">
        <f t="shared" ca="1" si="16"/>
        <v/>
      </c>
      <c r="S119" s="16" t="str">
        <f ca="1">IF(A119="","",IF(OR(M119='02_マスタ'!$E$10,M119='02_マスタ'!$E$12),"",IF(L119="High","High",IF(AND(K119&lt;&gt;"",K119&lt;TODAY()),INDEX(_ゴミ箱_Backup!$B$117:$D$247,MATCH("ALERT_OVERDUE",_ゴミ箱_Backup!$A$117:$A$247,0),MATCH(言語切替!$B$3,_ゴミ箱_Backup!$B$1:$D$1,0)),IF(AND(K119&lt;&gt;"",K119-TODAY()&lt;=7),INDEX(_ゴミ箱_Backup!$B$117:$D$247,MATCH("ALERT_APPROACHING",_ゴミ箱_Backup!$A$117:$A$247,0),MATCH(言語切替!$B$3,_ゴミ箱_Backup!$B$1:$D$1,0)),IF(OR(M119='02_マスタ'!$E$7,M119='02_マスタ'!$E$8),INDEX(_ゴミ箱_Backup!$B$117:$D$247,MATCH("ALERT_CHECK",_ゴミ箱_Backup!$A$117:$A$247,0),MATCH(言語切替!$B$3,_ゴミ箱_Backup!$B$1:$D$1,0)),""))))))</f>
        <v/>
      </c>
      <c r="T119" s="52"/>
      <c r="U119" s="61" t="str">
        <f t="shared" si="17"/>
        <v/>
      </c>
      <c r="V119" s="61" t="str">
        <f t="shared" si="18"/>
        <v/>
      </c>
      <c r="W119" s="61" t="str">
        <f t="shared" si="19"/>
        <v/>
      </c>
      <c r="X119" s="61" t="str">
        <f t="shared" si="20"/>
        <v/>
      </c>
      <c r="Y119" s="61" t="str">
        <f t="shared" si="21"/>
        <v/>
      </c>
      <c r="Z119" s="61" t="str">
        <f t="shared" si="22"/>
        <v/>
      </c>
      <c r="AA119" s="61" t="str">
        <f t="shared" si="23"/>
        <v/>
      </c>
      <c r="AB119" s="61" t="str">
        <f t="shared" si="24"/>
        <v/>
      </c>
      <c r="AC119" s="61" t="str">
        <f t="shared" si="25"/>
        <v/>
      </c>
      <c r="AD119" s="61" t="str">
        <f t="shared" si="26"/>
        <v/>
      </c>
      <c r="AE119" s="61" t="str">
        <f t="shared" si="27"/>
        <v/>
      </c>
      <c r="AF119" s="61" t="str">
        <f t="shared" si="28"/>
        <v/>
      </c>
      <c r="AG119" s="61" t="str">
        <f t="shared" si="29"/>
        <v/>
      </c>
      <c r="AH119" s="61" t="str">
        <f t="shared" si="30"/>
        <v/>
      </c>
      <c r="AI119" s="61" t="str">
        <f t="shared" si="31"/>
        <v/>
      </c>
    </row>
    <row r="120" spans="1:35" x14ac:dyDescent="0.25">
      <c r="A120" s="36"/>
      <c r="B120" s="37"/>
      <c r="C120" s="37"/>
      <c r="D120" s="37"/>
      <c r="E120" s="37"/>
      <c r="F120" s="37"/>
      <c r="G120" s="37"/>
      <c r="H120" s="37"/>
      <c r="I120" s="37"/>
      <c r="J120" s="38"/>
      <c r="K120" s="38"/>
      <c r="L120" s="37"/>
      <c r="M120" s="37"/>
      <c r="N120" s="37"/>
      <c r="O120" s="37"/>
      <c r="P120" s="37"/>
      <c r="Q120" s="37"/>
      <c r="R120" s="13" t="str">
        <f t="shared" ca="1" si="16"/>
        <v/>
      </c>
      <c r="S120" s="13" t="str">
        <f ca="1">IF(A120="","",IF(OR(M120='02_マスタ'!$E$10,M120='02_マスタ'!$E$12),"",IF(L120="High","High",IF(AND(K120&lt;&gt;"",K120&lt;TODAY()),INDEX(_ゴミ箱_Backup!$B$117:$D$247,MATCH("ALERT_OVERDUE",_ゴミ箱_Backup!$A$117:$A$247,0),MATCH(言語切替!$B$3,_ゴミ箱_Backup!$B$1:$D$1,0)),IF(AND(K120&lt;&gt;"",K120-TODAY()&lt;=7),INDEX(_ゴミ箱_Backup!$B$117:$D$247,MATCH("ALERT_APPROACHING",_ゴミ箱_Backup!$A$117:$A$247,0),MATCH(言語切替!$B$3,_ゴミ箱_Backup!$B$1:$D$1,0)),IF(OR(M120='02_マスタ'!$E$7,M120='02_マスタ'!$E$8),INDEX(_ゴミ箱_Backup!$B$117:$D$247,MATCH("ALERT_CHECK",_ゴミ箱_Backup!$A$117:$A$247,0),MATCH(言語切替!$B$3,_ゴミ箱_Backup!$B$1:$D$1,0)),""))))))</f>
        <v/>
      </c>
      <c r="T120" s="53"/>
      <c r="U120" s="61" t="str">
        <f t="shared" si="17"/>
        <v/>
      </c>
      <c r="V120" s="61" t="str">
        <f t="shared" si="18"/>
        <v/>
      </c>
      <c r="W120" s="61" t="str">
        <f t="shared" si="19"/>
        <v/>
      </c>
      <c r="X120" s="61" t="str">
        <f t="shared" si="20"/>
        <v/>
      </c>
      <c r="Y120" s="61" t="str">
        <f t="shared" si="21"/>
        <v/>
      </c>
      <c r="Z120" s="61" t="str">
        <f t="shared" si="22"/>
        <v/>
      </c>
      <c r="AA120" s="61" t="str">
        <f t="shared" si="23"/>
        <v/>
      </c>
      <c r="AB120" s="61" t="str">
        <f t="shared" si="24"/>
        <v/>
      </c>
      <c r="AC120" s="61" t="str">
        <f t="shared" si="25"/>
        <v/>
      </c>
      <c r="AD120" s="61" t="str">
        <f t="shared" si="26"/>
        <v/>
      </c>
      <c r="AE120" s="61" t="str">
        <f t="shared" si="27"/>
        <v/>
      </c>
      <c r="AF120" s="61" t="str">
        <f t="shared" si="28"/>
        <v/>
      </c>
      <c r="AG120" s="61" t="str">
        <f t="shared" si="29"/>
        <v/>
      </c>
      <c r="AH120" s="61" t="str">
        <f t="shared" si="30"/>
        <v/>
      </c>
      <c r="AI120" s="61" t="str">
        <f t="shared" si="31"/>
        <v/>
      </c>
    </row>
    <row r="121" spans="1:35" x14ac:dyDescent="0.25">
      <c r="A121" s="40"/>
      <c r="B121" s="41"/>
      <c r="C121" s="41"/>
      <c r="D121" s="41"/>
      <c r="E121" s="41"/>
      <c r="F121" s="41"/>
      <c r="G121" s="41"/>
      <c r="H121" s="41"/>
      <c r="I121" s="41"/>
      <c r="J121" s="42"/>
      <c r="K121" s="42"/>
      <c r="L121" s="41"/>
      <c r="M121" s="41"/>
      <c r="N121" s="41"/>
      <c r="O121" s="41"/>
      <c r="P121" s="41"/>
      <c r="Q121" s="41"/>
      <c r="R121" s="16" t="str">
        <f t="shared" ca="1" si="16"/>
        <v/>
      </c>
      <c r="S121" s="16" t="str">
        <f ca="1">IF(A121="","",IF(OR(M121='02_マスタ'!$E$10,M121='02_マスタ'!$E$12),"",IF(L121="High","High",IF(AND(K121&lt;&gt;"",K121&lt;TODAY()),INDEX(_ゴミ箱_Backup!$B$117:$D$247,MATCH("ALERT_OVERDUE",_ゴミ箱_Backup!$A$117:$A$247,0),MATCH(言語切替!$B$3,_ゴミ箱_Backup!$B$1:$D$1,0)),IF(AND(K121&lt;&gt;"",K121-TODAY()&lt;=7),INDEX(_ゴミ箱_Backup!$B$117:$D$247,MATCH("ALERT_APPROACHING",_ゴミ箱_Backup!$A$117:$A$247,0),MATCH(言語切替!$B$3,_ゴミ箱_Backup!$B$1:$D$1,0)),IF(OR(M121='02_マスタ'!$E$7,M121='02_マスタ'!$E$8),INDEX(_ゴミ箱_Backup!$B$117:$D$247,MATCH("ALERT_CHECK",_ゴミ箱_Backup!$A$117:$A$247,0),MATCH(言語切替!$B$3,_ゴミ箱_Backup!$B$1:$D$1,0)),""))))))</f>
        <v/>
      </c>
      <c r="T121" s="52"/>
      <c r="U121" s="61" t="str">
        <f t="shared" si="17"/>
        <v/>
      </c>
      <c r="V121" s="61" t="str">
        <f t="shared" si="18"/>
        <v/>
      </c>
      <c r="W121" s="61" t="str">
        <f t="shared" si="19"/>
        <v/>
      </c>
      <c r="X121" s="61" t="str">
        <f t="shared" si="20"/>
        <v/>
      </c>
      <c r="Y121" s="61" t="str">
        <f t="shared" si="21"/>
        <v/>
      </c>
      <c r="Z121" s="61" t="str">
        <f t="shared" si="22"/>
        <v/>
      </c>
      <c r="AA121" s="61" t="str">
        <f t="shared" si="23"/>
        <v/>
      </c>
      <c r="AB121" s="61" t="str">
        <f t="shared" si="24"/>
        <v/>
      </c>
      <c r="AC121" s="61" t="str">
        <f t="shared" si="25"/>
        <v/>
      </c>
      <c r="AD121" s="61" t="str">
        <f t="shared" si="26"/>
        <v/>
      </c>
      <c r="AE121" s="61" t="str">
        <f t="shared" si="27"/>
        <v/>
      </c>
      <c r="AF121" s="61" t="str">
        <f t="shared" si="28"/>
        <v/>
      </c>
      <c r="AG121" s="61" t="str">
        <f t="shared" si="29"/>
        <v/>
      </c>
      <c r="AH121" s="61" t="str">
        <f t="shared" si="30"/>
        <v/>
      </c>
      <c r="AI121" s="61" t="str">
        <f t="shared" si="31"/>
        <v/>
      </c>
    </row>
    <row r="122" spans="1:35" x14ac:dyDescent="0.25">
      <c r="A122" s="36"/>
      <c r="B122" s="37"/>
      <c r="C122" s="37"/>
      <c r="D122" s="37"/>
      <c r="E122" s="37"/>
      <c r="F122" s="37"/>
      <c r="G122" s="37"/>
      <c r="H122" s="37"/>
      <c r="I122" s="37"/>
      <c r="J122" s="38"/>
      <c r="K122" s="38"/>
      <c r="L122" s="37"/>
      <c r="M122" s="37"/>
      <c r="N122" s="37"/>
      <c r="O122" s="37"/>
      <c r="P122" s="37"/>
      <c r="Q122" s="37"/>
      <c r="R122" s="13" t="str">
        <f t="shared" ca="1" si="16"/>
        <v/>
      </c>
      <c r="S122" s="13" t="str">
        <f ca="1">IF(A122="","",IF(OR(M122='02_マスタ'!$E$10,M122='02_マスタ'!$E$12),"",IF(L122="High","High",IF(AND(K122&lt;&gt;"",K122&lt;TODAY()),INDEX(_ゴミ箱_Backup!$B$117:$D$247,MATCH("ALERT_OVERDUE",_ゴミ箱_Backup!$A$117:$A$247,0),MATCH(言語切替!$B$3,_ゴミ箱_Backup!$B$1:$D$1,0)),IF(AND(K122&lt;&gt;"",K122-TODAY()&lt;=7),INDEX(_ゴミ箱_Backup!$B$117:$D$247,MATCH("ALERT_APPROACHING",_ゴミ箱_Backup!$A$117:$A$247,0),MATCH(言語切替!$B$3,_ゴミ箱_Backup!$B$1:$D$1,0)),IF(OR(M122='02_マスタ'!$E$7,M122='02_マスタ'!$E$8),INDEX(_ゴミ箱_Backup!$B$117:$D$247,MATCH("ALERT_CHECK",_ゴミ箱_Backup!$A$117:$A$247,0),MATCH(言語切替!$B$3,_ゴミ箱_Backup!$B$1:$D$1,0)),""))))))</f>
        <v/>
      </c>
      <c r="T122" s="53"/>
      <c r="U122" s="61" t="str">
        <f t="shared" si="17"/>
        <v/>
      </c>
      <c r="V122" s="61" t="str">
        <f t="shared" si="18"/>
        <v/>
      </c>
      <c r="W122" s="61" t="str">
        <f t="shared" si="19"/>
        <v/>
      </c>
      <c r="X122" s="61" t="str">
        <f t="shared" si="20"/>
        <v/>
      </c>
      <c r="Y122" s="61" t="str">
        <f t="shared" si="21"/>
        <v/>
      </c>
      <c r="Z122" s="61" t="str">
        <f t="shared" si="22"/>
        <v/>
      </c>
      <c r="AA122" s="61" t="str">
        <f t="shared" si="23"/>
        <v/>
      </c>
      <c r="AB122" s="61" t="str">
        <f t="shared" si="24"/>
        <v/>
      </c>
      <c r="AC122" s="61" t="str">
        <f t="shared" si="25"/>
        <v/>
      </c>
      <c r="AD122" s="61" t="str">
        <f t="shared" si="26"/>
        <v/>
      </c>
      <c r="AE122" s="61" t="str">
        <f t="shared" si="27"/>
        <v/>
      </c>
      <c r="AF122" s="61" t="str">
        <f t="shared" si="28"/>
        <v/>
      </c>
      <c r="AG122" s="61" t="str">
        <f t="shared" si="29"/>
        <v/>
      </c>
      <c r="AH122" s="61" t="str">
        <f t="shared" si="30"/>
        <v/>
      </c>
      <c r="AI122" s="61" t="str">
        <f t="shared" si="31"/>
        <v/>
      </c>
    </row>
    <row r="123" spans="1:35" x14ac:dyDescent="0.25">
      <c r="A123" s="40"/>
      <c r="B123" s="41"/>
      <c r="C123" s="41"/>
      <c r="D123" s="41"/>
      <c r="E123" s="41"/>
      <c r="F123" s="41"/>
      <c r="G123" s="41"/>
      <c r="H123" s="41"/>
      <c r="I123" s="41"/>
      <c r="J123" s="42"/>
      <c r="K123" s="42"/>
      <c r="L123" s="41"/>
      <c r="M123" s="41"/>
      <c r="N123" s="41"/>
      <c r="O123" s="41"/>
      <c r="P123" s="41"/>
      <c r="Q123" s="41"/>
      <c r="R123" s="16" t="str">
        <f t="shared" ca="1" si="16"/>
        <v/>
      </c>
      <c r="S123" s="16" t="str">
        <f ca="1">IF(A123="","",IF(OR(M123='02_マスタ'!$E$10,M123='02_マスタ'!$E$12),"",IF(L123="High","High",IF(AND(K123&lt;&gt;"",K123&lt;TODAY()),INDEX(_ゴミ箱_Backup!$B$117:$D$247,MATCH("ALERT_OVERDUE",_ゴミ箱_Backup!$A$117:$A$247,0),MATCH(言語切替!$B$3,_ゴミ箱_Backup!$B$1:$D$1,0)),IF(AND(K123&lt;&gt;"",K123-TODAY()&lt;=7),INDEX(_ゴミ箱_Backup!$B$117:$D$247,MATCH("ALERT_APPROACHING",_ゴミ箱_Backup!$A$117:$A$247,0),MATCH(言語切替!$B$3,_ゴミ箱_Backup!$B$1:$D$1,0)),IF(OR(M123='02_マスタ'!$E$7,M123='02_マスタ'!$E$8),INDEX(_ゴミ箱_Backup!$B$117:$D$247,MATCH("ALERT_CHECK",_ゴミ箱_Backup!$A$117:$A$247,0),MATCH(言語切替!$B$3,_ゴミ箱_Backup!$B$1:$D$1,0)),""))))))</f>
        <v/>
      </c>
      <c r="T123" s="52"/>
      <c r="U123" s="61" t="str">
        <f t="shared" si="17"/>
        <v/>
      </c>
      <c r="V123" s="61" t="str">
        <f t="shared" si="18"/>
        <v/>
      </c>
      <c r="W123" s="61" t="str">
        <f t="shared" si="19"/>
        <v/>
      </c>
      <c r="X123" s="61" t="str">
        <f t="shared" si="20"/>
        <v/>
      </c>
      <c r="Y123" s="61" t="str">
        <f t="shared" si="21"/>
        <v/>
      </c>
      <c r="Z123" s="61" t="str">
        <f t="shared" si="22"/>
        <v/>
      </c>
      <c r="AA123" s="61" t="str">
        <f t="shared" si="23"/>
        <v/>
      </c>
      <c r="AB123" s="61" t="str">
        <f t="shared" si="24"/>
        <v/>
      </c>
      <c r="AC123" s="61" t="str">
        <f t="shared" si="25"/>
        <v/>
      </c>
      <c r="AD123" s="61" t="str">
        <f t="shared" si="26"/>
        <v/>
      </c>
      <c r="AE123" s="61" t="str">
        <f t="shared" si="27"/>
        <v/>
      </c>
      <c r="AF123" s="61" t="str">
        <f t="shared" si="28"/>
        <v/>
      </c>
      <c r="AG123" s="61" t="str">
        <f t="shared" si="29"/>
        <v/>
      </c>
      <c r="AH123" s="61" t="str">
        <f t="shared" si="30"/>
        <v/>
      </c>
      <c r="AI123" s="61" t="str">
        <f t="shared" si="31"/>
        <v/>
      </c>
    </row>
    <row r="124" spans="1:35" x14ac:dyDescent="0.25">
      <c r="A124" s="36"/>
      <c r="B124" s="37"/>
      <c r="C124" s="37"/>
      <c r="D124" s="37"/>
      <c r="E124" s="37"/>
      <c r="F124" s="37"/>
      <c r="G124" s="37"/>
      <c r="H124" s="37"/>
      <c r="I124" s="37"/>
      <c r="J124" s="38"/>
      <c r="K124" s="38"/>
      <c r="L124" s="37"/>
      <c r="M124" s="37"/>
      <c r="N124" s="37"/>
      <c r="O124" s="37"/>
      <c r="P124" s="37"/>
      <c r="Q124" s="37"/>
      <c r="R124" s="13" t="str">
        <f t="shared" ca="1" si="16"/>
        <v/>
      </c>
      <c r="S124" s="13" t="str">
        <f ca="1">IF(A124="","",IF(OR(M124='02_マスタ'!$E$10,M124='02_マスタ'!$E$12),"",IF(L124="High","High",IF(AND(K124&lt;&gt;"",K124&lt;TODAY()),INDEX(_ゴミ箱_Backup!$B$117:$D$247,MATCH("ALERT_OVERDUE",_ゴミ箱_Backup!$A$117:$A$247,0),MATCH(言語切替!$B$3,_ゴミ箱_Backup!$B$1:$D$1,0)),IF(AND(K124&lt;&gt;"",K124-TODAY()&lt;=7),INDEX(_ゴミ箱_Backup!$B$117:$D$247,MATCH("ALERT_APPROACHING",_ゴミ箱_Backup!$A$117:$A$247,0),MATCH(言語切替!$B$3,_ゴミ箱_Backup!$B$1:$D$1,0)),IF(OR(M124='02_マスタ'!$E$7,M124='02_マスタ'!$E$8),INDEX(_ゴミ箱_Backup!$B$117:$D$247,MATCH("ALERT_CHECK",_ゴミ箱_Backup!$A$117:$A$247,0),MATCH(言語切替!$B$3,_ゴミ箱_Backup!$B$1:$D$1,0)),""))))))</f>
        <v/>
      </c>
      <c r="T124" s="53"/>
      <c r="U124" s="61" t="str">
        <f t="shared" si="17"/>
        <v/>
      </c>
      <c r="V124" s="61" t="str">
        <f t="shared" si="18"/>
        <v/>
      </c>
      <c r="W124" s="61" t="str">
        <f t="shared" si="19"/>
        <v/>
      </c>
      <c r="X124" s="61" t="str">
        <f t="shared" si="20"/>
        <v/>
      </c>
      <c r="Y124" s="61" t="str">
        <f t="shared" si="21"/>
        <v/>
      </c>
      <c r="Z124" s="61" t="str">
        <f t="shared" si="22"/>
        <v/>
      </c>
      <c r="AA124" s="61" t="str">
        <f t="shared" si="23"/>
        <v/>
      </c>
      <c r="AB124" s="61" t="str">
        <f t="shared" si="24"/>
        <v/>
      </c>
      <c r="AC124" s="61" t="str">
        <f t="shared" si="25"/>
        <v/>
      </c>
      <c r="AD124" s="61" t="str">
        <f t="shared" si="26"/>
        <v/>
      </c>
      <c r="AE124" s="61" t="str">
        <f t="shared" si="27"/>
        <v/>
      </c>
      <c r="AF124" s="61" t="str">
        <f t="shared" si="28"/>
        <v/>
      </c>
      <c r="AG124" s="61" t="str">
        <f t="shared" si="29"/>
        <v/>
      </c>
      <c r="AH124" s="61" t="str">
        <f t="shared" si="30"/>
        <v/>
      </c>
      <c r="AI124" s="61" t="str">
        <f t="shared" si="31"/>
        <v/>
      </c>
    </row>
    <row r="125" spans="1:35" x14ac:dyDescent="0.25">
      <c r="A125" s="40"/>
      <c r="B125" s="41"/>
      <c r="C125" s="41"/>
      <c r="D125" s="41"/>
      <c r="E125" s="41"/>
      <c r="F125" s="41"/>
      <c r="G125" s="41"/>
      <c r="H125" s="41"/>
      <c r="I125" s="41"/>
      <c r="J125" s="42"/>
      <c r="K125" s="42"/>
      <c r="L125" s="41"/>
      <c r="M125" s="41"/>
      <c r="N125" s="41"/>
      <c r="O125" s="41"/>
      <c r="P125" s="41"/>
      <c r="Q125" s="41"/>
      <c r="R125" s="16" t="str">
        <f t="shared" ca="1" si="16"/>
        <v/>
      </c>
      <c r="S125" s="16" t="str">
        <f ca="1">IF(A125="","",IF(OR(M125='02_マスタ'!$E$10,M125='02_マスタ'!$E$12),"",IF(L125="High","High",IF(AND(K125&lt;&gt;"",K125&lt;TODAY()),INDEX(_ゴミ箱_Backup!$B$117:$D$247,MATCH("ALERT_OVERDUE",_ゴミ箱_Backup!$A$117:$A$247,0),MATCH(言語切替!$B$3,_ゴミ箱_Backup!$B$1:$D$1,0)),IF(AND(K125&lt;&gt;"",K125-TODAY()&lt;=7),INDEX(_ゴミ箱_Backup!$B$117:$D$247,MATCH("ALERT_APPROACHING",_ゴミ箱_Backup!$A$117:$A$247,0),MATCH(言語切替!$B$3,_ゴミ箱_Backup!$B$1:$D$1,0)),IF(OR(M125='02_マスタ'!$E$7,M125='02_マスタ'!$E$8),INDEX(_ゴミ箱_Backup!$B$117:$D$247,MATCH("ALERT_CHECK",_ゴミ箱_Backup!$A$117:$A$247,0),MATCH(言語切替!$B$3,_ゴミ箱_Backup!$B$1:$D$1,0)),""))))))</f>
        <v/>
      </c>
      <c r="T125" s="52"/>
      <c r="U125" s="61" t="str">
        <f t="shared" si="17"/>
        <v/>
      </c>
      <c r="V125" s="61" t="str">
        <f t="shared" si="18"/>
        <v/>
      </c>
      <c r="W125" s="61" t="str">
        <f t="shared" si="19"/>
        <v/>
      </c>
      <c r="X125" s="61" t="str">
        <f t="shared" si="20"/>
        <v/>
      </c>
      <c r="Y125" s="61" t="str">
        <f t="shared" si="21"/>
        <v/>
      </c>
      <c r="Z125" s="61" t="str">
        <f t="shared" si="22"/>
        <v/>
      </c>
      <c r="AA125" s="61" t="str">
        <f t="shared" si="23"/>
        <v/>
      </c>
      <c r="AB125" s="61" t="str">
        <f t="shared" si="24"/>
        <v/>
      </c>
      <c r="AC125" s="61" t="str">
        <f t="shared" si="25"/>
        <v/>
      </c>
      <c r="AD125" s="61" t="str">
        <f t="shared" si="26"/>
        <v/>
      </c>
      <c r="AE125" s="61" t="str">
        <f t="shared" si="27"/>
        <v/>
      </c>
      <c r="AF125" s="61" t="str">
        <f t="shared" si="28"/>
        <v/>
      </c>
      <c r="AG125" s="61" t="str">
        <f t="shared" si="29"/>
        <v/>
      </c>
      <c r="AH125" s="61" t="str">
        <f t="shared" si="30"/>
        <v/>
      </c>
      <c r="AI125" s="61" t="str">
        <f t="shared" si="31"/>
        <v/>
      </c>
    </row>
    <row r="126" spans="1:35" x14ac:dyDescent="0.25">
      <c r="A126" s="36"/>
      <c r="B126" s="37"/>
      <c r="C126" s="37"/>
      <c r="D126" s="37"/>
      <c r="E126" s="37"/>
      <c r="F126" s="37"/>
      <c r="G126" s="37"/>
      <c r="H126" s="37"/>
      <c r="I126" s="37"/>
      <c r="J126" s="38"/>
      <c r="K126" s="38"/>
      <c r="L126" s="37"/>
      <c r="M126" s="37"/>
      <c r="N126" s="37"/>
      <c r="O126" s="37"/>
      <c r="P126" s="37"/>
      <c r="Q126" s="37"/>
      <c r="R126" s="13" t="str">
        <f t="shared" ca="1" si="16"/>
        <v/>
      </c>
      <c r="S126" s="13" t="str">
        <f ca="1">IF(A126="","",IF(OR(M126='02_マスタ'!$E$10,M126='02_マスタ'!$E$12),"",IF(L126="High","High",IF(AND(K126&lt;&gt;"",K126&lt;TODAY()),INDEX(_ゴミ箱_Backup!$B$117:$D$247,MATCH("ALERT_OVERDUE",_ゴミ箱_Backup!$A$117:$A$247,0),MATCH(言語切替!$B$3,_ゴミ箱_Backup!$B$1:$D$1,0)),IF(AND(K126&lt;&gt;"",K126-TODAY()&lt;=7),INDEX(_ゴミ箱_Backup!$B$117:$D$247,MATCH("ALERT_APPROACHING",_ゴミ箱_Backup!$A$117:$A$247,0),MATCH(言語切替!$B$3,_ゴミ箱_Backup!$B$1:$D$1,0)),IF(OR(M126='02_マスタ'!$E$7,M126='02_マスタ'!$E$8),INDEX(_ゴミ箱_Backup!$B$117:$D$247,MATCH("ALERT_CHECK",_ゴミ箱_Backup!$A$117:$A$247,0),MATCH(言語切替!$B$3,_ゴミ箱_Backup!$B$1:$D$1,0)),""))))))</f>
        <v/>
      </c>
      <c r="T126" s="53"/>
      <c r="U126" s="61" t="str">
        <f t="shared" si="17"/>
        <v/>
      </c>
      <c r="V126" s="61" t="str">
        <f t="shared" si="18"/>
        <v/>
      </c>
      <c r="W126" s="61" t="str">
        <f t="shared" si="19"/>
        <v/>
      </c>
      <c r="X126" s="61" t="str">
        <f t="shared" si="20"/>
        <v/>
      </c>
      <c r="Y126" s="61" t="str">
        <f t="shared" si="21"/>
        <v/>
      </c>
      <c r="Z126" s="61" t="str">
        <f t="shared" si="22"/>
        <v/>
      </c>
      <c r="AA126" s="61" t="str">
        <f t="shared" si="23"/>
        <v/>
      </c>
      <c r="AB126" s="61" t="str">
        <f t="shared" si="24"/>
        <v/>
      </c>
      <c r="AC126" s="61" t="str">
        <f t="shared" si="25"/>
        <v/>
      </c>
      <c r="AD126" s="61" t="str">
        <f t="shared" si="26"/>
        <v/>
      </c>
      <c r="AE126" s="61" t="str">
        <f t="shared" si="27"/>
        <v/>
      </c>
      <c r="AF126" s="61" t="str">
        <f t="shared" si="28"/>
        <v/>
      </c>
      <c r="AG126" s="61" t="str">
        <f t="shared" si="29"/>
        <v/>
      </c>
      <c r="AH126" s="61" t="str">
        <f t="shared" si="30"/>
        <v/>
      </c>
      <c r="AI126" s="61" t="str">
        <f t="shared" si="31"/>
        <v/>
      </c>
    </row>
    <row r="127" spans="1:35" x14ac:dyDescent="0.25">
      <c r="A127" s="40"/>
      <c r="B127" s="41"/>
      <c r="C127" s="41"/>
      <c r="D127" s="41"/>
      <c r="E127" s="41"/>
      <c r="F127" s="41"/>
      <c r="G127" s="41"/>
      <c r="H127" s="41"/>
      <c r="I127" s="41"/>
      <c r="J127" s="42"/>
      <c r="K127" s="42"/>
      <c r="L127" s="41"/>
      <c r="M127" s="41"/>
      <c r="N127" s="41"/>
      <c r="O127" s="41"/>
      <c r="P127" s="41"/>
      <c r="Q127" s="41"/>
      <c r="R127" s="16" t="str">
        <f t="shared" ca="1" si="16"/>
        <v/>
      </c>
      <c r="S127" s="16" t="str">
        <f ca="1">IF(A127="","",IF(OR(M127='02_マスタ'!$E$10,M127='02_マスタ'!$E$12),"",IF(L127="High","High",IF(AND(K127&lt;&gt;"",K127&lt;TODAY()),INDEX(_ゴミ箱_Backup!$B$117:$D$247,MATCH("ALERT_OVERDUE",_ゴミ箱_Backup!$A$117:$A$247,0),MATCH(言語切替!$B$3,_ゴミ箱_Backup!$B$1:$D$1,0)),IF(AND(K127&lt;&gt;"",K127-TODAY()&lt;=7),INDEX(_ゴミ箱_Backup!$B$117:$D$247,MATCH("ALERT_APPROACHING",_ゴミ箱_Backup!$A$117:$A$247,0),MATCH(言語切替!$B$3,_ゴミ箱_Backup!$B$1:$D$1,0)),IF(OR(M127='02_マスタ'!$E$7,M127='02_マスタ'!$E$8),INDEX(_ゴミ箱_Backup!$B$117:$D$247,MATCH("ALERT_CHECK",_ゴミ箱_Backup!$A$117:$A$247,0),MATCH(言語切替!$B$3,_ゴミ箱_Backup!$B$1:$D$1,0)),""))))))</f>
        <v/>
      </c>
      <c r="T127" s="52"/>
      <c r="U127" s="61" t="str">
        <f t="shared" si="17"/>
        <v/>
      </c>
      <c r="V127" s="61" t="str">
        <f t="shared" si="18"/>
        <v/>
      </c>
      <c r="W127" s="61" t="str">
        <f t="shared" si="19"/>
        <v/>
      </c>
      <c r="X127" s="61" t="str">
        <f t="shared" si="20"/>
        <v/>
      </c>
      <c r="Y127" s="61" t="str">
        <f t="shared" si="21"/>
        <v/>
      </c>
      <c r="Z127" s="61" t="str">
        <f t="shared" si="22"/>
        <v/>
      </c>
      <c r="AA127" s="61" t="str">
        <f t="shared" si="23"/>
        <v/>
      </c>
      <c r="AB127" s="61" t="str">
        <f t="shared" si="24"/>
        <v/>
      </c>
      <c r="AC127" s="61" t="str">
        <f t="shared" si="25"/>
        <v/>
      </c>
      <c r="AD127" s="61" t="str">
        <f t="shared" si="26"/>
        <v/>
      </c>
      <c r="AE127" s="61" t="str">
        <f t="shared" si="27"/>
        <v/>
      </c>
      <c r="AF127" s="61" t="str">
        <f t="shared" si="28"/>
        <v/>
      </c>
      <c r="AG127" s="61" t="str">
        <f t="shared" si="29"/>
        <v/>
      </c>
      <c r="AH127" s="61" t="str">
        <f t="shared" si="30"/>
        <v/>
      </c>
      <c r="AI127" s="61" t="str">
        <f t="shared" si="31"/>
        <v/>
      </c>
    </row>
    <row r="128" spans="1:35" x14ac:dyDescent="0.25">
      <c r="A128" s="36"/>
      <c r="B128" s="37"/>
      <c r="C128" s="37"/>
      <c r="D128" s="37"/>
      <c r="E128" s="37"/>
      <c r="F128" s="37"/>
      <c r="G128" s="37"/>
      <c r="H128" s="37"/>
      <c r="I128" s="37"/>
      <c r="J128" s="38"/>
      <c r="K128" s="38"/>
      <c r="L128" s="37"/>
      <c r="M128" s="37"/>
      <c r="N128" s="37"/>
      <c r="O128" s="37"/>
      <c r="P128" s="37"/>
      <c r="Q128" s="37"/>
      <c r="R128" s="13" t="str">
        <f t="shared" ca="1" si="16"/>
        <v/>
      </c>
      <c r="S128" s="13" t="str">
        <f ca="1">IF(A128="","",IF(OR(M128='02_マスタ'!$E$10,M128='02_マスタ'!$E$12),"",IF(L128="High","High",IF(AND(K128&lt;&gt;"",K128&lt;TODAY()),INDEX(_ゴミ箱_Backup!$B$117:$D$247,MATCH("ALERT_OVERDUE",_ゴミ箱_Backup!$A$117:$A$247,0),MATCH(言語切替!$B$3,_ゴミ箱_Backup!$B$1:$D$1,0)),IF(AND(K128&lt;&gt;"",K128-TODAY()&lt;=7),INDEX(_ゴミ箱_Backup!$B$117:$D$247,MATCH("ALERT_APPROACHING",_ゴミ箱_Backup!$A$117:$A$247,0),MATCH(言語切替!$B$3,_ゴミ箱_Backup!$B$1:$D$1,0)),IF(OR(M128='02_マスタ'!$E$7,M128='02_マスタ'!$E$8),INDEX(_ゴミ箱_Backup!$B$117:$D$247,MATCH("ALERT_CHECK",_ゴミ箱_Backup!$A$117:$A$247,0),MATCH(言語切替!$B$3,_ゴミ箱_Backup!$B$1:$D$1,0)),""))))))</f>
        <v/>
      </c>
      <c r="T128" s="53"/>
      <c r="U128" s="61" t="str">
        <f t="shared" si="17"/>
        <v/>
      </c>
      <c r="V128" s="61" t="str">
        <f t="shared" si="18"/>
        <v/>
      </c>
      <c r="W128" s="61" t="str">
        <f t="shared" si="19"/>
        <v/>
      </c>
      <c r="X128" s="61" t="str">
        <f t="shared" si="20"/>
        <v/>
      </c>
      <c r="Y128" s="61" t="str">
        <f t="shared" si="21"/>
        <v/>
      </c>
      <c r="Z128" s="61" t="str">
        <f t="shared" si="22"/>
        <v/>
      </c>
      <c r="AA128" s="61" t="str">
        <f t="shared" si="23"/>
        <v/>
      </c>
      <c r="AB128" s="61" t="str">
        <f t="shared" si="24"/>
        <v/>
      </c>
      <c r="AC128" s="61" t="str">
        <f t="shared" si="25"/>
        <v/>
      </c>
      <c r="AD128" s="61" t="str">
        <f t="shared" si="26"/>
        <v/>
      </c>
      <c r="AE128" s="61" t="str">
        <f t="shared" si="27"/>
        <v/>
      </c>
      <c r="AF128" s="61" t="str">
        <f t="shared" si="28"/>
        <v/>
      </c>
      <c r="AG128" s="61" t="str">
        <f t="shared" si="29"/>
        <v/>
      </c>
      <c r="AH128" s="61" t="str">
        <f t="shared" si="30"/>
        <v/>
      </c>
      <c r="AI128" s="61" t="str">
        <f t="shared" si="31"/>
        <v/>
      </c>
    </row>
    <row r="129" spans="1:35" x14ac:dyDescent="0.25">
      <c r="A129" s="40"/>
      <c r="B129" s="41"/>
      <c r="C129" s="41"/>
      <c r="D129" s="41"/>
      <c r="E129" s="41"/>
      <c r="F129" s="41"/>
      <c r="G129" s="41"/>
      <c r="H129" s="41"/>
      <c r="I129" s="41"/>
      <c r="J129" s="42"/>
      <c r="K129" s="42"/>
      <c r="L129" s="41"/>
      <c r="M129" s="41"/>
      <c r="N129" s="41"/>
      <c r="O129" s="41"/>
      <c r="P129" s="41"/>
      <c r="Q129" s="41"/>
      <c r="R129" s="16" t="str">
        <f t="shared" ca="1" si="16"/>
        <v/>
      </c>
      <c r="S129" s="16" t="str">
        <f ca="1">IF(A129="","",IF(OR(M129='02_マスタ'!$E$10,M129='02_マスタ'!$E$12),"",IF(L129="High","High",IF(AND(K129&lt;&gt;"",K129&lt;TODAY()),INDEX(_ゴミ箱_Backup!$B$117:$D$247,MATCH("ALERT_OVERDUE",_ゴミ箱_Backup!$A$117:$A$247,0),MATCH(言語切替!$B$3,_ゴミ箱_Backup!$B$1:$D$1,0)),IF(AND(K129&lt;&gt;"",K129-TODAY()&lt;=7),INDEX(_ゴミ箱_Backup!$B$117:$D$247,MATCH("ALERT_APPROACHING",_ゴミ箱_Backup!$A$117:$A$247,0),MATCH(言語切替!$B$3,_ゴミ箱_Backup!$B$1:$D$1,0)),IF(OR(M129='02_マスタ'!$E$7,M129='02_マスタ'!$E$8),INDEX(_ゴミ箱_Backup!$B$117:$D$247,MATCH("ALERT_CHECK",_ゴミ箱_Backup!$A$117:$A$247,0),MATCH(言語切替!$B$3,_ゴミ箱_Backup!$B$1:$D$1,0)),""))))))</f>
        <v/>
      </c>
      <c r="T129" s="52"/>
      <c r="U129" s="61" t="str">
        <f t="shared" si="17"/>
        <v/>
      </c>
      <c r="V129" s="61" t="str">
        <f t="shared" si="18"/>
        <v/>
      </c>
      <c r="W129" s="61" t="str">
        <f t="shared" si="19"/>
        <v/>
      </c>
      <c r="X129" s="61" t="str">
        <f t="shared" si="20"/>
        <v/>
      </c>
      <c r="Y129" s="61" t="str">
        <f t="shared" si="21"/>
        <v/>
      </c>
      <c r="Z129" s="61" t="str">
        <f t="shared" si="22"/>
        <v/>
      </c>
      <c r="AA129" s="61" t="str">
        <f t="shared" si="23"/>
        <v/>
      </c>
      <c r="AB129" s="61" t="str">
        <f t="shared" si="24"/>
        <v/>
      </c>
      <c r="AC129" s="61" t="str">
        <f t="shared" si="25"/>
        <v/>
      </c>
      <c r="AD129" s="61" t="str">
        <f t="shared" si="26"/>
        <v/>
      </c>
      <c r="AE129" s="61" t="str">
        <f t="shared" si="27"/>
        <v/>
      </c>
      <c r="AF129" s="61" t="str">
        <f t="shared" si="28"/>
        <v/>
      </c>
      <c r="AG129" s="61" t="str">
        <f t="shared" si="29"/>
        <v/>
      </c>
      <c r="AH129" s="61" t="str">
        <f t="shared" si="30"/>
        <v/>
      </c>
      <c r="AI129" s="61" t="str">
        <f t="shared" si="31"/>
        <v/>
      </c>
    </row>
    <row r="130" spans="1:35" x14ac:dyDescent="0.25">
      <c r="A130" s="36"/>
      <c r="B130" s="37"/>
      <c r="C130" s="37"/>
      <c r="D130" s="37"/>
      <c r="E130" s="37"/>
      <c r="F130" s="37"/>
      <c r="G130" s="37"/>
      <c r="H130" s="37"/>
      <c r="I130" s="37"/>
      <c r="J130" s="38"/>
      <c r="K130" s="38"/>
      <c r="L130" s="37"/>
      <c r="M130" s="37"/>
      <c r="N130" s="37"/>
      <c r="O130" s="37"/>
      <c r="P130" s="37"/>
      <c r="Q130" s="37"/>
      <c r="R130" s="13" t="str">
        <f t="shared" ca="1" si="16"/>
        <v/>
      </c>
      <c r="S130" s="13" t="str">
        <f ca="1">IF(A130="","",IF(OR(M130='02_マスタ'!$E$10,M130='02_マスタ'!$E$12),"",IF(L130="High","High",IF(AND(K130&lt;&gt;"",K130&lt;TODAY()),INDEX(_ゴミ箱_Backup!$B$117:$D$247,MATCH("ALERT_OVERDUE",_ゴミ箱_Backup!$A$117:$A$247,0),MATCH(言語切替!$B$3,_ゴミ箱_Backup!$B$1:$D$1,0)),IF(AND(K130&lt;&gt;"",K130-TODAY()&lt;=7),INDEX(_ゴミ箱_Backup!$B$117:$D$247,MATCH("ALERT_APPROACHING",_ゴミ箱_Backup!$A$117:$A$247,0),MATCH(言語切替!$B$3,_ゴミ箱_Backup!$B$1:$D$1,0)),IF(OR(M130='02_マスタ'!$E$7,M130='02_マスタ'!$E$8),INDEX(_ゴミ箱_Backup!$B$117:$D$247,MATCH("ALERT_CHECK",_ゴミ箱_Backup!$A$117:$A$247,0),MATCH(言語切替!$B$3,_ゴミ箱_Backup!$B$1:$D$1,0)),""))))))</f>
        <v/>
      </c>
      <c r="T130" s="53"/>
      <c r="U130" s="61" t="str">
        <f t="shared" si="17"/>
        <v/>
      </c>
      <c r="V130" s="61" t="str">
        <f t="shared" si="18"/>
        <v/>
      </c>
      <c r="W130" s="61" t="str">
        <f t="shared" si="19"/>
        <v/>
      </c>
      <c r="X130" s="61" t="str">
        <f t="shared" si="20"/>
        <v/>
      </c>
      <c r="Y130" s="61" t="str">
        <f t="shared" si="21"/>
        <v/>
      </c>
      <c r="Z130" s="61" t="str">
        <f t="shared" si="22"/>
        <v/>
      </c>
      <c r="AA130" s="61" t="str">
        <f t="shared" si="23"/>
        <v/>
      </c>
      <c r="AB130" s="61" t="str">
        <f t="shared" si="24"/>
        <v/>
      </c>
      <c r="AC130" s="61" t="str">
        <f t="shared" si="25"/>
        <v/>
      </c>
      <c r="AD130" s="61" t="str">
        <f t="shared" si="26"/>
        <v/>
      </c>
      <c r="AE130" s="61" t="str">
        <f t="shared" si="27"/>
        <v/>
      </c>
      <c r="AF130" s="61" t="str">
        <f t="shared" si="28"/>
        <v/>
      </c>
      <c r="AG130" s="61" t="str">
        <f t="shared" si="29"/>
        <v/>
      </c>
      <c r="AH130" s="61" t="str">
        <f t="shared" si="30"/>
        <v/>
      </c>
      <c r="AI130" s="61" t="str">
        <f t="shared" si="31"/>
        <v/>
      </c>
    </row>
    <row r="131" spans="1:35" x14ac:dyDescent="0.25">
      <c r="A131" s="40"/>
      <c r="B131" s="41"/>
      <c r="C131" s="41"/>
      <c r="D131" s="41"/>
      <c r="E131" s="41"/>
      <c r="F131" s="41"/>
      <c r="G131" s="41"/>
      <c r="H131" s="41"/>
      <c r="I131" s="41"/>
      <c r="J131" s="42"/>
      <c r="K131" s="42"/>
      <c r="L131" s="41"/>
      <c r="M131" s="41"/>
      <c r="N131" s="41"/>
      <c r="O131" s="41"/>
      <c r="P131" s="41"/>
      <c r="Q131" s="41"/>
      <c r="R131" s="16" t="str">
        <f t="shared" ca="1" si="16"/>
        <v/>
      </c>
      <c r="S131" s="16" t="str">
        <f ca="1">IF(A131="","",IF(OR(M131='02_マスタ'!$E$10,M131='02_マスタ'!$E$12),"",IF(L131="High","High",IF(AND(K131&lt;&gt;"",K131&lt;TODAY()),INDEX(_ゴミ箱_Backup!$B$117:$D$247,MATCH("ALERT_OVERDUE",_ゴミ箱_Backup!$A$117:$A$247,0),MATCH(言語切替!$B$3,_ゴミ箱_Backup!$B$1:$D$1,0)),IF(AND(K131&lt;&gt;"",K131-TODAY()&lt;=7),INDEX(_ゴミ箱_Backup!$B$117:$D$247,MATCH("ALERT_APPROACHING",_ゴミ箱_Backup!$A$117:$A$247,0),MATCH(言語切替!$B$3,_ゴミ箱_Backup!$B$1:$D$1,0)),IF(OR(M131='02_マスタ'!$E$7,M131='02_マスタ'!$E$8),INDEX(_ゴミ箱_Backup!$B$117:$D$247,MATCH("ALERT_CHECK",_ゴミ箱_Backup!$A$117:$A$247,0),MATCH(言語切替!$B$3,_ゴミ箱_Backup!$B$1:$D$1,0)),""))))))</f>
        <v/>
      </c>
      <c r="T131" s="52"/>
      <c r="U131" s="61" t="str">
        <f t="shared" si="17"/>
        <v/>
      </c>
      <c r="V131" s="61" t="str">
        <f t="shared" si="18"/>
        <v/>
      </c>
      <c r="W131" s="61" t="str">
        <f t="shared" si="19"/>
        <v/>
      </c>
      <c r="X131" s="61" t="str">
        <f t="shared" si="20"/>
        <v/>
      </c>
      <c r="Y131" s="61" t="str">
        <f t="shared" si="21"/>
        <v/>
      </c>
      <c r="Z131" s="61" t="str">
        <f t="shared" si="22"/>
        <v/>
      </c>
      <c r="AA131" s="61" t="str">
        <f t="shared" si="23"/>
        <v/>
      </c>
      <c r="AB131" s="61" t="str">
        <f t="shared" si="24"/>
        <v/>
      </c>
      <c r="AC131" s="61" t="str">
        <f t="shared" si="25"/>
        <v/>
      </c>
      <c r="AD131" s="61" t="str">
        <f t="shared" si="26"/>
        <v/>
      </c>
      <c r="AE131" s="61" t="str">
        <f t="shared" si="27"/>
        <v/>
      </c>
      <c r="AF131" s="61" t="str">
        <f t="shared" si="28"/>
        <v/>
      </c>
      <c r="AG131" s="61" t="str">
        <f t="shared" si="29"/>
        <v/>
      </c>
      <c r="AH131" s="61" t="str">
        <f t="shared" si="30"/>
        <v/>
      </c>
      <c r="AI131" s="61" t="str">
        <f t="shared" si="31"/>
        <v/>
      </c>
    </row>
    <row r="132" spans="1:35" x14ac:dyDescent="0.25">
      <c r="A132" s="36"/>
      <c r="B132" s="37"/>
      <c r="C132" s="37"/>
      <c r="D132" s="37"/>
      <c r="E132" s="37"/>
      <c r="F132" s="37"/>
      <c r="G132" s="37"/>
      <c r="H132" s="37"/>
      <c r="I132" s="37"/>
      <c r="J132" s="38"/>
      <c r="K132" s="38"/>
      <c r="L132" s="37"/>
      <c r="M132" s="37"/>
      <c r="N132" s="37"/>
      <c r="O132" s="37"/>
      <c r="P132" s="37"/>
      <c r="Q132" s="37"/>
      <c r="R132" s="13" t="str">
        <f t="shared" ca="1" si="16"/>
        <v/>
      </c>
      <c r="S132" s="13" t="str">
        <f ca="1">IF(A132="","",IF(OR(M132='02_マスタ'!$E$10,M132='02_マスタ'!$E$12),"",IF(L132="High","High",IF(AND(K132&lt;&gt;"",K132&lt;TODAY()),INDEX(_ゴミ箱_Backup!$B$117:$D$247,MATCH("ALERT_OVERDUE",_ゴミ箱_Backup!$A$117:$A$247,0),MATCH(言語切替!$B$3,_ゴミ箱_Backup!$B$1:$D$1,0)),IF(AND(K132&lt;&gt;"",K132-TODAY()&lt;=7),INDEX(_ゴミ箱_Backup!$B$117:$D$247,MATCH("ALERT_APPROACHING",_ゴミ箱_Backup!$A$117:$A$247,0),MATCH(言語切替!$B$3,_ゴミ箱_Backup!$B$1:$D$1,0)),IF(OR(M132='02_マスタ'!$E$7,M132='02_マスタ'!$E$8),INDEX(_ゴミ箱_Backup!$B$117:$D$247,MATCH("ALERT_CHECK",_ゴミ箱_Backup!$A$117:$A$247,0),MATCH(言語切替!$B$3,_ゴミ箱_Backup!$B$1:$D$1,0)),""))))))</f>
        <v/>
      </c>
      <c r="T132" s="53"/>
      <c r="U132" s="61" t="str">
        <f t="shared" si="17"/>
        <v/>
      </c>
      <c r="V132" s="61" t="str">
        <f t="shared" si="18"/>
        <v/>
      </c>
      <c r="W132" s="61" t="str">
        <f t="shared" si="19"/>
        <v/>
      </c>
      <c r="X132" s="61" t="str">
        <f t="shared" si="20"/>
        <v/>
      </c>
      <c r="Y132" s="61" t="str">
        <f t="shared" si="21"/>
        <v/>
      </c>
      <c r="Z132" s="61" t="str">
        <f t="shared" si="22"/>
        <v/>
      </c>
      <c r="AA132" s="61" t="str">
        <f t="shared" si="23"/>
        <v/>
      </c>
      <c r="AB132" s="61" t="str">
        <f t="shared" si="24"/>
        <v/>
      </c>
      <c r="AC132" s="61" t="str">
        <f t="shared" si="25"/>
        <v/>
      </c>
      <c r="AD132" s="61" t="str">
        <f t="shared" si="26"/>
        <v/>
      </c>
      <c r="AE132" s="61" t="str">
        <f t="shared" si="27"/>
        <v/>
      </c>
      <c r="AF132" s="61" t="str">
        <f t="shared" si="28"/>
        <v/>
      </c>
      <c r="AG132" s="61" t="str">
        <f t="shared" si="29"/>
        <v/>
      </c>
      <c r="AH132" s="61" t="str">
        <f t="shared" si="30"/>
        <v/>
      </c>
      <c r="AI132" s="61" t="str">
        <f t="shared" si="31"/>
        <v/>
      </c>
    </row>
    <row r="133" spans="1:35" x14ac:dyDescent="0.25">
      <c r="A133" s="40"/>
      <c r="B133" s="41"/>
      <c r="C133" s="41"/>
      <c r="D133" s="41"/>
      <c r="E133" s="41"/>
      <c r="F133" s="41"/>
      <c r="G133" s="41"/>
      <c r="H133" s="41"/>
      <c r="I133" s="41"/>
      <c r="J133" s="42"/>
      <c r="K133" s="42"/>
      <c r="L133" s="41"/>
      <c r="M133" s="41"/>
      <c r="N133" s="41"/>
      <c r="O133" s="41"/>
      <c r="P133" s="41"/>
      <c r="Q133" s="41"/>
      <c r="R133" s="16" t="str">
        <f t="shared" ref="R133:R196" ca="1" si="32">IF(K133="","",K133-TODAY())</f>
        <v/>
      </c>
      <c r="S133" s="16" t="str">
        <f ca="1">IF(A133="","",IF(OR(M133='02_マスタ'!$E$10,M133='02_マスタ'!$E$12),"",IF(L133="High","High",IF(AND(K133&lt;&gt;"",K133&lt;TODAY()),INDEX(_ゴミ箱_Backup!$B$117:$D$247,MATCH("ALERT_OVERDUE",_ゴミ箱_Backup!$A$117:$A$247,0),MATCH(言語切替!$B$3,_ゴミ箱_Backup!$B$1:$D$1,0)),IF(AND(K133&lt;&gt;"",K133-TODAY()&lt;=7),INDEX(_ゴミ箱_Backup!$B$117:$D$247,MATCH("ALERT_APPROACHING",_ゴミ箱_Backup!$A$117:$A$247,0),MATCH(言語切替!$B$3,_ゴミ箱_Backup!$B$1:$D$1,0)),IF(OR(M133='02_マスタ'!$E$7,M133='02_マスタ'!$E$8),INDEX(_ゴミ箱_Backup!$B$117:$D$247,MATCH("ALERT_CHECK",_ゴミ箱_Backup!$A$117:$A$247,0),MATCH(言語切替!$B$3,_ゴミ箱_Backup!$B$1:$D$1,0)),""))))))</f>
        <v/>
      </c>
      <c r="T133" s="52"/>
      <c r="U133" s="61" t="str">
        <f t="shared" ref="U133:U196" si="33">IF(E133="","",IFERROR(_xlfn.TRANSLATE(E133,,"ja"),""))</f>
        <v/>
      </c>
      <c r="V133" s="61" t="str">
        <f t="shared" ref="V133:V196" si="34">IF(E133="","",IFERROR(_xlfn.TRANSLATE(E133,,"zh-Hans"),""))</f>
        <v/>
      </c>
      <c r="W133" s="61" t="str">
        <f t="shared" ref="W133:W196" si="35">IF(E133="","",IFERROR(_xlfn.TRANSLATE(E133,,"vi"),""))</f>
        <v/>
      </c>
      <c r="X133" s="61" t="str">
        <f t="shared" ref="X133:X196" si="36">IF(F133="","",IFERROR(_xlfn.TRANSLATE(F133,,"ja"),""))</f>
        <v/>
      </c>
      <c r="Y133" s="61" t="str">
        <f t="shared" ref="Y133:Y196" si="37">IF(F133="","",IFERROR(_xlfn.TRANSLATE(F133,,"zh-Hans"),""))</f>
        <v/>
      </c>
      <c r="Z133" s="61" t="str">
        <f t="shared" ref="Z133:Z196" si="38">IF(F133="","",IFERROR(_xlfn.TRANSLATE(F133,,"vi"),""))</f>
        <v/>
      </c>
      <c r="AA133" s="61" t="str">
        <f t="shared" ref="AA133:AA196" si="39">IF(G133="","",IFERROR(_xlfn.TRANSLATE(G133,,"ja"),""))</f>
        <v/>
      </c>
      <c r="AB133" s="61" t="str">
        <f t="shared" ref="AB133:AB196" si="40">IF(G133="","",IFERROR(_xlfn.TRANSLATE(G133,,"zh-Hans"),""))</f>
        <v/>
      </c>
      <c r="AC133" s="61" t="str">
        <f t="shared" ref="AC133:AC196" si="41">IF(G133="","",IFERROR(_xlfn.TRANSLATE(G133,,"vi"),""))</f>
        <v/>
      </c>
      <c r="AD133" s="61" t="str">
        <f t="shared" ref="AD133:AD196" si="42">IF(O133="","",IFERROR(_xlfn.TRANSLATE(O133,,"ja"),""))</f>
        <v/>
      </c>
      <c r="AE133" s="61" t="str">
        <f t="shared" ref="AE133:AE196" si="43">IF(O133="","",IFERROR(_xlfn.TRANSLATE(O133,,"zh-Hans"),""))</f>
        <v/>
      </c>
      <c r="AF133" s="61" t="str">
        <f t="shared" ref="AF133:AF196" si="44">IF(O133="","",IFERROR(_xlfn.TRANSLATE(O133,,"vi"),""))</f>
        <v/>
      </c>
      <c r="AG133" s="61" t="str">
        <f t="shared" ref="AG133:AG196" si="45">IF(P133="","",IFERROR(_xlfn.TRANSLATE(P133,,"ja"),""))</f>
        <v/>
      </c>
      <c r="AH133" s="61" t="str">
        <f t="shared" ref="AH133:AH196" si="46">IF(P133="","",IFERROR(_xlfn.TRANSLATE(P133,,"zh-Hans"),""))</f>
        <v/>
      </c>
      <c r="AI133" s="61" t="str">
        <f t="shared" ref="AI133:AI196" si="47">IF(P133="","",IFERROR(_xlfn.TRANSLATE(P133,,"vi"),""))</f>
        <v/>
      </c>
    </row>
    <row r="134" spans="1:35" x14ac:dyDescent="0.25">
      <c r="A134" s="36"/>
      <c r="B134" s="37"/>
      <c r="C134" s="37"/>
      <c r="D134" s="37"/>
      <c r="E134" s="37"/>
      <c r="F134" s="37"/>
      <c r="G134" s="37"/>
      <c r="H134" s="37"/>
      <c r="I134" s="37"/>
      <c r="J134" s="38"/>
      <c r="K134" s="38"/>
      <c r="L134" s="37"/>
      <c r="M134" s="37"/>
      <c r="N134" s="37"/>
      <c r="O134" s="37"/>
      <c r="P134" s="37"/>
      <c r="Q134" s="37"/>
      <c r="R134" s="13" t="str">
        <f t="shared" ca="1" si="32"/>
        <v/>
      </c>
      <c r="S134" s="13" t="str">
        <f ca="1">IF(A134="","",IF(OR(M134='02_マスタ'!$E$10,M134='02_マスタ'!$E$12),"",IF(L134="High","High",IF(AND(K134&lt;&gt;"",K134&lt;TODAY()),INDEX(_ゴミ箱_Backup!$B$117:$D$247,MATCH("ALERT_OVERDUE",_ゴミ箱_Backup!$A$117:$A$247,0),MATCH(言語切替!$B$3,_ゴミ箱_Backup!$B$1:$D$1,0)),IF(AND(K134&lt;&gt;"",K134-TODAY()&lt;=7),INDEX(_ゴミ箱_Backup!$B$117:$D$247,MATCH("ALERT_APPROACHING",_ゴミ箱_Backup!$A$117:$A$247,0),MATCH(言語切替!$B$3,_ゴミ箱_Backup!$B$1:$D$1,0)),IF(OR(M134='02_マスタ'!$E$7,M134='02_マスタ'!$E$8),INDEX(_ゴミ箱_Backup!$B$117:$D$247,MATCH("ALERT_CHECK",_ゴミ箱_Backup!$A$117:$A$247,0),MATCH(言語切替!$B$3,_ゴミ箱_Backup!$B$1:$D$1,0)),""))))))</f>
        <v/>
      </c>
      <c r="T134" s="53"/>
      <c r="U134" s="61" t="str">
        <f t="shared" si="33"/>
        <v/>
      </c>
      <c r="V134" s="61" t="str">
        <f t="shared" si="34"/>
        <v/>
      </c>
      <c r="W134" s="61" t="str">
        <f t="shared" si="35"/>
        <v/>
      </c>
      <c r="X134" s="61" t="str">
        <f t="shared" si="36"/>
        <v/>
      </c>
      <c r="Y134" s="61" t="str">
        <f t="shared" si="37"/>
        <v/>
      </c>
      <c r="Z134" s="61" t="str">
        <f t="shared" si="38"/>
        <v/>
      </c>
      <c r="AA134" s="61" t="str">
        <f t="shared" si="39"/>
        <v/>
      </c>
      <c r="AB134" s="61" t="str">
        <f t="shared" si="40"/>
        <v/>
      </c>
      <c r="AC134" s="61" t="str">
        <f t="shared" si="41"/>
        <v/>
      </c>
      <c r="AD134" s="61" t="str">
        <f t="shared" si="42"/>
        <v/>
      </c>
      <c r="AE134" s="61" t="str">
        <f t="shared" si="43"/>
        <v/>
      </c>
      <c r="AF134" s="61" t="str">
        <f t="shared" si="44"/>
        <v/>
      </c>
      <c r="AG134" s="61" t="str">
        <f t="shared" si="45"/>
        <v/>
      </c>
      <c r="AH134" s="61" t="str">
        <f t="shared" si="46"/>
        <v/>
      </c>
      <c r="AI134" s="61" t="str">
        <f t="shared" si="47"/>
        <v/>
      </c>
    </row>
    <row r="135" spans="1:35" x14ac:dyDescent="0.25">
      <c r="A135" s="40"/>
      <c r="B135" s="41"/>
      <c r="C135" s="41"/>
      <c r="D135" s="41"/>
      <c r="E135" s="41"/>
      <c r="F135" s="41"/>
      <c r="G135" s="41"/>
      <c r="H135" s="41"/>
      <c r="I135" s="41"/>
      <c r="J135" s="42"/>
      <c r="K135" s="42"/>
      <c r="L135" s="41"/>
      <c r="M135" s="41"/>
      <c r="N135" s="41"/>
      <c r="O135" s="41"/>
      <c r="P135" s="41"/>
      <c r="Q135" s="41"/>
      <c r="R135" s="16" t="str">
        <f t="shared" ca="1" si="32"/>
        <v/>
      </c>
      <c r="S135" s="16" t="str">
        <f ca="1">IF(A135="","",IF(OR(M135='02_マスタ'!$E$10,M135='02_マスタ'!$E$12),"",IF(L135="High","High",IF(AND(K135&lt;&gt;"",K135&lt;TODAY()),INDEX(_ゴミ箱_Backup!$B$117:$D$247,MATCH("ALERT_OVERDUE",_ゴミ箱_Backup!$A$117:$A$247,0),MATCH(言語切替!$B$3,_ゴミ箱_Backup!$B$1:$D$1,0)),IF(AND(K135&lt;&gt;"",K135-TODAY()&lt;=7),INDEX(_ゴミ箱_Backup!$B$117:$D$247,MATCH("ALERT_APPROACHING",_ゴミ箱_Backup!$A$117:$A$247,0),MATCH(言語切替!$B$3,_ゴミ箱_Backup!$B$1:$D$1,0)),IF(OR(M135='02_マスタ'!$E$7,M135='02_マスタ'!$E$8),INDEX(_ゴミ箱_Backup!$B$117:$D$247,MATCH("ALERT_CHECK",_ゴミ箱_Backup!$A$117:$A$247,0),MATCH(言語切替!$B$3,_ゴミ箱_Backup!$B$1:$D$1,0)),""))))))</f>
        <v/>
      </c>
      <c r="T135" s="52"/>
      <c r="U135" s="61" t="str">
        <f t="shared" si="33"/>
        <v/>
      </c>
      <c r="V135" s="61" t="str">
        <f t="shared" si="34"/>
        <v/>
      </c>
      <c r="W135" s="61" t="str">
        <f t="shared" si="35"/>
        <v/>
      </c>
      <c r="X135" s="61" t="str">
        <f t="shared" si="36"/>
        <v/>
      </c>
      <c r="Y135" s="61" t="str">
        <f t="shared" si="37"/>
        <v/>
      </c>
      <c r="Z135" s="61" t="str">
        <f t="shared" si="38"/>
        <v/>
      </c>
      <c r="AA135" s="61" t="str">
        <f t="shared" si="39"/>
        <v/>
      </c>
      <c r="AB135" s="61" t="str">
        <f t="shared" si="40"/>
        <v/>
      </c>
      <c r="AC135" s="61" t="str">
        <f t="shared" si="41"/>
        <v/>
      </c>
      <c r="AD135" s="61" t="str">
        <f t="shared" si="42"/>
        <v/>
      </c>
      <c r="AE135" s="61" t="str">
        <f t="shared" si="43"/>
        <v/>
      </c>
      <c r="AF135" s="61" t="str">
        <f t="shared" si="44"/>
        <v/>
      </c>
      <c r="AG135" s="61" t="str">
        <f t="shared" si="45"/>
        <v/>
      </c>
      <c r="AH135" s="61" t="str">
        <f t="shared" si="46"/>
        <v/>
      </c>
      <c r="AI135" s="61" t="str">
        <f t="shared" si="47"/>
        <v/>
      </c>
    </row>
    <row r="136" spans="1:35" x14ac:dyDescent="0.25">
      <c r="A136" s="36"/>
      <c r="B136" s="37"/>
      <c r="C136" s="37"/>
      <c r="D136" s="37"/>
      <c r="E136" s="37"/>
      <c r="F136" s="37"/>
      <c r="G136" s="37"/>
      <c r="H136" s="37"/>
      <c r="I136" s="37"/>
      <c r="J136" s="38"/>
      <c r="K136" s="38"/>
      <c r="L136" s="37"/>
      <c r="M136" s="37"/>
      <c r="N136" s="37"/>
      <c r="O136" s="37"/>
      <c r="P136" s="37"/>
      <c r="Q136" s="37"/>
      <c r="R136" s="13" t="str">
        <f t="shared" ca="1" si="32"/>
        <v/>
      </c>
      <c r="S136" s="13" t="str">
        <f ca="1">IF(A136="","",IF(OR(M136='02_マスタ'!$E$10,M136='02_マスタ'!$E$12),"",IF(L136="High","High",IF(AND(K136&lt;&gt;"",K136&lt;TODAY()),INDEX(_ゴミ箱_Backup!$B$117:$D$247,MATCH("ALERT_OVERDUE",_ゴミ箱_Backup!$A$117:$A$247,0),MATCH(言語切替!$B$3,_ゴミ箱_Backup!$B$1:$D$1,0)),IF(AND(K136&lt;&gt;"",K136-TODAY()&lt;=7),INDEX(_ゴミ箱_Backup!$B$117:$D$247,MATCH("ALERT_APPROACHING",_ゴミ箱_Backup!$A$117:$A$247,0),MATCH(言語切替!$B$3,_ゴミ箱_Backup!$B$1:$D$1,0)),IF(OR(M136='02_マスタ'!$E$7,M136='02_マスタ'!$E$8),INDEX(_ゴミ箱_Backup!$B$117:$D$247,MATCH("ALERT_CHECK",_ゴミ箱_Backup!$A$117:$A$247,0),MATCH(言語切替!$B$3,_ゴミ箱_Backup!$B$1:$D$1,0)),""))))))</f>
        <v/>
      </c>
      <c r="T136" s="53"/>
      <c r="U136" s="61" t="str">
        <f t="shared" si="33"/>
        <v/>
      </c>
      <c r="V136" s="61" t="str">
        <f t="shared" si="34"/>
        <v/>
      </c>
      <c r="W136" s="61" t="str">
        <f t="shared" si="35"/>
        <v/>
      </c>
      <c r="X136" s="61" t="str">
        <f t="shared" si="36"/>
        <v/>
      </c>
      <c r="Y136" s="61" t="str">
        <f t="shared" si="37"/>
        <v/>
      </c>
      <c r="Z136" s="61" t="str">
        <f t="shared" si="38"/>
        <v/>
      </c>
      <c r="AA136" s="61" t="str">
        <f t="shared" si="39"/>
        <v/>
      </c>
      <c r="AB136" s="61" t="str">
        <f t="shared" si="40"/>
        <v/>
      </c>
      <c r="AC136" s="61" t="str">
        <f t="shared" si="41"/>
        <v/>
      </c>
      <c r="AD136" s="61" t="str">
        <f t="shared" si="42"/>
        <v/>
      </c>
      <c r="AE136" s="61" t="str">
        <f t="shared" si="43"/>
        <v/>
      </c>
      <c r="AF136" s="61" t="str">
        <f t="shared" si="44"/>
        <v/>
      </c>
      <c r="AG136" s="61" t="str">
        <f t="shared" si="45"/>
        <v/>
      </c>
      <c r="AH136" s="61" t="str">
        <f t="shared" si="46"/>
        <v/>
      </c>
      <c r="AI136" s="61" t="str">
        <f t="shared" si="47"/>
        <v/>
      </c>
    </row>
    <row r="137" spans="1:35" x14ac:dyDescent="0.25">
      <c r="A137" s="40"/>
      <c r="B137" s="41"/>
      <c r="C137" s="41"/>
      <c r="D137" s="41"/>
      <c r="E137" s="41"/>
      <c r="F137" s="41"/>
      <c r="G137" s="41"/>
      <c r="H137" s="41"/>
      <c r="I137" s="41"/>
      <c r="J137" s="42"/>
      <c r="K137" s="42"/>
      <c r="L137" s="41"/>
      <c r="M137" s="41"/>
      <c r="N137" s="41"/>
      <c r="O137" s="41"/>
      <c r="P137" s="41"/>
      <c r="Q137" s="41"/>
      <c r="R137" s="16" t="str">
        <f t="shared" ca="1" si="32"/>
        <v/>
      </c>
      <c r="S137" s="16" t="str">
        <f ca="1">IF(A137="","",IF(OR(M137='02_マスタ'!$E$10,M137='02_マスタ'!$E$12),"",IF(L137="High","High",IF(AND(K137&lt;&gt;"",K137&lt;TODAY()),INDEX(_ゴミ箱_Backup!$B$117:$D$247,MATCH("ALERT_OVERDUE",_ゴミ箱_Backup!$A$117:$A$247,0),MATCH(言語切替!$B$3,_ゴミ箱_Backup!$B$1:$D$1,0)),IF(AND(K137&lt;&gt;"",K137-TODAY()&lt;=7),INDEX(_ゴミ箱_Backup!$B$117:$D$247,MATCH("ALERT_APPROACHING",_ゴミ箱_Backup!$A$117:$A$247,0),MATCH(言語切替!$B$3,_ゴミ箱_Backup!$B$1:$D$1,0)),IF(OR(M137='02_マスタ'!$E$7,M137='02_マスタ'!$E$8),INDEX(_ゴミ箱_Backup!$B$117:$D$247,MATCH("ALERT_CHECK",_ゴミ箱_Backup!$A$117:$A$247,0),MATCH(言語切替!$B$3,_ゴミ箱_Backup!$B$1:$D$1,0)),""))))))</f>
        <v/>
      </c>
      <c r="T137" s="52"/>
      <c r="U137" s="61" t="str">
        <f t="shared" si="33"/>
        <v/>
      </c>
      <c r="V137" s="61" t="str">
        <f t="shared" si="34"/>
        <v/>
      </c>
      <c r="W137" s="61" t="str">
        <f t="shared" si="35"/>
        <v/>
      </c>
      <c r="X137" s="61" t="str">
        <f t="shared" si="36"/>
        <v/>
      </c>
      <c r="Y137" s="61" t="str">
        <f t="shared" si="37"/>
        <v/>
      </c>
      <c r="Z137" s="61" t="str">
        <f t="shared" si="38"/>
        <v/>
      </c>
      <c r="AA137" s="61" t="str">
        <f t="shared" si="39"/>
        <v/>
      </c>
      <c r="AB137" s="61" t="str">
        <f t="shared" si="40"/>
        <v/>
      </c>
      <c r="AC137" s="61" t="str">
        <f t="shared" si="41"/>
        <v/>
      </c>
      <c r="AD137" s="61" t="str">
        <f t="shared" si="42"/>
        <v/>
      </c>
      <c r="AE137" s="61" t="str">
        <f t="shared" si="43"/>
        <v/>
      </c>
      <c r="AF137" s="61" t="str">
        <f t="shared" si="44"/>
        <v/>
      </c>
      <c r="AG137" s="61" t="str">
        <f t="shared" si="45"/>
        <v/>
      </c>
      <c r="AH137" s="61" t="str">
        <f t="shared" si="46"/>
        <v/>
      </c>
      <c r="AI137" s="61" t="str">
        <f t="shared" si="47"/>
        <v/>
      </c>
    </row>
    <row r="138" spans="1:35" x14ac:dyDescent="0.25">
      <c r="A138" s="36"/>
      <c r="B138" s="37"/>
      <c r="C138" s="37"/>
      <c r="D138" s="37"/>
      <c r="E138" s="37"/>
      <c r="F138" s="37"/>
      <c r="G138" s="37"/>
      <c r="H138" s="37"/>
      <c r="I138" s="37"/>
      <c r="J138" s="38"/>
      <c r="K138" s="38"/>
      <c r="L138" s="37"/>
      <c r="M138" s="37"/>
      <c r="N138" s="37"/>
      <c r="O138" s="37"/>
      <c r="P138" s="37"/>
      <c r="Q138" s="37"/>
      <c r="R138" s="13" t="str">
        <f t="shared" ca="1" si="32"/>
        <v/>
      </c>
      <c r="S138" s="13" t="str">
        <f ca="1">IF(A138="","",IF(OR(M138='02_マスタ'!$E$10,M138='02_マスタ'!$E$12),"",IF(L138="High","High",IF(AND(K138&lt;&gt;"",K138&lt;TODAY()),INDEX(_ゴミ箱_Backup!$B$117:$D$247,MATCH("ALERT_OVERDUE",_ゴミ箱_Backup!$A$117:$A$247,0),MATCH(言語切替!$B$3,_ゴミ箱_Backup!$B$1:$D$1,0)),IF(AND(K138&lt;&gt;"",K138-TODAY()&lt;=7),INDEX(_ゴミ箱_Backup!$B$117:$D$247,MATCH("ALERT_APPROACHING",_ゴミ箱_Backup!$A$117:$A$247,0),MATCH(言語切替!$B$3,_ゴミ箱_Backup!$B$1:$D$1,0)),IF(OR(M138='02_マスタ'!$E$7,M138='02_マスタ'!$E$8),INDEX(_ゴミ箱_Backup!$B$117:$D$247,MATCH("ALERT_CHECK",_ゴミ箱_Backup!$A$117:$A$247,0),MATCH(言語切替!$B$3,_ゴミ箱_Backup!$B$1:$D$1,0)),""))))))</f>
        <v/>
      </c>
      <c r="T138" s="53"/>
      <c r="U138" s="61" t="str">
        <f t="shared" si="33"/>
        <v/>
      </c>
      <c r="V138" s="61" t="str">
        <f t="shared" si="34"/>
        <v/>
      </c>
      <c r="W138" s="61" t="str">
        <f t="shared" si="35"/>
        <v/>
      </c>
      <c r="X138" s="61" t="str">
        <f t="shared" si="36"/>
        <v/>
      </c>
      <c r="Y138" s="61" t="str">
        <f t="shared" si="37"/>
        <v/>
      </c>
      <c r="Z138" s="61" t="str">
        <f t="shared" si="38"/>
        <v/>
      </c>
      <c r="AA138" s="61" t="str">
        <f t="shared" si="39"/>
        <v/>
      </c>
      <c r="AB138" s="61" t="str">
        <f t="shared" si="40"/>
        <v/>
      </c>
      <c r="AC138" s="61" t="str">
        <f t="shared" si="41"/>
        <v/>
      </c>
      <c r="AD138" s="61" t="str">
        <f t="shared" si="42"/>
        <v/>
      </c>
      <c r="AE138" s="61" t="str">
        <f t="shared" si="43"/>
        <v/>
      </c>
      <c r="AF138" s="61" t="str">
        <f t="shared" si="44"/>
        <v/>
      </c>
      <c r="AG138" s="61" t="str">
        <f t="shared" si="45"/>
        <v/>
      </c>
      <c r="AH138" s="61" t="str">
        <f t="shared" si="46"/>
        <v/>
      </c>
      <c r="AI138" s="61" t="str">
        <f t="shared" si="47"/>
        <v/>
      </c>
    </row>
    <row r="139" spans="1:35" x14ac:dyDescent="0.25">
      <c r="A139" s="40"/>
      <c r="B139" s="41"/>
      <c r="C139" s="41"/>
      <c r="D139" s="41"/>
      <c r="E139" s="41"/>
      <c r="F139" s="41"/>
      <c r="G139" s="41"/>
      <c r="H139" s="41"/>
      <c r="I139" s="41"/>
      <c r="J139" s="42"/>
      <c r="K139" s="42"/>
      <c r="L139" s="41"/>
      <c r="M139" s="41"/>
      <c r="N139" s="41"/>
      <c r="O139" s="41"/>
      <c r="P139" s="41"/>
      <c r="Q139" s="41"/>
      <c r="R139" s="16" t="str">
        <f t="shared" ca="1" si="32"/>
        <v/>
      </c>
      <c r="S139" s="16" t="str">
        <f ca="1">IF(A139="","",IF(OR(M139='02_マスタ'!$E$10,M139='02_マスタ'!$E$12),"",IF(L139="High","High",IF(AND(K139&lt;&gt;"",K139&lt;TODAY()),INDEX(_ゴミ箱_Backup!$B$117:$D$247,MATCH("ALERT_OVERDUE",_ゴミ箱_Backup!$A$117:$A$247,0),MATCH(言語切替!$B$3,_ゴミ箱_Backup!$B$1:$D$1,0)),IF(AND(K139&lt;&gt;"",K139-TODAY()&lt;=7),INDEX(_ゴミ箱_Backup!$B$117:$D$247,MATCH("ALERT_APPROACHING",_ゴミ箱_Backup!$A$117:$A$247,0),MATCH(言語切替!$B$3,_ゴミ箱_Backup!$B$1:$D$1,0)),IF(OR(M139='02_マスタ'!$E$7,M139='02_マスタ'!$E$8),INDEX(_ゴミ箱_Backup!$B$117:$D$247,MATCH("ALERT_CHECK",_ゴミ箱_Backup!$A$117:$A$247,0),MATCH(言語切替!$B$3,_ゴミ箱_Backup!$B$1:$D$1,0)),""))))))</f>
        <v/>
      </c>
      <c r="T139" s="52"/>
      <c r="U139" s="61" t="str">
        <f t="shared" si="33"/>
        <v/>
      </c>
      <c r="V139" s="61" t="str">
        <f t="shared" si="34"/>
        <v/>
      </c>
      <c r="W139" s="61" t="str">
        <f t="shared" si="35"/>
        <v/>
      </c>
      <c r="X139" s="61" t="str">
        <f t="shared" si="36"/>
        <v/>
      </c>
      <c r="Y139" s="61" t="str">
        <f t="shared" si="37"/>
        <v/>
      </c>
      <c r="Z139" s="61" t="str">
        <f t="shared" si="38"/>
        <v/>
      </c>
      <c r="AA139" s="61" t="str">
        <f t="shared" si="39"/>
        <v/>
      </c>
      <c r="AB139" s="61" t="str">
        <f t="shared" si="40"/>
        <v/>
      </c>
      <c r="AC139" s="61" t="str">
        <f t="shared" si="41"/>
        <v/>
      </c>
      <c r="AD139" s="61" t="str">
        <f t="shared" si="42"/>
        <v/>
      </c>
      <c r="AE139" s="61" t="str">
        <f t="shared" si="43"/>
        <v/>
      </c>
      <c r="AF139" s="61" t="str">
        <f t="shared" si="44"/>
        <v/>
      </c>
      <c r="AG139" s="61" t="str">
        <f t="shared" si="45"/>
        <v/>
      </c>
      <c r="AH139" s="61" t="str">
        <f t="shared" si="46"/>
        <v/>
      </c>
      <c r="AI139" s="61" t="str">
        <f t="shared" si="47"/>
        <v/>
      </c>
    </row>
    <row r="140" spans="1:35" x14ac:dyDescent="0.25">
      <c r="A140" s="36"/>
      <c r="B140" s="37"/>
      <c r="C140" s="37"/>
      <c r="D140" s="37"/>
      <c r="E140" s="37"/>
      <c r="F140" s="37"/>
      <c r="G140" s="37"/>
      <c r="H140" s="37"/>
      <c r="I140" s="37"/>
      <c r="J140" s="38"/>
      <c r="K140" s="38"/>
      <c r="L140" s="37"/>
      <c r="M140" s="37"/>
      <c r="N140" s="37"/>
      <c r="O140" s="37"/>
      <c r="P140" s="37"/>
      <c r="Q140" s="37"/>
      <c r="R140" s="13" t="str">
        <f t="shared" ca="1" si="32"/>
        <v/>
      </c>
      <c r="S140" s="13" t="str">
        <f ca="1">IF(A140="","",IF(OR(M140='02_マスタ'!$E$10,M140='02_マスタ'!$E$12),"",IF(L140="High","High",IF(AND(K140&lt;&gt;"",K140&lt;TODAY()),INDEX(_ゴミ箱_Backup!$B$117:$D$247,MATCH("ALERT_OVERDUE",_ゴミ箱_Backup!$A$117:$A$247,0),MATCH(言語切替!$B$3,_ゴミ箱_Backup!$B$1:$D$1,0)),IF(AND(K140&lt;&gt;"",K140-TODAY()&lt;=7),INDEX(_ゴミ箱_Backup!$B$117:$D$247,MATCH("ALERT_APPROACHING",_ゴミ箱_Backup!$A$117:$A$247,0),MATCH(言語切替!$B$3,_ゴミ箱_Backup!$B$1:$D$1,0)),IF(OR(M140='02_マスタ'!$E$7,M140='02_マスタ'!$E$8),INDEX(_ゴミ箱_Backup!$B$117:$D$247,MATCH("ALERT_CHECK",_ゴミ箱_Backup!$A$117:$A$247,0),MATCH(言語切替!$B$3,_ゴミ箱_Backup!$B$1:$D$1,0)),""))))))</f>
        <v/>
      </c>
      <c r="T140" s="53"/>
      <c r="U140" s="61" t="str">
        <f t="shared" si="33"/>
        <v/>
      </c>
      <c r="V140" s="61" t="str">
        <f t="shared" si="34"/>
        <v/>
      </c>
      <c r="W140" s="61" t="str">
        <f t="shared" si="35"/>
        <v/>
      </c>
      <c r="X140" s="61" t="str">
        <f t="shared" si="36"/>
        <v/>
      </c>
      <c r="Y140" s="61" t="str">
        <f t="shared" si="37"/>
        <v/>
      </c>
      <c r="Z140" s="61" t="str">
        <f t="shared" si="38"/>
        <v/>
      </c>
      <c r="AA140" s="61" t="str">
        <f t="shared" si="39"/>
        <v/>
      </c>
      <c r="AB140" s="61" t="str">
        <f t="shared" si="40"/>
        <v/>
      </c>
      <c r="AC140" s="61" t="str">
        <f t="shared" si="41"/>
        <v/>
      </c>
      <c r="AD140" s="61" t="str">
        <f t="shared" si="42"/>
        <v/>
      </c>
      <c r="AE140" s="61" t="str">
        <f t="shared" si="43"/>
        <v/>
      </c>
      <c r="AF140" s="61" t="str">
        <f t="shared" si="44"/>
        <v/>
      </c>
      <c r="AG140" s="61" t="str">
        <f t="shared" si="45"/>
        <v/>
      </c>
      <c r="AH140" s="61" t="str">
        <f t="shared" si="46"/>
        <v/>
      </c>
      <c r="AI140" s="61" t="str">
        <f t="shared" si="47"/>
        <v/>
      </c>
    </row>
    <row r="141" spans="1:35" x14ac:dyDescent="0.25">
      <c r="A141" s="40"/>
      <c r="B141" s="41"/>
      <c r="C141" s="41"/>
      <c r="D141" s="41"/>
      <c r="E141" s="41"/>
      <c r="F141" s="41"/>
      <c r="G141" s="41"/>
      <c r="H141" s="41"/>
      <c r="I141" s="41"/>
      <c r="J141" s="42"/>
      <c r="K141" s="42"/>
      <c r="L141" s="41"/>
      <c r="M141" s="41"/>
      <c r="N141" s="41"/>
      <c r="O141" s="41"/>
      <c r="P141" s="41"/>
      <c r="Q141" s="41"/>
      <c r="R141" s="16" t="str">
        <f t="shared" ca="1" si="32"/>
        <v/>
      </c>
      <c r="S141" s="16" t="str">
        <f ca="1">IF(A141="","",IF(OR(M141='02_マスタ'!$E$10,M141='02_マスタ'!$E$12),"",IF(L141="High","High",IF(AND(K141&lt;&gt;"",K141&lt;TODAY()),INDEX(_ゴミ箱_Backup!$B$117:$D$247,MATCH("ALERT_OVERDUE",_ゴミ箱_Backup!$A$117:$A$247,0),MATCH(言語切替!$B$3,_ゴミ箱_Backup!$B$1:$D$1,0)),IF(AND(K141&lt;&gt;"",K141-TODAY()&lt;=7),INDEX(_ゴミ箱_Backup!$B$117:$D$247,MATCH("ALERT_APPROACHING",_ゴミ箱_Backup!$A$117:$A$247,0),MATCH(言語切替!$B$3,_ゴミ箱_Backup!$B$1:$D$1,0)),IF(OR(M141='02_マスタ'!$E$7,M141='02_マスタ'!$E$8),INDEX(_ゴミ箱_Backup!$B$117:$D$247,MATCH("ALERT_CHECK",_ゴミ箱_Backup!$A$117:$A$247,0),MATCH(言語切替!$B$3,_ゴミ箱_Backup!$B$1:$D$1,0)),""))))))</f>
        <v/>
      </c>
      <c r="T141" s="52"/>
      <c r="U141" s="61" t="str">
        <f t="shared" si="33"/>
        <v/>
      </c>
      <c r="V141" s="61" t="str">
        <f t="shared" si="34"/>
        <v/>
      </c>
      <c r="W141" s="61" t="str">
        <f t="shared" si="35"/>
        <v/>
      </c>
      <c r="X141" s="61" t="str">
        <f t="shared" si="36"/>
        <v/>
      </c>
      <c r="Y141" s="61" t="str">
        <f t="shared" si="37"/>
        <v/>
      </c>
      <c r="Z141" s="61" t="str">
        <f t="shared" si="38"/>
        <v/>
      </c>
      <c r="AA141" s="61" t="str">
        <f t="shared" si="39"/>
        <v/>
      </c>
      <c r="AB141" s="61" t="str">
        <f t="shared" si="40"/>
        <v/>
      </c>
      <c r="AC141" s="61" t="str">
        <f t="shared" si="41"/>
        <v/>
      </c>
      <c r="AD141" s="61" t="str">
        <f t="shared" si="42"/>
        <v/>
      </c>
      <c r="AE141" s="61" t="str">
        <f t="shared" si="43"/>
        <v/>
      </c>
      <c r="AF141" s="61" t="str">
        <f t="shared" si="44"/>
        <v/>
      </c>
      <c r="AG141" s="61" t="str">
        <f t="shared" si="45"/>
        <v/>
      </c>
      <c r="AH141" s="61" t="str">
        <f t="shared" si="46"/>
        <v/>
      </c>
      <c r="AI141" s="61" t="str">
        <f t="shared" si="47"/>
        <v/>
      </c>
    </row>
    <row r="142" spans="1:35" x14ac:dyDescent="0.25">
      <c r="A142" s="36"/>
      <c r="B142" s="37"/>
      <c r="C142" s="37"/>
      <c r="D142" s="37"/>
      <c r="E142" s="37"/>
      <c r="F142" s="37"/>
      <c r="G142" s="37"/>
      <c r="H142" s="37"/>
      <c r="I142" s="37"/>
      <c r="J142" s="38"/>
      <c r="K142" s="38"/>
      <c r="L142" s="37"/>
      <c r="M142" s="37"/>
      <c r="N142" s="37"/>
      <c r="O142" s="37"/>
      <c r="P142" s="37"/>
      <c r="Q142" s="37"/>
      <c r="R142" s="13" t="str">
        <f t="shared" ca="1" si="32"/>
        <v/>
      </c>
      <c r="S142" s="13" t="str">
        <f ca="1">IF(A142="","",IF(OR(M142='02_マスタ'!$E$10,M142='02_マスタ'!$E$12),"",IF(L142="High","High",IF(AND(K142&lt;&gt;"",K142&lt;TODAY()),INDEX(_ゴミ箱_Backup!$B$117:$D$247,MATCH("ALERT_OVERDUE",_ゴミ箱_Backup!$A$117:$A$247,0),MATCH(言語切替!$B$3,_ゴミ箱_Backup!$B$1:$D$1,0)),IF(AND(K142&lt;&gt;"",K142-TODAY()&lt;=7),INDEX(_ゴミ箱_Backup!$B$117:$D$247,MATCH("ALERT_APPROACHING",_ゴミ箱_Backup!$A$117:$A$247,0),MATCH(言語切替!$B$3,_ゴミ箱_Backup!$B$1:$D$1,0)),IF(OR(M142='02_マスタ'!$E$7,M142='02_マスタ'!$E$8),INDEX(_ゴミ箱_Backup!$B$117:$D$247,MATCH("ALERT_CHECK",_ゴミ箱_Backup!$A$117:$A$247,0),MATCH(言語切替!$B$3,_ゴミ箱_Backup!$B$1:$D$1,0)),""))))))</f>
        <v/>
      </c>
      <c r="T142" s="53"/>
      <c r="U142" s="61" t="str">
        <f t="shared" si="33"/>
        <v/>
      </c>
      <c r="V142" s="61" t="str">
        <f t="shared" si="34"/>
        <v/>
      </c>
      <c r="W142" s="61" t="str">
        <f t="shared" si="35"/>
        <v/>
      </c>
      <c r="X142" s="61" t="str">
        <f t="shared" si="36"/>
        <v/>
      </c>
      <c r="Y142" s="61" t="str">
        <f t="shared" si="37"/>
        <v/>
      </c>
      <c r="Z142" s="61" t="str">
        <f t="shared" si="38"/>
        <v/>
      </c>
      <c r="AA142" s="61" t="str">
        <f t="shared" si="39"/>
        <v/>
      </c>
      <c r="AB142" s="61" t="str">
        <f t="shared" si="40"/>
        <v/>
      </c>
      <c r="AC142" s="61" t="str">
        <f t="shared" si="41"/>
        <v/>
      </c>
      <c r="AD142" s="61" t="str">
        <f t="shared" si="42"/>
        <v/>
      </c>
      <c r="AE142" s="61" t="str">
        <f t="shared" si="43"/>
        <v/>
      </c>
      <c r="AF142" s="61" t="str">
        <f t="shared" si="44"/>
        <v/>
      </c>
      <c r="AG142" s="61" t="str">
        <f t="shared" si="45"/>
        <v/>
      </c>
      <c r="AH142" s="61" t="str">
        <f t="shared" si="46"/>
        <v/>
      </c>
      <c r="AI142" s="61" t="str">
        <f t="shared" si="47"/>
        <v/>
      </c>
    </row>
    <row r="143" spans="1:35" x14ac:dyDescent="0.25">
      <c r="A143" s="40"/>
      <c r="B143" s="41"/>
      <c r="C143" s="41"/>
      <c r="D143" s="41"/>
      <c r="E143" s="41"/>
      <c r="F143" s="41"/>
      <c r="G143" s="41"/>
      <c r="H143" s="41"/>
      <c r="I143" s="41"/>
      <c r="J143" s="42"/>
      <c r="K143" s="42"/>
      <c r="L143" s="41"/>
      <c r="M143" s="41"/>
      <c r="N143" s="41"/>
      <c r="O143" s="41"/>
      <c r="P143" s="41"/>
      <c r="Q143" s="41"/>
      <c r="R143" s="16" t="str">
        <f t="shared" ca="1" si="32"/>
        <v/>
      </c>
      <c r="S143" s="16" t="str">
        <f ca="1">IF(A143="","",IF(OR(M143='02_マスタ'!$E$10,M143='02_マスタ'!$E$12),"",IF(L143="High","High",IF(AND(K143&lt;&gt;"",K143&lt;TODAY()),INDEX(_ゴミ箱_Backup!$B$117:$D$247,MATCH("ALERT_OVERDUE",_ゴミ箱_Backup!$A$117:$A$247,0),MATCH(言語切替!$B$3,_ゴミ箱_Backup!$B$1:$D$1,0)),IF(AND(K143&lt;&gt;"",K143-TODAY()&lt;=7),INDEX(_ゴミ箱_Backup!$B$117:$D$247,MATCH("ALERT_APPROACHING",_ゴミ箱_Backup!$A$117:$A$247,0),MATCH(言語切替!$B$3,_ゴミ箱_Backup!$B$1:$D$1,0)),IF(OR(M143='02_マスタ'!$E$7,M143='02_マスタ'!$E$8),INDEX(_ゴミ箱_Backup!$B$117:$D$247,MATCH("ALERT_CHECK",_ゴミ箱_Backup!$A$117:$A$247,0),MATCH(言語切替!$B$3,_ゴミ箱_Backup!$B$1:$D$1,0)),""))))))</f>
        <v/>
      </c>
      <c r="T143" s="52"/>
      <c r="U143" s="61" t="str">
        <f t="shared" si="33"/>
        <v/>
      </c>
      <c r="V143" s="61" t="str">
        <f t="shared" si="34"/>
        <v/>
      </c>
      <c r="W143" s="61" t="str">
        <f t="shared" si="35"/>
        <v/>
      </c>
      <c r="X143" s="61" t="str">
        <f t="shared" si="36"/>
        <v/>
      </c>
      <c r="Y143" s="61" t="str">
        <f t="shared" si="37"/>
        <v/>
      </c>
      <c r="Z143" s="61" t="str">
        <f t="shared" si="38"/>
        <v/>
      </c>
      <c r="AA143" s="61" t="str">
        <f t="shared" si="39"/>
        <v/>
      </c>
      <c r="AB143" s="61" t="str">
        <f t="shared" si="40"/>
        <v/>
      </c>
      <c r="AC143" s="61" t="str">
        <f t="shared" si="41"/>
        <v/>
      </c>
      <c r="AD143" s="61" t="str">
        <f t="shared" si="42"/>
        <v/>
      </c>
      <c r="AE143" s="61" t="str">
        <f t="shared" si="43"/>
        <v/>
      </c>
      <c r="AF143" s="61" t="str">
        <f t="shared" si="44"/>
        <v/>
      </c>
      <c r="AG143" s="61" t="str">
        <f t="shared" si="45"/>
        <v/>
      </c>
      <c r="AH143" s="61" t="str">
        <f t="shared" si="46"/>
        <v/>
      </c>
      <c r="AI143" s="61" t="str">
        <f t="shared" si="47"/>
        <v/>
      </c>
    </row>
    <row r="144" spans="1:35" x14ac:dyDescent="0.25">
      <c r="A144" s="36"/>
      <c r="B144" s="37"/>
      <c r="C144" s="37"/>
      <c r="D144" s="37"/>
      <c r="E144" s="37"/>
      <c r="F144" s="37"/>
      <c r="G144" s="37"/>
      <c r="H144" s="37"/>
      <c r="I144" s="37"/>
      <c r="J144" s="38"/>
      <c r="K144" s="38"/>
      <c r="L144" s="37"/>
      <c r="M144" s="37"/>
      <c r="N144" s="37"/>
      <c r="O144" s="37"/>
      <c r="P144" s="37"/>
      <c r="Q144" s="37"/>
      <c r="R144" s="13" t="str">
        <f t="shared" ca="1" si="32"/>
        <v/>
      </c>
      <c r="S144" s="13" t="str">
        <f ca="1">IF(A144="","",IF(OR(M144='02_マスタ'!$E$10,M144='02_マスタ'!$E$12),"",IF(L144="High","High",IF(AND(K144&lt;&gt;"",K144&lt;TODAY()),INDEX(_ゴミ箱_Backup!$B$117:$D$247,MATCH("ALERT_OVERDUE",_ゴミ箱_Backup!$A$117:$A$247,0),MATCH(言語切替!$B$3,_ゴミ箱_Backup!$B$1:$D$1,0)),IF(AND(K144&lt;&gt;"",K144-TODAY()&lt;=7),INDEX(_ゴミ箱_Backup!$B$117:$D$247,MATCH("ALERT_APPROACHING",_ゴミ箱_Backup!$A$117:$A$247,0),MATCH(言語切替!$B$3,_ゴミ箱_Backup!$B$1:$D$1,0)),IF(OR(M144='02_マスタ'!$E$7,M144='02_マスタ'!$E$8),INDEX(_ゴミ箱_Backup!$B$117:$D$247,MATCH("ALERT_CHECK",_ゴミ箱_Backup!$A$117:$A$247,0),MATCH(言語切替!$B$3,_ゴミ箱_Backup!$B$1:$D$1,0)),""))))))</f>
        <v/>
      </c>
      <c r="T144" s="53"/>
      <c r="U144" s="61" t="str">
        <f t="shared" si="33"/>
        <v/>
      </c>
      <c r="V144" s="61" t="str">
        <f t="shared" si="34"/>
        <v/>
      </c>
      <c r="W144" s="61" t="str">
        <f t="shared" si="35"/>
        <v/>
      </c>
      <c r="X144" s="61" t="str">
        <f t="shared" si="36"/>
        <v/>
      </c>
      <c r="Y144" s="61" t="str">
        <f t="shared" si="37"/>
        <v/>
      </c>
      <c r="Z144" s="61" t="str">
        <f t="shared" si="38"/>
        <v/>
      </c>
      <c r="AA144" s="61" t="str">
        <f t="shared" si="39"/>
        <v/>
      </c>
      <c r="AB144" s="61" t="str">
        <f t="shared" si="40"/>
        <v/>
      </c>
      <c r="AC144" s="61" t="str">
        <f t="shared" si="41"/>
        <v/>
      </c>
      <c r="AD144" s="61" t="str">
        <f t="shared" si="42"/>
        <v/>
      </c>
      <c r="AE144" s="61" t="str">
        <f t="shared" si="43"/>
        <v/>
      </c>
      <c r="AF144" s="61" t="str">
        <f t="shared" si="44"/>
        <v/>
      </c>
      <c r="AG144" s="61" t="str">
        <f t="shared" si="45"/>
        <v/>
      </c>
      <c r="AH144" s="61" t="str">
        <f t="shared" si="46"/>
        <v/>
      </c>
      <c r="AI144" s="61" t="str">
        <f t="shared" si="47"/>
        <v/>
      </c>
    </row>
    <row r="145" spans="1:35" x14ac:dyDescent="0.25">
      <c r="A145" s="40"/>
      <c r="B145" s="41"/>
      <c r="C145" s="41"/>
      <c r="D145" s="41"/>
      <c r="E145" s="41"/>
      <c r="F145" s="41"/>
      <c r="G145" s="41"/>
      <c r="H145" s="41"/>
      <c r="I145" s="41"/>
      <c r="J145" s="42"/>
      <c r="K145" s="42"/>
      <c r="L145" s="41"/>
      <c r="M145" s="41"/>
      <c r="N145" s="41"/>
      <c r="O145" s="41"/>
      <c r="P145" s="41"/>
      <c r="Q145" s="41"/>
      <c r="R145" s="16" t="str">
        <f t="shared" ca="1" si="32"/>
        <v/>
      </c>
      <c r="S145" s="16" t="str">
        <f ca="1">IF(A145="","",IF(OR(M145='02_マスタ'!$E$10,M145='02_マスタ'!$E$12),"",IF(L145="High","High",IF(AND(K145&lt;&gt;"",K145&lt;TODAY()),INDEX(_ゴミ箱_Backup!$B$117:$D$247,MATCH("ALERT_OVERDUE",_ゴミ箱_Backup!$A$117:$A$247,0),MATCH(言語切替!$B$3,_ゴミ箱_Backup!$B$1:$D$1,0)),IF(AND(K145&lt;&gt;"",K145-TODAY()&lt;=7),INDEX(_ゴミ箱_Backup!$B$117:$D$247,MATCH("ALERT_APPROACHING",_ゴミ箱_Backup!$A$117:$A$247,0),MATCH(言語切替!$B$3,_ゴミ箱_Backup!$B$1:$D$1,0)),IF(OR(M145='02_マスタ'!$E$7,M145='02_マスタ'!$E$8),INDEX(_ゴミ箱_Backup!$B$117:$D$247,MATCH("ALERT_CHECK",_ゴミ箱_Backup!$A$117:$A$247,0),MATCH(言語切替!$B$3,_ゴミ箱_Backup!$B$1:$D$1,0)),""))))))</f>
        <v/>
      </c>
      <c r="T145" s="52"/>
      <c r="U145" s="61" t="str">
        <f t="shared" si="33"/>
        <v/>
      </c>
      <c r="V145" s="61" t="str">
        <f t="shared" si="34"/>
        <v/>
      </c>
      <c r="W145" s="61" t="str">
        <f t="shared" si="35"/>
        <v/>
      </c>
      <c r="X145" s="61" t="str">
        <f t="shared" si="36"/>
        <v/>
      </c>
      <c r="Y145" s="61" t="str">
        <f t="shared" si="37"/>
        <v/>
      </c>
      <c r="Z145" s="61" t="str">
        <f t="shared" si="38"/>
        <v/>
      </c>
      <c r="AA145" s="61" t="str">
        <f t="shared" si="39"/>
        <v/>
      </c>
      <c r="AB145" s="61" t="str">
        <f t="shared" si="40"/>
        <v/>
      </c>
      <c r="AC145" s="61" t="str">
        <f t="shared" si="41"/>
        <v/>
      </c>
      <c r="AD145" s="61" t="str">
        <f t="shared" si="42"/>
        <v/>
      </c>
      <c r="AE145" s="61" t="str">
        <f t="shared" si="43"/>
        <v/>
      </c>
      <c r="AF145" s="61" t="str">
        <f t="shared" si="44"/>
        <v/>
      </c>
      <c r="AG145" s="61" t="str">
        <f t="shared" si="45"/>
        <v/>
      </c>
      <c r="AH145" s="61" t="str">
        <f t="shared" si="46"/>
        <v/>
      </c>
      <c r="AI145" s="61" t="str">
        <f t="shared" si="47"/>
        <v/>
      </c>
    </row>
    <row r="146" spans="1:35" x14ac:dyDescent="0.25">
      <c r="A146" s="36"/>
      <c r="B146" s="37"/>
      <c r="C146" s="37"/>
      <c r="D146" s="37"/>
      <c r="E146" s="37"/>
      <c r="F146" s="37"/>
      <c r="G146" s="37"/>
      <c r="H146" s="37"/>
      <c r="I146" s="37"/>
      <c r="J146" s="38"/>
      <c r="K146" s="38"/>
      <c r="L146" s="37"/>
      <c r="M146" s="37"/>
      <c r="N146" s="37"/>
      <c r="O146" s="37"/>
      <c r="P146" s="37"/>
      <c r="Q146" s="37"/>
      <c r="R146" s="13" t="str">
        <f t="shared" ca="1" si="32"/>
        <v/>
      </c>
      <c r="S146" s="13" t="str">
        <f ca="1">IF(A146="","",IF(OR(M146='02_マスタ'!$E$10,M146='02_マスタ'!$E$12),"",IF(L146="High","High",IF(AND(K146&lt;&gt;"",K146&lt;TODAY()),INDEX(_ゴミ箱_Backup!$B$117:$D$247,MATCH("ALERT_OVERDUE",_ゴミ箱_Backup!$A$117:$A$247,0),MATCH(言語切替!$B$3,_ゴミ箱_Backup!$B$1:$D$1,0)),IF(AND(K146&lt;&gt;"",K146-TODAY()&lt;=7),INDEX(_ゴミ箱_Backup!$B$117:$D$247,MATCH("ALERT_APPROACHING",_ゴミ箱_Backup!$A$117:$A$247,0),MATCH(言語切替!$B$3,_ゴミ箱_Backup!$B$1:$D$1,0)),IF(OR(M146='02_マスタ'!$E$7,M146='02_マスタ'!$E$8),INDEX(_ゴミ箱_Backup!$B$117:$D$247,MATCH("ALERT_CHECK",_ゴミ箱_Backup!$A$117:$A$247,0),MATCH(言語切替!$B$3,_ゴミ箱_Backup!$B$1:$D$1,0)),""))))))</f>
        <v/>
      </c>
      <c r="T146" s="53"/>
      <c r="U146" s="61" t="str">
        <f t="shared" si="33"/>
        <v/>
      </c>
      <c r="V146" s="61" t="str">
        <f t="shared" si="34"/>
        <v/>
      </c>
      <c r="W146" s="61" t="str">
        <f t="shared" si="35"/>
        <v/>
      </c>
      <c r="X146" s="61" t="str">
        <f t="shared" si="36"/>
        <v/>
      </c>
      <c r="Y146" s="61" t="str">
        <f t="shared" si="37"/>
        <v/>
      </c>
      <c r="Z146" s="61" t="str">
        <f t="shared" si="38"/>
        <v/>
      </c>
      <c r="AA146" s="61" t="str">
        <f t="shared" si="39"/>
        <v/>
      </c>
      <c r="AB146" s="61" t="str">
        <f t="shared" si="40"/>
        <v/>
      </c>
      <c r="AC146" s="61" t="str">
        <f t="shared" si="41"/>
        <v/>
      </c>
      <c r="AD146" s="61" t="str">
        <f t="shared" si="42"/>
        <v/>
      </c>
      <c r="AE146" s="61" t="str">
        <f t="shared" si="43"/>
        <v/>
      </c>
      <c r="AF146" s="61" t="str">
        <f t="shared" si="44"/>
        <v/>
      </c>
      <c r="AG146" s="61" t="str">
        <f t="shared" si="45"/>
        <v/>
      </c>
      <c r="AH146" s="61" t="str">
        <f t="shared" si="46"/>
        <v/>
      </c>
      <c r="AI146" s="61" t="str">
        <f t="shared" si="47"/>
        <v/>
      </c>
    </row>
    <row r="147" spans="1:35" x14ac:dyDescent="0.25">
      <c r="A147" s="40"/>
      <c r="B147" s="41"/>
      <c r="C147" s="41"/>
      <c r="D147" s="41"/>
      <c r="E147" s="41"/>
      <c r="F147" s="41"/>
      <c r="G147" s="41"/>
      <c r="H147" s="41"/>
      <c r="I147" s="41"/>
      <c r="J147" s="42"/>
      <c r="K147" s="42"/>
      <c r="L147" s="41"/>
      <c r="M147" s="41"/>
      <c r="N147" s="41"/>
      <c r="O147" s="41"/>
      <c r="P147" s="41"/>
      <c r="Q147" s="41"/>
      <c r="R147" s="16" t="str">
        <f t="shared" ca="1" si="32"/>
        <v/>
      </c>
      <c r="S147" s="16" t="str">
        <f ca="1">IF(A147="","",IF(OR(M147='02_マスタ'!$E$10,M147='02_マスタ'!$E$12),"",IF(L147="High","High",IF(AND(K147&lt;&gt;"",K147&lt;TODAY()),INDEX(_ゴミ箱_Backup!$B$117:$D$247,MATCH("ALERT_OVERDUE",_ゴミ箱_Backup!$A$117:$A$247,0),MATCH(言語切替!$B$3,_ゴミ箱_Backup!$B$1:$D$1,0)),IF(AND(K147&lt;&gt;"",K147-TODAY()&lt;=7),INDEX(_ゴミ箱_Backup!$B$117:$D$247,MATCH("ALERT_APPROACHING",_ゴミ箱_Backup!$A$117:$A$247,0),MATCH(言語切替!$B$3,_ゴミ箱_Backup!$B$1:$D$1,0)),IF(OR(M147='02_マスタ'!$E$7,M147='02_マスタ'!$E$8),INDEX(_ゴミ箱_Backup!$B$117:$D$247,MATCH("ALERT_CHECK",_ゴミ箱_Backup!$A$117:$A$247,0),MATCH(言語切替!$B$3,_ゴミ箱_Backup!$B$1:$D$1,0)),""))))))</f>
        <v/>
      </c>
      <c r="T147" s="52"/>
      <c r="U147" s="61" t="str">
        <f t="shared" si="33"/>
        <v/>
      </c>
      <c r="V147" s="61" t="str">
        <f t="shared" si="34"/>
        <v/>
      </c>
      <c r="W147" s="61" t="str">
        <f t="shared" si="35"/>
        <v/>
      </c>
      <c r="X147" s="61" t="str">
        <f t="shared" si="36"/>
        <v/>
      </c>
      <c r="Y147" s="61" t="str">
        <f t="shared" si="37"/>
        <v/>
      </c>
      <c r="Z147" s="61" t="str">
        <f t="shared" si="38"/>
        <v/>
      </c>
      <c r="AA147" s="61" t="str">
        <f t="shared" si="39"/>
        <v/>
      </c>
      <c r="AB147" s="61" t="str">
        <f t="shared" si="40"/>
        <v/>
      </c>
      <c r="AC147" s="61" t="str">
        <f t="shared" si="41"/>
        <v/>
      </c>
      <c r="AD147" s="61" t="str">
        <f t="shared" si="42"/>
        <v/>
      </c>
      <c r="AE147" s="61" t="str">
        <f t="shared" si="43"/>
        <v/>
      </c>
      <c r="AF147" s="61" t="str">
        <f t="shared" si="44"/>
        <v/>
      </c>
      <c r="AG147" s="61" t="str">
        <f t="shared" si="45"/>
        <v/>
      </c>
      <c r="AH147" s="61" t="str">
        <f t="shared" si="46"/>
        <v/>
      </c>
      <c r="AI147" s="61" t="str">
        <f t="shared" si="47"/>
        <v/>
      </c>
    </row>
    <row r="148" spans="1:35" x14ac:dyDescent="0.25">
      <c r="A148" s="36"/>
      <c r="B148" s="37"/>
      <c r="C148" s="37"/>
      <c r="D148" s="37"/>
      <c r="E148" s="37"/>
      <c r="F148" s="37"/>
      <c r="G148" s="37"/>
      <c r="H148" s="37"/>
      <c r="I148" s="37"/>
      <c r="J148" s="38"/>
      <c r="K148" s="38"/>
      <c r="L148" s="37"/>
      <c r="M148" s="37"/>
      <c r="N148" s="37"/>
      <c r="O148" s="37"/>
      <c r="P148" s="37"/>
      <c r="Q148" s="37"/>
      <c r="R148" s="13" t="str">
        <f t="shared" ca="1" si="32"/>
        <v/>
      </c>
      <c r="S148" s="13" t="str">
        <f ca="1">IF(A148="","",IF(OR(M148='02_マスタ'!$E$10,M148='02_マスタ'!$E$12),"",IF(L148="High","High",IF(AND(K148&lt;&gt;"",K148&lt;TODAY()),INDEX(_ゴミ箱_Backup!$B$117:$D$247,MATCH("ALERT_OVERDUE",_ゴミ箱_Backup!$A$117:$A$247,0),MATCH(言語切替!$B$3,_ゴミ箱_Backup!$B$1:$D$1,0)),IF(AND(K148&lt;&gt;"",K148-TODAY()&lt;=7),INDEX(_ゴミ箱_Backup!$B$117:$D$247,MATCH("ALERT_APPROACHING",_ゴミ箱_Backup!$A$117:$A$247,0),MATCH(言語切替!$B$3,_ゴミ箱_Backup!$B$1:$D$1,0)),IF(OR(M148='02_マスタ'!$E$7,M148='02_マスタ'!$E$8),INDEX(_ゴミ箱_Backup!$B$117:$D$247,MATCH("ALERT_CHECK",_ゴミ箱_Backup!$A$117:$A$247,0),MATCH(言語切替!$B$3,_ゴミ箱_Backup!$B$1:$D$1,0)),""))))))</f>
        <v/>
      </c>
      <c r="T148" s="53"/>
      <c r="U148" s="61" t="str">
        <f t="shared" si="33"/>
        <v/>
      </c>
      <c r="V148" s="61" t="str">
        <f t="shared" si="34"/>
        <v/>
      </c>
      <c r="W148" s="61" t="str">
        <f t="shared" si="35"/>
        <v/>
      </c>
      <c r="X148" s="61" t="str">
        <f t="shared" si="36"/>
        <v/>
      </c>
      <c r="Y148" s="61" t="str">
        <f t="shared" si="37"/>
        <v/>
      </c>
      <c r="Z148" s="61" t="str">
        <f t="shared" si="38"/>
        <v/>
      </c>
      <c r="AA148" s="61" t="str">
        <f t="shared" si="39"/>
        <v/>
      </c>
      <c r="AB148" s="61" t="str">
        <f t="shared" si="40"/>
        <v/>
      </c>
      <c r="AC148" s="61" t="str">
        <f t="shared" si="41"/>
        <v/>
      </c>
      <c r="AD148" s="61" t="str">
        <f t="shared" si="42"/>
        <v/>
      </c>
      <c r="AE148" s="61" t="str">
        <f t="shared" si="43"/>
        <v/>
      </c>
      <c r="AF148" s="61" t="str">
        <f t="shared" si="44"/>
        <v/>
      </c>
      <c r="AG148" s="61" t="str">
        <f t="shared" si="45"/>
        <v/>
      </c>
      <c r="AH148" s="61" t="str">
        <f t="shared" si="46"/>
        <v/>
      </c>
      <c r="AI148" s="61" t="str">
        <f t="shared" si="47"/>
        <v/>
      </c>
    </row>
    <row r="149" spans="1:35" x14ac:dyDescent="0.25">
      <c r="A149" s="40"/>
      <c r="B149" s="41"/>
      <c r="C149" s="41"/>
      <c r="D149" s="41"/>
      <c r="E149" s="41"/>
      <c r="F149" s="41"/>
      <c r="G149" s="41"/>
      <c r="H149" s="41"/>
      <c r="I149" s="41"/>
      <c r="J149" s="42"/>
      <c r="K149" s="42"/>
      <c r="L149" s="41"/>
      <c r="M149" s="41"/>
      <c r="N149" s="41"/>
      <c r="O149" s="41"/>
      <c r="P149" s="41"/>
      <c r="Q149" s="41"/>
      <c r="R149" s="16" t="str">
        <f t="shared" ca="1" si="32"/>
        <v/>
      </c>
      <c r="S149" s="16" t="str">
        <f ca="1">IF(A149="","",IF(OR(M149='02_マスタ'!$E$10,M149='02_マスタ'!$E$12),"",IF(L149="High","High",IF(AND(K149&lt;&gt;"",K149&lt;TODAY()),INDEX(_ゴミ箱_Backup!$B$117:$D$247,MATCH("ALERT_OVERDUE",_ゴミ箱_Backup!$A$117:$A$247,0),MATCH(言語切替!$B$3,_ゴミ箱_Backup!$B$1:$D$1,0)),IF(AND(K149&lt;&gt;"",K149-TODAY()&lt;=7),INDEX(_ゴミ箱_Backup!$B$117:$D$247,MATCH("ALERT_APPROACHING",_ゴミ箱_Backup!$A$117:$A$247,0),MATCH(言語切替!$B$3,_ゴミ箱_Backup!$B$1:$D$1,0)),IF(OR(M149='02_マスタ'!$E$7,M149='02_マスタ'!$E$8),INDEX(_ゴミ箱_Backup!$B$117:$D$247,MATCH("ALERT_CHECK",_ゴミ箱_Backup!$A$117:$A$247,0),MATCH(言語切替!$B$3,_ゴミ箱_Backup!$B$1:$D$1,0)),""))))))</f>
        <v/>
      </c>
      <c r="T149" s="52"/>
      <c r="U149" s="61" t="str">
        <f t="shared" si="33"/>
        <v/>
      </c>
      <c r="V149" s="61" t="str">
        <f t="shared" si="34"/>
        <v/>
      </c>
      <c r="W149" s="61" t="str">
        <f t="shared" si="35"/>
        <v/>
      </c>
      <c r="X149" s="61" t="str">
        <f t="shared" si="36"/>
        <v/>
      </c>
      <c r="Y149" s="61" t="str">
        <f t="shared" si="37"/>
        <v/>
      </c>
      <c r="Z149" s="61" t="str">
        <f t="shared" si="38"/>
        <v/>
      </c>
      <c r="AA149" s="61" t="str">
        <f t="shared" si="39"/>
        <v/>
      </c>
      <c r="AB149" s="61" t="str">
        <f t="shared" si="40"/>
        <v/>
      </c>
      <c r="AC149" s="61" t="str">
        <f t="shared" si="41"/>
        <v/>
      </c>
      <c r="AD149" s="61" t="str">
        <f t="shared" si="42"/>
        <v/>
      </c>
      <c r="AE149" s="61" t="str">
        <f t="shared" si="43"/>
        <v/>
      </c>
      <c r="AF149" s="61" t="str">
        <f t="shared" si="44"/>
        <v/>
      </c>
      <c r="AG149" s="61" t="str">
        <f t="shared" si="45"/>
        <v/>
      </c>
      <c r="AH149" s="61" t="str">
        <f t="shared" si="46"/>
        <v/>
      </c>
      <c r="AI149" s="61" t="str">
        <f t="shared" si="47"/>
        <v/>
      </c>
    </row>
    <row r="150" spans="1:35" x14ac:dyDescent="0.25">
      <c r="A150" s="36"/>
      <c r="B150" s="37"/>
      <c r="C150" s="37"/>
      <c r="D150" s="37"/>
      <c r="E150" s="37"/>
      <c r="F150" s="37"/>
      <c r="G150" s="37"/>
      <c r="H150" s="37"/>
      <c r="I150" s="37"/>
      <c r="J150" s="38"/>
      <c r="K150" s="38"/>
      <c r="L150" s="37"/>
      <c r="M150" s="37"/>
      <c r="N150" s="37"/>
      <c r="O150" s="37"/>
      <c r="P150" s="37"/>
      <c r="Q150" s="37"/>
      <c r="R150" s="13" t="str">
        <f t="shared" ca="1" si="32"/>
        <v/>
      </c>
      <c r="S150" s="13" t="str">
        <f ca="1">IF(A150="","",IF(OR(M150='02_マスタ'!$E$10,M150='02_マスタ'!$E$12),"",IF(L150="High","High",IF(AND(K150&lt;&gt;"",K150&lt;TODAY()),INDEX(_ゴミ箱_Backup!$B$117:$D$247,MATCH("ALERT_OVERDUE",_ゴミ箱_Backup!$A$117:$A$247,0),MATCH(言語切替!$B$3,_ゴミ箱_Backup!$B$1:$D$1,0)),IF(AND(K150&lt;&gt;"",K150-TODAY()&lt;=7),INDEX(_ゴミ箱_Backup!$B$117:$D$247,MATCH("ALERT_APPROACHING",_ゴミ箱_Backup!$A$117:$A$247,0),MATCH(言語切替!$B$3,_ゴミ箱_Backup!$B$1:$D$1,0)),IF(OR(M150='02_マスタ'!$E$7,M150='02_マスタ'!$E$8),INDEX(_ゴミ箱_Backup!$B$117:$D$247,MATCH("ALERT_CHECK",_ゴミ箱_Backup!$A$117:$A$247,0),MATCH(言語切替!$B$3,_ゴミ箱_Backup!$B$1:$D$1,0)),""))))))</f>
        <v/>
      </c>
      <c r="T150" s="53"/>
      <c r="U150" s="61" t="str">
        <f t="shared" si="33"/>
        <v/>
      </c>
      <c r="V150" s="61" t="str">
        <f t="shared" si="34"/>
        <v/>
      </c>
      <c r="W150" s="61" t="str">
        <f t="shared" si="35"/>
        <v/>
      </c>
      <c r="X150" s="61" t="str">
        <f t="shared" si="36"/>
        <v/>
      </c>
      <c r="Y150" s="61" t="str">
        <f t="shared" si="37"/>
        <v/>
      </c>
      <c r="Z150" s="61" t="str">
        <f t="shared" si="38"/>
        <v/>
      </c>
      <c r="AA150" s="61" t="str">
        <f t="shared" si="39"/>
        <v/>
      </c>
      <c r="AB150" s="61" t="str">
        <f t="shared" si="40"/>
        <v/>
      </c>
      <c r="AC150" s="61" t="str">
        <f t="shared" si="41"/>
        <v/>
      </c>
      <c r="AD150" s="61" t="str">
        <f t="shared" si="42"/>
        <v/>
      </c>
      <c r="AE150" s="61" t="str">
        <f t="shared" si="43"/>
        <v/>
      </c>
      <c r="AF150" s="61" t="str">
        <f t="shared" si="44"/>
        <v/>
      </c>
      <c r="AG150" s="61" t="str">
        <f t="shared" si="45"/>
        <v/>
      </c>
      <c r="AH150" s="61" t="str">
        <f t="shared" si="46"/>
        <v/>
      </c>
      <c r="AI150" s="61" t="str">
        <f t="shared" si="47"/>
        <v/>
      </c>
    </row>
    <row r="151" spans="1:35" x14ac:dyDescent="0.25">
      <c r="A151" s="40"/>
      <c r="B151" s="41"/>
      <c r="C151" s="41"/>
      <c r="D151" s="41"/>
      <c r="E151" s="41"/>
      <c r="F151" s="41"/>
      <c r="G151" s="41"/>
      <c r="H151" s="41"/>
      <c r="I151" s="41"/>
      <c r="J151" s="42"/>
      <c r="K151" s="42"/>
      <c r="L151" s="41"/>
      <c r="M151" s="41"/>
      <c r="N151" s="41"/>
      <c r="O151" s="41"/>
      <c r="P151" s="41"/>
      <c r="Q151" s="41"/>
      <c r="R151" s="16" t="str">
        <f t="shared" ca="1" si="32"/>
        <v/>
      </c>
      <c r="S151" s="16" t="str">
        <f ca="1">IF(A151="","",IF(OR(M151='02_マスタ'!$E$10,M151='02_マスタ'!$E$12),"",IF(L151="High","High",IF(AND(K151&lt;&gt;"",K151&lt;TODAY()),INDEX(_ゴミ箱_Backup!$B$117:$D$247,MATCH("ALERT_OVERDUE",_ゴミ箱_Backup!$A$117:$A$247,0),MATCH(言語切替!$B$3,_ゴミ箱_Backup!$B$1:$D$1,0)),IF(AND(K151&lt;&gt;"",K151-TODAY()&lt;=7),INDEX(_ゴミ箱_Backup!$B$117:$D$247,MATCH("ALERT_APPROACHING",_ゴミ箱_Backup!$A$117:$A$247,0),MATCH(言語切替!$B$3,_ゴミ箱_Backup!$B$1:$D$1,0)),IF(OR(M151='02_マスタ'!$E$7,M151='02_マスタ'!$E$8),INDEX(_ゴミ箱_Backup!$B$117:$D$247,MATCH("ALERT_CHECK",_ゴミ箱_Backup!$A$117:$A$247,0),MATCH(言語切替!$B$3,_ゴミ箱_Backup!$B$1:$D$1,0)),""))))))</f>
        <v/>
      </c>
      <c r="T151" s="52"/>
      <c r="U151" s="61" t="str">
        <f t="shared" si="33"/>
        <v/>
      </c>
      <c r="V151" s="61" t="str">
        <f t="shared" si="34"/>
        <v/>
      </c>
      <c r="W151" s="61" t="str">
        <f t="shared" si="35"/>
        <v/>
      </c>
      <c r="X151" s="61" t="str">
        <f t="shared" si="36"/>
        <v/>
      </c>
      <c r="Y151" s="61" t="str">
        <f t="shared" si="37"/>
        <v/>
      </c>
      <c r="Z151" s="61" t="str">
        <f t="shared" si="38"/>
        <v/>
      </c>
      <c r="AA151" s="61" t="str">
        <f t="shared" si="39"/>
        <v/>
      </c>
      <c r="AB151" s="61" t="str">
        <f t="shared" si="40"/>
        <v/>
      </c>
      <c r="AC151" s="61" t="str">
        <f t="shared" si="41"/>
        <v/>
      </c>
      <c r="AD151" s="61" t="str">
        <f t="shared" si="42"/>
        <v/>
      </c>
      <c r="AE151" s="61" t="str">
        <f t="shared" si="43"/>
        <v/>
      </c>
      <c r="AF151" s="61" t="str">
        <f t="shared" si="44"/>
        <v/>
      </c>
      <c r="AG151" s="61" t="str">
        <f t="shared" si="45"/>
        <v/>
      </c>
      <c r="AH151" s="61" t="str">
        <f t="shared" si="46"/>
        <v/>
      </c>
      <c r="AI151" s="61" t="str">
        <f t="shared" si="47"/>
        <v/>
      </c>
    </row>
    <row r="152" spans="1:35" x14ac:dyDescent="0.25">
      <c r="A152" s="36"/>
      <c r="B152" s="37"/>
      <c r="C152" s="37"/>
      <c r="D152" s="37"/>
      <c r="E152" s="37"/>
      <c r="F152" s="37"/>
      <c r="G152" s="37"/>
      <c r="H152" s="37"/>
      <c r="I152" s="37"/>
      <c r="J152" s="38"/>
      <c r="K152" s="38"/>
      <c r="L152" s="37"/>
      <c r="M152" s="37"/>
      <c r="N152" s="37"/>
      <c r="O152" s="37"/>
      <c r="P152" s="37"/>
      <c r="Q152" s="37"/>
      <c r="R152" s="13" t="str">
        <f t="shared" ca="1" si="32"/>
        <v/>
      </c>
      <c r="S152" s="13" t="str">
        <f ca="1">IF(A152="","",IF(OR(M152='02_マスタ'!$E$10,M152='02_マスタ'!$E$12),"",IF(L152="High","High",IF(AND(K152&lt;&gt;"",K152&lt;TODAY()),INDEX(_ゴミ箱_Backup!$B$117:$D$247,MATCH("ALERT_OVERDUE",_ゴミ箱_Backup!$A$117:$A$247,0),MATCH(言語切替!$B$3,_ゴミ箱_Backup!$B$1:$D$1,0)),IF(AND(K152&lt;&gt;"",K152-TODAY()&lt;=7),INDEX(_ゴミ箱_Backup!$B$117:$D$247,MATCH("ALERT_APPROACHING",_ゴミ箱_Backup!$A$117:$A$247,0),MATCH(言語切替!$B$3,_ゴミ箱_Backup!$B$1:$D$1,0)),IF(OR(M152='02_マスタ'!$E$7,M152='02_マスタ'!$E$8),INDEX(_ゴミ箱_Backup!$B$117:$D$247,MATCH("ALERT_CHECK",_ゴミ箱_Backup!$A$117:$A$247,0),MATCH(言語切替!$B$3,_ゴミ箱_Backup!$B$1:$D$1,0)),""))))))</f>
        <v/>
      </c>
      <c r="T152" s="53"/>
      <c r="U152" s="61" t="str">
        <f t="shared" si="33"/>
        <v/>
      </c>
      <c r="V152" s="61" t="str">
        <f t="shared" si="34"/>
        <v/>
      </c>
      <c r="W152" s="61" t="str">
        <f t="shared" si="35"/>
        <v/>
      </c>
      <c r="X152" s="61" t="str">
        <f t="shared" si="36"/>
        <v/>
      </c>
      <c r="Y152" s="61" t="str">
        <f t="shared" si="37"/>
        <v/>
      </c>
      <c r="Z152" s="61" t="str">
        <f t="shared" si="38"/>
        <v/>
      </c>
      <c r="AA152" s="61" t="str">
        <f t="shared" si="39"/>
        <v/>
      </c>
      <c r="AB152" s="61" t="str">
        <f t="shared" si="40"/>
        <v/>
      </c>
      <c r="AC152" s="61" t="str">
        <f t="shared" si="41"/>
        <v/>
      </c>
      <c r="AD152" s="61" t="str">
        <f t="shared" si="42"/>
        <v/>
      </c>
      <c r="AE152" s="61" t="str">
        <f t="shared" si="43"/>
        <v/>
      </c>
      <c r="AF152" s="61" t="str">
        <f t="shared" si="44"/>
        <v/>
      </c>
      <c r="AG152" s="61" t="str">
        <f t="shared" si="45"/>
        <v/>
      </c>
      <c r="AH152" s="61" t="str">
        <f t="shared" si="46"/>
        <v/>
      </c>
      <c r="AI152" s="61" t="str">
        <f t="shared" si="47"/>
        <v/>
      </c>
    </row>
    <row r="153" spans="1:35" x14ac:dyDescent="0.25">
      <c r="A153" s="40"/>
      <c r="B153" s="41"/>
      <c r="C153" s="41"/>
      <c r="D153" s="41"/>
      <c r="E153" s="41"/>
      <c r="F153" s="41"/>
      <c r="G153" s="41"/>
      <c r="H153" s="41"/>
      <c r="I153" s="41"/>
      <c r="J153" s="42"/>
      <c r="K153" s="42"/>
      <c r="L153" s="41"/>
      <c r="M153" s="41"/>
      <c r="N153" s="41"/>
      <c r="O153" s="41"/>
      <c r="P153" s="41"/>
      <c r="Q153" s="41"/>
      <c r="R153" s="16" t="str">
        <f t="shared" ca="1" si="32"/>
        <v/>
      </c>
      <c r="S153" s="16" t="str">
        <f ca="1">IF(A153="","",IF(OR(M153='02_マスタ'!$E$10,M153='02_マスタ'!$E$12),"",IF(L153="High","High",IF(AND(K153&lt;&gt;"",K153&lt;TODAY()),INDEX(_ゴミ箱_Backup!$B$117:$D$247,MATCH("ALERT_OVERDUE",_ゴミ箱_Backup!$A$117:$A$247,0),MATCH(言語切替!$B$3,_ゴミ箱_Backup!$B$1:$D$1,0)),IF(AND(K153&lt;&gt;"",K153-TODAY()&lt;=7),INDEX(_ゴミ箱_Backup!$B$117:$D$247,MATCH("ALERT_APPROACHING",_ゴミ箱_Backup!$A$117:$A$247,0),MATCH(言語切替!$B$3,_ゴミ箱_Backup!$B$1:$D$1,0)),IF(OR(M153='02_マスタ'!$E$7,M153='02_マスタ'!$E$8),INDEX(_ゴミ箱_Backup!$B$117:$D$247,MATCH("ALERT_CHECK",_ゴミ箱_Backup!$A$117:$A$247,0),MATCH(言語切替!$B$3,_ゴミ箱_Backup!$B$1:$D$1,0)),""))))))</f>
        <v/>
      </c>
      <c r="T153" s="52"/>
      <c r="U153" s="61" t="str">
        <f t="shared" si="33"/>
        <v/>
      </c>
      <c r="V153" s="61" t="str">
        <f t="shared" si="34"/>
        <v/>
      </c>
      <c r="W153" s="61" t="str">
        <f t="shared" si="35"/>
        <v/>
      </c>
      <c r="X153" s="61" t="str">
        <f t="shared" si="36"/>
        <v/>
      </c>
      <c r="Y153" s="61" t="str">
        <f t="shared" si="37"/>
        <v/>
      </c>
      <c r="Z153" s="61" t="str">
        <f t="shared" si="38"/>
        <v/>
      </c>
      <c r="AA153" s="61" t="str">
        <f t="shared" si="39"/>
        <v/>
      </c>
      <c r="AB153" s="61" t="str">
        <f t="shared" si="40"/>
        <v/>
      </c>
      <c r="AC153" s="61" t="str">
        <f t="shared" si="41"/>
        <v/>
      </c>
      <c r="AD153" s="61" t="str">
        <f t="shared" si="42"/>
        <v/>
      </c>
      <c r="AE153" s="61" t="str">
        <f t="shared" si="43"/>
        <v/>
      </c>
      <c r="AF153" s="61" t="str">
        <f t="shared" si="44"/>
        <v/>
      </c>
      <c r="AG153" s="61" t="str">
        <f t="shared" si="45"/>
        <v/>
      </c>
      <c r="AH153" s="61" t="str">
        <f t="shared" si="46"/>
        <v/>
      </c>
      <c r="AI153" s="61" t="str">
        <f t="shared" si="47"/>
        <v/>
      </c>
    </row>
    <row r="154" spans="1:35" x14ac:dyDescent="0.25">
      <c r="A154" s="36"/>
      <c r="B154" s="37"/>
      <c r="C154" s="37"/>
      <c r="D154" s="37"/>
      <c r="E154" s="37"/>
      <c r="F154" s="37"/>
      <c r="G154" s="37"/>
      <c r="H154" s="37"/>
      <c r="I154" s="37"/>
      <c r="J154" s="38"/>
      <c r="K154" s="38"/>
      <c r="L154" s="37"/>
      <c r="M154" s="37"/>
      <c r="N154" s="37"/>
      <c r="O154" s="37"/>
      <c r="P154" s="37"/>
      <c r="Q154" s="37"/>
      <c r="R154" s="13" t="str">
        <f t="shared" ca="1" si="32"/>
        <v/>
      </c>
      <c r="S154" s="13" t="str">
        <f ca="1">IF(A154="","",IF(OR(M154='02_マスタ'!$E$10,M154='02_マスタ'!$E$12),"",IF(L154="High","High",IF(AND(K154&lt;&gt;"",K154&lt;TODAY()),INDEX(_ゴミ箱_Backup!$B$117:$D$247,MATCH("ALERT_OVERDUE",_ゴミ箱_Backup!$A$117:$A$247,0),MATCH(言語切替!$B$3,_ゴミ箱_Backup!$B$1:$D$1,0)),IF(AND(K154&lt;&gt;"",K154-TODAY()&lt;=7),INDEX(_ゴミ箱_Backup!$B$117:$D$247,MATCH("ALERT_APPROACHING",_ゴミ箱_Backup!$A$117:$A$247,0),MATCH(言語切替!$B$3,_ゴミ箱_Backup!$B$1:$D$1,0)),IF(OR(M154='02_マスタ'!$E$7,M154='02_マスタ'!$E$8),INDEX(_ゴミ箱_Backup!$B$117:$D$247,MATCH("ALERT_CHECK",_ゴミ箱_Backup!$A$117:$A$247,0),MATCH(言語切替!$B$3,_ゴミ箱_Backup!$B$1:$D$1,0)),""))))))</f>
        <v/>
      </c>
      <c r="T154" s="53"/>
      <c r="U154" s="61" t="str">
        <f t="shared" si="33"/>
        <v/>
      </c>
      <c r="V154" s="61" t="str">
        <f t="shared" si="34"/>
        <v/>
      </c>
      <c r="W154" s="61" t="str">
        <f t="shared" si="35"/>
        <v/>
      </c>
      <c r="X154" s="61" t="str">
        <f t="shared" si="36"/>
        <v/>
      </c>
      <c r="Y154" s="61" t="str">
        <f t="shared" si="37"/>
        <v/>
      </c>
      <c r="Z154" s="61" t="str">
        <f t="shared" si="38"/>
        <v/>
      </c>
      <c r="AA154" s="61" t="str">
        <f t="shared" si="39"/>
        <v/>
      </c>
      <c r="AB154" s="61" t="str">
        <f t="shared" si="40"/>
        <v/>
      </c>
      <c r="AC154" s="61" t="str">
        <f t="shared" si="41"/>
        <v/>
      </c>
      <c r="AD154" s="61" t="str">
        <f t="shared" si="42"/>
        <v/>
      </c>
      <c r="AE154" s="61" t="str">
        <f t="shared" si="43"/>
        <v/>
      </c>
      <c r="AF154" s="61" t="str">
        <f t="shared" si="44"/>
        <v/>
      </c>
      <c r="AG154" s="61" t="str">
        <f t="shared" si="45"/>
        <v/>
      </c>
      <c r="AH154" s="61" t="str">
        <f t="shared" si="46"/>
        <v/>
      </c>
      <c r="AI154" s="61" t="str">
        <f t="shared" si="47"/>
        <v/>
      </c>
    </row>
    <row r="155" spans="1:35" x14ac:dyDescent="0.25">
      <c r="A155" s="40"/>
      <c r="B155" s="41"/>
      <c r="C155" s="41"/>
      <c r="D155" s="41"/>
      <c r="E155" s="41"/>
      <c r="F155" s="41"/>
      <c r="G155" s="41"/>
      <c r="H155" s="41"/>
      <c r="I155" s="41"/>
      <c r="J155" s="42"/>
      <c r="K155" s="42"/>
      <c r="L155" s="41"/>
      <c r="M155" s="41"/>
      <c r="N155" s="41"/>
      <c r="O155" s="41"/>
      <c r="P155" s="41"/>
      <c r="Q155" s="41"/>
      <c r="R155" s="16" t="str">
        <f t="shared" ca="1" si="32"/>
        <v/>
      </c>
      <c r="S155" s="16" t="str">
        <f ca="1">IF(A155="","",IF(OR(M155='02_マスタ'!$E$10,M155='02_マスタ'!$E$12),"",IF(L155="High","High",IF(AND(K155&lt;&gt;"",K155&lt;TODAY()),INDEX(_ゴミ箱_Backup!$B$117:$D$247,MATCH("ALERT_OVERDUE",_ゴミ箱_Backup!$A$117:$A$247,0),MATCH(言語切替!$B$3,_ゴミ箱_Backup!$B$1:$D$1,0)),IF(AND(K155&lt;&gt;"",K155-TODAY()&lt;=7),INDEX(_ゴミ箱_Backup!$B$117:$D$247,MATCH("ALERT_APPROACHING",_ゴミ箱_Backup!$A$117:$A$247,0),MATCH(言語切替!$B$3,_ゴミ箱_Backup!$B$1:$D$1,0)),IF(OR(M155='02_マスタ'!$E$7,M155='02_マスタ'!$E$8),INDEX(_ゴミ箱_Backup!$B$117:$D$247,MATCH("ALERT_CHECK",_ゴミ箱_Backup!$A$117:$A$247,0),MATCH(言語切替!$B$3,_ゴミ箱_Backup!$B$1:$D$1,0)),""))))))</f>
        <v/>
      </c>
      <c r="T155" s="52"/>
      <c r="U155" s="61" t="str">
        <f t="shared" si="33"/>
        <v/>
      </c>
      <c r="V155" s="61" t="str">
        <f t="shared" si="34"/>
        <v/>
      </c>
      <c r="W155" s="61" t="str">
        <f t="shared" si="35"/>
        <v/>
      </c>
      <c r="X155" s="61" t="str">
        <f t="shared" si="36"/>
        <v/>
      </c>
      <c r="Y155" s="61" t="str">
        <f t="shared" si="37"/>
        <v/>
      </c>
      <c r="Z155" s="61" t="str">
        <f t="shared" si="38"/>
        <v/>
      </c>
      <c r="AA155" s="61" t="str">
        <f t="shared" si="39"/>
        <v/>
      </c>
      <c r="AB155" s="61" t="str">
        <f t="shared" si="40"/>
        <v/>
      </c>
      <c r="AC155" s="61" t="str">
        <f t="shared" si="41"/>
        <v/>
      </c>
      <c r="AD155" s="61" t="str">
        <f t="shared" si="42"/>
        <v/>
      </c>
      <c r="AE155" s="61" t="str">
        <f t="shared" si="43"/>
        <v/>
      </c>
      <c r="AF155" s="61" t="str">
        <f t="shared" si="44"/>
        <v/>
      </c>
      <c r="AG155" s="61" t="str">
        <f t="shared" si="45"/>
        <v/>
      </c>
      <c r="AH155" s="61" t="str">
        <f t="shared" si="46"/>
        <v/>
      </c>
      <c r="AI155" s="61" t="str">
        <f t="shared" si="47"/>
        <v/>
      </c>
    </row>
    <row r="156" spans="1:35" x14ac:dyDescent="0.25">
      <c r="A156" s="36"/>
      <c r="B156" s="37"/>
      <c r="C156" s="37"/>
      <c r="D156" s="37"/>
      <c r="E156" s="37"/>
      <c r="F156" s="37"/>
      <c r="G156" s="37"/>
      <c r="H156" s="37"/>
      <c r="I156" s="37"/>
      <c r="J156" s="38"/>
      <c r="K156" s="38"/>
      <c r="L156" s="37"/>
      <c r="M156" s="37"/>
      <c r="N156" s="37"/>
      <c r="O156" s="37"/>
      <c r="P156" s="37"/>
      <c r="Q156" s="37"/>
      <c r="R156" s="13" t="str">
        <f t="shared" ca="1" si="32"/>
        <v/>
      </c>
      <c r="S156" s="13" t="str">
        <f ca="1">IF(A156="","",IF(OR(M156='02_マスタ'!$E$10,M156='02_マスタ'!$E$12),"",IF(L156="High","High",IF(AND(K156&lt;&gt;"",K156&lt;TODAY()),INDEX(_ゴミ箱_Backup!$B$117:$D$247,MATCH("ALERT_OVERDUE",_ゴミ箱_Backup!$A$117:$A$247,0),MATCH(言語切替!$B$3,_ゴミ箱_Backup!$B$1:$D$1,0)),IF(AND(K156&lt;&gt;"",K156-TODAY()&lt;=7),INDEX(_ゴミ箱_Backup!$B$117:$D$247,MATCH("ALERT_APPROACHING",_ゴミ箱_Backup!$A$117:$A$247,0),MATCH(言語切替!$B$3,_ゴミ箱_Backup!$B$1:$D$1,0)),IF(OR(M156='02_マスタ'!$E$7,M156='02_マスタ'!$E$8),INDEX(_ゴミ箱_Backup!$B$117:$D$247,MATCH("ALERT_CHECK",_ゴミ箱_Backup!$A$117:$A$247,0),MATCH(言語切替!$B$3,_ゴミ箱_Backup!$B$1:$D$1,0)),""))))))</f>
        <v/>
      </c>
      <c r="T156" s="53"/>
      <c r="U156" s="61" t="str">
        <f t="shared" si="33"/>
        <v/>
      </c>
      <c r="V156" s="61" t="str">
        <f t="shared" si="34"/>
        <v/>
      </c>
      <c r="W156" s="61" t="str">
        <f t="shared" si="35"/>
        <v/>
      </c>
      <c r="X156" s="61" t="str">
        <f t="shared" si="36"/>
        <v/>
      </c>
      <c r="Y156" s="61" t="str">
        <f t="shared" si="37"/>
        <v/>
      </c>
      <c r="Z156" s="61" t="str">
        <f t="shared" si="38"/>
        <v/>
      </c>
      <c r="AA156" s="61" t="str">
        <f t="shared" si="39"/>
        <v/>
      </c>
      <c r="AB156" s="61" t="str">
        <f t="shared" si="40"/>
        <v/>
      </c>
      <c r="AC156" s="61" t="str">
        <f t="shared" si="41"/>
        <v/>
      </c>
      <c r="AD156" s="61" t="str">
        <f t="shared" si="42"/>
        <v/>
      </c>
      <c r="AE156" s="61" t="str">
        <f t="shared" si="43"/>
        <v/>
      </c>
      <c r="AF156" s="61" t="str">
        <f t="shared" si="44"/>
        <v/>
      </c>
      <c r="AG156" s="61" t="str">
        <f t="shared" si="45"/>
        <v/>
      </c>
      <c r="AH156" s="61" t="str">
        <f t="shared" si="46"/>
        <v/>
      </c>
      <c r="AI156" s="61" t="str">
        <f t="shared" si="47"/>
        <v/>
      </c>
    </row>
    <row r="157" spans="1:35" x14ac:dyDescent="0.25">
      <c r="A157" s="40"/>
      <c r="B157" s="41"/>
      <c r="C157" s="41"/>
      <c r="D157" s="41"/>
      <c r="E157" s="41"/>
      <c r="F157" s="41"/>
      <c r="G157" s="41"/>
      <c r="H157" s="41"/>
      <c r="I157" s="41"/>
      <c r="J157" s="42"/>
      <c r="K157" s="42"/>
      <c r="L157" s="41"/>
      <c r="M157" s="41"/>
      <c r="N157" s="41"/>
      <c r="O157" s="41"/>
      <c r="P157" s="41"/>
      <c r="Q157" s="41"/>
      <c r="R157" s="16" t="str">
        <f t="shared" ca="1" si="32"/>
        <v/>
      </c>
      <c r="S157" s="16" t="str">
        <f ca="1">IF(A157="","",IF(OR(M157='02_マスタ'!$E$10,M157='02_マスタ'!$E$12),"",IF(L157="High","High",IF(AND(K157&lt;&gt;"",K157&lt;TODAY()),INDEX(_ゴミ箱_Backup!$B$117:$D$247,MATCH("ALERT_OVERDUE",_ゴミ箱_Backup!$A$117:$A$247,0),MATCH(言語切替!$B$3,_ゴミ箱_Backup!$B$1:$D$1,0)),IF(AND(K157&lt;&gt;"",K157-TODAY()&lt;=7),INDEX(_ゴミ箱_Backup!$B$117:$D$247,MATCH("ALERT_APPROACHING",_ゴミ箱_Backup!$A$117:$A$247,0),MATCH(言語切替!$B$3,_ゴミ箱_Backup!$B$1:$D$1,0)),IF(OR(M157='02_マスタ'!$E$7,M157='02_マスタ'!$E$8),INDEX(_ゴミ箱_Backup!$B$117:$D$247,MATCH("ALERT_CHECK",_ゴミ箱_Backup!$A$117:$A$247,0),MATCH(言語切替!$B$3,_ゴミ箱_Backup!$B$1:$D$1,0)),""))))))</f>
        <v/>
      </c>
      <c r="T157" s="52"/>
      <c r="U157" s="61" t="str">
        <f t="shared" si="33"/>
        <v/>
      </c>
      <c r="V157" s="61" t="str">
        <f t="shared" si="34"/>
        <v/>
      </c>
      <c r="W157" s="61" t="str">
        <f t="shared" si="35"/>
        <v/>
      </c>
      <c r="X157" s="61" t="str">
        <f t="shared" si="36"/>
        <v/>
      </c>
      <c r="Y157" s="61" t="str">
        <f t="shared" si="37"/>
        <v/>
      </c>
      <c r="Z157" s="61" t="str">
        <f t="shared" si="38"/>
        <v/>
      </c>
      <c r="AA157" s="61" t="str">
        <f t="shared" si="39"/>
        <v/>
      </c>
      <c r="AB157" s="61" t="str">
        <f t="shared" si="40"/>
        <v/>
      </c>
      <c r="AC157" s="61" t="str">
        <f t="shared" si="41"/>
        <v/>
      </c>
      <c r="AD157" s="61" t="str">
        <f t="shared" si="42"/>
        <v/>
      </c>
      <c r="AE157" s="61" t="str">
        <f t="shared" si="43"/>
        <v/>
      </c>
      <c r="AF157" s="61" t="str">
        <f t="shared" si="44"/>
        <v/>
      </c>
      <c r="AG157" s="61" t="str">
        <f t="shared" si="45"/>
        <v/>
      </c>
      <c r="AH157" s="61" t="str">
        <f t="shared" si="46"/>
        <v/>
      </c>
      <c r="AI157" s="61" t="str">
        <f t="shared" si="47"/>
        <v/>
      </c>
    </row>
    <row r="158" spans="1:35" x14ac:dyDescent="0.25">
      <c r="A158" s="36"/>
      <c r="B158" s="37"/>
      <c r="C158" s="37"/>
      <c r="D158" s="37"/>
      <c r="E158" s="37"/>
      <c r="F158" s="37"/>
      <c r="G158" s="37"/>
      <c r="H158" s="37"/>
      <c r="I158" s="37"/>
      <c r="J158" s="38"/>
      <c r="K158" s="38"/>
      <c r="L158" s="37"/>
      <c r="M158" s="37"/>
      <c r="N158" s="37"/>
      <c r="O158" s="37"/>
      <c r="P158" s="37"/>
      <c r="Q158" s="37"/>
      <c r="R158" s="13" t="str">
        <f t="shared" ca="1" si="32"/>
        <v/>
      </c>
      <c r="S158" s="13" t="str">
        <f ca="1">IF(A158="","",IF(OR(M158='02_マスタ'!$E$10,M158='02_マスタ'!$E$12),"",IF(L158="High","High",IF(AND(K158&lt;&gt;"",K158&lt;TODAY()),INDEX(_ゴミ箱_Backup!$B$117:$D$247,MATCH("ALERT_OVERDUE",_ゴミ箱_Backup!$A$117:$A$247,0),MATCH(言語切替!$B$3,_ゴミ箱_Backup!$B$1:$D$1,0)),IF(AND(K158&lt;&gt;"",K158-TODAY()&lt;=7),INDEX(_ゴミ箱_Backup!$B$117:$D$247,MATCH("ALERT_APPROACHING",_ゴミ箱_Backup!$A$117:$A$247,0),MATCH(言語切替!$B$3,_ゴミ箱_Backup!$B$1:$D$1,0)),IF(OR(M158='02_マスタ'!$E$7,M158='02_マスタ'!$E$8),INDEX(_ゴミ箱_Backup!$B$117:$D$247,MATCH("ALERT_CHECK",_ゴミ箱_Backup!$A$117:$A$247,0),MATCH(言語切替!$B$3,_ゴミ箱_Backup!$B$1:$D$1,0)),""))))))</f>
        <v/>
      </c>
      <c r="T158" s="53"/>
      <c r="U158" s="61" t="str">
        <f t="shared" si="33"/>
        <v/>
      </c>
      <c r="V158" s="61" t="str">
        <f t="shared" si="34"/>
        <v/>
      </c>
      <c r="W158" s="61" t="str">
        <f t="shared" si="35"/>
        <v/>
      </c>
      <c r="X158" s="61" t="str">
        <f t="shared" si="36"/>
        <v/>
      </c>
      <c r="Y158" s="61" t="str">
        <f t="shared" si="37"/>
        <v/>
      </c>
      <c r="Z158" s="61" t="str">
        <f t="shared" si="38"/>
        <v/>
      </c>
      <c r="AA158" s="61" t="str">
        <f t="shared" si="39"/>
        <v/>
      </c>
      <c r="AB158" s="61" t="str">
        <f t="shared" si="40"/>
        <v/>
      </c>
      <c r="AC158" s="61" t="str">
        <f t="shared" si="41"/>
        <v/>
      </c>
      <c r="AD158" s="61" t="str">
        <f t="shared" si="42"/>
        <v/>
      </c>
      <c r="AE158" s="61" t="str">
        <f t="shared" si="43"/>
        <v/>
      </c>
      <c r="AF158" s="61" t="str">
        <f t="shared" si="44"/>
        <v/>
      </c>
      <c r="AG158" s="61" t="str">
        <f t="shared" si="45"/>
        <v/>
      </c>
      <c r="AH158" s="61" t="str">
        <f t="shared" si="46"/>
        <v/>
      </c>
      <c r="AI158" s="61" t="str">
        <f t="shared" si="47"/>
        <v/>
      </c>
    </row>
    <row r="159" spans="1:35" x14ac:dyDescent="0.25">
      <c r="A159" s="40"/>
      <c r="B159" s="41"/>
      <c r="C159" s="41"/>
      <c r="D159" s="41"/>
      <c r="E159" s="41"/>
      <c r="F159" s="41"/>
      <c r="G159" s="41"/>
      <c r="H159" s="41"/>
      <c r="I159" s="41"/>
      <c r="J159" s="42"/>
      <c r="K159" s="42"/>
      <c r="L159" s="41"/>
      <c r="M159" s="41"/>
      <c r="N159" s="41"/>
      <c r="O159" s="41"/>
      <c r="P159" s="41"/>
      <c r="Q159" s="41"/>
      <c r="R159" s="16" t="str">
        <f t="shared" ca="1" si="32"/>
        <v/>
      </c>
      <c r="S159" s="16" t="str">
        <f ca="1">IF(A159="","",IF(OR(M159='02_マスタ'!$E$10,M159='02_マスタ'!$E$12),"",IF(L159="High","High",IF(AND(K159&lt;&gt;"",K159&lt;TODAY()),INDEX(_ゴミ箱_Backup!$B$117:$D$247,MATCH("ALERT_OVERDUE",_ゴミ箱_Backup!$A$117:$A$247,0),MATCH(言語切替!$B$3,_ゴミ箱_Backup!$B$1:$D$1,0)),IF(AND(K159&lt;&gt;"",K159-TODAY()&lt;=7),INDEX(_ゴミ箱_Backup!$B$117:$D$247,MATCH("ALERT_APPROACHING",_ゴミ箱_Backup!$A$117:$A$247,0),MATCH(言語切替!$B$3,_ゴミ箱_Backup!$B$1:$D$1,0)),IF(OR(M159='02_マスタ'!$E$7,M159='02_マスタ'!$E$8),INDEX(_ゴミ箱_Backup!$B$117:$D$247,MATCH("ALERT_CHECK",_ゴミ箱_Backup!$A$117:$A$247,0),MATCH(言語切替!$B$3,_ゴミ箱_Backup!$B$1:$D$1,0)),""))))))</f>
        <v/>
      </c>
      <c r="T159" s="52"/>
      <c r="U159" s="61" t="str">
        <f t="shared" si="33"/>
        <v/>
      </c>
      <c r="V159" s="61" t="str">
        <f t="shared" si="34"/>
        <v/>
      </c>
      <c r="W159" s="61" t="str">
        <f t="shared" si="35"/>
        <v/>
      </c>
      <c r="X159" s="61" t="str">
        <f t="shared" si="36"/>
        <v/>
      </c>
      <c r="Y159" s="61" t="str">
        <f t="shared" si="37"/>
        <v/>
      </c>
      <c r="Z159" s="61" t="str">
        <f t="shared" si="38"/>
        <v/>
      </c>
      <c r="AA159" s="61" t="str">
        <f t="shared" si="39"/>
        <v/>
      </c>
      <c r="AB159" s="61" t="str">
        <f t="shared" si="40"/>
        <v/>
      </c>
      <c r="AC159" s="61" t="str">
        <f t="shared" si="41"/>
        <v/>
      </c>
      <c r="AD159" s="61" t="str">
        <f t="shared" si="42"/>
        <v/>
      </c>
      <c r="AE159" s="61" t="str">
        <f t="shared" si="43"/>
        <v/>
      </c>
      <c r="AF159" s="61" t="str">
        <f t="shared" si="44"/>
        <v/>
      </c>
      <c r="AG159" s="61" t="str">
        <f t="shared" si="45"/>
        <v/>
      </c>
      <c r="AH159" s="61" t="str">
        <f t="shared" si="46"/>
        <v/>
      </c>
      <c r="AI159" s="61" t="str">
        <f t="shared" si="47"/>
        <v/>
      </c>
    </row>
    <row r="160" spans="1:35" x14ac:dyDescent="0.25">
      <c r="A160" s="36"/>
      <c r="B160" s="37"/>
      <c r="C160" s="37"/>
      <c r="D160" s="37"/>
      <c r="E160" s="37"/>
      <c r="F160" s="37"/>
      <c r="G160" s="37"/>
      <c r="H160" s="37"/>
      <c r="I160" s="37"/>
      <c r="J160" s="38"/>
      <c r="K160" s="38"/>
      <c r="L160" s="37"/>
      <c r="M160" s="37"/>
      <c r="N160" s="37"/>
      <c r="O160" s="37"/>
      <c r="P160" s="37"/>
      <c r="Q160" s="37"/>
      <c r="R160" s="13" t="str">
        <f t="shared" ca="1" si="32"/>
        <v/>
      </c>
      <c r="S160" s="13" t="str">
        <f ca="1">IF(A160="","",IF(OR(M160='02_マスタ'!$E$10,M160='02_マスタ'!$E$12),"",IF(L160="High","High",IF(AND(K160&lt;&gt;"",K160&lt;TODAY()),INDEX(_ゴミ箱_Backup!$B$117:$D$247,MATCH("ALERT_OVERDUE",_ゴミ箱_Backup!$A$117:$A$247,0),MATCH(言語切替!$B$3,_ゴミ箱_Backup!$B$1:$D$1,0)),IF(AND(K160&lt;&gt;"",K160-TODAY()&lt;=7),INDEX(_ゴミ箱_Backup!$B$117:$D$247,MATCH("ALERT_APPROACHING",_ゴミ箱_Backup!$A$117:$A$247,0),MATCH(言語切替!$B$3,_ゴミ箱_Backup!$B$1:$D$1,0)),IF(OR(M160='02_マスタ'!$E$7,M160='02_マスタ'!$E$8),INDEX(_ゴミ箱_Backup!$B$117:$D$247,MATCH("ALERT_CHECK",_ゴミ箱_Backup!$A$117:$A$247,0),MATCH(言語切替!$B$3,_ゴミ箱_Backup!$B$1:$D$1,0)),""))))))</f>
        <v/>
      </c>
      <c r="T160" s="53"/>
      <c r="U160" s="61" t="str">
        <f t="shared" si="33"/>
        <v/>
      </c>
      <c r="V160" s="61" t="str">
        <f t="shared" si="34"/>
        <v/>
      </c>
      <c r="W160" s="61" t="str">
        <f t="shared" si="35"/>
        <v/>
      </c>
      <c r="X160" s="61" t="str">
        <f t="shared" si="36"/>
        <v/>
      </c>
      <c r="Y160" s="61" t="str">
        <f t="shared" si="37"/>
        <v/>
      </c>
      <c r="Z160" s="61" t="str">
        <f t="shared" si="38"/>
        <v/>
      </c>
      <c r="AA160" s="61" t="str">
        <f t="shared" si="39"/>
        <v/>
      </c>
      <c r="AB160" s="61" t="str">
        <f t="shared" si="40"/>
        <v/>
      </c>
      <c r="AC160" s="61" t="str">
        <f t="shared" si="41"/>
        <v/>
      </c>
      <c r="AD160" s="61" t="str">
        <f t="shared" si="42"/>
        <v/>
      </c>
      <c r="AE160" s="61" t="str">
        <f t="shared" si="43"/>
        <v/>
      </c>
      <c r="AF160" s="61" t="str">
        <f t="shared" si="44"/>
        <v/>
      </c>
      <c r="AG160" s="61" t="str">
        <f t="shared" si="45"/>
        <v/>
      </c>
      <c r="AH160" s="61" t="str">
        <f t="shared" si="46"/>
        <v/>
      </c>
      <c r="AI160" s="61" t="str">
        <f t="shared" si="47"/>
        <v/>
      </c>
    </row>
    <row r="161" spans="1:35" x14ac:dyDescent="0.25">
      <c r="A161" s="40"/>
      <c r="B161" s="41"/>
      <c r="C161" s="41"/>
      <c r="D161" s="41"/>
      <c r="E161" s="41"/>
      <c r="F161" s="41"/>
      <c r="G161" s="41"/>
      <c r="H161" s="41"/>
      <c r="I161" s="41"/>
      <c r="J161" s="42"/>
      <c r="K161" s="42"/>
      <c r="L161" s="41"/>
      <c r="M161" s="41"/>
      <c r="N161" s="41"/>
      <c r="O161" s="41"/>
      <c r="P161" s="41"/>
      <c r="Q161" s="41"/>
      <c r="R161" s="16" t="str">
        <f t="shared" ca="1" si="32"/>
        <v/>
      </c>
      <c r="S161" s="16" t="str">
        <f ca="1">IF(A161="","",IF(OR(M161='02_マスタ'!$E$10,M161='02_マスタ'!$E$12),"",IF(L161="High","High",IF(AND(K161&lt;&gt;"",K161&lt;TODAY()),INDEX(_ゴミ箱_Backup!$B$117:$D$247,MATCH("ALERT_OVERDUE",_ゴミ箱_Backup!$A$117:$A$247,0),MATCH(言語切替!$B$3,_ゴミ箱_Backup!$B$1:$D$1,0)),IF(AND(K161&lt;&gt;"",K161-TODAY()&lt;=7),INDEX(_ゴミ箱_Backup!$B$117:$D$247,MATCH("ALERT_APPROACHING",_ゴミ箱_Backup!$A$117:$A$247,0),MATCH(言語切替!$B$3,_ゴミ箱_Backup!$B$1:$D$1,0)),IF(OR(M161='02_マスタ'!$E$7,M161='02_マスタ'!$E$8),INDEX(_ゴミ箱_Backup!$B$117:$D$247,MATCH("ALERT_CHECK",_ゴミ箱_Backup!$A$117:$A$247,0),MATCH(言語切替!$B$3,_ゴミ箱_Backup!$B$1:$D$1,0)),""))))))</f>
        <v/>
      </c>
      <c r="T161" s="52"/>
      <c r="U161" s="61" t="str">
        <f t="shared" si="33"/>
        <v/>
      </c>
      <c r="V161" s="61" t="str">
        <f t="shared" si="34"/>
        <v/>
      </c>
      <c r="W161" s="61" t="str">
        <f t="shared" si="35"/>
        <v/>
      </c>
      <c r="X161" s="61" t="str">
        <f t="shared" si="36"/>
        <v/>
      </c>
      <c r="Y161" s="61" t="str">
        <f t="shared" si="37"/>
        <v/>
      </c>
      <c r="Z161" s="61" t="str">
        <f t="shared" si="38"/>
        <v/>
      </c>
      <c r="AA161" s="61" t="str">
        <f t="shared" si="39"/>
        <v/>
      </c>
      <c r="AB161" s="61" t="str">
        <f t="shared" si="40"/>
        <v/>
      </c>
      <c r="AC161" s="61" t="str">
        <f t="shared" si="41"/>
        <v/>
      </c>
      <c r="AD161" s="61" t="str">
        <f t="shared" si="42"/>
        <v/>
      </c>
      <c r="AE161" s="61" t="str">
        <f t="shared" si="43"/>
        <v/>
      </c>
      <c r="AF161" s="61" t="str">
        <f t="shared" si="44"/>
        <v/>
      </c>
      <c r="AG161" s="61" t="str">
        <f t="shared" si="45"/>
        <v/>
      </c>
      <c r="AH161" s="61" t="str">
        <f t="shared" si="46"/>
        <v/>
      </c>
      <c r="AI161" s="61" t="str">
        <f t="shared" si="47"/>
        <v/>
      </c>
    </row>
    <row r="162" spans="1:35" x14ac:dyDescent="0.25">
      <c r="A162" s="36"/>
      <c r="B162" s="37"/>
      <c r="C162" s="37"/>
      <c r="D162" s="37"/>
      <c r="E162" s="37"/>
      <c r="F162" s="37"/>
      <c r="G162" s="37"/>
      <c r="H162" s="37"/>
      <c r="I162" s="37"/>
      <c r="J162" s="38"/>
      <c r="K162" s="38"/>
      <c r="L162" s="37"/>
      <c r="M162" s="37"/>
      <c r="N162" s="37"/>
      <c r="O162" s="37"/>
      <c r="P162" s="37"/>
      <c r="Q162" s="37"/>
      <c r="R162" s="13" t="str">
        <f t="shared" ca="1" si="32"/>
        <v/>
      </c>
      <c r="S162" s="13" t="str">
        <f ca="1">IF(A162="","",IF(OR(M162='02_マスタ'!$E$10,M162='02_マスタ'!$E$12),"",IF(L162="High","High",IF(AND(K162&lt;&gt;"",K162&lt;TODAY()),INDEX(_ゴミ箱_Backup!$B$117:$D$247,MATCH("ALERT_OVERDUE",_ゴミ箱_Backup!$A$117:$A$247,0),MATCH(言語切替!$B$3,_ゴミ箱_Backup!$B$1:$D$1,0)),IF(AND(K162&lt;&gt;"",K162-TODAY()&lt;=7),INDEX(_ゴミ箱_Backup!$B$117:$D$247,MATCH("ALERT_APPROACHING",_ゴミ箱_Backup!$A$117:$A$247,0),MATCH(言語切替!$B$3,_ゴミ箱_Backup!$B$1:$D$1,0)),IF(OR(M162='02_マスタ'!$E$7,M162='02_マスタ'!$E$8),INDEX(_ゴミ箱_Backup!$B$117:$D$247,MATCH("ALERT_CHECK",_ゴミ箱_Backup!$A$117:$A$247,0),MATCH(言語切替!$B$3,_ゴミ箱_Backup!$B$1:$D$1,0)),""))))))</f>
        <v/>
      </c>
      <c r="T162" s="53"/>
      <c r="U162" s="61" t="str">
        <f t="shared" si="33"/>
        <v/>
      </c>
      <c r="V162" s="61" t="str">
        <f t="shared" si="34"/>
        <v/>
      </c>
      <c r="W162" s="61" t="str">
        <f t="shared" si="35"/>
        <v/>
      </c>
      <c r="X162" s="61" t="str">
        <f t="shared" si="36"/>
        <v/>
      </c>
      <c r="Y162" s="61" t="str">
        <f t="shared" si="37"/>
        <v/>
      </c>
      <c r="Z162" s="61" t="str">
        <f t="shared" si="38"/>
        <v/>
      </c>
      <c r="AA162" s="61" t="str">
        <f t="shared" si="39"/>
        <v/>
      </c>
      <c r="AB162" s="61" t="str">
        <f t="shared" si="40"/>
        <v/>
      </c>
      <c r="AC162" s="61" t="str">
        <f t="shared" si="41"/>
        <v/>
      </c>
      <c r="AD162" s="61" t="str">
        <f t="shared" si="42"/>
        <v/>
      </c>
      <c r="AE162" s="61" t="str">
        <f t="shared" si="43"/>
        <v/>
      </c>
      <c r="AF162" s="61" t="str">
        <f t="shared" si="44"/>
        <v/>
      </c>
      <c r="AG162" s="61" t="str">
        <f t="shared" si="45"/>
        <v/>
      </c>
      <c r="AH162" s="61" t="str">
        <f t="shared" si="46"/>
        <v/>
      </c>
      <c r="AI162" s="61" t="str">
        <f t="shared" si="47"/>
        <v/>
      </c>
    </row>
    <row r="163" spans="1:35" x14ac:dyDescent="0.25">
      <c r="A163" s="40"/>
      <c r="B163" s="41"/>
      <c r="C163" s="41"/>
      <c r="D163" s="41"/>
      <c r="E163" s="41"/>
      <c r="F163" s="41"/>
      <c r="G163" s="41"/>
      <c r="H163" s="41"/>
      <c r="I163" s="41"/>
      <c r="J163" s="42"/>
      <c r="K163" s="42"/>
      <c r="L163" s="41"/>
      <c r="M163" s="41"/>
      <c r="N163" s="41"/>
      <c r="O163" s="41"/>
      <c r="P163" s="41"/>
      <c r="Q163" s="41"/>
      <c r="R163" s="16" t="str">
        <f t="shared" ca="1" si="32"/>
        <v/>
      </c>
      <c r="S163" s="16" t="str">
        <f ca="1">IF(A163="","",IF(OR(M163='02_マスタ'!$E$10,M163='02_マスタ'!$E$12),"",IF(L163="High","High",IF(AND(K163&lt;&gt;"",K163&lt;TODAY()),INDEX(_ゴミ箱_Backup!$B$117:$D$247,MATCH("ALERT_OVERDUE",_ゴミ箱_Backup!$A$117:$A$247,0),MATCH(言語切替!$B$3,_ゴミ箱_Backup!$B$1:$D$1,0)),IF(AND(K163&lt;&gt;"",K163-TODAY()&lt;=7),INDEX(_ゴミ箱_Backup!$B$117:$D$247,MATCH("ALERT_APPROACHING",_ゴミ箱_Backup!$A$117:$A$247,0),MATCH(言語切替!$B$3,_ゴミ箱_Backup!$B$1:$D$1,0)),IF(OR(M163='02_マスタ'!$E$7,M163='02_マスタ'!$E$8),INDEX(_ゴミ箱_Backup!$B$117:$D$247,MATCH("ALERT_CHECK",_ゴミ箱_Backup!$A$117:$A$247,0),MATCH(言語切替!$B$3,_ゴミ箱_Backup!$B$1:$D$1,0)),""))))))</f>
        <v/>
      </c>
      <c r="T163" s="52"/>
      <c r="U163" s="61" t="str">
        <f t="shared" si="33"/>
        <v/>
      </c>
      <c r="V163" s="61" t="str">
        <f t="shared" si="34"/>
        <v/>
      </c>
      <c r="W163" s="61" t="str">
        <f t="shared" si="35"/>
        <v/>
      </c>
      <c r="X163" s="61" t="str">
        <f t="shared" si="36"/>
        <v/>
      </c>
      <c r="Y163" s="61" t="str">
        <f t="shared" si="37"/>
        <v/>
      </c>
      <c r="Z163" s="61" t="str">
        <f t="shared" si="38"/>
        <v/>
      </c>
      <c r="AA163" s="61" t="str">
        <f t="shared" si="39"/>
        <v/>
      </c>
      <c r="AB163" s="61" t="str">
        <f t="shared" si="40"/>
        <v/>
      </c>
      <c r="AC163" s="61" t="str">
        <f t="shared" si="41"/>
        <v/>
      </c>
      <c r="AD163" s="61" t="str">
        <f t="shared" si="42"/>
        <v/>
      </c>
      <c r="AE163" s="61" t="str">
        <f t="shared" si="43"/>
        <v/>
      </c>
      <c r="AF163" s="61" t="str">
        <f t="shared" si="44"/>
        <v/>
      </c>
      <c r="AG163" s="61" t="str">
        <f t="shared" si="45"/>
        <v/>
      </c>
      <c r="AH163" s="61" t="str">
        <f t="shared" si="46"/>
        <v/>
      </c>
      <c r="AI163" s="61" t="str">
        <f t="shared" si="47"/>
        <v/>
      </c>
    </row>
    <row r="164" spans="1:35" x14ac:dyDescent="0.25">
      <c r="A164" s="36"/>
      <c r="B164" s="37"/>
      <c r="C164" s="37"/>
      <c r="D164" s="37"/>
      <c r="E164" s="37"/>
      <c r="F164" s="37"/>
      <c r="G164" s="37"/>
      <c r="H164" s="37"/>
      <c r="I164" s="37"/>
      <c r="J164" s="38"/>
      <c r="K164" s="38"/>
      <c r="L164" s="37"/>
      <c r="M164" s="37"/>
      <c r="N164" s="37"/>
      <c r="O164" s="37"/>
      <c r="P164" s="37"/>
      <c r="Q164" s="37"/>
      <c r="R164" s="13" t="str">
        <f t="shared" ca="1" si="32"/>
        <v/>
      </c>
      <c r="S164" s="13" t="str">
        <f ca="1">IF(A164="","",IF(OR(M164='02_マスタ'!$E$10,M164='02_マスタ'!$E$12),"",IF(L164="High","High",IF(AND(K164&lt;&gt;"",K164&lt;TODAY()),INDEX(_ゴミ箱_Backup!$B$117:$D$247,MATCH("ALERT_OVERDUE",_ゴミ箱_Backup!$A$117:$A$247,0),MATCH(言語切替!$B$3,_ゴミ箱_Backup!$B$1:$D$1,0)),IF(AND(K164&lt;&gt;"",K164-TODAY()&lt;=7),INDEX(_ゴミ箱_Backup!$B$117:$D$247,MATCH("ALERT_APPROACHING",_ゴミ箱_Backup!$A$117:$A$247,0),MATCH(言語切替!$B$3,_ゴミ箱_Backup!$B$1:$D$1,0)),IF(OR(M164='02_マスタ'!$E$7,M164='02_マスタ'!$E$8),INDEX(_ゴミ箱_Backup!$B$117:$D$247,MATCH("ALERT_CHECK",_ゴミ箱_Backup!$A$117:$A$247,0),MATCH(言語切替!$B$3,_ゴミ箱_Backup!$B$1:$D$1,0)),""))))))</f>
        <v/>
      </c>
      <c r="T164" s="53"/>
      <c r="U164" s="61" t="str">
        <f t="shared" si="33"/>
        <v/>
      </c>
      <c r="V164" s="61" t="str">
        <f t="shared" si="34"/>
        <v/>
      </c>
      <c r="W164" s="61" t="str">
        <f t="shared" si="35"/>
        <v/>
      </c>
      <c r="X164" s="61" t="str">
        <f t="shared" si="36"/>
        <v/>
      </c>
      <c r="Y164" s="61" t="str">
        <f t="shared" si="37"/>
        <v/>
      </c>
      <c r="Z164" s="61" t="str">
        <f t="shared" si="38"/>
        <v/>
      </c>
      <c r="AA164" s="61" t="str">
        <f t="shared" si="39"/>
        <v/>
      </c>
      <c r="AB164" s="61" t="str">
        <f t="shared" si="40"/>
        <v/>
      </c>
      <c r="AC164" s="61" t="str">
        <f t="shared" si="41"/>
        <v/>
      </c>
      <c r="AD164" s="61" t="str">
        <f t="shared" si="42"/>
        <v/>
      </c>
      <c r="AE164" s="61" t="str">
        <f t="shared" si="43"/>
        <v/>
      </c>
      <c r="AF164" s="61" t="str">
        <f t="shared" si="44"/>
        <v/>
      </c>
      <c r="AG164" s="61" t="str">
        <f t="shared" si="45"/>
        <v/>
      </c>
      <c r="AH164" s="61" t="str">
        <f t="shared" si="46"/>
        <v/>
      </c>
      <c r="AI164" s="61" t="str">
        <f t="shared" si="47"/>
        <v/>
      </c>
    </row>
    <row r="165" spans="1:35" x14ac:dyDescent="0.25">
      <c r="A165" s="40"/>
      <c r="B165" s="41"/>
      <c r="C165" s="41"/>
      <c r="D165" s="41"/>
      <c r="E165" s="41"/>
      <c r="F165" s="41"/>
      <c r="G165" s="41"/>
      <c r="H165" s="41"/>
      <c r="I165" s="41"/>
      <c r="J165" s="42"/>
      <c r="K165" s="42"/>
      <c r="L165" s="41"/>
      <c r="M165" s="41"/>
      <c r="N165" s="41"/>
      <c r="O165" s="41"/>
      <c r="P165" s="41"/>
      <c r="Q165" s="41"/>
      <c r="R165" s="16" t="str">
        <f t="shared" ca="1" si="32"/>
        <v/>
      </c>
      <c r="S165" s="16" t="str">
        <f ca="1">IF(A165="","",IF(OR(M165='02_マスタ'!$E$10,M165='02_マスタ'!$E$12),"",IF(L165="High","High",IF(AND(K165&lt;&gt;"",K165&lt;TODAY()),INDEX(_ゴミ箱_Backup!$B$117:$D$247,MATCH("ALERT_OVERDUE",_ゴミ箱_Backup!$A$117:$A$247,0),MATCH(言語切替!$B$3,_ゴミ箱_Backup!$B$1:$D$1,0)),IF(AND(K165&lt;&gt;"",K165-TODAY()&lt;=7),INDEX(_ゴミ箱_Backup!$B$117:$D$247,MATCH("ALERT_APPROACHING",_ゴミ箱_Backup!$A$117:$A$247,0),MATCH(言語切替!$B$3,_ゴミ箱_Backup!$B$1:$D$1,0)),IF(OR(M165='02_マスタ'!$E$7,M165='02_マスタ'!$E$8),INDEX(_ゴミ箱_Backup!$B$117:$D$247,MATCH("ALERT_CHECK",_ゴミ箱_Backup!$A$117:$A$247,0),MATCH(言語切替!$B$3,_ゴミ箱_Backup!$B$1:$D$1,0)),""))))))</f>
        <v/>
      </c>
      <c r="T165" s="52"/>
      <c r="U165" s="61" t="str">
        <f t="shared" si="33"/>
        <v/>
      </c>
      <c r="V165" s="61" t="str">
        <f t="shared" si="34"/>
        <v/>
      </c>
      <c r="W165" s="61" t="str">
        <f t="shared" si="35"/>
        <v/>
      </c>
      <c r="X165" s="61" t="str">
        <f t="shared" si="36"/>
        <v/>
      </c>
      <c r="Y165" s="61" t="str">
        <f t="shared" si="37"/>
        <v/>
      </c>
      <c r="Z165" s="61" t="str">
        <f t="shared" si="38"/>
        <v/>
      </c>
      <c r="AA165" s="61" t="str">
        <f t="shared" si="39"/>
        <v/>
      </c>
      <c r="AB165" s="61" t="str">
        <f t="shared" si="40"/>
        <v/>
      </c>
      <c r="AC165" s="61" t="str">
        <f t="shared" si="41"/>
        <v/>
      </c>
      <c r="AD165" s="61" t="str">
        <f t="shared" si="42"/>
        <v/>
      </c>
      <c r="AE165" s="61" t="str">
        <f t="shared" si="43"/>
        <v/>
      </c>
      <c r="AF165" s="61" t="str">
        <f t="shared" si="44"/>
        <v/>
      </c>
      <c r="AG165" s="61" t="str">
        <f t="shared" si="45"/>
        <v/>
      </c>
      <c r="AH165" s="61" t="str">
        <f t="shared" si="46"/>
        <v/>
      </c>
      <c r="AI165" s="61" t="str">
        <f t="shared" si="47"/>
        <v/>
      </c>
    </row>
    <row r="166" spans="1:35" x14ac:dyDescent="0.25">
      <c r="A166" s="36"/>
      <c r="B166" s="37"/>
      <c r="C166" s="37"/>
      <c r="D166" s="37"/>
      <c r="E166" s="37"/>
      <c r="F166" s="37"/>
      <c r="G166" s="37"/>
      <c r="H166" s="37"/>
      <c r="I166" s="37"/>
      <c r="J166" s="38"/>
      <c r="K166" s="38"/>
      <c r="L166" s="37"/>
      <c r="M166" s="37"/>
      <c r="N166" s="37"/>
      <c r="O166" s="37"/>
      <c r="P166" s="37"/>
      <c r="Q166" s="37"/>
      <c r="R166" s="13" t="str">
        <f t="shared" ca="1" si="32"/>
        <v/>
      </c>
      <c r="S166" s="13" t="str">
        <f ca="1">IF(A166="","",IF(OR(M166='02_マスタ'!$E$10,M166='02_マスタ'!$E$12),"",IF(L166="High","High",IF(AND(K166&lt;&gt;"",K166&lt;TODAY()),INDEX(_ゴミ箱_Backup!$B$117:$D$247,MATCH("ALERT_OVERDUE",_ゴミ箱_Backup!$A$117:$A$247,0),MATCH(言語切替!$B$3,_ゴミ箱_Backup!$B$1:$D$1,0)),IF(AND(K166&lt;&gt;"",K166-TODAY()&lt;=7),INDEX(_ゴミ箱_Backup!$B$117:$D$247,MATCH("ALERT_APPROACHING",_ゴミ箱_Backup!$A$117:$A$247,0),MATCH(言語切替!$B$3,_ゴミ箱_Backup!$B$1:$D$1,0)),IF(OR(M166='02_マスタ'!$E$7,M166='02_マスタ'!$E$8),INDEX(_ゴミ箱_Backup!$B$117:$D$247,MATCH("ALERT_CHECK",_ゴミ箱_Backup!$A$117:$A$247,0),MATCH(言語切替!$B$3,_ゴミ箱_Backup!$B$1:$D$1,0)),""))))))</f>
        <v/>
      </c>
      <c r="T166" s="53"/>
      <c r="U166" s="61" t="str">
        <f t="shared" si="33"/>
        <v/>
      </c>
      <c r="V166" s="61" t="str">
        <f t="shared" si="34"/>
        <v/>
      </c>
      <c r="W166" s="61" t="str">
        <f t="shared" si="35"/>
        <v/>
      </c>
      <c r="X166" s="61" t="str">
        <f t="shared" si="36"/>
        <v/>
      </c>
      <c r="Y166" s="61" t="str">
        <f t="shared" si="37"/>
        <v/>
      </c>
      <c r="Z166" s="61" t="str">
        <f t="shared" si="38"/>
        <v/>
      </c>
      <c r="AA166" s="61" t="str">
        <f t="shared" si="39"/>
        <v/>
      </c>
      <c r="AB166" s="61" t="str">
        <f t="shared" si="40"/>
        <v/>
      </c>
      <c r="AC166" s="61" t="str">
        <f t="shared" si="41"/>
        <v/>
      </c>
      <c r="AD166" s="61" t="str">
        <f t="shared" si="42"/>
        <v/>
      </c>
      <c r="AE166" s="61" t="str">
        <f t="shared" si="43"/>
        <v/>
      </c>
      <c r="AF166" s="61" t="str">
        <f t="shared" si="44"/>
        <v/>
      </c>
      <c r="AG166" s="61" t="str">
        <f t="shared" si="45"/>
        <v/>
      </c>
      <c r="AH166" s="61" t="str">
        <f t="shared" si="46"/>
        <v/>
      </c>
      <c r="AI166" s="61" t="str">
        <f t="shared" si="47"/>
        <v/>
      </c>
    </row>
    <row r="167" spans="1:35" x14ac:dyDescent="0.25">
      <c r="A167" s="40"/>
      <c r="B167" s="41"/>
      <c r="C167" s="41"/>
      <c r="D167" s="41"/>
      <c r="E167" s="41"/>
      <c r="F167" s="41"/>
      <c r="G167" s="41"/>
      <c r="H167" s="41"/>
      <c r="I167" s="41"/>
      <c r="J167" s="42"/>
      <c r="K167" s="42"/>
      <c r="L167" s="41"/>
      <c r="M167" s="41"/>
      <c r="N167" s="41"/>
      <c r="O167" s="41"/>
      <c r="P167" s="41"/>
      <c r="Q167" s="41"/>
      <c r="R167" s="16" t="str">
        <f t="shared" ca="1" si="32"/>
        <v/>
      </c>
      <c r="S167" s="16" t="str">
        <f ca="1">IF(A167="","",IF(OR(M167='02_マスタ'!$E$10,M167='02_マスタ'!$E$12),"",IF(L167="High","High",IF(AND(K167&lt;&gt;"",K167&lt;TODAY()),INDEX(_ゴミ箱_Backup!$B$117:$D$247,MATCH("ALERT_OVERDUE",_ゴミ箱_Backup!$A$117:$A$247,0),MATCH(言語切替!$B$3,_ゴミ箱_Backup!$B$1:$D$1,0)),IF(AND(K167&lt;&gt;"",K167-TODAY()&lt;=7),INDEX(_ゴミ箱_Backup!$B$117:$D$247,MATCH("ALERT_APPROACHING",_ゴミ箱_Backup!$A$117:$A$247,0),MATCH(言語切替!$B$3,_ゴミ箱_Backup!$B$1:$D$1,0)),IF(OR(M167='02_マスタ'!$E$7,M167='02_マスタ'!$E$8),INDEX(_ゴミ箱_Backup!$B$117:$D$247,MATCH("ALERT_CHECK",_ゴミ箱_Backup!$A$117:$A$247,0),MATCH(言語切替!$B$3,_ゴミ箱_Backup!$B$1:$D$1,0)),""))))))</f>
        <v/>
      </c>
      <c r="T167" s="52"/>
      <c r="U167" s="61" t="str">
        <f t="shared" si="33"/>
        <v/>
      </c>
      <c r="V167" s="61" t="str">
        <f t="shared" si="34"/>
        <v/>
      </c>
      <c r="W167" s="61" t="str">
        <f t="shared" si="35"/>
        <v/>
      </c>
      <c r="X167" s="61" t="str">
        <f t="shared" si="36"/>
        <v/>
      </c>
      <c r="Y167" s="61" t="str">
        <f t="shared" si="37"/>
        <v/>
      </c>
      <c r="Z167" s="61" t="str">
        <f t="shared" si="38"/>
        <v/>
      </c>
      <c r="AA167" s="61" t="str">
        <f t="shared" si="39"/>
        <v/>
      </c>
      <c r="AB167" s="61" t="str">
        <f t="shared" si="40"/>
        <v/>
      </c>
      <c r="AC167" s="61" t="str">
        <f t="shared" si="41"/>
        <v/>
      </c>
      <c r="AD167" s="61" t="str">
        <f t="shared" si="42"/>
        <v/>
      </c>
      <c r="AE167" s="61" t="str">
        <f t="shared" si="43"/>
        <v/>
      </c>
      <c r="AF167" s="61" t="str">
        <f t="shared" si="44"/>
        <v/>
      </c>
      <c r="AG167" s="61" t="str">
        <f t="shared" si="45"/>
        <v/>
      </c>
      <c r="AH167" s="61" t="str">
        <f t="shared" si="46"/>
        <v/>
      </c>
      <c r="AI167" s="61" t="str">
        <f t="shared" si="47"/>
        <v/>
      </c>
    </row>
    <row r="168" spans="1:35" x14ac:dyDescent="0.25">
      <c r="A168" s="36"/>
      <c r="B168" s="37"/>
      <c r="C168" s="37"/>
      <c r="D168" s="37"/>
      <c r="E168" s="37"/>
      <c r="F168" s="37"/>
      <c r="G168" s="37"/>
      <c r="H168" s="37"/>
      <c r="I168" s="37"/>
      <c r="J168" s="38"/>
      <c r="K168" s="38"/>
      <c r="L168" s="37"/>
      <c r="M168" s="37"/>
      <c r="N168" s="37"/>
      <c r="O168" s="37"/>
      <c r="P168" s="37"/>
      <c r="Q168" s="37"/>
      <c r="R168" s="13" t="str">
        <f t="shared" ca="1" si="32"/>
        <v/>
      </c>
      <c r="S168" s="13" t="str">
        <f ca="1">IF(A168="","",IF(OR(M168='02_マスタ'!$E$10,M168='02_マスタ'!$E$12),"",IF(L168="High","High",IF(AND(K168&lt;&gt;"",K168&lt;TODAY()),INDEX(_ゴミ箱_Backup!$B$117:$D$247,MATCH("ALERT_OVERDUE",_ゴミ箱_Backup!$A$117:$A$247,0),MATCH(言語切替!$B$3,_ゴミ箱_Backup!$B$1:$D$1,0)),IF(AND(K168&lt;&gt;"",K168-TODAY()&lt;=7),INDEX(_ゴミ箱_Backup!$B$117:$D$247,MATCH("ALERT_APPROACHING",_ゴミ箱_Backup!$A$117:$A$247,0),MATCH(言語切替!$B$3,_ゴミ箱_Backup!$B$1:$D$1,0)),IF(OR(M168='02_マスタ'!$E$7,M168='02_マスタ'!$E$8),INDEX(_ゴミ箱_Backup!$B$117:$D$247,MATCH("ALERT_CHECK",_ゴミ箱_Backup!$A$117:$A$247,0),MATCH(言語切替!$B$3,_ゴミ箱_Backup!$B$1:$D$1,0)),""))))))</f>
        <v/>
      </c>
      <c r="T168" s="53"/>
      <c r="U168" s="61" t="str">
        <f t="shared" si="33"/>
        <v/>
      </c>
      <c r="V168" s="61" t="str">
        <f t="shared" si="34"/>
        <v/>
      </c>
      <c r="W168" s="61" t="str">
        <f t="shared" si="35"/>
        <v/>
      </c>
      <c r="X168" s="61" t="str">
        <f t="shared" si="36"/>
        <v/>
      </c>
      <c r="Y168" s="61" t="str">
        <f t="shared" si="37"/>
        <v/>
      </c>
      <c r="Z168" s="61" t="str">
        <f t="shared" si="38"/>
        <v/>
      </c>
      <c r="AA168" s="61" t="str">
        <f t="shared" si="39"/>
        <v/>
      </c>
      <c r="AB168" s="61" t="str">
        <f t="shared" si="40"/>
        <v/>
      </c>
      <c r="AC168" s="61" t="str">
        <f t="shared" si="41"/>
        <v/>
      </c>
      <c r="AD168" s="61" t="str">
        <f t="shared" si="42"/>
        <v/>
      </c>
      <c r="AE168" s="61" t="str">
        <f t="shared" si="43"/>
        <v/>
      </c>
      <c r="AF168" s="61" t="str">
        <f t="shared" si="44"/>
        <v/>
      </c>
      <c r="AG168" s="61" t="str">
        <f t="shared" si="45"/>
        <v/>
      </c>
      <c r="AH168" s="61" t="str">
        <f t="shared" si="46"/>
        <v/>
      </c>
      <c r="AI168" s="61" t="str">
        <f t="shared" si="47"/>
        <v/>
      </c>
    </row>
    <row r="169" spans="1:35" x14ac:dyDescent="0.25">
      <c r="A169" s="40"/>
      <c r="B169" s="41"/>
      <c r="C169" s="41"/>
      <c r="D169" s="41"/>
      <c r="E169" s="41"/>
      <c r="F169" s="41"/>
      <c r="G169" s="41"/>
      <c r="H169" s="41"/>
      <c r="I169" s="41"/>
      <c r="J169" s="42"/>
      <c r="K169" s="42"/>
      <c r="L169" s="41"/>
      <c r="M169" s="41"/>
      <c r="N169" s="41"/>
      <c r="O169" s="41"/>
      <c r="P169" s="41"/>
      <c r="Q169" s="41"/>
      <c r="R169" s="16" t="str">
        <f t="shared" ca="1" si="32"/>
        <v/>
      </c>
      <c r="S169" s="16" t="str">
        <f ca="1">IF(A169="","",IF(OR(M169='02_マスタ'!$E$10,M169='02_マスタ'!$E$12),"",IF(L169="High","High",IF(AND(K169&lt;&gt;"",K169&lt;TODAY()),INDEX(_ゴミ箱_Backup!$B$117:$D$247,MATCH("ALERT_OVERDUE",_ゴミ箱_Backup!$A$117:$A$247,0),MATCH(言語切替!$B$3,_ゴミ箱_Backup!$B$1:$D$1,0)),IF(AND(K169&lt;&gt;"",K169-TODAY()&lt;=7),INDEX(_ゴミ箱_Backup!$B$117:$D$247,MATCH("ALERT_APPROACHING",_ゴミ箱_Backup!$A$117:$A$247,0),MATCH(言語切替!$B$3,_ゴミ箱_Backup!$B$1:$D$1,0)),IF(OR(M169='02_マスタ'!$E$7,M169='02_マスタ'!$E$8),INDEX(_ゴミ箱_Backup!$B$117:$D$247,MATCH("ALERT_CHECK",_ゴミ箱_Backup!$A$117:$A$247,0),MATCH(言語切替!$B$3,_ゴミ箱_Backup!$B$1:$D$1,0)),""))))))</f>
        <v/>
      </c>
      <c r="T169" s="52"/>
      <c r="U169" s="61" t="str">
        <f t="shared" si="33"/>
        <v/>
      </c>
      <c r="V169" s="61" t="str">
        <f t="shared" si="34"/>
        <v/>
      </c>
      <c r="W169" s="61" t="str">
        <f t="shared" si="35"/>
        <v/>
      </c>
      <c r="X169" s="61" t="str">
        <f t="shared" si="36"/>
        <v/>
      </c>
      <c r="Y169" s="61" t="str">
        <f t="shared" si="37"/>
        <v/>
      </c>
      <c r="Z169" s="61" t="str">
        <f t="shared" si="38"/>
        <v/>
      </c>
      <c r="AA169" s="61" t="str">
        <f t="shared" si="39"/>
        <v/>
      </c>
      <c r="AB169" s="61" t="str">
        <f t="shared" si="40"/>
        <v/>
      </c>
      <c r="AC169" s="61" t="str">
        <f t="shared" si="41"/>
        <v/>
      </c>
      <c r="AD169" s="61" t="str">
        <f t="shared" si="42"/>
        <v/>
      </c>
      <c r="AE169" s="61" t="str">
        <f t="shared" si="43"/>
        <v/>
      </c>
      <c r="AF169" s="61" t="str">
        <f t="shared" si="44"/>
        <v/>
      </c>
      <c r="AG169" s="61" t="str">
        <f t="shared" si="45"/>
        <v/>
      </c>
      <c r="AH169" s="61" t="str">
        <f t="shared" si="46"/>
        <v/>
      </c>
      <c r="AI169" s="61" t="str">
        <f t="shared" si="47"/>
        <v/>
      </c>
    </row>
    <row r="170" spans="1:35" x14ac:dyDescent="0.25">
      <c r="A170" s="36"/>
      <c r="B170" s="37"/>
      <c r="C170" s="37"/>
      <c r="D170" s="37"/>
      <c r="E170" s="37"/>
      <c r="F170" s="37"/>
      <c r="G170" s="37"/>
      <c r="H170" s="37"/>
      <c r="I170" s="37"/>
      <c r="J170" s="38"/>
      <c r="K170" s="38"/>
      <c r="L170" s="37"/>
      <c r="M170" s="37"/>
      <c r="N170" s="37"/>
      <c r="O170" s="37"/>
      <c r="P170" s="37"/>
      <c r="Q170" s="37"/>
      <c r="R170" s="13" t="str">
        <f t="shared" ca="1" si="32"/>
        <v/>
      </c>
      <c r="S170" s="13" t="str">
        <f ca="1">IF(A170="","",IF(OR(M170='02_マスタ'!$E$10,M170='02_マスタ'!$E$12),"",IF(L170="High","High",IF(AND(K170&lt;&gt;"",K170&lt;TODAY()),INDEX(_ゴミ箱_Backup!$B$117:$D$247,MATCH("ALERT_OVERDUE",_ゴミ箱_Backup!$A$117:$A$247,0),MATCH(言語切替!$B$3,_ゴミ箱_Backup!$B$1:$D$1,0)),IF(AND(K170&lt;&gt;"",K170-TODAY()&lt;=7),INDEX(_ゴミ箱_Backup!$B$117:$D$247,MATCH("ALERT_APPROACHING",_ゴミ箱_Backup!$A$117:$A$247,0),MATCH(言語切替!$B$3,_ゴミ箱_Backup!$B$1:$D$1,0)),IF(OR(M170='02_マスタ'!$E$7,M170='02_マスタ'!$E$8),INDEX(_ゴミ箱_Backup!$B$117:$D$247,MATCH("ALERT_CHECK",_ゴミ箱_Backup!$A$117:$A$247,0),MATCH(言語切替!$B$3,_ゴミ箱_Backup!$B$1:$D$1,0)),""))))))</f>
        <v/>
      </c>
      <c r="T170" s="53"/>
      <c r="U170" s="61" t="str">
        <f t="shared" si="33"/>
        <v/>
      </c>
      <c r="V170" s="61" t="str">
        <f t="shared" si="34"/>
        <v/>
      </c>
      <c r="W170" s="61" t="str">
        <f t="shared" si="35"/>
        <v/>
      </c>
      <c r="X170" s="61" t="str">
        <f t="shared" si="36"/>
        <v/>
      </c>
      <c r="Y170" s="61" t="str">
        <f t="shared" si="37"/>
        <v/>
      </c>
      <c r="Z170" s="61" t="str">
        <f t="shared" si="38"/>
        <v/>
      </c>
      <c r="AA170" s="61" t="str">
        <f t="shared" si="39"/>
        <v/>
      </c>
      <c r="AB170" s="61" t="str">
        <f t="shared" si="40"/>
        <v/>
      </c>
      <c r="AC170" s="61" t="str">
        <f t="shared" si="41"/>
        <v/>
      </c>
      <c r="AD170" s="61" t="str">
        <f t="shared" si="42"/>
        <v/>
      </c>
      <c r="AE170" s="61" t="str">
        <f t="shared" si="43"/>
        <v/>
      </c>
      <c r="AF170" s="61" t="str">
        <f t="shared" si="44"/>
        <v/>
      </c>
      <c r="AG170" s="61" t="str">
        <f t="shared" si="45"/>
        <v/>
      </c>
      <c r="AH170" s="61" t="str">
        <f t="shared" si="46"/>
        <v/>
      </c>
      <c r="AI170" s="61" t="str">
        <f t="shared" si="47"/>
        <v/>
      </c>
    </row>
    <row r="171" spans="1:35" x14ac:dyDescent="0.25">
      <c r="A171" s="40"/>
      <c r="B171" s="41"/>
      <c r="C171" s="41"/>
      <c r="D171" s="41"/>
      <c r="E171" s="41"/>
      <c r="F171" s="41"/>
      <c r="G171" s="41"/>
      <c r="H171" s="41"/>
      <c r="I171" s="41"/>
      <c r="J171" s="42"/>
      <c r="K171" s="42"/>
      <c r="L171" s="41"/>
      <c r="M171" s="41"/>
      <c r="N171" s="41"/>
      <c r="O171" s="41"/>
      <c r="P171" s="41"/>
      <c r="Q171" s="41"/>
      <c r="R171" s="16" t="str">
        <f t="shared" ca="1" si="32"/>
        <v/>
      </c>
      <c r="S171" s="16" t="str">
        <f ca="1">IF(A171="","",IF(OR(M171='02_マスタ'!$E$10,M171='02_マスタ'!$E$12),"",IF(L171="High","High",IF(AND(K171&lt;&gt;"",K171&lt;TODAY()),INDEX(_ゴミ箱_Backup!$B$117:$D$247,MATCH("ALERT_OVERDUE",_ゴミ箱_Backup!$A$117:$A$247,0),MATCH(言語切替!$B$3,_ゴミ箱_Backup!$B$1:$D$1,0)),IF(AND(K171&lt;&gt;"",K171-TODAY()&lt;=7),INDEX(_ゴミ箱_Backup!$B$117:$D$247,MATCH("ALERT_APPROACHING",_ゴミ箱_Backup!$A$117:$A$247,0),MATCH(言語切替!$B$3,_ゴミ箱_Backup!$B$1:$D$1,0)),IF(OR(M171='02_マスタ'!$E$7,M171='02_マスタ'!$E$8),INDEX(_ゴミ箱_Backup!$B$117:$D$247,MATCH("ALERT_CHECK",_ゴミ箱_Backup!$A$117:$A$247,0),MATCH(言語切替!$B$3,_ゴミ箱_Backup!$B$1:$D$1,0)),""))))))</f>
        <v/>
      </c>
      <c r="T171" s="52"/>
      <c r="U171" s="61" t="str">
        <f t="shared" si="33"/>
        <v/>
      </c>
      <c r="V171" s="61" t="str">
        <f t="shared" si="34"/>
        <v/>
      </c>
      <c r="W171" s="61" t="str">
        <f t="shared" si="35"/>
        <v/>
      </c>
      <c r="X171" s="61" t="str">
        <f t="shared" si="36"/>
        <v/>
      </c>
      <c r="Y171" s="61" t="str">
        <f t="shared" si="37"/>
        <v/>
      </c>
      <c r="Z171" s="61" t="str">
        <f t="shared" si="38"/>
        <v/>
      </c>
      <c r="AA171" s="61" t="str">
        <f t="shared" si="39"/>
        <v/>
      </c>
      <c r="AB171" s="61" t="str">
        <f t="shared" si="40"/>
        <v/>
      </c>
      <c r="AC171" s="61" t="str">
        <f t="shared" si="41"/>
        <v/>
      </c>
      <c r="AD171" s="61" t="str">
        <f t="shared" si="42"/>
        <v/>
      </c>
      <c r="AE171" s="61" t="str">
        <f t="shared" si="43"/>
        <v/>
      </c>
      <c r="AF171" s="61" t="str">
        <f t="shared" si="44"/>
        <v/>
      </c>
      <c r="AG171" s="61" t="str">
        <f t="shared" si="45"/>
        <v/>
      </c>
      <c r="AH171" s="61" t="str">
        <f t="shared" si="46"/>
        <v/>
      </c>
      <c r="AI171" s="61" t="str">
        <f t="shared" si="47"/>
        <v/>
      </c>
    </row>
    <row r="172" spans="1:35" x14ac:dyDescent="0.25">
      <c r="A172" s="36"/>
      <c r="B172" s="37"/>
      <c r="C172" s="37"/>
      <c r="D172" s="37"/>
      <c r="E172" s="37"/>
      <c r="F172" s="37"/>
      <c r="G172" s="37"/>
      <c r="H172" s="37"/>
      <c r="I172" s="37"/>
      <c r="J172" s="38"/>
      <c r="K172" s="38"/>
      <c r="L172" s="37"/>
      <c r="M172" s="37"/>
      <c r="N172" s="37"/>
      <c r="O172" s="37"/>
      <c r="P172" s="37"/>
      <c r="Q172" s="37"/>
      <c r="R172" s="13" t="str">
        <f t="shared" ca="1" si="32"/>
        <v/>
      </c>
      <c r="S172" s="13" t="str">
        <f ca="1">IF(A172="","",IF(OR(M172='02_マスタ'!$E$10,M172='02_マスタ'!$E$12),"",IF(L172="High","High",IF(AND(K172&lt;&gt;"",K172&lt;TODAY()),INDEX(_ゴミ箱_Backup!$B$117:$D$247,MATCH("ALERT_OVERDUE",_ゴミ箱_Backup!$A$117:$A$247,0),MATCH(言語切替!$B$3,_ゴミ箱_Backup!$B$1:$D$1,0)),IF(AND(K172&lt;&gt;"",K172-TODAY()&lt;=7),INDEX(_ゴミ箱_Backup!$B$117:$D$247,MATCH("ALERT_APPROACHING",_ゴミ箱_Backup!$A$117:$A$247,0),MATCH(言語切替!$B$3,_ゴミ箱_Backup!$B$1:$D$1,0)),IF(OR(M172='02_マスタ'!$E$7,M172='02_マスタ'!$E$8),INDEX(_ゴミ箱_Backup!$B$117:$D$247,MATCH("ALERT_CHECK",_ゴミ箱_Backup!$A$117:$A$247,0),MATCH(言語切替!$B$3,_ゴミ箱_Backup!$B$1:$D$1,0)),""))))))</f>
        <v/>
      </c>
      <c r="T172" s="53"/>
      <c r="U172" s="61" t="str">
        <f t="shared" si="33"/>
        <v/>
      </c>
      <c r="V172" s="61" t="str">
        <f t="shared" si="34"/>
        <v/>
      </c>
      <c r="W172" s="61" t="str">
        <f t="shared" si="35"/>
        <v/>
      </c>
      <c r="X172" s="61" t="str">
        <f t="shared" si="36"/>
        <v/>
      </c>
      <c r="Y172" s="61" t="str">
        <f t="shared" si="37"/>
        <v/>
      </c>
      <c r="Z172" s="61" t="str">
        <f t="shared" si="38"/>
        <v/>
      </c>
      <c r="AA172" s="61" t="str">
        <f t="shared" si="39"/>
        <v/>
      </c>
      <c r="AB172" s="61" t="str">
        <f t="shared" si="40"/>
        <v/>
      </c>
      <c r="AC172" s="61" t="str">
        <f t="shared" si="41"/>
        <v/>
      </c>
      <c r="AD172" s="61" t="str">
        <f t="shared" si="42"/>
        <v/>
      </c>
      <c r="AE172" s="61" t="str">
        <f t="shared" si="43"/>
        <v/>
      </c>
      <c r="AF172" s="61" t="str">
        <f t="shared" si="44"/>
        <v/>
      </c>
      <c r="AG172" s="61" t="str">
        <f t="shared" si="45"/>
        <v/>
      </c>
      <c r="AH172" s="61" t="str">
        <f t="shared" si="46"/>
        <v/>
      </c>
      <c r="AI172" s="61" t="str">
        <f t="shared" si="47"/>
        <v/>
      </c>
    </row>
    <row r="173" spans="1:35" x14ac:dyDescent="0.25">
      <c r="A173" s="40"/>
      <c r="B173" s="41"/>
      <c r="C173" s="41"/>
      <c r="D173" s="41"/>
      <c r="E173" s="41"/>
      <c r="F173" s="41"/>
      <c r="G173" s="41"/>
      <c r="H173" s="41"/>
      <c r="I173" s="41"/>
      <c r="J173" s="42"/>
      <c r="K173" s="42"/>
      <c r="L173" s="41"/>
      <c r="M173" s="41"/>
      <c r="N173" s="41"/>
      <c r="O173" s="41"/>
      <c r="P173" s="41"/>
      <c r="Q173" s="41"/>
      <c r="R173" s="16" t="str">
        <f t="shared" ca="1" si="32"/>
        <v/>
      </c>
      <c r="S173" s="16" t="str">
        <f ca="1">IF(A173="","",IF(OR(M173='02_マスタ'!$E$10,M173='02_マスタ'!$E$12),"",IF(L173="High","High",IF(AND(K173&lt;&gt;"",K173&lt;TODAY()),INDEX(_ゴミ箱_Backup!$B$117:$D$247,MATCH("ALERT_OVERDUE",_ゴミ箱_Backup!$A$117:$A$247,0),MATCH(言語切替!$B$3,_ゴミ箱_Backup!$B$1:$D$1,0)),IF(AND(K173&lt;&gt;"",K173-TODAY()&lt;=7),INDEX(_ゴミ箱_Backup!$B$117:$D$247,MATCH("ALERT_APPROACHING",_ゴミ箱_Backup!$A$117:$A$247,0),MATCH(言語切替!$B$3,_ゴミ箱_Backup!$B$1:$D$1,0)),IF(OR(M173='02_マスタ'!$E$7,M173='02_マスタ'!$E$8),INDEX(_ゴミ箱_Backup!$B$117:$D$247,MATCH("ALERT_CHECK",_ゴミ箱_Backup!$A$117:$A$247,0),MATCH(言語切替!$B$3,_ゴミ箱_Backup!$B$1:$D$1,0)),""))))))</f>
        <v/>
      </c>
      <c r="T173" s="52"/>
      <c r="U173" s="61" t="str">
        <f t="shared" si="33"/>
        <v/>
      </c>
      <c r="V173" s="61" t="str">
        <f t="shared" si="34"/>
        <v/>
      </c>
      <c r="W173" s="61" t="str">
        <f t="shared" si="35"/>
        <v/>
      </c>
      <c r="X173" s="61" t="str">
        <f t="shared" si="36"/>
        <v/>
      </c>
      <c r="Y173" s="61" t="str">
        <f t="shared" si="37"/>
        <v/>
      </c>
      <c r="Z173" s="61" t="str">
        <f t="shared" si="38"/>
        <v/>
      </c>
      <c r="AA173" s="61" t="str">
        <f t="shared" si="39"/>
        <v/>
      </c>
      <c r="AB173" s="61" t="str">
        <f t="shared" si="40"/>
        <v/>
      </c>
      <c r="AC173" s="61" t="str">
        <f t="shared" si="41"/>
        <v/>
      </c>
      <c r="AD173" s="61" t="str">
        <f t="shared" si="42"/>
        <v/>
      </c>
      <c r="AE173" s="61" t="str">
        <f t="shared" si="43"/>
        <v/>
      </c>
      <c r="AF173" s="61" t="str">
        <f t="shared" si="44"/>
        <v/>
      </c>
      <c r="AG173" s="61" t="str">
        <f t="shared" si="45"/>
        <v/>
      </c>
      <c r="AH173" s="61" t="str">
        <f t="shared" si="46"/>
        <v/>
      </c>
      <c r="AI173" s="61" t="str">
        <f t="shared" si="47"/>
        <v/>
      </c>
    </row>
    <row r="174" spans="1:35" x14ac:dyDescent="0.25">
      <c r="A174" s="36"/>
      <c r="B174" s="37"/>
      <c r="C174" s="37"/>
      <c r="D174" s="37"/>
      <c r="E174" s="37"/>
      <c r="F174" s="37"/>
      <c r="G174" s="37"/>
      <c r="H174" s="37"/>
      <c r="I174" s="37"/>
      <c r="J174" s="38"/>
      <c r="K174" s="38"/>
      <c r="L174" s="37"/>
      <c r="M174" s="37"/>
      <c r="N174" s="37"/>
      <c r="O174" s="37"/>
      <c r="P174" s="37"/>
      <c r="Q174" s="37"/>
      <c r="R174" s="13" t="str">
        <f t="shared" ca="1" si="32"/>
        <v/>
      </c>
      <c r="S174" s="13" t="str">
        <f ca="1">IF(A174="","",IF(OR(M174='02_マスタ'!$E$10,M174='02_マスタ'!$E$12),"",IF(L174="High","High",IF(AND(K174&lt;&gt;"",K174&lt;TODAY()),INDEX(_ゴミ箱_Backup!$B$117:$D$247,MATCH("ALERT_OVERDUE",_ゴミ箱_Backup!$A$117:$A$247,0),MATCH(言語切替!$B$3,_ゴミ箱_Backup!$B$1:$D$1,0)),IF(AND(K174&lt;&gt;"",K174-TODAY()&lt;=7),INDEX(_ゴミ箱_Backup!$B$117:$D$247,MATCH("ALERT_APPROACHING",_ゴミ箱_Backup!$A$117:$A$247,0),MATCH(言語切替!$B$3,_ゴミ箱_Backup!$B$1:$D$1,0)),IF(OR(M174='02_マスタ'!$E$7,M174='02_マスタ'!$E$8),INDEX(_ゴミ箱_Backup!$B$117:$D$247,MATCH("ALERT_CHECK",_ゴミ箱_Backup!$A$117:$A$247,0),MATCH(言語切替!$B$3,_ゴミ箱_Backup!$B$1:$D$1,0)),""))))))</f>
        <v/>
      </c>
      <c r="T174" s="53"/>
      <c r="U174" s="61" t="str">
        <f t="shared" si="33"/>
        <v/>
      </c>
      <c r="V174" s="61" t="str">
        <f t="shared" si="34"/>
        <v/>
      </c>
      <c r="W174" s="61" t="str">
        <f t="shared" si="35"/>
        <v/>
      </c>
      <c r="X174" s="61" t="str">
        <f t="shared" si="36"/>
        <v/>
      </c>
      <c r="Y174" s="61" t="str">
        <f t="shared" si="37"/>
        <v/>
      </c>
      <c r="Z174" s="61" t="str">
        <f t="shared" si="38"/>
        <v/>
      </c>
      <c r="AA174" s="61" t="str">
        <f t="shared" si="39"/>
        <v/>
      </c>
      <c r="AB174" s="61" t="str">
        <f t="shared" si="40"/>
        <v/>
      </c>
      <c r="AC174" s="61" t="str">
        <f t="shared" si="41"/>
        <v/>
      </c>
      <c r="AD174" s="61" t="str">
        <f t="shared" si="42"/>
        <v/>
      </c>
      <c r="AE174" s="61" t="str">
        <f t="shared" si="43"/>
        <v/>
      </c>
      <c r="AF174" s="61" t="str">
        <f t="shared" si="44"/>
        <v/>
      </c>
      <c r="AG174" s="61" t="str">
        <f t="shared" si="45"/>
        <v/>
      </c>
      <c r="AH174" s="61" t="str">
        <f t="shared" si="46"/>
        <v/>
      </c>
      <c r="AI174" s="61" t="str">
        <f t="shared" si="47"/>
        <v/>
      </c>
    </row>
    <row r="175" spans="1:35" x14ac:dyDescent="0.25">
      <c r="A175" s="40"/>
      <c r="B175" s="41"/>
      <c r="C175" s="41"/>
      <c r="D175" s="41"/>
      <c r="E175" s="41"/>
      <c r="F175" s="41"/>
      <c r="G175" s="41"/>
      <c r="H175" s="41"/>
      <c r="I175" s="41"/>
      <c r="J175" s="42"/>
      <c r="K175" s="42"/>
      <c r="L175" s="41"/>
      <c r="M175" s="41"/>
      <c r="N175" s="41"/>
      <c r="O175" s="41"/>
      <c r="P175" s="41"/>
      <c r="Q175" s="41"/>
      <c r="R175" s="16" t="str">
        <f t="shared" ca="1" si="32"/>
        <v/>
      </c>
      <c r="S175" s="16" t="str">
        <f ca="1">IF(A175="","",IF(OR(M175='02_マスタ'!$E$10,M175='02_マスタ'!$E$12),"",IF(L175="High","High",IF(AND(K175&lt;&gt;"",K175&lt;TODAY()),INDEX(_ゴミ箱_Backup!$B$117:$D$247,MATCH("ALERT_OVERDUE",_ゴミ箱_Backup!$A$117:$A$247,0),MATCH(言語切替!$B$3,_ゴミ箱_Backup!$B$1:$D$1,0)),IF(AND(K175&lt;&gt;"",K175-TODAY()&lt;=7),INDEX(_ゴミ箱_Backup!$B$117:$D$247,MATCH("ALERT_APPROACHING",_ゴミ箱_Backup!$A$117:$A$247,0),MATCH(言語切替!$B$3,_ゴミ箱_Backup!$B$1:$D$1,0)),IF(OR(M175='02_マスタ'!$E$7,M175='02_マスタ'!$E$8),INDEX(_ゴミ箱_Backup!$B$117:$D$247,MATCH("ALERT_CHECK",_ゴミ箱_Backup!$A$117:$A$247,0),MATCH(言語切替!$B$3,_ゴミ箱_Backup!$B$1:$D$1,0)),""))))))</f>
        <v/>
      </c>
      <c r="T175" s="52"/>
      <c r="U175" s="61" t="str">
        <f t="shared" si="33"/>
        <v/>
      </c>
      <c r="V175" s="61" t="str">
        <f t="shared" si="34"/>
        <v/>
      </c>
      <c r="W175" s="61" t="str">
        <f t="shared" si="35"/>
        <v/>
      </c>
      <c r="X175" s="61" t="str">
        <f t="shared" si="36"/>
        <v/>
      </c>
      <c r="Y175" s="61" t="str">
        <f t="shared" si="37"/>
        <v/>
      </c>
      <c r="Z175" s="61" t="str">
        <f t="shared" si="38"/>
        <v/>
      </c>
      <c r="AA175" s="61" t="str">
        <f t="shared" si="39"/>
        <v/>
      </c>
      <c r="AB175" s="61" t="str">
        <f t="shared" si="40"/>
        <v/>
      </c>
      <c r="AC175" s="61" t="str">
        <f t="shared" si="41"/>
        <v/>
      </c>
      <c r="AD175" s="61" t="str">
        <f t="shared" si="42"/>
        <v/>
      </c>
      <c r="AE175" s="61" t="str">
        <f t="shared" si="43"/>
        <v/>
      </c>
      <c r="AF175" s="61" t="str">
        <f t="shared" si="44"/>
        <v/>
      </c>
      <c r="AG175" s="61" t="str">
        <f t="shared" si="45"/>
        <v/>
      </c>
      <c r="AH175" s="61" t="str">
        <f t="shared" si="46"/>
        <v/>
      </c>
      <c r="AI175" s="61" t="str">
        <f t="shared" si="47"/>
        <v/>
      </c>
    </row>
    <row r="176" spans="1:35" x14ac:dyDescent="0.25">
      <c r="A176" s="36"/>
      <c r="B176" s="37"/>
      <c r="C176" s="37"/>
      <c r="D176" s="37"/>
      <c r="E176" s="37"/>
      <c r="F176" s="37"/>
      <c r="G176" s="37"/>
      <c r="H176" s="37"/>
      <c r="I176" s="37"/>
      <c r="J176" s="38"/>
      <c r="K176" s="38"/>
      <c r="L176" s="37"/>
      <c r="M176" s="37"/>
      <c r="N176" s="37"/>
      <c r="O176" s="37"/>
      <c r="P176" s="37"/>
      <c r="Q176" s="37"/>
      <c r="R176" s="13" t="str">
        <f t="shared" ca="1" si="32"/>
        <v/>
      </c>
      <c r="S176" s="13" t="str">
        <f ca="1">IF(A176="","",IF(OR(M176='02_マスタ'!$E$10,M176='02_マスタ'!$E$12),"",IF(L176="High","High",IF(AND(K176&lt;&gt;"",K176&lt;TODAY()),INDEX(_ゴミ箱_Backup!$B$117:$D$247,MATCH("ALERT_OVERDUE",_ゴミ箱_Backup!$A$117:$A$247,0),MATCH(言語切替!$B$3,_ゴミ箱_Backup!$B$1:$D$1,0)),IF(AND(K176&lt;&gt;"",K176-TODAY()&lt;=7),INDEX(_ゴミ箱_Backup!$B$117:$D$247,MATCH("ALERT_APPROACHING",_ゴミ箱_Backup!$A$117:$A$247,0),MATCH(言語切替!$B$3,_ゴミ箱_Backup!$B$1:$D$1,0)),IF(OR(M176='02_マスタ'!$E$7,M176='02_マスタ'!$E$8),INDEX(_ゴミ箱_Backup!$B$117:$D$247,MATCH("ALERT_CHECK",_ゴミ箱_Backup!$A$117:$A$247,0),MATCH(言語切替!$B$3,_ゴミ箱_Backup!$B$1:$D$1,0)),""))))))</f>
        <v/>
      </c>
      <c r="T176" s="53"/>
      <c r="U176" s="61" t="str">
        <f t="shared" si="33"/>
        <v/>
      </c>
      <c r="V176" s="61" t="str">
        <f t="shared" si="34"/>
        <v/>
      </c>
      <c r="W176" s="61" t="str">
        <f t="shared" si="35"/>
        <v/>
      </c>
      <c r="X176" s="61" t="str">
        <f t="shared" si="36"/>
        <v/>
      </c>
      <c r="Y176" s="61" t="str">
        <f t="shared" si="37"/>
        <v/>
      </c>
      <c r="Z176" s="61" t="str">
        <f t="shared" si="38"/>
        <v/>
      </c>
      <c r="AA176" s="61" t="str">
        <f t="shared" si="39"/>
        <v/>
      </c>
      <c r="AB176" s="61" t="str">
        <f t="shared" si="40"/>
        <v/>
      </c>
      <c r="AC176" s="61" t="str">
        <f t="shared" si="41"/>
        <v/>
      </c>
      <c r="AD176" s="61" t="str">
        <f t="shared" si="42"/>
        <v/>
      </c>
      <c r="AE176" s="61" t="str">
        <f t="shared" si="43"/>
        <v/>
      </c>
      <c r="AF176" s="61" t="str">
        <f t="shared" si="44"/>
        <v/>
      </c>
      <c r="AG176" s="61" t="str">
        <f t="shared" si="45"/>
        <v/>
      </c>
      <c r="AH176" s="61" t="str">
        <f t="shared" si="46"/>
        <v/>
      </c>
      <c r="AI176" s="61" t="str">
        <f t="shared" si="47"/>
        <v/>
      </c>
    </row>
    <row r="177" spans="1:35" x14ac:dyDescent="0.25">
      <c r="A177" s="40"/>
      <c r="B177" s="41"/>
      <c r="C177" s="41"/>
      <c r="D177" s="41"/>
      <c r="E177" s="41"/>
      <c r="F177" s="41"/>
      <c r="G177" s="41"/>
      <c r="H177" s="41"/>
      <c r="I177" s="41"/>
      <c r="J177" s="42"/>
      <c r="K177" s="42"/>
      <c r="L177" s="41"/>
      <c r="M177" s="41"/>
      <c r="N177" s="41"/>
      <c r="O177" s="41"/>
      <c r="P177" s="41"/>
      <c r="Q177" s="41"/>
      <c r="R177" s="16" t="str">
        <f t="shared" ca="1" si="32"/>
        <v/>
      </c>
      <c r="S177" s="16" t="str">
        <f ca="1">IF(A177="","",IF(OR(M177='02_マスタ'!$E$10,M177='02_マスタ'!$E$12),"",IF(L177="High","High",IF(AND(K177&lt;&gt;"",K177&lt;TODAY()),INDEX(_ゴミ箱_Backup!$B$117:$D$247,MATCH("ALERT_OVERDUE",_ゴミ箱_Backup!$A$117:$A$247,0),MATCH(言語切替!$B$3,_ゴミ箱_Backup!$B$1:$D$1,0)),IF(AND(K177&lt;&gt;"",K177-TODAY()&lt;=7),INDEX(_ゴミ箱_Backup!$B$117:$D$247,MATCH("ALERT_APPROACHING",_ゴミ箱_Backup!$A$117:$A$247,0),MATCH(言語切替!$B$3,_ゴミ箱_Backup!$B$1:$D$1,0)),IF(OR(M177='02_マスタ'!$E$7,M177='02_マスタ'!$E$8),INDEX(_ゴミ箱_Backup!$B$117:$D$247,MATCH("ALERT_CHECK",_ゴミ箱_Backup!$A$117:$A$247,0),MATCH(言語切替!$B$3,_ゴミ箱_Backup!$B$1:$D$1,0)),""))))))</f>
        <v/>
      </c>
      <c r="T177" s="52"/>
      <c r="U177" s="61" t="str">
        <f t="shared" si="33"/>
        <v/>
      </c>
      <c r="V177" s="61" t="str">
        <f t="shared" si="34"/>
        <v/>
      </c>
      <c r="W177" s="61" t="str">
        <f t="shared" si="35"/>
        <v/>
      </c>
      <c r="X177" s="61" t="str">
        <f t="shared" si="36"/>
        <v/>
      </c>
      <c r="Y177" s="61" t="str">
        <f t="shared" si="37"/>
        <v/>
      </c>
      <c r="Z177" s="61" t="str">
        <f t="shared" si="38"/>
        <v/>
      </c>
      <c r="AA177" s="61" t="str">
        <f t="shared" si="39"/>
        <v/>
      </c>
      <c r="AB177" s="61" t="str">
        <f t="shared" si="40"/>
        <v/>
      </c>
      <c r="AC177" s="61" t="str">
        <f t="shared" si="41"/>
        <v/>
      </c>
      <c r="AD177" s="61" t="str">
        <f t="shared" si="42"/>
        <v/>
      </c>
      <c r="AE177" s="61" t="str">
        <f t="shared" si="43"/>
        <v/>
      </c>
      <c r="AF177" s="61" t="str">
        <f t="shared" si="44"/>
        <v/>
      </c>
      <c r="AG177" s="61" t="str">
        <f t="shared" si="45"/>
        <v/>
      </c>
      <c r="AH177" s="61" t="str">
        <f t="shared" si="46"/>
        <v/>
      </c>
      <c r="AI177" s="61" t="str">
        <f t="shared" si="47"/>
        <v/>
      </c>
    </row>
    <row r="178" spans="1:35" x14ac:dyDescent="0.25">
      <c r="A178" s="36"/>
      <c r="B178" s="37"/>
      <c r="C178" s="37"/>
      <c r="D178" s="37"/>
      <c r="E178" s="37"/>
      <c r="F178" s="37"/>
      <c r="G178" s="37"/>
      <c r="H178" s="37"/>
      <c r="I178" s="37"/>
      <c r="J178" s="38"/>
      <c r="K178" s="38"/>
      <c r="L178" s="37"/>
      <c r="M178" s="37"/>
      <c r="N178" s="37"/>
      <c r="O178" s="37"/>
      <c r="P178" s="37"/>
      <c r="Q178" s="37"/>
      <c r="R178" s="13" t="str">
        <f t="shared" ca="1" si="32"/>
        <v/>
      </c>
      <c r="S178" s="13" t="str">
        <f ca="1">IF(A178="","",IF(OR(M178='02_マスタ'!$E$10,M178='02_マスタ'!$E$12),"",IF(L178="High","High",IF(AND(K178&lt;&gt;"",K178&lt;TODAY()),INDEX(_ゴミ箱_Backup!$B$117:$D$247,MATCH("ALERT_OVERDUE",_ゴミ箱_Backup!$A$117:$A$247,0),MATCH(言語切替!$B$3,_ゴミ箱_Backup!$B$1:$D$1,0)),IF(AND(K178&lt;&gt;"",K178-TODAY()&lt;=7),INDEX(_ゴミ箱_Backup!$B$117:$D$247,MATCH("ALERT_APPROACHING",_ゴミ箱_Backup!$A$117:$A$247,0),MATCH(言語切替!$B$3,_ゴミ箱_Backup!$B$1:$D$1,0)),IF(OR(M178='02_マスタ'!$E$7,M178='02_マスタ'!$E$8),INDEX(_ゴミ箱_Backup!$B$117:$D$247,MATCH("ALERT_CHECK",_ゴミ箱_Backup!$A$117:$A$247,0),MATCH(言語切替!$B$3,_ゴミ箱_Backup!$B$1:$D$1,0)),""))))))</f>
        <v/>
      </c>
      <c r="T178" s="53"/>
      <c r="U178" s="61" t="str">
        <f t="shared" si="33"/>
        <v/>
      </c>
      <c r="V178" s="61" t="str">
        <f t="shared" si="34"/>
        <v/>
      </c>
      <c r="W178" s="61" t="str">
        <f t="shared" si="35"/>
        <v/>
      </c>
      <c r="X178" s="61" t="str">
        <f t="shared" si="36"/>
        <v/>
      </c>
      <c r="Y178" s="61" t="str">
        <f t="shared" si="37"/>
        <v/>
      </c>
      <c r="Z178" s="61" t="str">
        <f t="shared" si="38"/>
        <v/>
      </c>
      <c r="AA178" s="61" t="str">
        <f t="shared" si="39"/>
        <v/>
      </c>
      <c r="AB178" s="61" t="str">
        <f t="shared" si="40"/>
        <v/>
      </c>
      <c r="AC178" s="61" t="str">
        <f t="shared" si="41"/>
        <v/>
      </c>
      <c r="AD178" s="61" t="str">
        <f t="shared" si="42"/>
        <v/>
      </c>
      <c r="AE178" s="61" t="str">
        <f t="shared" si="43"/>
        <v/>
      </c>
      <c r="AF178" s="61" t="str">
        <f t="shared" si="44"/>
        <v/>
      </c>
      <c r="AG178" s="61" t="str">
        <f t="shared" si="45"/>
        <v/>
      </c>
      <c r="AH178" s="61" t="str">
        <f t="shared" si="46"/>
        <v/>
      </c>
      <c r="AI178" s="61" t="str">
        <f t="shared" si="47"/>
        <v/>
      </c>
    </row>
    <row r="179" spans="1:35" x14ac:dyDescent="0.25">
      <c r="A179" s="40"/>
      <c r="B179" s="41"/>
      <c r="C179" s="41"/>
      <c r="D179" s="41"/>
      <c r="E179" s="41"/>
      <c r="F179" s="41"/>
      <c r="G179" s="41"/>
      <c r="H179" s="41"/>
      <c r="I179" s="41"/>
      <c r="J179" s="42"/>
      <c r="K179" s="42"/>
      <c r="L179" s="41"/>
      <c r="M179" s="41"/>
      <c r="N179" s="41"/>
      <c r="O179" s="41"/>
      <c r="P179" s="41"/>
      <c r="Q179" s="41"/>
      <c r="R179" s="16" t="str">
        <f t="shared" ca="1" si="32"/>
        <v/>
      </c>
      <c r="S179" s="16" t="str">
        <f ca="1">IF(A179="","",IF(OR(M179='02_マスタ'!$E$10,M179='02_マスタ'!$E$12),"",IF(L179="High","High",IF(AND(K179&lt;&gt;"",K179&lt;TODAY()),INDEX(_ゴミ箱_Backup!$B$117:$D$247,MATCH("ALERT_OVERDUE",_ゴミ箱_Backup!$A$117:$A$247,0),MATCH(言語切替!$B$3,_ゴミ箱_Backup!$B$1:$D$1,0)),IF(AND(K179&lt;&gt;"",K179-TODAY()&lt;=7),INDEX(_ゴミ箱_Backup!$B$117:$D$247,MATCH("ALERT_APPROACHING",_ゴミ箱_Backup!$A$117:$A$247,0),MATCH(言語切替!$B$3,_ゴミ箱_Backup!$B$1:$D$1,0)),IF(OR(M179='02_マスタ'!$E$7,M179='02_マスタ'!$E$8),INDEX(_ゴミ箱_Backup!$B$117:$D$247,MATCH("ALERT_CHECK",_ゴミ箱_Backup!$A$117:$A$247,0),MATCH(言語切替!$B$3,_ゴミ箱_Backup!$B$1:$D$1,0)),""))))))</f>
        <v/>
      </c>
      <c r="T179" s="52"/>
      <c r="U179" s="61" t="str">
        <f t="shared" si="33"/>
        <v/>
      </c>
      <c r="V179" s="61" t="str">
        <f t="shared" si="34"/>
        <v/>
      </c>
      <c r="W179" s="61" t="str">
        <f t="shared" si="35"/>
        <v/>
      </c>
      <c r="X179" s="61" t="str">
        <f t="shared" si="36"/>
        <v/>
      </c>
      <c r="Y179" s="61" t="str">
        <f t="shared" si="37"/>
        <v/>
      </c>
      <c r="Z179" s="61" t="str">
        <f t="shared" si="38"/>
        <v/>
      </c>
      <c r="AA179" s="61" t="str">
        <f t="shared" si="39"/>
        <v/>
      </c>
      <c r="AB179" s="61" t="str">
        <f t="shared" si="40"/>
        <v/>
      </c>
      <c r="AC179" s="61" t="str">
        <f t="shared" si="41"/>
        <v/>
      </c>
      <c r="AD179" s="61" t="str">
        <f t="shared" si="42"/>
        <v/>
      </c>
      <c r="AE179" s="61" t="str">
        <f t="shared" si="43"/>
        <v/>
      </c>
      <c r="AF179" s="61" t="str">
        <f t="shared" si="44"/>
        <v/>
      </c>
      <c r="AG179" s="61" t="str">
        <f t="shared" si="45"/>
        <v/>
      </c>
      <c r="AH179" s="61" t="str">
        <f t="shared" si="46"/>
        <v/>
      </c>
      <c r="AI179" s="61" t="str">
        <f t="shared" si="47"/>
        <v/>
      </c>
    </row>
    <row r="180" spans="1:35" x14ac:dyDescent="0.25">
      <c r="A180" s="36"/>
      <c r="B180" s="37"/>
      <c r="C180" s="37"/>
      <c r="D180" s="37"/>
      <c r="E180" s="37"/>
      <c r="F180" s="37"/>
      <c r="G180" s="37"/>
      <c r="H180" s="37"/>
      <c r="I180" s="37"/>
      <c r="J180" s="38"/>
      <c r="K180" s="38"/>
      <c r="L180" s="37"/>
      <c r="M180" s="37"/>
      <c r="N180" s="37"/>
      <c r="O180" s="37"/>
      <c r="P180" s="37"/>
      <c r="Q180" s="37"/>
      <c r="R180" s="13" t="str">
        <f t="shared" ca="1" si="32"/>
        <v/>
      </c>
      <c r="S180" s="13" t="str">
        <f ca="1">IF(A180="","",IF(OR(M180='02_マスタ'!$E$10,M180='02_マスタ'!$E$12),"",IF(L180="High","High",IF(AND(K180&lt;&gt;"",K180&lt;TODAY()),INDEX(_ゴミ箱_Backup!$B$117:$D$247,MATCH("ALERT_OVERDUE",_ゴミ箱_Backup!$A$117:$A$247,0),MATCH(言語切替!$B$3,_ゴミ箱_Backup!$B$1:$D$1,0)),IF(AND(K180&lt;&gt;"",K180-TODAY()&lt;=7),INDEX(_ゴミ箱_Backup!$B$117:$D$247,MATCH("ALERT_APPROACHING",_ゴミ箱_Backup!$A$117:$A$247,0),MATCH(言語切替!$B$3,_ゴミ箱_Backup!$B$1:$D$1,0)),IF(OR(M180='02_マスタ'!$E$7,M180='02_マスタ'!$E$8),INDEX(_ゴミ箱_Backup!$B$117:$D$247,MATCH("ALERT_CHECK",_ゴミ箱_Backup!$A$117:$A$247,0),MATCH(言語切替!$B$3,_ゴミ箱_Backup!$B$1:$D$1,0)),""))))))</f>
        <v/>
      </c>
      <c r="T180" s="53"/>
      <c r="U180" s="61" t="str">
        <f t="shared" si="33"/>
        <v/>
      </c>
      <c r="V180" s="61" t="str">
        <f t="shared" si="34"/>
        <v/>
      </c>
      <c r="W180" s="61" t="str">
        <f t="shared" si="35"/>
        <v/>
      </c>
      <c r="X180" s="61" t="str">
        <f t="shared" si="36"/>
        <v/>
      </c>
      <c r="Y180" s="61" t="str">
        <f t="shared" si="37"/>
        <v/>
      </c>
      <c r="Z180" s="61" t="str">
        <f t="shared" si="38"/>
        <v/>
      </c>
      <c r="AA180" s="61" t="str">
        <f t="shared" si="39"/>
        <v/>
      </c>
      <c r="AB180" s="61" t="str">
        <f t="shared" si="40"/>
        <v/>
      </c>
      <c r="AC180" s="61" t="str">
        <f t="shared" si="41"/>
        <v/>
      </c>
      <c r="AD180" s="61" t="str">
        <f t="shared" si="42"/>
        <v/>
      </c>
      <c r="AE180" s="61" t="str">
        <f t="shared" si="43"/>
        <v/>
      </c>
      <c r="AF180" s="61" t="str">
        <f t="shared" si="44"/>
        <v/>
      </c>
      <c r="AG180" s="61" t="str">
        <f t="shared" si="45"/>
        <v/>
      </c>
      <c r="AH180" s="61" t="str">
        <f t="shared" si="46"/>
        <v/>
      </c>
      <c r="AI180" s="61" t="str">
        <f t="shared" si="47"/>
        <v/>
      </c>
    </row>
    <row r="181" spans="1:35" x14ac:dyDescent="0.25">
      <c r="A181" s="40"/>
      <c r="B181" s="41"/>
      <c r="C181" s="41"/>
      <c r="D181" s="41"/>
      <c r="E181" s="41"/>
      <c r="F181" s="41"/>
      <c r="G181" s="41"/>
      <c r="H181" s="41"/>
      <c r="I181" s="41"/>
      <c r="J181" s="42"/>
      <c r="K181" s="42"/>
      <c r="L181" s="41"/>
      <c r="M181" s="41"/>
      <c r="N181" s="41"/>
      <c r="O181" s="41"/>
      <c r="P181" s="41"/>
      <c r="Q181" s="41"/>
      <c r="R181" s="16" t="str">
        <f t="shared" ca="1" si="32"/>
        <v/>
      </c>
      <c r="S181" s="16" t="str">
        <f ca="1">IF(A181="","",IF(OR(M181='02_マスタ'!$E$10,M181='02_マスタ'!$E$12),"",IF(L181="High","High",IF(AND(K181&lt;&gt;"",K181&lt;TODAY()),INDEX(_ゴミ箱_Backup!$B$117:$D$247,MATCH("ALERT_OVERDUE",_ゴミ箱_Backup!$A$117:$A$247,0),MATCH(言語切替!$B$3,_ゴミ箱_Backup!$B$1:$D$1,0)),IF(AND(K181&lt;&gt;"",K181-TODAY()&lt;=7),INDEX(_ゴミ箱_Backup!$B$117:$D$247,MATCH("ALERT_APPROACHING",_ゴミ箱_Backup!$A$117:$A$247,0),MATCH(言語切替!$B$3,_ゴミ箱_Backup!$B$1:$D$1,0)),IF(OR(M181='02_マスタ'!$E$7,M181='02_マスタ'!$E$8),INDEX(_ゴミ箱_Backup!$B$117:$D$247,MATCH("ALERT_CHECK",_ゴミ箱_Backup!$A$117:$A$247,0),MATCH(言語切替!$B$3,_ゴミ箱_Backup!$B$1:$D$1,0)),""))))))</f>
        <v/>
      </c>
      <c r="T181" s="52"/>
      <c r="U181" s="61" t="str">
        <f t="shared" si="33"/>
        <v/>
      </c>
      <c r="V181" s="61" t="str">
        <f t="shared" si="34"/>
        <v/>
      </c>
      <c r="W181" s="61" t="str">
        <f t="shared" si="35"/>
        <v/>
      </c>
      <c r="X181" s="61" t="str">
        <f t="shared" si="36"/>
        <v/>
      </c>
      <c r="Y181" s="61" t="str">
        <f t="shared" si="37"/>
        <v/>
      </c>
      <c r="Z181" s="61" t="str">
        <f t="shared" si="38"/>
        <v/>
      </c>
      <c r="AA181" s="61" t="str">
        <f t="shared" si="39"/>
        <v/>
      </c>
      <c r="AB181" s="61" t="str">
        <f t="shared" si="40"/>
        <v/>
      </c>
      <c r="AC181" s="61" t="str">
        <f t="shared" si="41"/>
        <v/>
      </c>
      <c r="AD181" s="61" t="str">
        <f t="shared" si="42"/>
        <v/>
      </c>
      <c r="AE181" s="61" t="str">
        <f t="shared" si="43"/>
        <v/>
      </c>
      <c r="AF181" s="61" t="str">
        <f t="shared" si="44"/>
        <v/>
      </c>
      <c r="AG181" s="61" t="str">
        <f t="shared" si="45"/>
        <v/>
      </c>
      <c r="AH181" s="61" t="str">
        <f t="shared" si="46"/>
        <v/>
      </c>
      <c r="AI181" s="61" t="str">
        <f t="shared" si="47"/>
        <v/>
      </c>
    </row>
    <row r="182" spans="1:35" x14ac:dyDescent="0.25">
      <c r="A182" s="36"/>
      <c r="B182" s="37"/>
      <c r="C182" s="37"/>
      <c r="D182" s="37"/>
      <c r="E182" s="37"/>
      <c r="F182" s="37"/>
      <c r="G182" s="37"/>
      <c r="H182" s="37"/>
      <c r="I182" s="37"/>
      <c r="J182" s="38"/>
      <c r="K182" s="38"/>
      <c r="L182" s="37"/>
      <c r="M182" s="37"/>
      <c r="N182" s="37"/>
      <c r="O182" s="37"/>
      <c r="P182" s="37"/>
      <c r="Q182" s="37"/>
      <c r="R182" s="13" t="str">
        <f t="shared" ca="1" si="32"/>
        <v/>
      </c>
      <c r="S182" s="13" t="str">
        <f ca="1">IF(A182="","",IF(OR(M182='02_マスタ'!$E$10,M182='02_マスタ'!$E$12),"",IF(L182="High","High",IF(AND(K182&lt;&gt;"",K182&lt;TODAY()),INDEX(_ゴミ箱_Backup!$B$117:$D$247,MATCH("ALERT_OVERDUE",_ゴミ箱_Backup!$A$117:$A$247,0),MATCH(言語切替!$B$3,_ゴミ箱_Backup!$B$1:$D$1,0)),IF(AND(K182&lt;&gt;"",K182-TODAY()&lt;=7),INDEX(_ゴミ箱_Backup!$B$117:$D$247,MATCH("ALERT_APPROACHING",_ゴミ箱_Backup!$A$117:$A$247,0),MATCH(言語切替!$B$3,_ゴミ箱_Backup!$B$1:$D$1,0)),IF(OR(M182='02_マスタ'!$E$7,M182='02_マスタ'!$E$8),INDEX(_ゴミ箱_Backup!$B$117:$D$247,MATCH("ALERT_CHECK",_ゴミ箱_Backup!$A$117:$A$247,0),MATCH(言語切替!$B$3,_ゴミ箱_Backup!$B$1:$D$1,0)),""))))))</f>
        <v/>
      </c>
      <c r="T182" s="53"/>
      <c r="U182" s="61" t="str">
        <f t="shared" si="33"/>
        <v/>
      </c>
      <c r="V182" s="61" t="str">
        <f t="shared" si="34"/>
        <v/>
      </c>
      <c r="W182" s="61" t="str">
        <f t="shared" si="35"/>
        <v/>
      </c>
      <c r="X182" s="61" t="str">
        <f t="shared" si="36"/>
        <v/>
      </c>
      <c r="Y182" s="61" t="str">
        <f t="shared" si="37"/>
        <v/>
      </c>
      <c r="Z182" s="61" t="str">
        <f t="shared" si="38"/>
        <v/>
      </c>
      <c r="AA182" s="61" t="str">
        <f t="shared" si="39"/>
        <v/>
      </c>
      <c r="AB182" s="61" t="str">
        <f t="shared" si="40"/>
        <v/>
      </c>
      <c r="AC182" s="61" t="str">
        <f t="shared" si="41"/>
        <v/>
      </c>
      <c r="AD182" s="61" t="str">
        <f t="shared" si="42"/>
        <v/>
      </c>
      <c r="AE182" s="61" t="str">
        <f t="shared" si="43"/>
        <v/>
      </c>
      <c r="AF182" s="61" t="str">
        <f t="shared" si="44"/>
        <v/>
      </c>
      <c r="AG182" s="61" t="str">
        <f t="shared" si="45"/>
        <v/>
      </c>
      <c r="AH182" s="61" t="str">
        <f t="shared" si="46"/>
        <v/>
      </c>
      <c r="AI182" s="61" t="str">
        <f t="shared" si="47"/>
        <v/>
      </c>
    </row>
    <row r="183" spans="1:35" x14ac:dyDescent="0.25">
      <c r="A183" s="40"/>
      <c r="B183" s="41"/>
      <c r="C183" s="41"/>
      <c r="D183" s="41"/>
      <c r="E183" s="41"/>
      <c r="F183" s="41"/>
      <c r="G183" s="41"/>
      <c r="H183" s="41"/>
      <c r="I183" s="41"/>
      <c r="J183" s="42"/>
      <c r="K183" s="42"/>
      <c r="L183" s="41"/>
      <c r="M183" s="41"/>
      <c r="N183" s="41"/>
      <c r="O183" s="41"/>
      <c r="P183" s="41"/>
      <c r="Q183" s="41"/>
      <c r="R183" s="16" t="str">
        <f t="shared" ca="1" si="32"/>
        <v/>
      </c>
      <c r="S183" s="16" t="str">
        <f ca="1">IF(A183="","",IF(OR(M183='02_マスタ'!$E$10,M183='02_マスタ'!$E$12),"",IF(L183="High","High",IF(AND(K183&lt;&gt;"",K183&lt;TODAY()),INDEX(_ゴミ箱_Backup!$B$117:$D$247,MATCH("ALERT_OVERDUE",_ゴミ箱_Backup!$A$117:$A$247,0),MATCH(言語切替!$B$3,_ゴミ箱_Backup!$B$1:$D$1,0)),IF(AND(K183&lt;&gt;"",K183-TODAY()&lt;=7),INDEX(_ゴミ箱_Backup!$B$117:$D$247,MATCH("ALERT_APPROACHING",_ゴミ箱_Backup!$A$117:$A$247,0),MATCH(言語切替!$B$3,_ゴミ箱_Backup!$B$1:$D$1,0)),IF(OR(M183='02_マスタ'!$E$7,M183='02_マスタ'!$E$8),INDEX(_ゴミ箱_Backup!$B$117:$D$247,MATCH("ALERT_CHECK",_ゴミ箱_Backup!$A$117:$A$247,0),MATCH(言語切替!$B$3,_ゴミ箱_Backup!$B$1:$D$1,0)),""))))))</f>
        <v/>
      </c>
      <c r="T183" s="52"/>
      <c r="U183" s="61" t="str">
        <f t="shared" si="33"/>
        <v/>
      </c>
      <c r="V183" s="61" t="str">
        <f t="shared" si="34"/>
        <v/>
      </c>
      <c r="W183" s="61" t="str">
        <f t="shared" si="35"/>
        <v/>
      </c>
      <c r="X183" s="61" t="str">
        <f t="shared" si="36"/>
        <v/>
      </c>
      <c r="Y183" s="61" t="str">
        <f t="shared" si="37"/>
        <v/>
      </c>
      <c r="Z183" s="61" t="str">
        <f t="shared" si="38"/>
        <v/>
      </c>
      <c r="AA183" s="61" t="str">
        <f t="shared" si="39"/>
        <v/>
      </c>
      <c r="AB183" s="61" t="str">
        <f t="shared" si="40"/>
        <v/>
      </c>
      <c r="AC183" s="61" t="str">
        <f t="shared" si="41"/>
        <v/>
      </c>
      <c r="AD183" s="61" t="str">
        <f t="shared" si="42"/>
        <v/>
      </c>
      <c r="AE183" s="61" t="str">
        <f t="shared" si="43"/>
        <v/>
      </c>
      <c r="AF183" s="61" t="str">
        <f t="shared" si="44"/>
        <v/>
      </c>
      <c r="AG183" s="61" t="str">
        <f t="shared" si="45"/>
        <v/>
      </c>
      <c r="AH183" s="61" t="str">
        <f t="shared" si="46"/>
        <v/>
      </c>
      <c r="AI183" s="61" t="str">
        <f t="shared" si="47"/>
        <v/>
      </c>
    </row>
    <row r="184" spans="1:35" x14ac:dyDescent="0.25">
      <c r="A184" s="36"/>
      <c r="B184" s="37"/>
      <c r="C184" s="37"/>
      <c r="D184" s="37"/>
      <c r="E184" s="37"/>
      <c r="F184" s="37"/>
      <c r="G184" s="37"/>
      <c r="H184" s="37"/>
      <c r="I184" s="37"/>
      <c r="J184" s="38"/>
      <c r="K184" s="38"/>
      <c r="L184" s="37"/>
      <c r="M184" s="37"/>
      <c r="N184" s="37"/>
      <c r="O184" s="37"/>
      <c r="P184" s="37"/>
      <c r="Q184" s="37"/>
      <c r="R184" s="13" t="str">
        <f t="shared" ca="1" si="32"/>
        <v/>
      </c>
      <c r="S184" s="13" t="str">
        <f ca="1">IF(A184="","",IF(OR(M184='02_マスタ'!$E$10,M184='02_マスタ'!$E$12),"",IF(L184="High","High",IF(AND(K184&lt;&gt;"",K184&lt;TODAY()),INDEX(_ゴミ箱_Backup!$B$117:$D$247,MATCH("ALERT_OVERDUE",_ゴミ箱_Backup!$A$117:$A$247,0),MATCH(言語切替!$B$3,_ゴミ箱_Backup!$B$1:$D$1,0)),IF(AND(K184&lt;&gt;"",K184-TODAY()&lt;=7),INDEX(_ゴミ箱_Backup!$B$117:$D$247,MATCH("ALERT_APPROACHING",_ゴミ箱_Backup!$A$117:$A$247,0),MATCH(言語切替!$B$3,_ゴミ箱_Backup!$B$1:$D$1,0)),IF(OR(M184='02_マスタ'!$E$7,M184='02_マスタ'!$E$8),INDEX(_ゴミ箱_Backup!$B$117:$D$247,MATCH("ALERT_CHECK",_ゴミ箱_Backup!$A$117:$A$247,0),MATCH(言語切替!$B$3,_ゴミ箱_Backup!$B$1:$D$1,0)),""))))))</f>
        <v/>
      </c>
      <c r="T184" s="53"/>
      <c r="U184" s="61" t="str">
        <f t="shared" si="33"/>
        <v/>
      </c>
      <c r="V184" s="61" t="str">
        <f t="shared" si="34"/>
        <v/>
      </c>
      <c r="W184" s="61" t="str">
        <f t="shared" si="35"/>
        <v/>
      </c>
      <c r="X184" s="61" t="str">
        <f t="shared" si="36"/>
        <v/>
      </c>
      <c r="Y184" s="61" t="str">
        <f t="shared" si="37"/>
        <v/>
      </c>
      <c r="Z184" s="61" t="str">
        <f t="shared" si="38"/>
        <v/>
      </c>
      <c r="AA184" s="61" t="str">
        <f t="shared" si="39"/>
        <v/>
      </c>
      <c r="AB184" s="61" t="str">
        <f t="shared" si="40"/>
        <v/>
      </c>
      <c r="AC184" s="61" t="str">
        <f t="shared" si="41"/>
        <v/>
      </c>
      <c r="AD184" s="61" t="str">
        <f t="shared" si="42"/>
        <v/>
      </c>
      <c r="AE184" s="61" t="str">
        <f t="shared" si="43"/>
        <v/>
      </c>
      <c r="AF184" s="61" t="str">
        <f t="shared" si="44"/>
        <v/>
      </c>
      <c r="AG184" s="61" t="str">
        <f t="shared" si="45"/>
        <v/>
      </c>
      <c r="AH184" s="61" t="str">
        <f t="shared" si="46"/>
        <v/>
      </c>
      <c r="AI184" s="61" t="str">
        <f t="shared" si="47"/>
        <v/>
      </c>
    </row>
    <row r="185" spans="1:35" x14ac:dyDescent="0.25">
      <c r="A185" s="40"/>
      <c r="B185" s="41"/>
      <c r="C185" s="41"/>
      <c r="D185" s="41"/>
      <c r="E185" s="41"/>
      <c r="F185" s="41"/>
      <c r="G185" s="41"/>
      <c r="H185" s="41"/>
      <c r="I185" s="41"/>
      <c r="J185" s="42"/>
      <c r="K185" s="42"/>
      <c r="L185" s="41"/>
      <c r="M185" s="41"/>
      <c r="N185" s="41"/>
      <c r="O185" s="41"/>
      <c r="P185" s="41"/>
      <c r="Q185" s="41"/>
      <c r="R185" s="16" t="str">
        <f t="shared" ca="1" si="32"/>
        <v/>
      </c>
      <c r="S185" s="16" t="str">
        <f ca="1">IF(A185="","",IF(OR(M185='02_マスタ'!$E$10,M185='02_マスタ'!$E$12),"",IF(L185="High","High",IF(AND(K185&lt;&gt;"",K185&lt;TODAY()),INDEX(_ゴミ箱_Backup!$B$117:$D$247,MATCH("ALERT_OVERDUE",_ゴミ箱_Backup!$A$117:$A$247,0),MATCH(言語切替!$B$3,_ゴミ箱_Backup!$B$1:$D$1,0)),IF(AND(K185&lt;&gt;"",K185-TODAY()&lt;=7),INDEX(_ゴミ箱_Backup!$B$117:$D$247,MATCH("ALERT_APPROACHING",_ゴミ箱_Backup!$A$117:$A$247,0),MATCH(言語切替!$B$3,_ゴミ箱_Backup!$B$1:$D$1,0)),IF(OR(M185='02_マスタ'!$E$7,M185='02_マスタ'!$E$8),INDEX(_ゴミ箱_Backup!$B$117:$D$247,MATCH("ALERT_CHECK",_ゴミ箱_Backup!$A$117:$A$247,0),MATCH(言語切替!$B$3,_ゴミ箱_Backup!$B$1:$D$1,0)),""))))))</f>
        <v/>
      </c>
      <c r="T185" s="52"/>
      <c r="U185" s="61" t="str">
        <f t="shared" si="33"/>
        <v/>
      </c>
      <c r="V185" s="61" t="str">
        <f t="shared" si="34"/>
        <v/>
      </c>
      <c r="W185" s="61" t="str">
        <f t="shared" si="35"/>
        <v/>
      </c>
      <c r="X185" s="61" t="str">
        <f t="shared" si="36"/>
        <v/>
      </c>
      <c r="Y185" s="61" t="str">
        <f t="shared" si="37"/>
        <v/>
      </c>
      <c r="Z185" s="61" t="str">
        <f t="shared" si="38"/>
        <v/>
      </c>
      <c r="AA185" s="61" t="str">
        <f t="shared" si="39"/>
        <v/>
      </c>
      <c r="AB185" s="61" t="str">
        <f t="shared" si="40"/>
        <v/>
      </c>
      <c r="AC185" s="61" t="str">
        <f t="shared" si="41"/>
        <v/>
      </c>
      <c r="AD185" s="61" t="str">
        <f t="shared" si="42"/>
        <v/>
      </c>
      <c r="AE185" s="61" t="str">
        <f t="shared" si="43"/>
        <v/>
      </c>
      <c r="AF185" s="61" t="str">
        <f t="shared" si="44"/>
        <v/>
      </c>
      <c r="AG185" s="61" t="str">
        <f t="shared" si="45"/>
        <v/>
      </c>
      <c r="AH185" s="61" t="str">
        <f t="shared" si="46"/>
        <v/>
      </c>
      <c r="AI185" s="61" t="str">
        <f t="shared" si="47"/>
        <v/>
      </c>
    </row>
    <row r="186" spans="1:35" x14ac:dyDescent="0.25">
      <c r="A186" s="36"/>
      <c r="B186" s="37"/>
      <c r="C186" s="37"/>
      <c r="D186" s="37"/>
      <c r="E186" s="37"/>
      <c r="F186" s="37"/>
      <c r="G186" s="37"/>
      <c r="H186" s="37"/>
      <c r="I186" s="37"/>
      <c r="J186" s="38"/>
      <c r="K186" s="38"/>
      <c r="L186" s="37"/>
      <c r="M186" s="37"/>
      <c r="N186" s="37"/>
      <c r="O186" s="37"/>
      <c r="P186" s="37"/>
      <c r="Q186" s="37"/>
      <c r="R186" s="13" t="str">
        <f t="shared" ca="1" si="32"/>
        <v/>
      </c>
      <c r="S186" s="13" t="str">
        <f ca="1">IF(A186="","",IF(OR(M186='02_マスタ'!$E$10,M186='02_マスタ'!$E$12),"",IF(L186="High","High",IF(AND(K186&lt;&gt;"",K186&lt;TODAY()),INDEX(_ゴミ箱_Backup!$B$117:$D$247,MATCH("ALERT_OVERDUE",_ゴミ箱_Backup!$A$117:$A$247,0),MATCH(言語切替!$B$3,_ゴミ箱_Backup!$B$1:$D$1,0)),IF(AND(K186&lt;&gt;"",K186-TODAY()&lt;=7),INDEX(_ゴミ箱_Backup!$B$117:$D$247,MATCH("ALERT_APPROACHING",_ゴミ箱_Backup!$A$117:$A$247,0),MATCH(言語切替!$B$3,_ゴミ箱_Backup!$B$1:$D$1,0)),IF(OR(M186='02_マスタ'!$E$7,M186='02_マスタ'!$E$8),INDEX(_ゴミ箱_Backup!$B$117:$D$247,MATCH("ALERT_CHECK",_ゴミ箱_Backup!$A$117:$A$247,0),MATCH(言語切替!$B$3,_ゴミ箱_Backup!$B$1:$D$1,0)),""))))))</f>
        <v/>
      </c>
      <c r="T186" s="53"/>
      <c r="U186" s="61" t="str">
        <f t="shared" si="33"/>
        <v/>
      </c>
      <c r="V186" s="61" t="str">
        <f t="shared" si="34"/>
        <v/>
      </c>
      <c r="W186" s="61" t="str">
        <f t="shared" si="35"/>
        <v/>
      </c>
      <c r="X186" s="61" t="str">
        <f t="shared" si="36"/>
        <v/>
      </c>
      <c r="Y186" s="61" t="str">
        <f t="shared" si="37"/>
        <v/>
      </c>
      <c r="Z186" s="61" t="str">
        <f t="shared" si="38"/>
        <v/>
      </c>
      <c r="AA186" s="61" t="str">
        <f t="shared" si="39"/>
        <v/>
      </c>
      <c r="AB186" s="61" t="str">
        <f t="shared" si="40"/>
        <v/>
      </c>
      <c r="AC186" s="61" t="str">
        <f t="shared" si="41"/>
        <v/>
      </c>
      <c r="AD186" s="61" t="str">
        <f t="shared" si="42"/>
        <v/>
      </c>
      <c r="AE186" s="61" t="str">
        <f t="shared" si="43"/>
        <v/>
      </c>
      <c r="AF186" s="61" t="str">
        <f t="shared" si="44"/>
        <v/>
      </c>
      <c r="AG186" s="61" t="str">
        <f t="shared" si="45"/>
        <v/>
      </c>
      <c r="AH186" s="61" t="str">
        <f t="shared" si="46"/>
        <v/>
      </c>
      <c r="AI186" s="61" t="str">
        <f t="shared" si="47"/>
        <v/>
      </c>
    </row>
    <row r="187" spans="1:35" x14ac:dyDescent="0.25">
      <c r="A187" s="40"/>
      <c r="B187" s="41"/>
      <c r="C187" s="41"/>
      <c r="D187" s="41"/>
      <c r="E187" s="41"/>
      <c r="F187" s="41"/>
      <c r="G187" s="41"/>
      <c r="H187" s="41"/>
      <c r="I187" s="41"/>
      <c r="J187" s="42"/>
      <c r="K187" s="42"/>
      <c r="L187" s="41"/>
      <c r="M187" s="41"/>
      <c r="N187" s="41"/>
      <c r="O187" s="41"/>
      <c r="P187" s="41"/>
      <c r="Q187" s="41"/>
      <c r="R187" s="16" t="str">
        <f t="shared" ca="1" si="32"/>
        <v/>
      </c>
      <c r="S187" s="16" t="str">
        <f ca="1">IF(A187="","",IF(OR(M187='02_マスタ'!$E$10,M187='02_マスタ'!$E$12),"",IF(L187="High","High",IF(AND(K187&lt;&gt;"",K187&lt;TODAY()),INDEX(_ゴミ箱_Backup!$B$117:$D$247,MATCH("ALERT_OVERDUE",_ゴミ箱_Backup!$A$117:$A$247,0),MATCH(言語切替!$B$3,_ゴミ箱_Backup!$B$1:$D$1,0)),IF(AND(K187&lt;&gt;"",K187-TODAY()&lt;=7),INDEX(_ゴミ箱_Backup!$B$117:$D$247,MATCH("ALERT_APPROACHING",_ゴミ箱_Backup!$A$117:$A$247,0),MATCH(言語切替!$B$3,_ゴミ箱_Backup!$B$1:$D$1,0)),IF(OR(M187='02_マスタ'!$E$7,M187='02_マスタ'!$E$8),INDEX(_ゴミ箱_Backup!$B$117:$D$247,MATCH("ALERT_CHECK",_ゴミ箱_Backup!$A$117:$A$247,0),MATCH(言語切替!$B$3,_ゴミ箱_Backup!$B$1:$D$1,0)),""))))))</f>
        <v/>
      </c>
      <c r="T187" s="52"/>
      <c r="U187" s="61" t="str">
        <f t="shared" si="33"/>
        <v/>
      </c>
      <c r="V187" s="61" t="str">
        <f t="shared" si="34"/>
        <v/>
      </c>
      <c r="W187" s="61" t="str">
        <f t="shared" si="35"/>
        <v/>
      </c>
      <c r="X187" s="61" t="str">
        <f t="shared" si="36"/>
        <v/>
      </c>
      <c r="Y187" s="61" t="str">
        <f t="shared" si="37"/>
        <v/>
      </c>
      <c r="Z187" s="61" t="str">
        <f t="shared" si="38"/>
        <v/>
      </c>
      <c r="AA187" s="61" t="str">
        <f t="shared" si="39"/>
        <v/>
      </c>
      <c r="AB187" s="61" t="str">
        <f t="shared" si="40"/>
        <v/>
      </c>
      <c r="AC187" s="61" t="str">
        <f t="shared" si="41"/>
        <v/>
      </c>
      <c r="AD187" s="61" t="str">
        <f t="shared" si="42"/>
        <v/>
      </c>
      <c r="AE187" s="61" t="str">
        <f t="shared" si="43"/>
        <v/>
      </c>
      <c r="AF187" s="61" t="str">
        <f t="shared" si="44"/>
        <v/>
      </c>
      <c r="AG187" s="61" t="str">
        <f t="shared" si="45"/>
        <v/>
      </c>
      <c r="AH187" s="61" t="str">
        <f t="shared" si="46"/>
        <v/>
      </c>
      <c r="AI187" s="61" t="str">
        <f t="shared" si="47"/>
        <v/>
      </c>
    </row>
    <row r="188" spans="1:35" x14ac:dyDescent="0.25">
      <c r="A188" s="36"/>
      <c r="B188" s="37"/>
      <c r="C188" s="37"/>
      <c r="D188" s="37"/>
      <c r="E188" s="37"/>
      <c r="F188" s="37"/>
      <c r="G188" s="37"/>
      <c r="H188" s="37"/>
      <c r="I188" s="37"/>
      <c r="J188" s="38"/>
      <c r="K188" s="38"/>
      <c r="L188" s="37"/>
      <c r="M188" s="37"/>
      <c r="N188" s="37"/>
      <c r="O188" s="37"/>
      <c r="P188" s="37"/>
      <c r="Q188" s="37"/>
      <c r="R188" s="13" t="str">
        <f t="shared" ca="1" si="32"/>
        <v/>
      </c>
      <c r="S188" s="13" t="str">
        <f ca="1">IF(A188="","",IF(OR(M188='02_マスタ'!$E$10,M188='02_マスタ'!$E$12),"",IF(L188="High","High",IF(AND(K188&lt;&gt;"",K188&lt;TODAY()),INDEX(_ゴミ箱_Backup!$B$117:$D$247,MATCH("ALERT_OVERDUE",_ゴミ箱_Backup!$A$117:$A$247,0),MATCH(言語切替!$B$3,_ゴミ箱_Backup!$B$1:$D$1,0)),IF(AND(K188&lt;&gt;"",K188-TODAY()&lt;=7),INDEX(_ゴミ箱_Backup!$B$117:$D$247,MATCH("ALERT_APPROACHING",_ゴミ箱_Backup!$A$117:$A$247,0),MATCH(言語切替!$B$3,_ゴミ箱_Backup!$B$1:$D$1,0)),IF(OR(M188='02_マスタ'!$E$7,M188='02_マスタ'!$E$8),INDEX(_ゴミ箱_Backup!$B$117:$D$247,MATCH("ALERT_CHECK",_ゴミ箱_Backup!$A$117:$A$247,0),MATCH(言語切替!$B$3,_ゴミ箱_Backup!$B$1:$D$1,0)),""))))))</f>
        <v/>
      </c>
      <c r="T188" s="53"/>
      <c r="U188" s="61" t="str">
        <f t="shared" si="33"/>
        <v/>
      </c>
      <c r="V188" s="61" t="str">
        <f t="shared" si="34"/>
        <v/>
      </c>
      <c r="W188" s="61" t="str">
        <f t="shared" si="35"/>
        <v/>
      </c>
      <c r="X188" s="61" t="str">
        <f t="shared" si="36"/>
        <v/>
      </c>
      <c r="Y188" s="61" t="str">
        <f t="shared" si="37"/>
        <v/>
      </c>
      <c r="Z188" s="61" t="str">
        <f t="shared" si="38"/>
        <v/>
      </c>
      <c r="AA188" s="61" t="str">
        <f t="shared" si="39"/>
        <v/>
      </c>
      <c r="AB188" s="61" t="str">
        <f t="shared" si="40"/>
        <v/>
      </c>
      <c r="AC188" s="61" t="str">
        <f t="shared" si="41"/>
        <v/>
      </c>
      <c r="AD188" s="61" t="str">
        <f t="shared" si="42"/>
        <v/>
      </c>
      <c r="AE188" s="61" t="str">
        <f t="shared" si="43"/>
        <v/>
      </c>
      <c r="AF188" s="61" t="str">
        <f t="shared" si="44"/>
        <v/>
      </c>
      <c r="AG188" s="61" t="str">
        <f t="shared" si="45"/>
        <v/>
      </c>
      <c r="AH188" s="61" t="str">
        <f t="shared" si="46"/>
        <v/>
      </c>
      <c r="AI188" s="61" t="str">
        <f t="shared" si="47"/>
        <v/>
      </c>
    </row>
    <row r="189" spans="1:35" x14ac:dyDescent="0.25">
      <c r="A189" s="40"/>
      <c r="B189" s="41"/>
      <c r="C189" s="41"/>
      <c r="D189" s="41"/>
      <c r="E189" s="41"/>
      <c r="F189" s="41"/>
      <c r="G189" s="41"/>
      <c r="H189" s="41"/>
      <c r="I189" s="41"/>
      <c r="J189" s="42"/>
      <c r="K189" s="42"/>
      <c r="L189" s="41"/>
      <c r="M189" s="41"/>
      <c r="N189" s="41"/>
      <c r="O189" s="41"/>
      <c r="P189" s="41"/>
      <c r="Q189" s="41"/>
      <c r="R189" s="16" t="str">
        <f t="shared" ca="1" si="32"/>
        <v/>
      </c>
      <c r="S189" s="16" t="str">
        <f ca="1">IF(A189="","",IF(OR(M189='02_マスタ'!$E$10,M189='02_マスタ'!$E$12),"",IF(L189="High","High",IF(AND(K189&lt;&gt;"",K189&lt;TODAY()),INDEX(_ゴミ箱_Backup!$B$117:$D$247,MATCH("ALERT_OVERDUE",_ゴミ箱_Backup!$A$117:$A$247,0),MATCH(言語切替!$B$3,_ゴミ箱_Backup!$B$1:$D$1,0)),IF(AND(K189&lt;&gt;"",K189-TODAY()&lt;=7),INDEX(_ゴミ箱_Backup!$B$117:$D$247,MATCH("ALERT_APPROACHING",_ゴミ箱_Backup!$A$117:$A$247,0),MATCH(言語切替!$B$3,_ゴミ箱_Backup!$B$1:$D$1,0)),IF(OR(M189='02_マスタ'!$E$7,M189='02_マスタ'!$E$8),INDEX(_ゴミ箱_Backup!$B$117:$D$247,MATCH("ALERT_CHECK",_ゴミ箱_Backup!$A$117:$A$247,0),MATCH(言語切替!$B$3,_ゴミ箱_Backup!$B$1:$D$1,0)),""))))))</f>
        <v/>
      </c>
      <c r="T189" s="52"/>
      <c r="U189" s="61" t="str">
        <f t="shared" si="33"/>
        <v/>
      </c>
      <c r="V189" s="61" t="str">
        <f t="shared" si="34"/>
        <v/>
      </c>
      <c r="W189" s="61" t="str">
        <f t="shared" si="35"/>
        <v/>
      </c>
      <c r="X189" s="61" t="str">
        <f t="shared" si="36"/>
        <v/>
      </c>
      <c r="Y189" s="61" t="str">
        <f t="shared" si="37"/>
        <v/>
      </c>
      <c r="Z189" s="61" t="str">
        <f t="shared" si="38"/>
        <v/>
      </c>
      <c r="AA189" s="61" t="str">
        <f t="shared" si="39"/>
        <v/>
      </c>
      <c r="AB189" s="61" t="str">
        <f t="shared" si="40"/>
        <v/>
      </c>
      <c r="AC189" s="61" t="str">
        <f t="shared" si="41"/>
        <v/>
      </c>
      <c r="AD189" s="61" t="str">
        <f t="shared" si="42"/>
        <v/>
      </c>
      <c r="AE189" s="61" t="str">
        <f t="shared" si="43"/>
        <v/>
      </c>
      <c r="AF189" s="61" t="str">
        <f t="shared" si="44"/>
        <v/>
      </c>
      <c r="AG189" s="61" t="str">
        <f t="shared" si="45"/>
        <v/>
      </c>
      <c r="AH189" s="61" t="str">
        <f t="shared" si="46"/>
        <v/>
      </c>
      <c r="AI189" s="61" t="str">
        <f t="shared" si="47"/>
        <v/>
      </c>
    </row>
    <row r="190" spans="1:35" x14ac:dyDescent="0.25">
      <c r="A190" s="36"/>
      <c r="B190" s="37"/>
      <c r="C190" s="37"/>
      <c r="D190" s="37"/>
      <c r="E190" s="37"/>
      <c r="F190" s="37"/>
      <c r="G190" s="37"/>
      <c r="H190" s="37"/>
      <c r="I190" s="37"/>
      <c r="J190" s="38"/>
      <c r="K190" s="38"/>
      <c r="L190" s="37"/>
      <c r="M190" s="37"/>
      <c r="N190" s="37"/>
      <c r="O190" s="37"/>
      <c r="P190" s="37"/>
      <c r="Q190" s="37"/>
      <c r="R190" s="13" t="str">
        <f t="shared" ca="1" si="32"/>
        <v/>
      </c>
      <c r="S190" s="13" t="str">
        <f ca="1">IF(A190="","",IF(OR(M190='02_マスタ'!$E$10,M190='02_マスタ'!$E$12),"",IF(L190="High","High",IF(AND(K190&lt;&gt;"",K190&lt;TODAY()),INDEX(_ゴミ箱_Backup!$B$117:$D$247,MATCH("ALERT_OVERDUE",_ゴミ箱_Backup!$A$117:$A$247,0),MATCH(言語切替!$B$3,_ゴミ箱_Backup!$B$1:$D$1,0)),IF(AND(K190&lt;&gt;"",K190-TODAY()&lt;=7),INDEX(_ゴミ箱_Backup!$B$117:$D$247,MATCH("ALERT_APPROACHING",_ゴミ箱_Backup!$A$117:$A$247,0),MATCH(言語切替!$B$3,_ゴミ箱_Backup!$B$1:$D$1,0)),IF(OR(M190='02_マスタ'!$E$7,M190='02_マスタ'!$E$8),INDEX(_ゴミ箱_Backup!$B$117:$D$247,MATCH("ALERT_CHECK",_ゴミ箱_Backup!$A$117:$A$247,0),MATCH(言語切替!$B$3,_ゴミ箱_Backup!$B$1:$D$1,0)),""))))))</f>
        <v/>
      </c>
      <c r="T190" s="53"/>
      <c r="U190" s="61" t="str">
        <f t="shared" si="33"/>
        <v/>
      </c>
      <c r="V190" s="61" t="str">
        <f t="shared" si="34"/>
        <v/>
      </c>
      <c r="W190" s="61" t="str">
        <f t="shared" si="35"/>
        <v/>
      </c>
      <c r="X190" s="61" t="str">
        <f t="shared" si="36"/>
        <v/>
      </c>
      <c r="Y190" s="61" t="str">
        <f t="shared" si="37"/>
        <v/>
      </c>
      <c r="Z190" s="61" t="str">
        <f t="shared" si="38"/>
        <v/>
      </c>
      <c r="AA190" s="61" t="str">
        <f t="shared" si="39"/>
        <v/>
      </c>
      <c r="AB190" s="61" t="str">
        <f t="shared" si="40"/>
        <v/>
      </c>
      <c r="AC190" s="61" t="str">
        <f t="shared" si="41"/>
        <v/>
      </c>
      <c r="AD190" s="61" t="str">
        <f t="shared" si="42"/>
        <v/>
      </c>
      <c r="AE190" s="61" t="str">
        <f t="shared" si="43"/>
        <v/>
      </c>
      <c r="AF190" s="61" t="str">
        <f t="shared" si="44"/>
        <v/>
      </c>
      <c r="AG190" s="61" t="str">
        <f t="shared" si="45"/>
        <v/>
      </c>
      <c r="AH190" s="61" t="str">
        <f t="shared" si="46"/>
        <v/>
      </c>
      <c r="AI190" s="61" t="str">
        <f t="shared" si="47"/>
        <v/>
      </c>
    </row>
    <row r="191" spans="1:35" x14ac:dyDescent="0.25">
      <c r="A191" s="40"/>
      <c r="B191" s="41"/>
      <c r="C191" s="41"/>
      <c r="D191" s="41"/>
      <c r="E191" s="41"/>
      <c r="F191" s="41"/>
      <c r="G191" s="41"/>
      <c r="H191" s="41"/>
      <c r="I191" s="41"/>
      <c r="J191" s="42"/>
      <c r="K191" s="42"/>
      <c r="L191" s="41"/>
      <c r="M191" s="41"/>
      <c r="N191" s="41"/>
      <c r="O191" s="41"/>
      <c r="P191" s="41"/>
      <c r="Q191" s="41"/>
      <c r="R191" s="16" t="str">
        <f t="shared" ca="1" si="32"/>
        <v/>
      </c>
      <c r="S191" s="16" t="str">
        <f ca="1">IF(A191="","",IF(OR(M191='02_マスタ'!$E$10,M191='02_マスタ'!$E$12),"",IF(L191="High","High",IF(AND(K191&lt;&gt;"",K191&lt;TODAY()),INDEX(_ゴミ箱_Backup!$B$117:$D$247,MATCH("ALERT_OVERDUE",_ゴミ箱_Backup!$A$117:$A$247,0),MATCH(言語切替!$B$3,_ゴミ箱_Backup!$B$1:$D$1,0)),IF(AND(K191&lt;&gt;"",K191-TODAY()&lt;=7),INDEX(_ゴミ箱_Backup!$B$117:$D$247,MATCH("ALERT_APPROACHING",_ゴミ箱_Backup!$A$117:$A$247,0),MATCH(言語切替!$B$3,_ゴミ箱_Backup!$B$1:$D$1,0)),IF(OR(M191='02_マスタ'!$E$7,M191='02_マスタ'!$E$8),INDEX(_ゴミ箱_Backup!$B$117:$D$247,MATCH("ALERT_CHECK",_ゴミ箱_Backup!$A$117:$A$247,0),MATCH(言語切替!$B$3,_ゴミ箱_Backup!$B$1:$D$1,0)),""))))))</f>
        <v/>
      </c>
      <c r="T191" s="52"/>
      <c r="U191" s="61" t="str">
        <f t="shared" si="33"/>
        <v/>
      </c>
      <c r="V191" s="61" t="str">
        <f t="shared" si="34"/>
        <v/>
      </c>
      <c r="W191" s="61" t="str">
        <f t="shared" si="35"/>
        <v/>
      </c>
      <c r="X191" s="61" t="str">
        <f t="shared" si="36"/>
        <v/>
      </c>
      <c r="Y191" s="61" t="str">
        <f t="shared" si="37"/>
        <v/>
      </c>
      <c r="Z191" s="61" t="str">
        <f t="shared" si="38"/>
        <v/>
      </c>
      <c r="AA191" s="61" t="str">
        <f t="shared" si="39"/>
        <v/>
      </c>
      <c r="AB191" s="61" t="str">
        <f t="shared" si="40"/>
        <v/>
      </c>
      <c r="AC191" s="61" t="str">
        <f t="shared" si="41"/>
        <v/>
      </c>
      <c r="AD191" s="61" t="str">
        <f t="shared" si="42"/>
        <v/>
      </c>
      <c r="AE191" s="61" t="str">
        <f t="shared" si="43"/>
        <v/>
      </c>
      <c r="AF191" s="61" t="str">
        <f t="shared" si="44"/>
        <v/>
      </c>
      <c r="AG191" s="61" t="str">
        <f t="shared" si="45"/>
        <v/>
      </c>
      <c r="AH191" s="61" t="str">
        <f t="shared" si="46"/>
        <v/>
      </c>
      <c r="AI191" s="61" t="str">
        <f t="shared" si="47"/>
        <v/>
      </c>
    </row>
    <row r="192" spans="1:35" x14ac:dyDescent="0.25">
      <c r="A192" s="36"/>
      <c r="B192" s="37"/>
      <c r="C192" s="37"/>
      <c r="D192" s="37"/>
      <c r="E192" s="37"/>
      <c r="F192" s="37"/>
      <c r="G192" s="37"/>
      <c r="H192" s="37"/>
      <c r="I192" s="37"/>
      <c r="J192" s="38"/>
      <c r="K192" s="38"/>
      <c r="L192" s="37"/>
      <c r="M192" s="37"/>
      <c r="N192" s="37"/>
      <c r="O192" s="37"/>
      <c r="P192" s="37"/>
      <c r="Q192" s="37"/>
      <c r="R192" s="13" t="str">
        <f t="shared" ca="1" si="32"/>
        <v/>
      </c>
      <c r="S192" s="13" t="str">
        <f ca="1">IF(A192="","",IF(OR(M192='02_マスタ'!$E$10,M192='02_マスタ'!$E$12),"",IF(L192="High","High",IF(AND(K192&lt;&gt;"",K192&lt;TODAY()),INDEX(_ゴミ箱_Backup!$B$117:$D$247,MATCH("ALERT_OVERDUE",_ゴミ箱_Backup!$A$117:$A$247,0),MATCH(言語切替!$B$3,_ゴミ箱_Backup!$B$1:$D$1,0)),IF(AND(K192&lt;&gt;"",K192-TODAY()&lt;=7),INDEX(_ゴミ箱_Backup!$B$117:$D$247,MATCH("ALERT_APPROACHING",_ゴミ箱_Backup!$A$117:$A$247,0),MATCH(言語切替!$B$3,_ゴミ箱_Backup!$B$1:$D$1,0)),IF(OR(M192='02_マスタ'!$E$7,M192='02_マスタ'!$E$8),INDEX(_ゴミ箱_Backup!$B$117:$D$247,MATCH("ALERT_CHECK",_ゴミ箱_Backup!$A$117:$A$247,0),MATCH(言語切替!$B$3,_ゴミ箱_Backup!$B$1:$D$1,0)),""))))))</f>
        <v/>
      </c>
      <c r="T192" s="53"/>
      <c r="U192" s="61" t="str">
        <f t="shared" si="33"/>
        <v/>
      </c>
      <c r="V192" s="61" t="str">
        <f t="shared" si="34"/>
        <v/>
      </c>
      <c r="W192" s="61" t="str">
        <f t="shared" si="35"/>
        <v/>
      </c>
      <c r="X192" s="61" t="str">
        <f t="shared" si="36"/>
        <v/>
      </c>
      <c r="Y192" s="61" t="str">
        <f t="shared" si="37"/>
        <v/>
      </c>
      <c r="Z192" s="61" t="str">
        <f t="shared" si="38"/>
        <v/>
      </c>
      <c r="AA192" s="61" t="str">
        <f t="shared" si="39"/>
        <v/>
      </c>
      <c r="AB192" s="61" t="str">
        <f t="shared" si="40"/>
        <v/>
      </c>
      <c r="AC192" s="61" t="str">
        <f t="shared" si="41"/>
        <v/>
      </c>
      <c r="AD192" s="61" t="str">
        <f t="shared" si="42"/>
        <v/>
      </c>
      <c r="AE192" s="61" t="str">
        <f t="shared" si="43"/>
        <v/>
      </c>
      <c r="AF192" s="61" t="str">
        <f t="shared" si="44"/>
        <v/>
      </c>
      <c r="AG192" s="61" t="str">
        <f t="shared" si="45"/>
        <v/>
      </c>
      <c r="AH192" s="61" t="str">
        <f t="shared" si="46"/>
        <v/>
      </c>
      <c r="AI192" s="61" t="str">
        <f t="shared" si="47"/>
        <v/>
      </c>
    </row>
    <row r="193" spans="1:35" x14ac:dyDescent="0.25">
      <c r="A193" s="40"/>
      <c r="B193" s="41"/>
      <c r="C193" s="41"/>
      <c r="D193" s="41"/>
      <c r="E193" s="41"/>
      <c r="F193" s="41"/>
      <c r="G193" s="41"/>
      <c r="H193" s="41"/>
      <c r="I193" s="41"/>
      <c r="J193" s="42"/>
      <c r="K193" s="42"/>
      <c r="L193" s="41"/>
      <c r="M193" s="41"/>
      <c r="N193" s="41"/>
      <c r="O193" s="41"/>
      <c r="P193" s="41"/>
      <c r="Q193" s="41"/>
      <c r="R193" s="16" t="str">
        <f t="shared" ca="1" si="32"/>
        <v/>
      </c>
      <c r="S193" s="16" t="str">
        <f ca="1">IF(A193="","",IF(OR(M193='02_マスタ'!$E$10,M193='02_マスタ'!$E$12),"",IF(L193="High","High",IF(AND(K193&lt;&gt;"",K193&lt;TODAY()),INDEX(_ゴミ箱_Backup!$B$117:$D$247,MATCH("ALERT_OVERDUE",_ゴミ箱_Backup!$A$117:$A$247,0),MATCH(言語切替!$B$3,_ゴミ箱_Backup!$B$1:$D$1,0)),IF(AND(K193&lt;&gt;"",K193-TODAY()&lt;=7),INDEX(_ゴミ箱_Backup!$B$117:$D$247,MATCH("ALERT_APPROACHING",_ゴミ箱_Backup!$A$117:$A$247,0),MATCH(言語切替!$B$3,_ゴミ箱_Backup!$B$1:$D$1,0)),IF(OR(M193='02_マスタ'!$E$7,M193='02_マスタ'!$E$8),INDEX(_ゴミ箱_Backup!$B$117:$D$247,MATCH("ALERT_CHECK",_ゴミ箱_Backup!$A$117:$A$247,0),MATCH(言語切替!$B$3,_ゴミ箱_Backup!$B$1:$D$1,0)),""))))))</f>
        <v/>
      </c>
      <c r="T193" s="52"/>
      <c r="U193" s="61" t="str">
        <f t="shared" si="33"/>
        <v/>
      </c>
      <c r="V193" s="61" t="str">
        <f t="shared" si="34"/>
        <v/>
      </c>
      <c r="W193" s="61" t="str">
        <f t="shared" si="35"/>
        <v/>
      </c>
      <c r="X193" s="61" t="str">
        <f t="shared" si="36"/>
        <v/>
      </c>
      <c r="Y193" s="61" t="str">
        <f t="shared" si="37"/>
        <v/>
      </c>
      <c r="Z193" s="61" t="str">
        <f t="shared" si="38"/>
        <v/>
      </c>
      <c r="AA193" s="61" t="str">
        <f t="shared" si="39"/>
        <v/>
      </c>
      <c r="AB193" s="61" t="str">
        <f t="shared" si="40"/>
        <v/>
      </c>
      <c r="AC193" s="61" t="str">
        <f t="shared" si="41"/>
        <v/>
      </c>
      <c r="AD193" s="61" t="str">
        <f t="shared" si="42"/>
        <v/>
      </c>
      <c r="AE193" s="61" t="str">
        <f t="shared" si="43"/>
        <v/>
      </c>
      <c r="AF193" s="61" t="str">
        <f t="shared" si="44"/>
        <v/>
      </c>
      <c r="AG193" s="61" t="str">
        <f t="shared" si="45"/>
        <v/>
      </c>
      <c r="AH193" s="61" t="str">
        <f t="shared" si="46"/>
        <v/>
      </c>
      <c r="AI193" s="61" t="str">
        <f t="shared" si="47"/>
        <v/>
      </c>
    </row>
    <row r="194" spans="1:35" x14ac:dyDescent="0.25">
      <c r="A194" s="36"/>
      <c r="B194" s="37"/>
      <c r="C194" s="37"/>
      <c r="D194" s="37"/>
      <c r="E194" s="37"/>
      <c r="F194" s="37"/>
      <c r="G194" s="37"/>
      <c r="H194" s="37"/>
      <c r="I194" s="37"/>
      <c r="J194" s="38"/>
      <c r="K194" s="38"/>
      <c r="L194" s="37"/>
      <c r="M194" s="37"/>
      <c r="N194" s="37"/>
      <c r="O194" s="37"/>
      <c r="P194" s="37"/>
      <c r="Q194" s="37"/>
      <c r="R194" s="13" t="str">
        <f t="shared" ca="1" si="32"/>
        <v/>
      </c>
      <c r="S194" s="13" t="str">
        <f ca="1">IF(A194="","",IF(OR(M194='02_マスタ'!$E$10,M194='02_マスタ'!$E$12),"",IF(L194="High","High",IF(AND(K194&lt;&gt;"",K194&lt;TODAY()),INDEX(_ゴミ箱_Backup!$B$117:$D$247,MATCH("ALERT_OVERDUE",_ゴミ箱_Backup!$A$117:$A$247,0),MATCH(言語切替!$B$3,_ゴミ箱_Backup!$B$1:$D$1,0)),IF(AND(K194&lt;&gt;"",K194-TODAY()&lt;=7),INDEX(_ゴミ箱_Backup!$B$117:$D$247,MATCH("ALERT_APPROACHING",_ゴミ箱_Backup!$A$117:$A$247,0),MATCH(言語切替!$B$3,_ゴミ箱_Backup!$B$1:$D$1,0)),IF(OR(M194='02_マスタ'!$E$7,M194='02_マスタ'!$E$8),INDEX(_ゴミ箱_Backup!$B$117:$D$247,MATCH("ALERT_CHECK",_ゴミ箱_Backup!$A$117:$A$247,0),MATCH(言語切替!$B$3,_ゴミ箱_Backup!$B$1:$D$1,0)),""))))))</f>
        <v/>
      </c>
      <c r="T194" s="53"/>
      <c r="U194" s="61" t="str">
        <f t="shared" si="33"/>
        <v/>
      </c>
      <c r="V194" s="61" t="str">
        <f t="shared" si="34"/>
        <v/>
      </c>
      <c r="W194" s="61" t="str">
        <f t="shared" si="35"/>
        <v/>
      </c>
      <c r="X194" s="61" t="str">
        <f t="shared" si="36"/>
        <v/>
      </c>
      <c r="Y194" s="61" t="str">
        <f t="shared" si="37"/>
        <v/>
      </c>
      <c r="Z194" s="61" t="str">
        <f t="shared" si="38"/>
        <v/>
      </c>
      <c r="AA194" s="61" t="str">
        <f t="shared" si="39"/>
        <v/>
      </c>
      <c r="AB194" s="61" t="str">
        <f t="shared" si="40"/>
        <v/>
      </c>
      <c r="AC194" s="61" t="str">
        <f t="shared" si="41"/>
        <v/>
      </c>
      <c r="AD194" s="61" t="str">
        <f t="shared" si="42"/>
        <v/>
      </c>
      <c r="AE194" s="61" t="str">
        <f t="shared" si="43"/>
        <v/>
      </c>
      <c r="AF194" s="61" t="str">
        <f t="shared" si="44"/>
        <v/>
      </c>
      <c r="AG194" s="61" t="str">
        <f t="shared" si="45"/>
        <v/>
      </c>
      <c r="AH194" s="61" t="str">
        <f t="shared" si="46"/>
        <v/>
      </c>
      <c r="AI194" s="61" t="str">
        <f t="shared" si="47"/>
        <v/>
      </c>
    </row>
    <row r="195" spans="1:35" x14ac:dyDescent="0.25">
      <c r="A195" s="40"/>
      <c r="B195" s="41"/>
      <c r="C195" s="41"/>
      <c r="D195" s="41"/>
      <c r="E195" s="41"/>
      <c r="F195" s="41"/>
      <c r="G195" s="41"/>
      <c r="H195" s="41"/>
      <c r="I195" s="41"/>
      <c r="J195" s="42"/>
      <c r="K195" s="42"/>
      <c r="L195" s="41"/>
      <c r="M195" s="41"/>
      <c r="N195" s="41"/>
      <c r="O195" s="41"/>
      <c r="P195" s="41"/>
      <c r="Q195" s="41"/>
      <c r="R195" s="16" t="str">
        <f t="shared" ca="1" si="32"/>
        <v/>
      </c>
      <c r="S195" s="16" t="str">
        <f ca="1">IF(A195="","",IF(OR(M195='02_マスタ'!$E$10,M195='02_マスタ'!$E$12),"",IF(L195="High","High",IF(AND(K195&lt;&gt;"",K195&lt;TODAY()),INDEX(_ゴミ箱_Backup!$B$117:$D$247,MATCH("ALERT_OVERDUE",_ゴミ箱_Backup!$A$117:$A$247,0),MATCH(言語切替!$B$3,_ゴミ箱_Backup!$B$1:$D$1,0)),IF(AND(K195&lt;&gt;"",K195-TODAY()&lt;=7),INDEX(_ゴミ箱_Backup!$B$117:$D$247,MATCH("ALERT_APPROACHING",_ゴミ箱_Backup!$A$117:$A$247,0),MATCH(言語切替!$B$3,_ゴミ箱_Backup!$B$1:$D$1,0)),IF(OR(M195='02_マスタ'!$E$7,M195='02_マスタ'!$E$8),INDEX(_ゴミ箱_Backup!$B$117:$D$247,MATCH("ALERT_CHECK",_ゴミ箱_Backup!$A$117:$A$247,0),MATCH(言語切替!$B$3,_ゴミ箱_Backup!$B$1:$D$1,0)),""))))))</f>
        <v/>
      </c>
      <c r="T195" s="52"/>
      <c r="U195" s="61" t="str">
        <f t="shared" si="33"/>
        <v/>
      </c>
      <c r="V195" s="61" t="str">
        <f t="shared" si="34"/>
        <v/>
      </c>
      <c r="W195" s="61" t="str">
        <f t="shared" si="35"/>
        <v/>
      </c>
      <c r="X195" s="61" t="str">
        <f t="shared" si="36"/>
        <v/>
      </c>
      <c r="Y195" s="61" t="str">
        <f t="shared" si="37"/>
        <v/>
      </c>
      <c r="Z195" s="61" t="str">
        <f t="shared" si="38"/>
        <v/>
      </c>
      <c r="AA195" s="61" t="str">
        <f t="shared" si="39"/>
        <v/>
      </c>
      <c r="AB195" s="61" t="str">
        <f t="shared" si="40"/>
        <v/>
      </c>
      <c r="AC195" s="61" t="str">
        <f t="shared" si="41"/>
        <v/>
      </c>
      <c r="AD195" s="61" t="str">
        <f t="shared" si="42"/>
        <v/>
      </c>
      <c r="AE195" s="61" t="str">
        <f t="shared" si="43"/>
        <v/>
      </c>
      <c r="AF195" s="61" t="str">
        <f t="shared" si="44"/>
        <v/>
      </c>
      <c r="AG195" s="61" t="str">
        <f t="shared" si="45"/>
        <v/>
      </c>
      <c r="AH195" s="61" t="str">
        <f t="shared" si="46"/>
        <v/>
      </c>
      <c r="AI195" s="61" t="str">
        <f t="shared" si="47"/>
        <v/>
      </c>
    </row>
    <row r="196" spans="1:35" x14ac:dyDescent="0.25">
      <c r="A196" s="36"/>
      <c r="B196" s="37"/>
      <c r="C196" s="37"/>
      <c r="D196" s="37"/>
      <c r="E196" s="37"/>
      <c r="F196" s="37"/>
      <c r="G196" s="37"/>
      <c r="H196" s="37"/>
      <c r="I196" s="37"/>
      <c r="J196" s="38"/>
      <c r="K196" s="38"/>
      <c r="L196" s="37"/>
      <c r="M196" s="37"/>
      <c r="N196" s="37"/>
      <c r="O196" s="37"/>
      <c r="P196" s="37"/>
      <c r="Q196" s="37"/>
      <c r="R196" s="13" t="str">
        <f t="shared" ca="1" si="32"/>
        <v/>
      </c>
      <c r="S196" s="13" t="str">
        <f ca="1">IF(A196="","",IF(OR(M196='02_マスタ'!$E$10,M196='02_マスタ'!$E$12),"",IF(L196="High","High",IF(AND(K196&lt;&gt;"",K196&lt;TODAY()),INDEX(_ゴミ箱_Backup!$B$117:$D$247,MATCH("ALERT_OVERDUE",_ゴミ箱_Backup!$A$117:$A$247,0),MATCH(言語切替!$B$3,_ゴミ箱_Backup!$B$1:$D$1,0)),IF(AND(K196&lt;&gt;"",K196-TODAY()&lt;=7),INDEX(_ゴミ箱_Backup!$B$117:$D$247,MATCH("ALERT_APPROACHING",_ゴミ箱_Backup!$A$117:$A$247,0),MATCH(言語切替!$B$3,_ゴミ箱_Backup!$B$1:$D$1,0)),IF(OR(M196='02_マスタ'!$E$7,M196='02_マスタ'!$E$8),INDEX(_ゴミ箱_Backup!$B$117:$D$247,MATCH("ALERT_CHECK",_ゴミ箱_Backup!$A$117:$A$247,0),MATCH(言語切替!$B$3,_ゴミ箱_Backup!$B$1:$D$1,0)),""))))))</f>
        <v/>
      </c>
      <c r="T196" s="53"/>
      <c r="U196" s="61" t="str">
        <f t="shared" si="33"/>
        <v/>
      </c>
      <c r="V196" s="61" t="str">
        <f t="shared" si="34"/>
        <v/>
      </c>
      <c r="W196" s="61" t="str">
        <f t="shared" si="35"/>
        <v/>
      </c>
      <c r="X196" s="61" t="str">
        <f t="shared" si="36"/>
        <v/>
      </c>
      <c r="Y196" s="61" t="str">
        <f t="shared" si="37"/>
        <v/>
      </c>
      <c r="Z196" s="61" t="str">
        <f t="shared" si="38"/>
        <v/>
      </c>
      <c r="AA196" s="61" t="str">
        <f t="shared" si="39"/>
        <v/>
      </c>
      <c r="AB196" s="61" t="str">
        <f t="shared" si="40"/>
        <v/>
      </c>
      <c r="AC196" s="61" t="str">
        <f t="shared" si="41"/>
        <v/>
      </c>
      <c r="AD196" s="61" t="str">
        <f t="shared" si="42"/>
        <v/>
      </c>
      <c r="AE196" s="61" t="str">
        <f t="shared" si="43"/>
        <v/>
      </c>
      <c r="AF196" s="61" t="str">
        <f t="shared" si="44"/>
        <v/>
      </c>
      <c r="AG196" s="61" t="str">
        <f t="shared" si="45"/>
        <v/>
      </c>
      <c r="AH196" s="61" t="str">
        <f t="shared" si="46"/>
        <v/>
      </c>
      <c r="AI196" s="61" t="str">
        <f t="shared" si="47"/>
        <v/>
      </c>
    </row>
    <row r="197" spans="1:35" x14ac:dyDescent="0.25">
      <c r="A197" s="40"/>
      <c r="B197" s="41"/>
      <c r="C197" s="41"/>
      <c r="D197" s="41"/>
      <c r="E197" s="41"/>
      <c r="F197" s="41"/>
      <c r="G197" s="41"/>
      <c r="H197" s="41"/>
      <c r="I197" s="41"/>
      <c r="J197" s="42"/>
      <c r="K197" s="42"/>
      <c r="L197" s="41"/>
      <c r="M197" s="41"/>
      <c r="N197" s="41"/>
      <c r="O197" s="41"/>
      <c r="P197" s="41"/>
      <c r="Q197" s="41"/>
      <c r="R197" s="16" t="str">
        <f t="shared" ref="R197:R260" ca="1" si="48">IF(K197="","",K197-TODAY())</f>
        <v/>
      </c>
      <c r="S197" s="16" t="str">
        <f ca="1">IF(A197="","",IF(OR(M197='02_マスタ'!$E$10,M197='02_マスタ'!$E$12),"",IF(L197="High","High",IF(AND(K197&lt;&gt;"",K197&lt;TODAY()),INDEX(_ゴミ箱_Backup!$B$117:$D$247,MATCH("ALERT_OVERDUE",_ゴミ箱_Backup!$A$117:$A$247,0),MATCH(言語切替!$B$3,_ゴミ箱_Backup!$B$1:$D$1,0)),IF(AND(K197&lt;&gt;"",K197-TODAY()&lt;=7),INDEX(_ゴミ箱_Backup!$B$117:$D$247,MATCH("ALERT_APPROACHING",_ゴミ箱_Backup!$A$117:$A$247,0),MATCH(言語切替!$B$3,_ゴミ箱_Backup!$B$1:$D$1,0)),IF(OR(M197='02_マスタ'!$E$7,M197='02_マスタ'!$E$8),INDEX(_ゴミ箱_Backup!$B$117:$D$247,MATCH("ALERT_CHECK",_ゴミ箱_Backup!$A$117:$A$247,0),MATCH(言語切替!$B$3,_ゴミ箱_Backup!$B$1:$D$1,0)),""))))))</f>
        <v/>
      </c>
      <c r="T197" s="52"/>
      <c r="U197" s="61" t="str">
        <f t="shared" ref="U197:U260" si="49">IF(E197="","",IFERROR(_xlfn.TRANSLATE(E197,,"ja"),""))</f>
        <v/>
      </c>
      <c r="V197" s="61" t="str">
        <f t="shared" ref="V197:V260" si="50">IF(E197="","",IFERROR(_xlfn.TRANSLATE(E197,,"zh-Hans"),""))</f>
        <v/>
      </c>
      <c r="W197" s="61" t="str">
        <f t="shared" ref="W197:W260" si="51">IF(E197="","",IFERROR(_xlfn.TRANSLATE(E197,,"vi"),""))</f>
        <v/>
      </c>
      <c r="X197" s="61" t="str">
        <f t="shared" ref="X197:X260" si="52">IF(F197="","",IFERROR(_xlfn.TRANSLATE(F197,,"ja"),""))</f>
        <v/>
      </c>
      <c r="Y197" s="61" t="str">
        <f t="shared" ref="Y197:Y260" si="53">IF(F197="","",IFERROR(_xlfn.TRANSLATE(F197,,"zh-Hans"),""))</f>
        <v/>
      </c>
      <c r="Z197" s="61" t="str">
        <f t="shared" ref="Z197:Z260" si="54">IF(F197="","",IFERROR(_xlfn.TRANSLATE(F197,,"vi"),""))</f>
        <v/>
      </c>
      <c r="AA197" s="61" t="str">
        <f t="shared" ref="AA197:AA260" si="55">IF(G197="","",IFERROR(_xlfn.TRANSLATE(G197,,"ja"),""))</f>
        <v/>
      </c>
      <c r="AB197" s="61" t="str">
        <f t="shared" ref="AB197:AB260" si="56">IF(G197="","",IFERROR(_xlfn.TRANSLATE(G197,,"zh-Hans"),""))</f>
        <v/>
      </c>
      <c r="AC197" s="61" t="str">
        <f t="shared" ref="AC197:AC260" si="57">IF(G197="","",IFERROR(_xlfn.TRANSLATE(G197,,"vi"),""))</f>
        <v/>
      </c>
      <c r="AD197" s="61" t="str">
        <f t="shared" ref="AD197:AD260" si="58">IF(O197="","",IFERROR(_xlfn.TRANSLATE(O197,,"ja"),""))</f>
        <v/>
      </c>
      <c r="AE197" s="61" t="str">
        <f t="shared" ref="AE197:AE260" si="59">IF(O197="","",IFERROR(_xlfn.TRANSLATE(O197,,"zh-Hans"),""))</f>
        <v/>
      </c>
      <c r="AF197" s="61" t="str">
        <f t="shared" ref="AF197:AF260" si="60">IF(O197="","",IFERROR(_xlfn.TRANSLATE(O197,,"vi"),""))</f>
        <v/>
      </c>
      <c r="AG197" s="61" t="str">
        <f t="shared" ref="AG197:AG260" si="61">IF(P197="","",IFERROR(_xlfn.TRANSLATE(P197,,"ja"),""))</f>
        <v/>
      </c>
      <c r="AH197" s="61" t="str">
        <f t="shared" ref="AH197:AH260" si="62">IF(P197="","",IFERROR(_xlfn.TRANSLATE(P197,,"zh-Hans"),""))</f>
        <v/>
      </c>
      <c r="AI197" s="61" t="str">
        <f t="shared" ref="AI197:AI260" si="63">IF(P197="","",IFERROR(_xlfn.TRANSLATE(P197,,"vi"),""))</f>
        <v/>
      </c>
    </row>
    <row r="198" spans="1:35" x14ac:dyDescent="0.25">
      <c r="A198" s="36"/>
      <c r="B198" s="37"/>
      <c r="C198" s="37"/>
      <c r="D198" s="37"/>
      <c r="E198" s="37"/>
      <c r="F198" s="37"/>
      <c r="G198" s="37"/>
      <c r="H198" s="37"/>
      <c r="I198" s="37"/>
      <c r="J198" s="38"/>
      <c r="K198" s="38"/>
      <c r="L198" s="37"/>
      <c r="M198" s="37"/>
      <c r="N198" s="37"/>
      <c r="O198" s="37"/>
      <c r="P198" s="37"/>
      <c r="Q198" s="37"/>
      <c r="R198" s="13" t="str">
        <f t="shared" ca="1" si="48"/>
        <v/>
      </c>
      <c r="S198" s="13" t="str">
        <f ca="1">IF(A198="","",IF(OR(M198='02_マスタ'!$E$10,M198='02_マスタ'!$E$12),"",IF(L198="High","High",IF(AND(K198&lt;&gt;"",K198&lt;TODAY()),INDEX(_ゴミ箱_Backup!$B$117:$D$247,MATCH("ALERT_OVERDUE",_ゴミ箱_Backup!$A$117:$A$247,0),MATCH(言語切替!$B$3,_ゴミ箱_Backup!$B$1:$D$1,0)),IF(AND(K198&lt;&gt;"",K198-TODAY()&lt;=7),INDEX(_ゴミ箱_Backup!$B$117:$D$247,MATCH("ALERT_APPROACHING",_ゴミ箱_Backup!$A$117:$A$247,0),MATCH(言語切替!$B$3,_ゴミ箱_Backup!$B$1:$D$1,0)),IF(OR(M198='02_マスタ'!$E$7,M198='02_マスタ'!$E$8),INDEX(_ゴミ箱_Backup!$B$117:$D$247,MATCH("ALERT_CHECK",_ゴミ箱_Backup!$A$117:$A$247,0),MATCH(言語切替!$B$3,_ゴミ箱_Backup!$B$1:$D$1,0)),""))))))</f>
        <v/>
      </c>
      <c r="T198" s="53"/>
      <c r="U198" s="61" t="str">
        <f t="shared" si="49"/>
        <v/>
      </c>
      <c r="V198" s="61" t="str">
        <f t="shared" si="50"/>
        <v/>
      </c>
      <c r="W198" s="61" t="str">
        <f t="shared" si="51"/>
        <v/>
      </c>
      <c r="X198" s="61" t="str">
        <f t="shared" si="52"/>
        <v/>
      </c>
      <c r="Y198" s="61" t="str">
        <f t="shared" si="53"/>
        <v/>
      </c>
      <c r="Z198" s="61" t="str">
        <f t="shared" si="54"/>
        <v/>
      </c>
      <c r="AA198" s="61" t="str">
        <f t="shared" si="55"/>
        <v/>
      </c>
      <c r="AB198" s="61" t="str">
        <f t="shared" si="56"/>
        <v/>
      </c>
      <c r="AC198" s="61" t="str">
        <f t="shared" si="57"/>
        <v/>
      </c>
      <c r="AD198" s="61" t="str">
        <f t="shared" si="58"/>
        <v/>
      </c>
      <c r="AE198" s="61" t="str">
        <f t="shared" si="59"/>
        <v/>
      </c>
      <c r="AF198" s="61" t="str">
        <f t="shared" si="60"/>
        <v/>
      </c>
      <c r="AG198" s="61" t="str">
        <f t="shared" si="61"/>
        <v/>
      </c>
      <c r="AH198" s="61" t="str">
        <f t="shared" si="62"/>
        <v/>
      </c>
      <c r="AI198" s="61" t="str">
        <f t="shared" si="63"/>
        <v/>
      </c>
    </row>
    <row r="199" spans="1:35" x14ac:dyDescent="0.25">
      <c r="A199" s="40"/>
      <c r="B199" s="41"/>
      <c r="C199" s="41"/>
      <c r="D199" s="41"/>
      <c r="E199" s="41"/>
      <c r="F199" s="41"/>
      <c r="G199" s="41"/>
      <c r="H199" s="41"/>
      <c r="I199" s="41"/>
      <c r="J199" s="42"/>
      <c r="K199" s="42"/>
      <c r="L199" s="41"/>
      <c r="M199" s="41"/>
      <c r="N199" s="41"/>
      <c r="O199" s="41"/>
      <c r="P199" s="41"/>
      <c r="Q199" s="41"/>
      <c r="R199" s="16" t="str">
        <f t="shared" ca="1" si="48"/>
        <v/>
      </c>
      <c r="S199" s="16" t="str">
        <f ca="1">IF(A199="","",IF(OR(M199='02_マスタ'!$E$10,M199='02_マスタ'!$E$12),"",IF(L199="High","High",IF(AND(K199&lt;&gt;"",K199&lt;TODAY()),INDEX(_ゴミ箱_Backup!$B$117:$D$247,MATCH("ALERT_OVERDUE",_ゴミ箱_Backup!$A$117:$A$247,0),MATCH(言語切替!$B$3,_ゴミ箱_Backup!$B$1:$D$1,0)),IF(AND(K199&lt;&gt;"",K199-TODAY()&lt;=7),INDEX(_ゴミ箱_Backup!$B$117:$D$247,MATCH("ALERT_APPROACHING",_ゴミ箱_Backup!$A$117:$A$247,0),MATCH(言語切替!$B$3,_ゴミ箱_Backup!$B$1:$D$1,0)),IF(OR(M199='02_マスタ'!$E$7,M199='02_マスタ'!$E$8),INDEX(_ゴミ箱_Backup!$B$117:$D$247,MATCH("ALERT_CHECK",_ゴミ箱_Backup!$A$117:$A$247,0),MATCH(言語切替!$B$3,_ゴミ箱_Backup!$B$1:$D$1,0)),""))))))</f>
        <v/>
      </c>
      <c r="T199" s="52"/>
      <c r="U199" s="61" t="str">
        <f t="shared" si="49"/>
        <v/>
      </c>
      <c r="V199" s="61" t="str">
        <f t="shared" si="50"/>
        <v/>
      </c>
      <c r="W199" s="61" t="str">
        <f t="shared" si="51"/>
        <v/>
      </c>
      <c r="X199" s="61" t="str">
        <f t="shared" si="52"/>
        <v/>
      </c>
      <c r="Y199" s="61" t="str">
        <f t="shared" si="53"/>
        <v/>
      </c>
      <c r="Z199" s="61" t="str">
        <f t="shared" si="54"/>
        <v/>
      </c>
      <c r="AA199" s="61" t="str">
        <f t="shared" si="55"/>
        <v/>
      </c>
      <c r="AB199" s="61" t="str">
        <f t="shared" si="56"/>
        <v/>
      </c>
      <c r="AC199" s="61" t="str">
        <f t="shared" si="57"/>
        <v/>
      </c>
      <c r="AD199" s="61" t="str">
        <f t="shared" si="58"/>
        <v/>
      </c>
      <c r="AE199" s="61" t="str">
        <f t="shared" si="59"/>
        <v/>
      </c>
      <c r="AF199" s="61" t="str">
        <f t="shared" si="60"/>
        <v/>
      </c>
      <c r="AG199" s="61" t="str">
        <f t="shared" si="61"/>
        <v/>
      </c>
      <c r="AH199" s="61" t="str">
        <f t="shared" si="62"/>
        <v/>
      </c>
      <c r="AI199" s="61" t="str">
        <f t="shared" si="63"/>
        <v/>
      </c>
    </row>
    <row r="200" spans="1:35" x14ac:dyDescent="0.25">
      <c r="A200" s="36"/>
      <c r="B200" s="37"/>
      <c r="C200" s="37"/>
      <c r="D200" s="37"/>
      <c r="E200" s="37"/>
      <c r="F200" s="37"/>
      <c r="G200" s="37"/>
      <c r="H200" s="37"/>
      <c r="I200" s="37"/>
      <c r="J200" s="38"/>
      <c r="K200" s="38"/>
      <c r="L200" s="37"/>
      <c r="M200" s="37"/>
      <c r="N200" s="37"/>
      <c r="O200" s="37"/>
      <c r="P200" s="37"/>
      <c r="Q200" s="37"/>
      <c r="R200" s="13" t="str">
        <f t="shared" ca="1" si="48"/>
        <v/>
      </c>
      <c r="S200" s="13" t="str">
        <f ca="1">IF(A200="","",IF(OR(M200='02_マスタ'!$E$10,M200='02_マスタ'!$E$12),"",IF(L200="High","High",IF(AND(K200&lt;&gt;"",K200&lt;TODAY()),INDEX(_ゴミ箱_Backup!$B$117:$D$247,MATCH("ALERT_OVERDUE",_ゴミ箱_Backup!$A$117:$A$247,0),MATCH(言語切替!$B$3,_ゴミ箱_Backup!$B$1:$D$1,0)),IF(AND(K200&lt;&gt;"",K200-TODAY()&lt;=7),INDEX(_ゴミ箱_Backup!$B$117:$D$247,MATCH("ALERT_APPROACHING",_ゴミ箱_Backup!$A$117:$A$247,0),MATCH(言語切替!$B$3,_ゴミ箱_Backup!$B$1:$D$1,0)),IF(OR(M200='02_マスタ'!$E$7,M200='02_マスタ'!$E$8),INDEX(_ゴミ箱_Backup!$B$117:$D$247,MATCH("ALERT_CHECK",_ゴミ箱_Backup!$A$117:$A$247,0),MATCH(言語切替!$B$3,_ゴミ箱_Backup!$B$1:$D$1,0)),""))))))</f>
        <v/>
      </c>
      <c r="T200" s="53"/>
      <c r="U200" s="61" t="str">
        <f t="shared" si="49"/>
        <v/>
      </c>
      <c r="V200" s="61" t="str">
        <f t="shared" si="50"/>
        <v/>
      </c>
      <c r="W200" s="61" t="str">
        <f t="shared" si="51"/>
        <v/>
      </c>
      <c r="X200" s="61" t="str">
        <f t="shared" si="52"/>
        <v/>
      </c>
      <c r="Y200" s="61" t="str">
        <f t="shared" si="53"/>
        <v/>
      </c>
      <c r="Z200" s="61" t="str">
        <f t="shared" si="54"/>
        <v/>
      </c>
      <c r="AA200" s="61" t="str">
        <f t="shared" si="55"/>
        <v/>
      </c>
      <c r="AB200" s="61" t="str">
        <f t="shared" si="56"/>
        <v/>
      </c>
      <c r="AC200" s="61" t="str">
        <f t="shared" si="57"/>
        <v/>
      </c>
      <c r="AD200" s="61" t="str">
        <f t="shared" si="58"/>
        <v/>
      </c>
      <c r="AE200" s="61" t="str">
        <f t="shared" si="59"/>
        <v/>
      </c>
      <c r="AF200" s="61" t="str">
        <f t="shared" si="60"/>
        <v/>
      </c>
      <c r="AG200" s="61" t="str">
        <f t="shared" si="61"/>
        <v/>
      </c>
      <c r="AH200" s="61" t="str">
        <f t="shared" si="62"/>
        <v/>
      </c>
      <c r="AI200" s="61" t="str">
        <f t="shared" si="63"/>
        <v/>
      </c>
    </row>
    <row r="201" spans="1:35" x14ac:dyDescent="0.25">
      <c r="A201" s="40"/>
      <c r="B201" s="41"/>
      <c r="C201" s="41"/>
      <c r="D201" s="41"/>
      <c r="E201" s="41"/>
      <c r="F201" s="41"/>
      <c r="G201" s="41"/>
      <c r="H201" s="41"/>
      <c r="I201" s="41"/>
      <c r="J201" s="42"/>
      <c r="K201" s="42"/>
      <c r="L201" s="41"/>
      <c r="M201" s="41"/>
      <c r="N201" s="41"/>
      <c r="O201" s="41"/>
      <c r="P201" s="41"/>
      <c r="Q201" s="41"/>
      <c r="R201" s="16" t="str">
        <f t="shared" ca="1" si="48"/>
        <v/>
      </c>
      <c r="S201" s="16" t="str">
        <f ca="1">IF(A201="","",IF(OR(M201='02_マスタ'!$E$10,M201='02_マスタ'!$E$12),"",IF(L201="High","High",IF(AND(K201&lt;&gt;"",K201&lt;TODAY()),INDEX(_ゴミ箱_Backup!$B$117:$D$247,MATCH("ALERT_OVERDUE",_ゴミ箱_Backup!$A$117:$A$247,0),MATCH(言語切替!$B$3,_ゴミ箱_Backup!$B$1:$D$1,0)),IF(AND(K201&lt;&gt;"",K201-TODAY()&lt;=7),INDEX(_ゴミ箱_Backup!$B$117:$D$247,MATCH("ALERT_APPROACHING",_ゴミ箱_Backup!$A$117:$A$247,0),MATCH(言語切替!$B$3,_ゴミ箱_Backup!$B$1:$D$1,0)),IF(OR(M201='02_マスタ'!$E$7,M201='02_マスタ'!$E$8),INDEX(_ゴミ箱_Backup!$B$117:$D$247,MATCH("ALERT_CHECK",_ゴミ箱_Backup!$A$117:$A$247,0),MATCH(言語切替!$B$3,_ゴミ箱_Backup!$B$1:$D$1,0)),""))))))</f>
        <v/>
      </c>
      <c r="T201" s="52"/>
      <c r="U201" s="61" t="str">
        <f t="shared" si="49"/>
        <v/>
      </c>
      <c r="V201" s="61" t="str">
        <f t="shared" si="50"/>
        <v/>
      </c>
      <c r="W201" s="61" t="str">
        <f t="shared" si="51"/>
        <v/>
      </c>
      <c r="X201" s="61" t="str">
        <f t="shared" si="52"/>
        <v/>
      </c>
      <c r="Y201" s="61" t="str">
        <f t="shared" si="53"/>
        <v/>
      </c>
      <c r="Z201" s="61" t="str">
        <f t="shared" si="54"/>
        <v/>
      </c>
      <c r="AA201" s="61" t="str">
        <f t="shared" si="55"/>
        <v/>
      </c>
      <c r="AB201" s="61" t="str">
        <f t="shared" si="56"/>
        <v/>
      </c>
      <c r="AC201" s="61" t="str">
        <f t="shared" si="57"/>
        <v/>
      </c>
      <c r="AD201" s="61" t="str">
        <f t="shared" si="58"/>
        <v/>
      </c>
      <c r="AE201" s="61" t="str">
        <f t="shared" si="59"/>
        <v/>
      </c>
      <c r="AF201" s="61" t="str">
        <f t="shared" si="60"/>
        <v/>
      </c>
      <c r="AG201" s="61" t="str">
        <f t="shared" si="61"/>
        <v/>
      </c>
      <c r="AH201" s="61" t="str">
        <f t="shared" si="62"/>
        <v/>
      </c>
      <c r="AI201" s="61" t="str">
        <f t="shared" si="63"/>
        <v/>
      </c>
    </row>
    <row r="202" spans="1:35" x14ac:dyDescent="0.25">
      <c r="A202" s="36"/>
      <c r="B202" s="37"/>
      <c r="C202" s="37"/>
      <c r="D202" s="37"/>
      <c r="E202" s="37"/>
      <c r="F202" s="37"/>
      <c r="G202" s="37"/>
      <c r="H202" s="37"/>
      <c r="I202" s="37"/>
      <c r="J202" s="38"/>
      <c r="K202" s="38"/>
      <c r="L202" s="37"/>
      <c r="M202" s="37"/>
      <c r="N202" s="37"/>
      <c r="O202" s="37"/>
      <c r="P202" s="37"/>
      <c r="Q202" s="37"/>
      <c r="R202" s="13" t="str">
        <f t="shared" ca="1" si="48"/>
        <v/>
      </c>
      <c r="S202" s="13" t="str">
        <f ca="1">IF(A202="","",IF(OR(M202='02_マスタ'!$E$10,M202='02_マスタ'!$E$12),"",IF(L202="High","High",IF(AND(K202&lt;&gt;"",K202&lt;TODAY()),INDEX(_ゴミ箱_Backup!$B$117:$D$247,MATCH("ALERT_OVERDUE",_ゴミ箱_Backup!$A$117:$A$247,0),MATCH(言語切替!$B$3,_ゴミ箱_Backup!$B$1:$D$1,0)),IF(AND(K202&lt;&gt;"",K202-TODAY()&lt;=7),INDEX(_ゴミ箱_Backup!$B$117:$D$247,MATCH("ALERT_APPROACHING",_ゴミ箱_Backup!$A$117:$A$247,0),MATCH(言語切替!$B$3,_ゴミ箱_Backup!$B$1:$D$1,0)),IF(OR(M202='02_マスタ'!$E$7,M202='02_マスタ'!$E$8),INDEX(_ゴミ箱_Backup!$B$117:$D$247,MATCH("ALERT_CHECK",_ゴミ箱_Backup!$A$117:$A$247,0),MATCH(言語切替!$B$3,_ゴミ箱_Backup!$B$1:$D$1,0)),""))))))</f>
        <v/>
      </c>
      <c r="T202" s="53"/>
      <c r="U202" s="61" t="str">
        <f t="shared" si="49"/>
        <v/>
      </c>
      <c r="V202" s="61" t="str">
        <f t="shared" si="50"/>
        <v/>
      </c>
      <c r="W202" s="61" t="str">
        <f t="shared" si="51"/>
        <v/>
      </c>
      <c r="X202" s="61" t="str">
        <f t="shared" si="52"/>
        <v/>
      </c>
      <c r="Y202" s="61" t="str">
        <f t="shared" si="53"/>
        <v/>
      </c>
      <c r="Z202" s="61" t="str">
        <f t="shared" si="54"/>
        <v/>
      </c>
      <c r="AA202" s="61" t="str">
        <f t="shared" si="55"/>
        <v/>
      </c>
      <c r="AB202" s="61" t="str">
        <f t="shared" si="56"/>
        <v/>
      </c>
      <c r="AC202" s="61" t="str">
        <f t="shared" si="57"/>
        <v/>
      </c>
      <c r="AD202" s="61" t="str">
        <f t="shared" si="58"/>
        <v/>
      </c>
      <c r="AE202" s="61" t="str">
        <f t="shared" si="59"/>
        <v/>
      </c>
      <c r="AF202" s="61" t="str">
        <f t="shared" si="60"/>
        <v/>
      </c>
      <c r="AG202" s="61" t="str">
        <f t="shared" si="61"/>
        <v/>
      </c>
      <c r="AH202" s="61" t="str">
        <f t="shared" si="62"/>
        <v/>
      </c>
      <c r="AI202" s="61" t="str">
        <f t="shared" si="63"/>
        <v/>
      </c>
    </row>
    <row r="203" spans="1:35" x14ac:dyDescent="0.25">
      <c r="A203" s="40"/>
      <c r="B203" s="41"/>
      <c r="C203" s="41"/>
      <c r="D203" s="41"/>
      <c r="E203" s="41"/>
      <c r="F203" s="41"/>
      <c r="G203" s="41"/>
      <c r="H203" s="41"/>
      <c r="I203" s="41"/>
      <c r="J203" s="42"/>
      <c r="K203" s="42"/>
      <c r="L203" s="41"/>
      <c r="M203" s="41"/>
      <c r="N203" s="41"/>
      <c r="O203" s="41"/>
      <c r="P203" s="41"/>
      <c r="Q203" s="41"/>
      <c r="R203" s="16" t="str">
        <f t="shared" ca="1" si="48"/>
        <v/>
      </c>
      <c r="S203" s="16" t="str">
        <f ca="1">IF(A203="","",IF(OR(M203='02_マスタ'!$E$10,M203='02_マスタ'!$E$12),"",IF(L203="High","High",IF(AND(K203&lt;&gt;"",K203&lt;TODAY()),INDEX(_ゴミ箱_Backup!$B$117:$D$247,MATCH("ALERT_OVERDUE",_ゴミ箱_Backup!$A$117:$A$247,0),MATCH(言語切替!$B$3,_ゴミ箱_Backup!$B$1:$D$1,0)),IF(AND(K203&lt;&gt;"",K203-TODAY()&lt;=7),INDEX(_ゴミ箱_Backup!$B$117:$D$247,MATCH("ALERT_APPROACHING",_ゴミ箱_Backup!$A$117:$A$247,0),MATCH(言語切替!$B$3,_ゴミ箱_Backup!$B$1:$D$1,0)),IF(OR(M203='02_マスタ'!$E$7,M203='02_マスタ'!$E$8),INDEX(_ゴミ箱_Backup!$B$117:$D$247,MATCH("ALERT_CHECK",_ゴミ箱_Backup!$A$117:$A$247,0),MATCH(言語切替!$B$3,_ゴミ箱_Backup!$B$1:$D$1,0)),""))))))</f>
        <v/>
      </c>
      <c r="T203" s="52"/>
      <c r="U203" s="61" t="str">
        <f t="shared" si="49"/>
        <v/>
      </c>
      <c r="V203" s="61" t="str">
        <f t="shared" si="50"/>
        <v/>
      </c>
      <c r="W203" s="61" t="str">
        <f t="shared" si="51"/>
        <v/>
      </c>
      <c r="X203" s="61" t="str">
        <f t="shared" si="52"/>
        <v/>
      </c>
      <c r="Y203" s="61" t="str">
        <f t="shared" si="53"/>
        <v/>
      </c>
      <c r="Z203" s="61" t="str">
        <f t="shared" si="54"/>
        <v/>
      </c>
      <c r="AA203" s="61" t="str">
        <f t="shared" si="55"/>
        <v/>
      </c>
      <c r="AB203" s="61" t="str">
        <f t="shared" si="56"/>
        <v/>
      </c>
      <c r="AC203" s="61" t="str">
        <f t="shared" si="57"/>
        <v/>
      </c>
      <c r="AD203" s="61" t="str">
        <f t="shared" si="58"/>
        <v/>
      </c>
      <c r="AE203" s="61" t="str">
        <f t="shared" si="59"/>
        <v/>
      </c>
      <c r="AF203" s="61" t="str">
        <f t="shared" si="60"/>
        <v/>
      </c>
      <c r="AG203" s="61" t="str">
        <f t="shared" si="61"/>
        <v/>
      </c>
      <c r="AH203" s="61" t="str">
        <f t="shared" si="62"/>
        <v/>
      </c>
      <c r="AI203" s="61" t="str">
        <f t="shared" si="63"/>
        <v/>
      </c>
    </row>
    <row r="204" spans="1:35" x14ac:dyDescent="0.25">
      <c r="A204" s="36"/>
      <c r="B204" s="37"/>
      <c r="C204" s="37"/>
      <c r="D204" s="37"/>
      <c r="E204" s="37"/>
      <c r="F204" s="37"/>
      <c r="G204" s="37"/>
      <c r="H204" s="37"/>
      <c r="I204" s="37"/>
      <c r="J204" s="38"/>
      <c r="K204" s="38"/>
      <c r="L204" s="37"/>
      <c r="M204" s="37"/>
      <c r="N204" s="37"/>
      <c r="O204" s="37"/>
      <c r="P204" s="37"/>
      <c r="Q204" s="37"/>
      <c r="R204" s="13" t="str">
        <f t="shared" ca="1" si="48"/>
        <v/>
      </c>
      <c r="S204" s="13" t="str">
        <f ca="1">IF(A204="","",IF(OR(M204='02_マスタ'!$E$10,M204='02_マスタ'!$E$12),"",IF(L204="High","High",IF(AND(K204&lt;&gt;"",K204&lt;TODAY()),INDEX(_ゴミ箱_Backup!$B$117:$D$247,MATCH("ALERT_OVERDUE",_ゴミ箱_Backup!$A$117:$A$247,0),MATCH(言語切替!$B$3,_ゴミ箱_Backup!$B$1:$D$1,0)),IF(AND(K204&lt;&gt;"",K204-TODAY()&lt;=7),INDEX(_ゴミ箱_Backup!$B$117:$D$247,MATCH("ALERT_APPROACHING",_ゴミ箱_Backup!$A$117:$A$247,0),MATCH(言語切替!$B$3,_ゴミ箱_Backup!$B$1:$D$1,0)),IF(OR(M204='02_マスタ'!$E$7,M204='02_マスタ'!$E$8),INDEX(_ゴミ箱_Backup!$B$117:$D$247,MATCH("ALERT_CHECK",_ゴミ箱_Backup!$A$117:$A$247,0),MATCH(言語切替!$B$3,_ゴミ箱_Backup!$B$1:$D$1,0)),""))))))</f>
        <v/>
      </c>
      <c r="T204" s="53"/>
      <c r="U204" s="61" t="str">
        <f t="shared" si="49"/>
        <v/>
      </c>
      <c r="V204" s="61" t="str">
        <f t="shared" si="50"/>
        <v/>
      </c>
      <c r="W204" s="61" t="str">
        <f t="shared" si="51"/>
        <v/>
      </c>
      <c r="X204" s="61" t="str">
        <f t="shared" si="52"/>
        <v/>
      </c>
      <c r="Y204" s="61" t="str">
        <f t="shared" si="53"/>
        <v/>
      </c>
      <c r="Z204" s="61" t="str">
        <f t="shared" si="54"/>
        <v/>
      </c>
      <c r="AA204" s="61" t="str">
        <f t="shared" si="55"/>
        <v/>
      </c>
      <c r="AB204" s="61" t="str">
        <f t="shared" si="56"/>
        <v/>
      </c>
      <c r="AC204" s="61" t="str">
        <f t="shared" si="57"/>
        <v/>
      </c>
      <c r="AD204" s="61" t="str">
        <f t="shared" si="58"/>
        <v/>
      </c>
      <c r="AE204" s="61" t="str">
        <f t="shared" si="59"/>
        <v/>
      </c>
      <c r="AF204" s="61" t="str">
        <f t="shared" si="60"/>
        <v/>
      </c>
      <c r="AG204" s="61" t="str">
        <f t="shared" si="61"/>
        <v/>
      </c>
      <c r="AH204" s="61" t="str">
        <f t="shared" si="62"/>
        <v/>
      </c>
      <c r="AI204" s="61" t="str">
        <f t="shared" si="63"/>
        <v/>
      </c>
    </row>
    <row r="205" spans="1:35" x14ac:dyDescent="0.25">
      <c r="A205" s="40"/>
      <c r="B205" s="41"/>
      <c r="C205" s="41"/>
      <c r="D205" s="41"/>
      <c r="E205" s="41"/>
      <c r="F205" s="41"/>
      <c r="G205" s="41"/>
      <c r="H205" s="41"/>
      <c r="I205" s="41"/>
      <c r="J205" s="42"/>
      <c r="K205" s="42"/>
      <c r="L205" s="41"/>
      <c r="M205" s="41"/>
      <c r="N205" s="41"/>
      <c r="O205" s="41"/>
      <c r="P205" s="41"/>
      <c r="Q205" s="41"/>
      <c r="R205" s="16" t="str">
        <f t="shared" ca="1" si="48"/>
        <v/>
      </c>
      <c r="S205" s="16" t="str">
        <f ca="1">IF(A205="","",IF(OR(M205='02_マスタ'!$E$10,M205='02_マスタ'!$E$12),"",IF(L205="High","High",IF(AND(K205&lt;&gt;"",K205&lt;TODAY()),INDEX(_ゴミ箱_Backup!$B$117:$D$247,MATCH("ALERT_OVERDUE",_ゴミ箱_Backup!$A$117:$A$247,0),MATCH(言語切替!$B$3,_ゴミ箱_Backup!$B$1:$D$1,0)),IF(AND(K205&lt;&gt;"",K205-TODAY()&lt;=7),INDEX(_ゴミ箱_Backup!$B$117:$D$247,MATCH("ALERT_APPROACHING",_ゴミ箱_Backup!$A$117:$A$247,0),MATCH(言語切替!$B$3,_ゴミ箱_Backup!$B$1:$D$1,0)),IF(OR(M205='02_マスタ'!$E$7,M205='02_マスタ'!$E$8),INDEX(_ゴミ箱_Backup!$B$117:$D$247,MATCH("ALERT_CHECK",_ゴミ箱_Backup!$A$117:$A$247,0),MATCH(言語切替!$B$3,_ゴミ箱_Backup!$B$1:$D$1,0)),""))))))</f>
        <v/>
      </c>
      <c r="T205" s="52"/>
      <c r="U205" s="61" t="str">
        <f t="shared" si="49"/>
        <v/>
      </c>
      <c r="V205" s="61" t="str">
        <f t="shared" si="50"/>
        <v/>
      </c>
      <c r="W205" s="61" t="str">
        <f t="shared" si="51"/>
        <v/>
      </c>
      <c r="X205" s="61" t="str">
        <f t="shared" si="52"/>
        <v/>
      </c>
      <c r="Y205" s="61" t="str">
        <f t="shared" si="53"/>
        <v/>
      </c>
      <c r="Z205" s="61" t="str">
        <f t="shared" si="54"/>
        <v/>
      </c>
      <c r="AA205" s="61" t="str">
        <f t="shared" si="55"/>
        <v/>
      </c>
      <c r="AB205" s="61" t="str">
        <f t="shared" si="56"/>
        <v/>
      </c>
      <c r="AC205" s="61" t="str">
        <f t="shared" si="57"/>
        <v/>
      </c>
      <c r="AD205" s="61" t="str">
        <f t="shared" si="58"/>
        <v/>
      </c>
      <c r="AE205" s="61" t="str">
        <f t="shared" si="59"/>
        <v/>
      </c>
      <c r="AF205" s="61" t="str">
        <f t="shared" si="60"/>
        <v/>
      </c>
      <c r="AG205" s="61" t="str">
        <f t="shared" si="61"/>
        <v/>
      </c>
      <c r="AH205" s="61" t="str">
        <f t="shared" si="62"/>
        <v/>
      </c>
      <c r="AI205" s="61" t="str">
        <f t="shared" si="63"/>
        <v/>
      </c>
    </row>
    <row r="206" spans="1:35" x14ac:dyDescent="0.25">
      <c r="A206" s="36"/>
      <c r="B206" s="37"/>
      <c r="C206" s="37"/>
      <c r="D206" s="37"/>
      <c r="E206" s="37"/>
      <c r="F206" s="37"/>
      <c r="G206" s="37"/>
      <c r="H206" s="37"/>
      <c r="I206" s="37"/>
      <c r="J206" s="38"/>
      <c r="K206" s="38"/>
      <c r="L206" s="37"/>
      <c r="M206" s="37"/>
      <c r="N206" s="37"/>
      <c r="O206" s="37"/>
      <c r="P206" s="37"/>
      <c r="Q206" s="37"/>
      <c r="R206" s="13" t="str">
        <f t="shared" ca="1" si="48"/>
        <v/>
      </c>
      <c r="S206" s="13" t="str">
        <f ca="1">IF(A206="","",IF(OR(M206='02_マスタ'!$E$10,M206='02_マスタ'!$E$12),"",IF(L206="High","High",IF(AND(K206&lt;&gt;"",K206&lt;TODAY()),INDEX(_ゴミ箱_Backup!$B$117:$D$247,MATCH("ALERT_OVERDUE",_ゴミ箱_Backup!$A$117:$A$247,0),MATCH(言語切替!$B$3,_ゴミ箱_Backup!$B$1:$D$1,0)),IF(AND(K206&lt;&gt;"",K206-TODAY()&lt;=7),INDEX(_ゴミ箱_Backup!$B$117:$D$247,MATCH("ALERT_APPROACHING",_ゴミ箱_Backup!$A$117:$A$247,0),MATCH(言語切替!$B$3,_ゴミ箱_Backup!$B$1:$D$1,0)),IF(OR(M206='02_マスタ'!$E$7,M206='02_マスタ'!$E$8),INDEX(_ゴミ箱_Backup!$B$117:$D$247,MATCH("ALERT_CHECK",_ゴミ箱_Backup!$A$117:$A$247,0),MATCH(言語切替!$B$3,_ゴミ箱_Backup!$B$1:$D$1,0)),""))))))</f>
        <v/>
      </c>
      <c r="T206" s="53"/>
      <c r="U206" s="61" t="str">
        <f t="shared" si="49"/>
        <v/>
      </c>
      <c r="V206" s="61" t="str">
        <f t="shared" si="50"/>
        <v/>
      </c>
      <c r="W206" s="61" t="str">
        <f t="shared" si="51"/>
        <v/>
      </c>
      <c r="X206" s="61" t="str">
        <f t="shared" si="52"/>
        <v/>
      </c>
      <c r="Y206" s="61" t="str">
        <f t="shared" si="53"/>
        <v/>
      </c>
      <c r="Z206" s="61" t="str">
        <f t="shared" si="54"/>
        <v/>
      </c>
      <c r="AA206" s="61" t="str">
        <f t="shared" si="55"/>
        <v/>
      </c>
      <c r="AB206" s="61" t="str">
        <f t="shared" si="56"/>
        <v/>
      </c>
      <c r="AC206" s="61" t="str">
        <f t="shared" si="57"/>
        <v/>
      </c>
      <c r="AD206" s="61" t="str">
        <f t="shared" si="58"/>
        <v/>
      </c>
      <c r="AE206" s="61" t="str">
        <f t="shared" si="59"/>
        <v/>
      </c>
      <c r="AF206" s="61" t="str">
        <f t="shared" si="60"/>
        <v/>
      </c>
      <c r="AG206" s="61" t="str">
        <f t="shared" si="61"/>
        <v/>
      </c>
      <c r="AH206" s="61" t="str">
        <f t="shared" si="62"/>
        <v/>
      </c>
      <c r="AI206" s="61" t="str">
        <f t="shared" si="63"/>
        <v/>
      </c>
    </row>
    <row r="207" spans="1:35" x14ac:dyDescent="0.25">
      <c r="A207" s="40"/>
      <c r="B207" s="41"/>
      <c r="C207" s="41"/>
      <c r="D207" s="41"/>
      <c r="E207" s="41"/>
      <c r="F207" s="41"/>
      <c r="G207" s="41"/>
      <c r="H207" s="41"/>
      <c r="I207" s="41"/>
      <c r="J207" s="42"/>
      <c r="K207" s="42"/>
      <c r="L207" s="41"/>
      <c r="M207" s="41"/>
      <c r="N207" s="41"/>
      <c r="O207" s="41"/>
      <c r="P207" s="41"/>
      <c r="Q207" s="41"/>
      <c r="R207" s="16" t="str">
        <f t="shared" ca="1" si="48"/>
        <v/>
      </c>
      <c r="S207" s="16" t="str">
        <f ca="1">IF(A207="","",IF(OR(M207='02_マスタ'!$E$10,M207='02_マスタ'!$E$12),"",IF(L207="High","High",IF(AND(K207&lt;&gt;"",K207&lt;TODAY()),INDEX(_ゴミ箱_Backup!$B$117:$D$247,MATCH("ALERT_OVERDUE",_ゴミ箱_Backup!$A$117:$A$247,0),MATCH(言語切替!$B$3,_ゴミ箱_Backup!$B$1:$D$1,0)),IF(AND(K207&lt;&gt;"",K207-TODAY()&lt;=7),INDEX(_ゴミ箱_Backup!$B$117:$D$247,MATCH("ALERT_APPROACHING",_ゴミ箱_Backup!$A$117:$A$247,0),MATCH(言語切替!$B$3,_ゴミ箱_Backup!$B$1:$D$1,0)),IF(OR(M207='02_マスタ'!$E$7,M207='02_マスタ'!$E$8),INDEX(_ゴミ箱_Backup!$B$117:$D$247,MATCH("ALERT_CHECK",_ゴミ箱_Backup!$A$117:$A$247,0),MATCH(言語切替!$B$3,_ゴミ箱_Backup!$B$1:$D$1,0)),""))))))</f>
        <v/>
      </c>
      <c r="T207" s="52"/>
      <c r="U207" s="61" t="str">
        <f t="shared" si="49"/>
        <v/>
      </c>
      <c r="V207" s="61" t="str">
        <f t="shared" si="50"/>
        <v/>
      </c>
      <c r="W207" s="61" t="str">
        <f t="shared" si="51"/>
        <v/>
      </c>
      <c r="X207" s="61" t="str">
        <f t="shared" si="52"/>
        <v/>
      </c>
      <c r="Y207" s="61" t="str">
        <f t="shared" si="53"/>
        <v/>
      </c>
      <c r="Z207" s="61" t="str">
        <f t="shared" si="54"/>
        <v/>
      </c>
      <c r="AA207" s="61" t="str">
        <f t="shared" si="55"/>
        <v/>
      </c>
      <c r="AB207" s="61" t="str">
        <f t="shared" si="56"/>
        <v/>
      </c>
      <c r="AC207" s="61" t="str">
        <f t="shared" si="57"/>
        <v/>
      </c>
      <c r="AD207" s="61" t="str">
        <f t="shared" si="58"/>
        <v/>
      </c>
      <c r="AE207" s="61" t="str">
        <f t="shared" si="59"/>
        <v/>
      </c>
      <c r="AF207" s="61" t="str">
        <f t="shared" si="60"/>
        <v/>
      </c>
      <c r="AG207" s="61" t="str">
        <f t="shared" si="61"/>
        <v/>
      </c>
      <c r="AH207" s="61" t="str">
        <f t="shared" si="62"/>
        <v/>
      </c>
      <c r="AI207" s="61" t="str">
        <f t="shared" si="63"/>
        <v/>
      </c>
    </row>
    <row r="208" spans="1:35" x14ac:dyDescent="0.25">
      <c r="A208" s="36"/>
      <c r="B208" s="37"/>
      <c r="C208" s="37"/>
      <c r="D208" s="37"/>
      <c r="E208" s="37"/>
      <c r="F208" s="37"/>
      <c r="G208" s="37"/>
      <c r="H208" s="37"/>
      <c r="I208" s="37"/>
      <c r="J208" s="38"/>
      <c r="K208" s="38"/>
      <c r="L208" s="37"/>
      <c r="M208" s="37"/>
      <c r="N208" s="37"/>
      <c r="O208" s="37"/>
      <c r="P208" s="37"/>
      <c r="Q208" s="37"/>
      <c r="R208" s="13" t="str">
        <f t="shared" ca="1" si="48"/>
        <v/>
      </c>
      <c r="S208" s="13" t="str">
        <f ca="1">IF(A208="","",IF(OR(M208='02_マスタ'!$E$10,M208='02_マスタ'!$E$12),"",IF(L208="High","High",IF(AND(K208&lt;&gt;"",K208&lt;TODAY()),INDEX(_ゴミ箱_Backup!$B$117:$D$247,MATCH("ALERT_OVERDUE",_ゴミ箱_Backup!$A$117:$A$247,0),MATCH(言語切替!$B$3,_ゴミ箱_Backup!$B$1:$D$1,0)),IF(AND(K208&lt;&gt;"",K208-TODAY()&lt;=7),INDEX(_ゴミ箱_Backup!$B$117:$D$247,MATCH("ALERT_APPROACHING",_ゴミ箱_Backup!$A$117:$A$247,0),MATCH(言語切替!$B$3,_ゴミ箱_Backup!$B$1:$D$1,0)),IF(OR(M208='02_マスタ'!$E$7,M208='02_マスタ'!$E$8),INDEX(_ゴミ箱_Backup!$B$117:$D$247,MATCH("ALERT_CHECK",_ゴミ箱_Backup!$A$117:$A$247,0),MATCH(言語切替!$B$3,_ゴミ箱_Backup!$B$1:$D$1,0)),""))))))</f>
        <v/>
      </c>
      <c r="T208" s="53"/>
      <c r="U208" s="61" t="str">
        <f t="shared" si="49"/>
        <v/>
      </c>
      <c r="V208" s="61" t="str">
        <f t="shared" si="50"/>
        <v/>
      </c>
      <c r="W208" s="61" t="str">
        <f t="shared" si="51"/>
        <v/>
      </c>
      <c r="X208" s="61" t="str">
        <f t="shared" si="52"/>
        <v/>
      </c>
      <c r="Y208" s="61" t="str">
        <f t="shared" si="53"/>
        <v/>
      </c>
      <c r="Z208" s="61" t="str">
        <f t="shared" si="54"/>
        <v/>
      </c>
      <c r="AA208" s="61" t="str">
        <f t="shared" si="55"/>
        <v/>
      </c>
      <c r="AB208" s="61" t="str">
        <f t="shared" si="56"/>
        <v/>
      </c>
      <c r="AC208" s="61" t="str">
        <f t="shared" si="57"/>
        <v/>
      </c>
      <c r="AD208" s="61" t="str">
        <f t="shared" si="58"/>
        <v/>
      </c>
      <c r="AE208" s="61" t="str">
        <f t="shared" si="59"/>
        <v/>
      </c>
      <c r="AF208" s="61" t="str">
        <f t="shared" si="60"/>
        <v/>
      </c>
      <c r="AG208" s="61" t="str">
        <f t="shared" si="61"/>
        <v/>
      </c>
      <c r="AH208" s="61" t="str">
        <f t="shared" si="62"/>
        <v/>
      </c>
      <c r="AI208" s="61" t="str">
        <f t="shared" si="63"/>
        <v/>
      </c>
    </row>
    <row r="209" spans="1:35" x14ac:dyDescent="0.25">
      <c r="A209" s="40"/>
      <c r="B209" s="41"/>
      <c r="C209" s="41"/>
      <c r="D209" s="41"/>
      <c r="E209" s="41"/>
      <c r="F209" s="41"/>
      <c r="G209" s="41"/>
      <c r="H209" s="41"/>
      <c r="I209" s="41"/>
      <c r="J209" s="42"/>
      <c r="K209" s="42"/>
      <c r="L209" s="41"/>
      <c r="M209" s="41"/>
      <c r="N209" s="41"/>
      <c r="O209" s="41"/>
      <c r="P209" s="41"/>
      <c r="Q209" s="41"/>
      <c r="R209" s="16" t="str">
        <f t="shared" ca="1" si="48"/>
        <v/>
      </c>
      <c r="S209" s="16" t="str">
        <f ca="1">IF(A209="","",IF(OR(M209='02_マスタ'!$E$10,M209='02_マスタ'!$E$12),"",IF(L209="High","High",IF(AND(K209&lt;&gt;"",K209&lt;TODAY()),INDEX(_ゴミ箱_Backup!$B$117:$D$247,MATCH("ALERT_OVERDUE",_ゴミ箱_Backup!$A$117:$A$247,0),MATCH(言語切替!$B$3,_ゴミ箱_Backup!$B$1:$D$1,0)),IF(AND(K209&lt;&gt;"",K209-TODAY()&lt;=7),INDEX(_ゴミ箱_Backup!$B$117:$D$247,MATCH("ALERT_APPROACHING",_ゴミ箱_Backup!$A$117:$A$247,0),MATCH(言語切替!$B$3,_ゴミ箱_Backup!$B$1:$D$1,0)),IF(OR(M209='02_マスタ'!$E$7,M209='02_マスタ'!$E$8),INDEX(_ゴミ箱_Backup!$B$117:$D$247,MATCH("ALERT_CHECK",_ゴミ箱_Backup!$A$117:$A$247,0),MATCH(言語切替!$B$3,_ゴミ箱_Backup!$B$1:$D$1,0)),""))))))</f>
        <v/>
      </c>
      <c r="T209" s="52"/>
      <c r="U209" s="61" t="str">
        <f t="shared" si="49"/>
        <v/>
      </c>
      <c r="V209" s="61" t="str">
        <f t="shared" si="50"/>
        <v/>
      </c>
      <c r="W209" s="61" t="str">
        <f t="shared" si="51"/>
        <v/>
      </c>
      <c r="X209" s="61" t="str">
        <f t="shared" si="52"/>
        <v/>
      </c>
      <c r="Y209" s="61" t="str">
        <f t="shared" si="53"/>
        <v/>
      </c>
      <c r="Z209" s="61" t="str">
        <f t="shared" si="54"/>
        <v/>
      </c>
      <c r="AA209" s="61" t="str">
        <f t="shared" si="55"/>
        <v/>
      </c>
      <c r="AB209" s="61" t="str">
        <f t="shared" si="56"/>
        <v/>
      </c>
      <c r="AC209" s="61" t="str">
        <f t="shared" si="57"/>
        <v/>
      </c>
      <c r="AD209" s="61" t="str">
        <f t="shared" si="58"/>
        <v/>
      </c>
      <c r="AE209" s="61" t="str">
        <f t="shared" si="59"/>
        <v/>
      </c>
      <c r="AF209" s="61" t="str">
        <f t="shared" si="60"/>
        <v/>
      </c>
      <c r="AG209" s="61" t="str">
        <f t="shared" si="61"/>
        <v/>
      </c>
      <c r="AH209" s="61" t="str">
        <f t="shared" si="62"/>
        <v/>
      </c>
      <c r="AI209" s="61" t="str">
        <f t="shared" si="63"/>
        <v/>
      </c>
    </row>
    <row r="210" spans="1:35" x14ac:dyDescent="0.25">
      <c r="A210" s="36"/>
      <c r="B210" s="37"/>
      <c r="C210" s="37"/>
      <c r="D210" s="37"/>
      <c r="E210" s="37"/>
      <c r="F210" s="37"/>
      <c r="G210" s="37"/>
      <c r="H210" s="37"/>
      <c r="I210" s="37"/>
      <c r="J210" s="38"/>
      <c r="K210" s="38"/>
      <c r="L210" s="37"/>
      <c r="M210" s="37"/>
      <c r="N210" s="37"/>
      <c r="O210" s="37"/>
      <c r="P210" s="37"/>
      <c r="Q210" s="37"/>
      <c r="R210" s="13" t="str">
        <f t="shared" ca="1" si="48"/>
        <v/>
      </c>
      <c r="S210" s="13" t="str">
        <f ca="1">IF(A210="","",IF(OR(M210='02_マスタ'!$E$10,M210='02_マスタ'!$E$12),"",IF(L210="High","High",IF(AND(K210&lt;&gt;"",K210&lt;TODAY()),INDEX(_ゴミ箱_Backup!$B$117:$D$247,MATCH("ALERT_OVERDUE",_ゴミ箱_Backup!$A$117:$A$247,0),MATCH(言語切替!$B$3,_ゴミ箱_Backup!$B$1:$D$1,0)),IF(AND(K210&lt;&gt;"",K210-TODAY()&lt;=7),INDEX(_ゴミ箱_Backup!$B$117:$D$247,MATCH("ALERT_APPROACHING",_ゴミ箱_Backup!$A$117:$A$247,0),MATCH(言語切替!$B$3,_ゴミ箱_Backup!$B$1:$D$1,0)),IF(OR(M210='02_マスタ'!$E$7,M210='02_マスタ'!$E$8),INDEX(_ゴミ箱_Backup!$B$117:$D$247,MATCH("ALERT_CHECK",_ゴミ箱_Backup!$A$117:$A$247,0),MATCH(言語切替!$B$3,_ゴミ箱_Backup!$B$1:$D$1,0)),""))))))</f>
        <v/>
      </c>
      <c r="T210" s="53"/>
      <c r="U210" s="61" t="str">
        <f t="shared" si="49"/>
        <v/>
      </c>
      <c r="V210" s="61" t="str">
        <f t="shared" si="50"/>
        <v/>
      </c>
      <c r="W210" s="61" t="str">
        <f t="shared" si="51"/>
        <v/>
      </c>
      <c r="X210" s="61" t="str">
        <f t="shared" si="52"/>
        <v/>
      </c>
      <c r="Y210" s="61" t="str">
        <f t="shared" si="53"/>
        <v/>
      </c>
      <c r="Z210" s="61" t="str">
        <f t="shared" si="54"/>
        <v/>
      </c>
      <c r="AA210" s="61" t="str">
        <f t="shared" si="55"/>
        <v/>
      </c>
      <c r="AB210" s="61" t="str">
        <f t="shared" si="56"/>
        <v/>
      </c>
      <c r="AC210" s="61" t="str">
        <f t="shared" si="57"/>
        <v/>
      </c>
      <c r="AD210" s="61" t="str">
        <f t="shared" si="58"/>
        <v/>
      </c>
      <c r="AE210" s="61" t="str">
        <f t="shared" si="59"/>
        <v/>
      </c>
      <c r="AF210" s="61" t="str">
        <f t="shared" si="60"/>
        <v/>
      </c>
      <c r="AG210" s="61" t="str">
        <f t="shared" si="61"/>
        <v/>
      </c>
      <c r="AH210" s="61" t="str">
        <f t="shared" si="62"/>
        <v/>
      </c>
      <c r="AI210" s="61" t="str">
        <f t="shared" si="63"/>
        <v/>
      </c>
    </row>
    <row r="211" spans="1:35" x14ac:dyDescent="0.25">
      <c r="A211" s="40"/>
      <c r="B211" s="41"/>
      <c r="C211" s="41"/>
      <c r="D211" s="41"/>
      <c r="E211" s="41"/>
      <c r="F211" s="41"/>
      <c r="G211" s="41"/>
      <c r="H211" s="41"/>
      <c r="I211" s="41"/>
      <c r="J211" s="42"/>
      <c r="K211" s="42"/>
      <c r="L211" s="41"/>
      <c r="M211" s="41"/>
      <c r="N211" s="41"/>
      <c r="O211" s="41"/>
      <c r="P211" s="41"/>
      <c r="Q211" s="41"/>
      <c r="R211" s="16" t="str">
        <f t="shared" ca="1" si="48"/>
        <v/>
      </c>
      <c r="S211" s="16" t="str">
        <f ca="1">IF(A211="","",IF(OR(M211='02_マスタ'!$E$10,M211='02_マスタ'!$E$12),"",IF(L211="High","High",IF(AND(K211&lt;&gt;"",K211&lt;TODAY()),INDEX(_ゴミ箱_Backup!$B$117:$D$247,MATCH("ALERT_OVERDUE",_ゴミ箱_Backup!$A$117:$A$247,0),MATCH(言語切替!$B$3,_ゴミ箱_Backup!$B$1:$D$1,0)),IF(AND(K211&lt;&gt;"",K211-TODAY()&lt;=7),INDEX(_ゴミ箱_Backup!$B$117:$D$247,MATCH("ALERT_APPROACHING",_ゴミ箱_Backup!$A$117:$A$247,0),MATCH(言語切替!$B$3,_ゴミ箱_Backup!$B$1:$D$1,0)),IF(OR(M211='02_マスタ'!$E$7,M211='02_マスタ'!$E$8),INDEX(_ゴミ箱_Backup!$B$117:$D$247,MATCH("ALERT_CHECK",_ゴミ箱_Backup!$A$117:$A$247,0),MATCH(言語切替!$B$3,_ゴミ箱_Backup!$B$1:$D$1,0)),""))))))</f>
        <v/>
      </c>
      <c r="T211" s="52"/>
      <c r="U211" s="61" t="str">
        <f t="shared" si="49"/>
        <v/>
      </c>
      <c r="V211" s="61" t="str">
        <f t="shared" si="50"/>
        <v/>
      </c>
      <c r="W211" s="61" t="str">
        <f t="shared" si="51"/>
        <v/>
      </c>
      <c r="X211" s="61" t="str">
        <f t="shared" si="52"/>
        <v/>
      </c>
      <c r="Y211" s="61" t="str">
        <f t="shared" si="53"/>
        <v/>
      </c>
      <c r="Z211" s="61" t="str">
        <f t="shared" si="54"/>
        <v/>
      </c>
      <c r="AA211" s="61" t="str">
        <f t="shared" si="55"/>
        <v/>
      </c>
      <c r="AB211" s="61" t="str">
        <f t="shared" si="56"/>
        <v/>
      </c>
      <c r="AC211" s="61" t="str">
        <f t="shared" si="57"/>
        <v/>
      </c>
      <c r="AD211" s="61" t="str">
        <f t="shared" si="58"/>
        <v/>
      </c>
      <c r="AE211" s="61" t="str">
        <f t="shared" si="59"/>
        <v/>
      </c>
      <c r="AF211" s="61" t="str">
        <f t="shared" si="60"/>
        <v/>
      </c>
      <c r="AG211" s="61" t="str">
        <f t="shared" si="61"/>
        <v/>
      </c>
      <c r="AH211" s="61" t="str">
        <f t="shared" si="62"/>
        <v/>
      </c>
      <c r="AI211" s="61" t="str">
        <f t="shared" si="63"/>
        <v/>
      </c>
    </row>
    <row r="212" spans="1:35" x14ac:dyDescent="0.25">
      <c r="A212" s="36"/>
      <c r="B212" s="37"/>
      <c r="C212" s="37"/>
      <c r="D212" s="37"/>
      <c r="E212" s="37"/>
      <c r="F212" s="37"/>
      <c r="G212" s="37"/>
      <c r="H212" s="37"/>
      <c r="I212" s="37"/>
      <c r="J212" s="38"/>
      <c r="K212" s="38"/>
      <c r="L212" s="37"/>
      <c r="M212" s="37"/>
      <c r="N212" s="37"/>
      <c r="O212" s="37"/>
      <c r="P212" s="37"/>
      <c r="Q212" s="37"/>
      <c r="R212" s="13" t="str">
        <f t="shared" ca="1" si="48"/>
        <v/>
      </c>
      <c r="S212" s="13" t="str">
        <f ca="1">IF(A212="","",IF(OR(M212='02_マスタ'!$E$10,M212='02_マスタ'!$E$12),"",IF(L212="High","High",IF(AND(K212&lt;&gt;"",K212&lt;TODAY()),INDEX(_ゴミ箱_Backup!$B$117:$D$247,MATCH("ALERT_OVERDUE",_ゴミ箱_Backup!$A$117:$A$247,0),MATCH(言語切替!$B$3,_ゴミ箱_Backup!$B$1:$D$1,0)),IF(AND(K212&lt;&gt;"",K212-TODAY()&lt;=7),INDEX(_ゴミ箱_Backup!$B$117:$D$247,MATCH("ALERT_APPROACHING",_ゴミ箱_Backup!$A$117:$A$247,0),MATCH(言語切替!$B$3,_ゴミ箱_Backup!$B$1:$D$1,0)),IF(OR(M212='02_マスタ'!$E$7,M212='02_マスタ'!$E$8),INDEX(_ゴミ箱_Backup!$B$117:$D$247,MATCH("ALERT_CHECK",_ゴミ箱_Backup!$A$117:$A$247,0),MATCH(言語切替!$B$3,_ゴミ箱_Backup!$B$1:$D$1,0)),""))))))</f>
        <v/>
      </c>
      <c r="T212" s="53"/>
      <c r="U212" s="61" t="str">
        <f t="shared" si="49"/>
        <v/>
      </c>
      <c r="V212" s="61" t="str">
        <f t="shared" si="50"/>
        <v/>
      </c>
      <c r="W212" s="61" t="str">
        <f t="shared" si="51"/>
        <v/>
      </c>
      <c r="X212" s="61" t="str">
        <f t="shared" si="52"/>
        <v/>
      </c>
      <c r="Y212" s="61" t="str">
        <f t="shared" si="53"/>
        <v/>
      </c>
      <c r="Z212" s="61" t="str">
        <f t="shared" si="54"/>
        <v/>
      </c>
      <c r="AA212" s="61" t="str">
        <f t="shared" si="55"/>
        <v/>
      </c>
      <c r="AB212" s="61" t="str">
        <f t="shared" si="56"/>
        <v/>
      </c>
      <c r="AC212" s="61" t="str">
        <f t="shared" si="57"/>
        <v/>
      </c>
      <c r="AD212" s="61" t="str">
        <f t="shared" si="58"/>
        <v/>
      </c>
      <c r="AE212" s="61" t="str">
        <f t="shared" si="59"/>
        <v/>
      </c>
      <c r="AF212" s="61" t="str">
        <f t="shared" si="60"/>
        <v/>
      </c>
      <c r="AG212" s="61" t="str">
        <f t="shared" si="61"/>
        <v/>
      </c>
      <c r="AH212" s="61" t="str">
        <f t="shared" si="62"/>
        <v/>
      </c>
      <c r="AI212" s="61" t="str">
        <f t="shared" si="63"/>
        <v/>
      </c>
    </row>
    <row r="213" spans="1:35" x14ac:dyDescent="0.25">
      <c r="A213" s="40"/>
      <c r="B213" s="41"/>
      <c r="C213" s="41"/>
      <c r="D213" s="41"/>
      <c r="E213" s="41"/>
      <c r="F213" s="41"/>
      <c r="G213" s="41"/>
      <c r="H213" s="41"/>
      <c r="I213" s="41"/>
      <c r="J213" s="42"/>
      <c r="K213" s="42"/>
      <c r="L213" s="41"/>
      <c r="M213" s="41"/>
      <c r="N213" s="41"/>
      <c r="O213" s="41"/>
      <c r="P213" s="41"/>
      <c r="Q213" s="41"/>
      <c r="R213" s="16" t="str">
        <f t="shared" ca="1" si="48"/>
        <v/>
      </c>
      <c r="S213" s="16" t="str">
        <f ca="1">IF(A213="","",IF(OR(M213='02_マスタ'!$E$10,M213='02_マスタ'!$E$12),"",IF(L213="High","High",IF(AND(K213&lt;&gt;"",K213&lt;TODAY()),INDEX(_ゴミ箱_Backup!$B$117:$D$247,MATCH("ALERT_OVERDUE",_ゴミ箱_Backup!$A$117:$A$247,0),MATCH(言語切替!$B$3,_ゴミ箱_Backup!$B$1:$D$1,0)),IF(AND(K213&lt;&gt;"",K213-TODAY()&lt;=7),INDEX(_ゴミ箱_Backup!$B$117:$D$247,MATCH("ALERT_APPROACHING",_ゴミ箱_Backup!$A$117:$A$247,0),MATCH(言語切替!$B$3,_ゴミ箱_Backup!$B$1:$D$1,0)),IF(OR(M213='02_マスタ'!$E$7,M213='02_マスタ'!$E$8),INDEX(_ゴミ箱_Backup!$B$117:$D$247,MATCH("ALERT_CHECK",_ゴミ箱_Backup!$A$117:$A$247,0),MATCH(言語切替!$B$3,_ゴミ箱_Backup!$B$1:$D$1,0)),""))))))</f>
        <v/>
      </c>
      <c r="T213" s="52"/>
      <c r="U213" s="61" t="str">
        <f t="shared" si="49"/>
        <v/>
      </c>
      <c r="V213" s="61" t="str">
        <f t="shared" si="50"/>
        <v/>
      </c>
      <c r="W213" s="61" t="str">
        <f t="shared" si="51"/>
        <v/>
      </c>
      <c r="X213" s="61" t="str">
        <f t="shared" si="52"/>
        <v/>
      </c>
      <c r="Y213" s="61" t="str">
        <f t="shared" si="53"/>
        <v/>
      </c>
      <c r="Z213" s="61" t="str">
        <f t="shared" si="54"/>
        <v/>
      </c>
      <c r="AA213" s="61" t="str">
        <f t="shared" si="55"/>
        <v/>
      </c>
      <c r="AB213" s="61" t="str">
        <f t="shared" si="56"/>
        <v/>
      </c>
      <c r="AC213" s="61" t="str">
        <f t="shared" si="57"/>
        <v/>
      </c>
      <c r="AD213" s="61" t="str">
        <f t="shared" si="58"/>
        <v/>
      </c>
      <c r="AE213" s="61" t="str">
        <f t="shared" si="59"/>
        <v/>
      </c>
      <c r="AF213" s="61" t="str">
        <f t="shared" si="60"/>
        <v/>
      </c>
      <c r="AG213" s="61" t="str">
        <f t="shared" si="61"/>
        <v/>
      </c>
      <c r="AH213" s="61" t="str">
        <f t="shared" si="62"/>
        <v/>
      </c>
      <c r="AI213" s="61" t="str">
        <f t="shared" si="63"/>
        <v/>
      </c>
    </row>
    <row r="214" spans="1:35" x14ac:dyDescent="0.25">
      <c r="A214" s="36"/>
      <c r="B214" s="37"/>
      <c r="C214" s="37"/>
      <c r="D214" s="37"/>
      <c r="E214" s="37"/>
      <c r="F214" s="37"/>
      <c r="G214" s="37"/>
      <c r="H214" s="37"/>
      <c r="I214" s="37"/>
      <c r="J214" s="38"/>
      <c r="K214" s="38"/>
      <c r="L214" s="37"/>
      <c r="M214" s="37"/>
      <c r="N214" s="37"/>
      <c r="O214" s="37"/>
      <c r="P214" s="37"/>
      <c r="Q214" s="37"/>
      <c r="R214" s="13" t="str">
        <f t="shared" ca="1" si="48"/>
        <v/>
      </c>
      <c r="S214" s="13" t="str">
        <f ca="1">IF(A214="","",IF(OR(M214='02_マスタ'!$E$10,M214='02_マスタ'!$E$12),"",IF(L214="High","High",IF(AND(K214&lt;&gt;"",K214&lt;TODAY()),INDEX(_ゴミ箱_Backup!$B$117:$D$247,MATCH("ALERT_OVERDUE",_ゴミ箱_Backup!$A$117:$A$247,0),MATCH(言語切替!$B$3,_ゴミ箱_Backup!$B$1:$D$1,0)),IF(AND(K214&lt;&gt;"",K214-TODAY()&lt;=7),INDEX(_ゴミ箱_Backup!$B$117:$D$247,MATCH("ALERT_APPROACHING",_ゴミ箱_Backup!$A$117:$A$247,0),MATCH(言語切替!$B$3,_ゴミ箱_Backup!$B$1:$D$1,0)),IF(OR(M214='02_マスタ'!$E$7,M214='02_マスタ'!$E$8),INDEX(_ゴミ箱_Backup!$B$117:$D$247,MATCH("ALERT_CHECK",_ゴミ箱_Backup!$A$117:$A$247,0),MATCH(言語切替!$B$3,_ゴミ箱_Backup!$B$1:$D$1,0)),""))))))</f>
        <v/>
      </c>
      <c r="T214" s="53"/>
      <c r="U214" s="61" t="str">
        <f t="shared" si="49"/>
        <v/>
      </c>
      <c r="V214" s="61" t="str">
        <f t="shared" si="50"/>
        <v/>
      </c>
      <c r="W214" s="61" t="str">
        <f t="shared" si="51"/>
        <v/>
      </c>
      <c r="X214" s="61" t="str">
        <f t="shared" si="52"/>
        <v/>
      </c>
      <c r="Y214" s="61" t="str">
        <f t="shared" si="53"/>
        <v/>
      </c>
      <c r="Z214" s="61" t="str">
        <f t="shared" si="54"/>
        <v/>
      </c>
      <c r="AA214" s="61" t="str">
        <f t="shared" si="55"/>
        <v/>
      </c>
      <c r="AB214" s="61" t="str">
        <f t="shared" si="56"/>
        <v/>
      </c>
      <c r="AC214" s="61" t="str">
        <f t="shared" si="57"/>
        <v/>
      </c>
      <c r="AD214" s="61" t="str">
        <f t="shared" si="58"/>
        <v/>
      </c>
      <c r="AE214" s="61" t="str">
        <f t="shared" si="59"/>
        <v/>
      </c>
      <c r="AF214" s="61" t="str">
        <f t="shared" si="60"/>
        <v/>
      </c>
      <c r="AG214" s="61" t="str">
        <f t="shared" si="61"/>
        <v/>
      </c>
      <c r="AH214" s="61" t="str">
        <f t="shared" si="62"/>
        <v/>
      </c>
      <c r="AI214" s="61" t="str">
        <f t="shared" si="63"/>
        <v/>
      </c>
    </row>
    <row r="215" spans="1:35" x14ac:dyDescent="0.25">
      <c r="A215" s="40"/>
      <c r="B215" s="41"/>
      <c r="C215" s="41"/>
      <c r="D215" s="41"/>
      <c r="E215" s="41"/>
      <c r="F215" s="41"/>
      <c r="G215" s="41"/>
      <c r="H215" s="41"/>
      <c r="I215" s="41"/>
      <c r="J215" s="42"/>
      <c r="K215" s="42"/>
      <c r="L215" s="41"/>
      <c r="M215" s="41"/>
      <c r="N215" s="41"/>
      <c r="O215" s="41"/>
      <c r="P215" s="41"/>
      <c r="Q215" s="41"/>
      <c r="R215" s="16" t="str">
        <f t="shared" ca="1" si="48"/>
        <v/>
      </c>
      <c r="S215" s="16" t="str">
        <f ca="1">IF(A215="","",IF(OR(M215='02_マスタ'!$E$10,M215='02_マスタ'!$E$12),"",IF(L215="High","High",IF(AND(K215&lt;&gt;"",K215&lt;TODAY()),INDEX(_ゴミ箱_Backup!$B$117:$D$247,MATCH("ALERT_OVERDUE",_ゴミ箱_Backup!$A$117:$A$247,0),MATCH(言語切替!$B$3,_ゴミ箱_Backup!$B$1:$D$1,0)),IF(AND(K215&lt;&gt;"",K215-TODAY()&lt;=7),INDEX(_ゴミ箱_Backup!$B$117:$D$247,MATCH("ALERT_APPROACHING",_ゴミ箱_Backup!$A$117:$A$247,0),MATCH(言語切替!$B$3,_ゴミ箱_Backup!$B$1:$D$1,0)),IF(OR(M215='02_マスタ'!$E$7,M215='02_マスタ'!$E$8),INDEX(_ゴミ箱_Backup!$B$117:$D$247,MATCH("ALERT_CHECK",_ゴミ箱_Backup!$A$117:$A$247,0),MATCH(言語切替!$B$3,_ゴミ箱_Backup!$B$1:$D$1,0)),""))))))</f>
        <v/>
      </c>
      <c r="T215" s="52"/>
      <c r="U215" s="61" t="str">
        <f t="shared" si="49"/>
        <v/>
      </c>
      <c r="V215" s="61" t="str">
        <f t="shared" si="50"/>
        <v/>
      </c>
      <c r="W215" s="61" t="str">
        <f t="shared" si="51"/>
        <v/>
      </c>
      <c r="X215" s="61" t="str">
        <f t="shared" si="52"/>
        <v/>
      </c>
      <c r="Y215" s="61" t="str">
        <f t="shared" si="53"/>
        <v/>
      </c>
      <c r="Z215" s="61" t="str">
        <f t="shared" si="54"/>
        <v/>
      </c>
      <c r="AA215" s="61" t="str">
        <f t="shared" si="55"/>
        <v/>
      </c>
      <c r="AB215" s="61" t="str">
        <f t="shared" si="56"/>
        <v/>
      </c>
      <c r="AC215" s="61" t="str">
        <f t="shared" si="57"/>
        <v/>
      </c>
      <c r="AD215" s="61" t="str">
        <f t="shared" si="58"/>
        <v/>
      </c>
      <c r="AE215" s="61" t="str">
        <f t="shared" si="59"/>
        <v/>
      </c>
      <c r="AF215" s="61" t="str">
        <f t="shared" si="60"/>
        <v/>
      </c>
      <c r="AG215" s="61" t="str">
        <f t="shared" si="61"/>
        <v/>
      </c>
      <c r="AH215" s="61" t="str">
        <f t="shared" si="62"/>
        <v/>
      </c>
      <c r="AI215" s="61" t="str">
        <f t="shared" si="63"/>
        <v/>
      </c>
    </row>
    <row r="216" spans="1:35" x14ac:dyDescent="0.25">
      <c r="A216" s="36"/>
      <c r="B216" s="37"/>
      <c r="C216" s="37"/>
      <c r="D216" s="37"/>
      <c r="E216" s="37"/>
      <c r="F216" s="37"/>
      <c r="G216" s="37"/>
      <c r="H216" s="37"/>
      <c r="I216" s="37"/>
      <c r="J216" s="38"/>
      <c r="K216" s="38"/>
      <c r="L216" s="37"/>
      <c r="M216" s="37"/>
      <c r="N216" s="37"/>
      <c r="O216" s="37"/>
      <c r="P216" s="37"/>
      <c r="Q216" s="37"/>
      <c r="R216" s="13" t="str">
        <f t="shared" ca="1" si="48"/>
        <v/>
      </c>
      <c r="S216" s="13" t="str">
        <f ca="1">IF(A216="","",IF(OR(M216='02_マスタ'!$E$10,M216='02_マスタ'!$E$12),"",IF(L216="High","High",IF(AND(K216&lt;&gt;"",K216&lt;TODAY()),INDEX(_ゴミ箱_Backup!$B$117:$D$247,MATCH("ALERT_OVERDUE",_ゴミ箱_Backup!$A$117:$A$247,0),MATCH(言語切替!$B$3,_ゴミ箱_Backup!$B$1:$D$1,0)),IF(AND(K216&lt;&gt;"",K216-TODAY()&lt;=7),INDEX(_ゴミ箱_Backup!$B$117:$D$247,MATCH("ALERT_APPROACHING",_ゴミ箱_Backup!$A$117:$A$247,0),MATCH(言語切替!$B$3,_ゴミ箱_Backup!$B$1:$D$1,0)),IF(OR(M216='02_マスタ'!$E$7,M216='02_マスタ'!$E$8),INDEX(_ゴミ箱_Backup!$B$117:$D$247,MATCH("ALERT_CHECK",_ゴミ箱_Backup!$A$117:$A$247,0),MATCH(言語切替!$B$3,_ゴミ箱_Backup!$B$1:$D$1,0)),""))))))</f>
        <v/>
      </c>
      <c r="T216" s="53"/>
      <c r="U216" s="61" t="str">
        <f t="shared" si="49"/>
        <v/>
      </c>
      <c r="V216" s="61" t="str">
        <f t="shared" si="50"/>
        <v/>
      </c>
      <c r="W216" s="61" t="str">
        <f t="shared" si="51"/>
        <v/>
      </c>
      <c r="X216" s="61" t="str">
        <f t="shared" si="52"/>
        <v/>
      </c>
      <c r="Y216" s="61" t="str">
        <f t="shared" si="53"/>
        <v/>
      </c>
      <c r="Z216" s="61" t="str">
        <f t="shared" si="54"/>
        <v/>
      </c>
      <c r="AA216" s="61" t="str">
        <f t="shared" si="55"/>
        <v/>
      </c>
      <c r="AB216" s="61" t="str">
        <f t="shared" si="56"/>
        <v/>
      </c>
      <c r="AC216" s="61" t="str">
        <f t="shared" si="57"/>
        <v/>
      </c>
      <c r="AD216" s="61" t="str">
        <f t="shared" si="58"/>
        <v/>
      </c>
      <c r="AE216" s="61" t="str">
        <f t="shared" si="59"/>
        <v/>
      </c>
      <c r="AF216" s="61" t="str">
        <f t="shared" si="60"/>
        <v/>
      </c>
      <c r="AG216" s="61" t="str">
        <f t="shared" si="61"/>
        <v/>
      </c>
      <c r="AH216" s="61" t="str">
        <f t="shared" si="62"/>
        <v/>
      </c>
      <c r="AI216" s="61" t="str">
        <f t="shared" si="63"/>
        <v/>
      </c>
    </row>
    <row r="217" spans="1:35" x14ac:dyDescent="0.25">
      <c r="A217" s="40"/>
      <c r="B217" s="41"/>
      <c r="C217" s="41"/>
      <c r="D217" s="41"/>
      <c r="E217" s="41"/>
      <c r="F217" s="41"/>
      <c r="G217" s="41"/>
      <c r="H217" s="41"/>
      <c r="I217" s="41"/>
      <c r="J217" s="42"/>
      <c r="K217" s="42"/>
      <c r="L217" s="41"/>
      <c r="M217" s="41"/>
      <c r="N217" s="41"/>
      <c r="O217" s="41"/>
      <c r="P217" s="41"/>
      <c r="Q217" s="41"/>
      <c r="R217" s="16" t="str">
        <f t="shared" ca="1" si="48"/>
        <v/>
      </c>
      <c r="S217" s="16" t="str">
        <f ca="1">IF(A217="","",IF(OR(M217='02_マスタ'!$E$10,M217='02_マスタ'!$E$12),"",IF(L217="High","High",IF(AND(K217&lt;&gt;"",K217&lt;TODAY()),INDEX(_ゴミ箱_Backup!$B$117:$D$247,MATCH("ALERT_OVERDUE",_ゴミ箱_Backup!$A$117:$A$247,0),MATCH(言語切替!$B$3,_ゴミ箱_Backup!$B$1:$D$1,0)),IF(AND(K217&lt;&gt;"",K217-TODAY()&lt;=7),INDEX(_ゴミ箱_Backup!$B$117:$D$247,MATCH("ALERT_APPROACHING",_ゴミ箱_Backup!$A$117:$A$247,0),MATCH(言語切替!$B$3,_ゴミ箱_Backup!$B$1:$D$1,0)),IF(OR(M217='02_マスタ'!$E$7,M217='02_マスタ'!$E$8),INDEX(_ゴミ箱_Backup!$B$117:$D$247,MATCH("ALERT_CHECK",_ゴミ箱_Backup!$A$117:$A$247,0),MATCH(言語切替!$B$3,_ゴミ箱_Backup!$B$1:$D$1,0)),""))))))</f>
        <v/>
      </c>
      <c r="T217" s="52"/>
      <c r="U217" s="61" t="str">
        <f t="shared" si="49"/>
        <v/>
      </c>
      <c r="V217" s="61" t="str">
        <f t="shared" si="50"/>
        <v/>
      </c>
      <c r="W217" s="61" t="str">
        <f t="shared" si="51"/>
        <v/>
      </c>
      <c r="X217" s="61" t="str">
        <f t="shared" si="52"/>
        <v/>
      </c>
      <c r="Y217" s="61" t="str">
        <f t="shared" si="53"/>
        <v/>
      </c>
      <c r="Z217" s="61" t="str">
        <f t="shared" si="54"/>
        <v/>
      </c>
      <c r="AA217" s="61" t="str">
        <f t="shared" si="55"/>
        <v/>
      </c>
      <c r="AB217" s="61" t="str">
        <f t="shared" si="56"/>
        <v/>
      </c>
      <c r="AC217" s="61" t="str">
        <f t="shared" si="57"/>
        <v/>
      </c>
      <c r="AD217" s="61" t="str">
        <f t="shared" si="58"/>
        <v/>
      </c>
      <c r="AE217" s="61" t="str">
        <f t="shared" si="59"/>
        <v/>
      </c>
      <c r="AF217" s="61" t="str">
        <f t="shared" si="60"/>
        <v/>
      </c>
      <c r="AG217" s="61" t="str">
        <f t="shared" si="61"/>
        <v/>
      </c>
      <c r="AH217" s="61" t="str">
        <f t="shared" si="62"/>
        <v/>
      </c>
      <c r="AI217" s="61" t="str">
        <f t="shared" si="63"/>
        <v/>
      </c>
    </row>
    <row r="218" spans="1:35" x14ac:dyDescent="0.25">
      <c r="A218" s="36"/>
      <c r="B218" s="37"/>
      <c r="C218" s="37"/>
      <c r="D218" s="37"/>
      <c r="E218" s="37"/>
      <c r="F218" s="37"/>
      <c r="G218" s="37"/>
      <c r="H218" s="37"/>
      <c r="I218" s="37"/>
      <c r="J218" s="38"/>
      <c r="K218" s="38"/>
      <c r="L218" s="37"/>
      <c r="M218" s="37"/>
      <c r="N218" s="37"/>
      <c r="O218" s="37"/>
      <c r="P218" s="37"/>
      <c r="Q218" s="37"/>
      <c r="R218" s="13" t="str">
        <f t="shared" ca="1" si="48"/>
        <v/>
      </c>
      <c r="S218" s="13" t="str">
        <f ca="1">IF(A218="","",IF(OR(M218='02_マスタ'!$E$10,M218='02_マスタ'!$E$12),"",IF(L218="High","High",IF(AND(K218&lt;&gt;"",K218&lt;TODAY()),INDEX(_ゴミ箱_Backup!$B$117:$D$247,MATCH("ALERT_OVERDUE",_ゴミ箱_Backup!$A$117:$A$247,0),MATCH(言語切替!$B$3,_ゴミ箱_Backup!$B$1:$D$1,0)),IF(AND(K218&lt;&gt;"",K218-TODAY()&lt;=7),INDEX(_ゴミ箱_Backup!$B$117:$D$247,MATCH("ALERT_APPROACHING",_ゴミ箱_Backup!$A$117:$A$247,0),MATCH(言語切替!$B$3,_ゴミ箱_Backup!$B$1:$D$1,0)),IF(OR(M218='02_マスタ'!$E$7,M218='02_マスタ'!$E$8),INDEX(_ゴミ箱_Backup!$B$117:$D$247,MATCH("ALERT_CHECK",_ゴミ箱_Backup!$A$117:$A$247,0),MATCH(言語切替!$B$3,_ゴミ箱_Backup!$B$1:$D$1,0)),""))))))</f>
        <v/>
      </c>
      <c r="T218" s="53"/>
      <c r="U218" s="61" t="str">
        <f t="shared" si="49"/>
        <v/>
      </c>
      <c r="V218" s="61" t="str">
        <f t="shared" si="50"/>
        <v/>
      </c>
      <c r="W218" s="61" t="str">
        <f t="shared" si="51"/>
        <v/>
      </c>
      <c r="X218" s="61" t="str">
        <f t="shared" si="52"/>
        <v/>
      </c>
      <c r="Y218" s="61" t="str">
        <f t="shared" si="53"/>
        <v/>
      </c>
      <c r="Z218" s="61" t="str">
        <f t="shared" si="54"/>
        <v/>
      </c>
      <c r="AA218" s="61" t="str">
        <f t="shared" si="55"/>
        <v/>
      </c>
      <c r="AB218" s="61" t="str">
        <f t="shared" si="56"/>
        <v/>
      </c>
      <c r="AC218" s="61" t="str">
        <f t="shared" si="57"/>
        <v/>
      </c>
      <c r="AD218" s="61" t="str">
        <f t="shared" si="58"/>
        <v/>
      </c>
      <c r="AE218" s="61" t="str">
        <f t="shared" si="59"/>
        <v/>
      </c>
      <c r="AF218" s="61" t="str">
        <f t="shared" si="60"/>
        <v/>
      </c>
      <c r="AG218" s="61" t="str">
        <f t="shared" si="61"/>
        <v/>
      </c>
      <c r="AH218" s="61" t="str">
        <f t="shared" si="62"/>
        <v/>
      </c>
      <c r="AI218" s="61" t="str">
        <f t="shared" si="63"/>
        <v/>
      </c>
    </row>
    <row r="219" spans="1:35" x14ac:dyDescent="0.25">
      <c r="A219" s="40"/>
      <c r="B219" s="41"/>
      <c r="C219" s="41"/>
      <c r="D219" s="41"/>
      <c r="E219" s="41"/>
      <c r="F219" s="41"/>
      <c r="G219" s="41"/>
      <c r="H219" s="41"/>
      <c r="I219" s="41"/>
      <c r="J219" s="42"/>
      <c r="K219" s="42"/>
      <c r="L219" s="41"/>
      <c r="M219" s="41"/>
      <c r="N219" s="41"/>
      <c r="O219" s="41"/>
      <c r="P219" s="41"/>
      <c r="Q219" s="41"/>
      <c r="R219" s="16" t="str">
        <f t="shared" ca="1" si="48"/>
        <v/>
      </c>
      <c r="S219" s="16" t="str">
        <f ca="1">IF(A219="","",IF(OR(M219='02_マスタ'!$E$10,M219='02_マスタ'!$E$12),"",IF(L219="High","High",IF(AND(K219&lt;&gt;"",K219&lt;TODAY()),INDEX(_ゴミ箱_Backup!$B$117:$D$247,MATCH("ALERT_OVERDUE",_ゴミ箱_Backup!$A$117:$A$247,0),MATCH(言語切替!$B$3,_ゴミ箱_Backup!$B$1:$D$1,0)),IF(AND(K219&lt;&gt;"",K219-TODAY()&lt;=7),INDEX(_ゴミ箱_Backup!$B$117:$D$247,MATCH("ALERT_APPROACHING",_ゴミ箱_Backup!$A$117:$A$247,0),MATCH(言語切替!$B$3,_ゴミ箱_Backup!$B$1:$D$1,0)),IF(OR(M219='02_マスタ'!$E$7,M219='02_マスタ'!$E$8),INDEX(_ゴミ箱_Backup!$B$117:$D$247,MATCH("ALERT_CHECK",_ゴミ箱_Backup!$A$117:$A$247,0),MATCH(言語切替!$B$3,_ゴミ箱_Backup!$B$1:$D$1,0)),""))))))</f>
        <v/>
      </c>
      <c r="T219" s="52"/>
      <c r="U219" s="61" t="str">
        <f t="shared" si="49"/>
        <v/>
      </c>
      <c r="V219" s="61" t="str">
        <f t="shared" si="50"/>
        <v/>
      </c>
      <c r="W219" s="61" t="str">
        <f t="shared" si="51"/>
        <v/>
      </c>
      <c r="X219" s="61" t="str">
        <f t="shared" si="52"/>
        <v/>
      </c>
      <c r="Y219" s="61" t="str">
        <f t="shared" si="53"/>
        <v/>
      </c>
      <c r="Z219" s="61" t="str">
        <f t="shared" si="54"/>
        <v/>
      </c>
      <c r="AA219" s="61" t="str">
        <f t="shared" si="55"/>
        <v/>
      </c>
      <c r="AB219" s="61" t="str">
        <f t="shared" si="56"/>
        <v/>
      </c>
      <c r="AC219" s="61" t="str">
        <f t="shared" si="57"/>
        <v/>
      </c>
      <c r="AD219" s="61" t="str">
        <f t="shared" si="58"/>
        <v/>
      </c>
      <c r="AE219" s="61" t="str">
        <f t="shared" si="59"/>
        <v/>
      </c>
      <c r="AF219" s="61" t="str">
        <f t="shared" si="60"/>
        <v/>
      </c>
      <c r="AG219" s="61" t="str">
        <f t="shared" si="61"/>
        <v/>
      </c>
      <c r="AH219" s="61" t="str">
        <f t="shared" si="62"/>
        <v/>
      </c>
      <c r="AI219" s="61" t="str">
        <f t="shared" si="63"/>
        <v/>
      </c>
    </row>
    <row r="220" spans="1:35" x14ac:dyDescent="0.25">
      <c r="A220" s="36"/>
      <c r="B220" s="37"/>
      <c r="C220" s="37"/>
      <c r="D220" s="37"/>
      <c r="E220" s="37"/>
      <c r="F220" s="37"/>
      <c r="G220" s="37"/>
      <c r="H220" s="37"/>
      <c r="I220" s="37"/>
      <c r="J220" s="38"/>
      <c r="K220" s="38"/>
      <c r="L220" s="37"/>
      <c r="M220" s="37"/>
      <c r="N220" s="37"/>
      <c r="O220" s="37"/>
      <c r="P220" s="37"/>
      <c r="Q220" s="37"/>
      <c r="R220" s="13" t="str">
        <f t="shared" ca="1" si="48"/>
        <v/>
      </c>
      <c r="S220" s="13" t="str">
        <f ca="1">IF(A220="","",IF(OR(M220='02_マスタ'!$E$10,M220='02_マスタ'!$E$12),"",IF(L220="High","High",IF(AND(K220&lt;&gt;"",K220&lt;TODAY()),INDEX(_ゴミ箱_Backup!$B$117:$D$247,MATCH("ALERT_OVERDUE",_ゴミ箱_Backup!$A$117:$A$247,0),MATCH(言語切替!$B$3,_ゴミ箱_Backup!$B$1:$D$1,0)),IF(AND(K220&lt;&gt;"",K220-TODAY()&lt;=7),INDEX(_ゴミ箱_Backup!$B$117:$D$247,MATCH("ALERT_APPROACHING",_ゴミ箱_Backup!$A$117:$A$247,0),MATCH(言語切替!$B$3,_ゴミ箱_Backup!$B$1:$D$1,0)),IF(OR(M220='02_マスタ'!$E$7,M220='02_マスタ'!$E$8),INDEX(_ゴミ箱_Backup!$B$117:$D$247,MATCH("ALERT_CHECK",_ゴミ箱_Backup!$A$117:$A$247,0),MATCH(言語切替!$B$3,_ゴミ箱_Backup!$B$1:$D$1,0)),""))))))</f>
        <v/>
      </c>
      <c r="T220" s="53"/>
      <c r="U220" s="61" t="str">
        <f t="shared" si="49"/>
        <v/>
      </c>
      <c r="V220" s="61" t="str">
        <f t="shared" si="50"/>
        <v/>
      </c>
      <c r="W220" s="61" t="str">
        <f t="shared" si="51"/>
        <v/>
      </c>
      <c r="X220" s="61" t="str">
        <f t="shared" si="52"/>
        <v/>
      </c>
      <c r="Y220" s="61" t="str">
        <f t="shared" si="53"/>
        <v/>
      </c>
      <c r="Z220" s="61" t="str">
        <f t="shared" si="54"/>
        <v/>
      </c>
      <c r="AA220" s="61" t="str">
        <f t="shared" si="55"/>
        <v/>
      </c>
      <c r="AB220" s="61" t="str">
        <f t="shared" si="56"/>
        <v/>
      </c>
      <c r="AC220" s="61" t="str">
        <f t="shared" si="57"/>
        <v/>
      </c>
      <c r="AD220" s="61" t="str">
        <f t="shared" si="58"/>
        <v/>
      </c>
      <c r="AE220" s="61" t="str">
        <f t="shared" si="59"/>
        <v/>
      </c>
      <c r="AF220" s="61" t="str">
        <f t="shared" si="60"/>
        <v/>
      </c>
      <c r="AG220" s="61" t="str">
        <f t="shared" si="61"/>
        <v/>
      </c>
      <c r="AH220" s="61" t="str">
        <f t="shared" si="62"/>
        <v/>
      </c>
      <c r="AI220" s="61" t="str">
        <f t="shared" si="63"/>
        <v/>
      </c>
    </row>
    <row r="221" spans="1:35" x14ac:dyDescent="0.25">
      <c r="A221" s="40"/>
      <c r="B221" s="41"/>
      <c r="C221" s="41"/>
      <c r="D221" s="41"/>
      <c r="E221" s="41"/>
      <c r="F221" s="41"/>
      <c r="G221" s="41"/>
      <c r="H221" s="41"/>
      <c r="I221" s="41"/>
      <c r="J221" s="42"/>
      <c r="K221" s="42"/>
      <c r="L221" s="41"/>
      <c r="M221" s="41"/>
      <c r="N221" s="41"/>
      <c r="O221" s="41"/>
      <c r="P221" s="41"/>
      <c r="Q221" s="41"/>
      <c r="R221" s="16" t="str">
        <f t="shared" ca="1" si="48"/>
        <v/>
      </c>
      <c r="S221" s="16" t="str">
        <f ca="1">IF(A221="","",IF(OR(M221='02_マスタ'!$E$10,M221='02_マスタ'!$E$12),"",IF(L221="High","High",IF(AND(K221&lt;&gt;"",K221&lt;TODAY()),INDEX(_ゴミ箱_Backup!$B$117:$D$247,MATCH("ALERT_OVERDUE",_ゴミ箱_Backup!$A$117:$A$247,0),MATCH(言語切替!$B$3,_ゴミ箱_Backup!$B$1:$D$1,0)),IF(AND(K221&lt;&gt;"",K221-TODAY()&lt;=7),INDEX(_ゴミ箱_Backup!$B$117:$D$247,MATCH("ALERT_APPROACHING",_ゴミ箱_Backup!$A$117:$A$247,0),MATCH(言語切替!$B$3,_ゴミ箱_Backup!$B$1:$D$1,0)),IF(OR(M221='02_マスタ'!$E$7,M221='02_マスタ'!$E$8),INDEX(_ゴミ箱_Backup!$B$117:$D$247,MATCH("ALERT_CHECK",_ゴミ箱_Backup!$A$117:$A$247,0),MATCH(言語切替!$B$3,_ゴミ箱_Backup!$B$1:$D$1,0)),""))))))</f>
        <v/>
      </c>
      <c r="T221" s="52"/>
      <c r="U221" s="61" t="str">
        <f t="shared" si="49"/>
        <v/>
      </c>
      <c r="V221" s="61" t="str">
        <f t="shared" si="50"/>
        <v/>
      </c>
      <c r="W221" s="61" t="str">
        <f t="shared" si="51"/>
        <v/>
      </c>
      <c r="X221" s="61" t="str">
        <f t="shared" si="52"/>
        <v/>
      </c>
      <c r="Y221" s="61" t="str">
        <f t="shared" si="53"/>
        <v/>
      </c>
      <c r="Z221" s="61" t="str">
        <f t="shared" si="54"/>
        <v/>
      </c>
      <c r="AA221" s="61" t="str">
        <f t="shared" si="55"/>
        <v/>
      </c>
      <c r="AB221" s="61" t="str">
        <f t="shared" si="56"/>
        <v/>
      </c>
      <c r="AC221" s="61" t="str">
        <f t="shared" si="57"/>
        <v/>
      </c>
      <c r="AD221" s="61" t="str">
        <f t="shared" si="58"/>
        <v/>
      </c>
      <c r="AE221" s="61" t="str">
        <f t="shared" si="59"/>
        <v/>
      </c>
      <c r="AF221" s="61" t="str">
        <f t="shared" si="60"/>
        <v/>
      </c>
      <c r="AG221" s="61" t="str">
        <f t="shared" si="61"/>
        <v/>
      </c>
      <c r="AH221" s="61" t="str">
        <f t="shared" si="62"/>
        <v/>
      </c>
      <c r="AI221" s="61" t="str">
        <f t="shared" si="63"/>
        <v/>
      </c>
    </row>
    <row r="222" spans="1:35" x14ac:dyDescent="0.25">
      <c r="A222" s="36"/>
      <c r="B222" s="37"/>
      <c r="C222" s="37"/>
      <c r="D222" s="37"/>
      <c r="E222" s="37"/>
      <c r="F222" s="37"/>
      <c r="G222" s="37"/>
      <c r="H222" s="37"/>
      <c r="I222" s="37"/>
      <c r="J222" s="38"/>
      <c r="K222" s="38"/>
      <c r="L222" s="37"/>
      <c r="M222" s="37"/>
      <c r="N222" s="37"/>
      <c r="O222" s="37"/>
      <c r="P222" s="37"/>
      <c r="Q222" s="37"/>
      <c r="R222" s="13" t="str">
        <f t="shared" ca="1" si="48"/>
        <v/>
      </c>
      <c r="S222" s="13" t="str">
        <f ca="1">IF(A222="","",IF(OR(M222='02_マスタ'!$E$10,M222='02_マスタ'!$E$12),"",IF(L222="High","High",IF(AND(K222&lt;&gt;"",K222&lt;TODAY()),INDEX(_ゴミ箱_Backup!$B$117:$D$247,MATCH("ALERT_OVERDUE",_ゴミ箱_Backup!$A$117:$A$247,0),MATCH(言語切替!$B$3,_ゴミ箱_Backup!$B$1:$D$1,0)),IF(AND(K222&lt;&gt;"",K222-TODAY()&lt;=7),INDEX(_ゴミ箱_Backup!$B$117:$D$247,MATCH("ALERT_APPROACHING",_ゴミ箱_Backup!$A$117:$A$247,0),MATCH(言語切替!$B$3,_ゴミ箱_Backup!$B$1:$D$1,0)),IF(OR(M222='02_マスタ'!$E$7,M222='02_マスタ'!$E$8),INDEX(_ゴミ箱_Backup!$B$117:$D$247,MATCH("ALERT_CHECK",_ゴミ箱_Backup!$A$117:$A$247,0),MATCH(言語切替!$B$3,_ゴミ箱_Backup!$B$1:$D$1,0)),""))))))</f>
        <v/>
      </c>
      <c r="T222" s="53"/>
      <c r="U222" s="61" t="str">
        <f t="shared" si="49"/>
        <v/>
      </c>
      <c r="V222" s="61" t="str">
        <f t="shared" si="50"/>
        <v/>
      </c>
      <c r="W222" s="61" t="str">
        <f t="shared" si="51"/>
        <v/>
      </c>
      <c r="X222" s="61" t="str">
        <f t="shared" si="52"/>
        <v/>
      </c>
      <c r="Y222" s="61" t="str">
        <f t="shared" si="53"/>
        <v/>
      </c>
      <c r="Z222" s="61" t="str">
        <f t="shared" si="54"/>
        <v/>
      </c>
      <c r="AA222" s="61" t="str">
        <f t="shared" si="55"/>
        <v/>
      </c>
      <c r="AB222" s="61" t="str">
        <f t="shared" si="56"/>
        <v/>
      </c>
      <c r="AC222" s="61" t="str">
        <f t="shared" si="57"/>
        <v/>
      </c>
      <c r="AD222" s="61" t="str">
        <f t="shared" si="58"/>
        <v/>
      </c>
      <c r="AE222" s="61" t="str">
        <f t="shared" si="59"/>
        <v/>
      </c>
      <c r="AF222" s="61" t="str">
        <f t="shared" si="60"/>
        <v/>
      </c>
      <c r="AG222" s="61" t="str">
        <f t="shared" si="61"/>
        <v/>
      </c>
      <c r="AH222" s="61" t="str">
        <f t="shared" si="62"/>
        <v/>
      </c>
      <c r="AI222" s="61" t="str">
        <f t="shared" si="63"/>
        <v/>
      </c>
    </row>
    <row r="223" spans="1:35" x14ac:dyDescent="0.25">
      <c r="A223" s="40"/>
      <c r="B223" s="41"/>
      <c r="C223" s="41"/>
      <c r="D223" s="41"/>
      <c r="E223" s="41"/>
      <c r="F223" s="41"/>
      <c r="G223" s="41"/>
      <c r="H223" s="41"/>
      <c r="I223" s="41"/>
      <c r="J223" s="42"/>
      <c r="K223" s="42"/>
      <c r="L223" s="41"/>
      <c r="M223" s="41"/>
      <c r="N223" s="41"/>
      <c r="O223" s="41"/>
      <c r="P223" s="41"/>
      <c r="Q223" s="41"/>
      <c r="R223" s="16" t="str">
        <f t="shared" ca="1" si="48"/>
        <v/>
      </c>
      <c r="S223" s="16" t="str">
        <f ca="1">IF(A223="","",IF(OR(M223='02_マスタ'!$E$10,M223='02_マスタ'!$E$12),"",IF(L223="High","High",IF(AND(K223&lt;&gt;"",K223&lt;TODAY()),INDEX(_ゴミ箱_Backup!$B$117:$D$247,MATCH("ALERT_OVERDUE",_ゴミ箱_Backup!$A$117:$A$247,0),MATCH(言語切替!$B$3,_ゴミ箱_Backup!$B$1:$D$1,0)),IF(AND(K223&lt;&gt;"",K223-TODAY()&lt;=7),INDEX(_ゴミ箱_Backup!$B$117:$D$247,MATCH("ALERT_APPROACHING",_ゴミ箱_Backup!$A$117:$A$247,0),MATCH(言語切替!$B$3,_ゴミ箱_Backup!$B$1:$D$1,0)),IF(OR(M223='02_マスタ'!$E$7,M223='02_マスタ'!$E$8),INDEX(_ゴミ箱_Backup!$B$117:$D$247,MATCH("ALERT_CHECK",_ゴミ箱_Backup!$A$117:$A$247,0),MATCH(言語切替!$B$3,_ゴミ箱_Backup!$B$1:$D$1,0)),""))))))</f>
        <v/>
      </c>
      <c r="T223" s="52"/>
      <c r="U223" s="61" t="str">
        <f t="shared" si="49"/>
        <v/>
      </c>
      <c r="V223" s="61" t="str">
        <f t="shared" si="50"/>
        <v/>
      </c>
      <c r="W223" s="61" t="str">
        <f t="shared" si="51"/>
        <v/>
      </c>
      <c r="X223" s="61" t="str">
        <f t="shared" si="52"/>
        <v/>
      </c>
      <c r="Y223" s="61" t="str">
        <f t="shared" si="53"/>
        <v/>
      </c>
      <c r="Z223" s="61" t="str">
        <f t="shared" si="54"/>
        <v/>
      </c>
      <c r="AA223" s="61" t="str">
        <f t="shared" si="55"/>
        <v/>
      </c>
      <c r="AB223" s="61" t="str">
        <f t="shared" si="56"/>
        <v/>
      </c>
      <c r="AC223" s="61" t="str">
        <f t="shared" si="57"/>
        <v/>
      </c>
      <c r="AD223" s="61" t="str">
        <f t="shared" si="58"/>
        <v/>
      </c>
      <c r="AE223" s="61" t="str">
        <f t="shared" si="59"/>
        <v/>
      </c>
      <c r="AF223" s="61" t="str">
        <f t="shared" si="60"/>
        <v/>
      </c>
      <c r="AG223" s="61" t="str">
        <f t="shared" si="61"/>
        <v/>
      </c>
      <c r="AH223" s="61" t="str">
        <f t="shared" si="62"/>
        <v/>
      </c>
      <c r="AI223" s="61" t="str">
        <f t="shared" si="63"/>
        <v/>
      </c>
    </row>
    <row r="224" spans="1:35" x14ac:dyDescent="0.25">
      <c r="A224" s="36"/>
      <c r="B224" s="37"/>
      <c r="C224" s="37"/>
      <c r="D224" s="37"/>
      <c r="E224" s="37"/>
      <c r="F224" s="37"/>
      <c r="G224" s="37"/>
      <c r="H224" s="37"/>
      <c r="I224" s="37"/>
      <c r="J224" s="38"/>
      <c r="K224" s="38"/>
      <c r="L224" s="37"/>
      <c r="M224" s="37"/>
      <c r="N224" s="37"/>
      <c r="O224" s="37"/>
      <c r="P224" s="37"/>
      <c r="Q224" s="37"/>
      <c r="R224" s="13" t="str">
        <f t="shared" ca="1" si="48"/>
        <v/>
      </c>
      <c r="S224" s="13" t="str">
        <f ca="1">IF(A224="","",IF(OR(M224='02_マスタ'!$E$10,M224='02_マスタ'!$E$12),"",IF(L224="High","High",IF(AND(K224&lt;&gt;"",K224&lt;TODAY()),INDEX(_ゴミ箱_Backup!$B$117:$D$247,MATCH("ALERT_OVERDUE",_ゴミ箱_Backup!$A$117:$A$247,0),MATCH(言語切替!$B$3,_ゴミ箱_Backup!$B$1:$D$1,0)),IF(AND(K224&lt;&gt;"",K224-TODAY()&lt;=7),INDEX(_ゴミ箱_Backup!$B$117:$D$247,MATCH("ALERT_APPROACHING",_ゴミ箱_Backup!$A$117:$A$247,0),MATCH(言語切替!$B$3,_ゴミ箱_Backup!$B$1:$D$1,0)),IF(OR(M224='02_マスタ'!$E$7,M224='02_マスタ'!$E$8),INDEX(_ゴミ箱_Backup!$B$117:$D$247,MATCH("ALERT_CHECK",_ゴミ箱_Backup!$A$117:$A$247,0),MATCH(言語切替!$B$3,_ゴミ箱_Backup!$B$1:$D$1,0)),""))))))</f>
        <v/>
      </c>
      <c r="T224" s="53"/>
      <c r="U224" s="61" t="str">
        <f t="shared" si="49"/>
        <v/>
      </c>
      <c r="V224" s="61" t="str">
        <f t="shared" si="50"/>
        <v/>
      </c>
      <c r="W224" s="61" t="str">
        <f t="shared" si="51"/>
        <v/>
      </c>
      <c r="X224" s="61" t="str">
        <f t="shared" si="52"/>
        <v/>
      </c>
      <c r="Y224" s="61" t="str">
        <f t="shared" si="53"/>
        <v/>
      </c>
      <c r="Z224" s="61" t="str">
        <f t="shared" si="54"/>
        <v/>
      </c>
      <c r="AA224" s="61" t="str">
        <f t="shared" si="55"/>
        <v/>
      </c>
      <c r="AB224" s="61" t="str">
        <f t="shared" si="56"/>
        <v/>
      </c>
      <c r="AC224" s="61" t="str">
        <f t="shared" si="57"/>
        <v/>
      </c>
      <c r="AD224" s="61" t="str">
        <f t="shared" si="58"/>
        <v/>
      </c>
      <c r="AE224" s="61" t="str">
        <f t="shared" si="59"/>
        <v/>
      </c>
      <c r="AF224" s="61" t="str">
        <f t="shared" si="60"/>
        <v/>
      </c>
      <c r="AG224" s="61" t="str">
        <f t="shared" si="61"/>
        <v/>
      </c>
      <c r="AH224" s="61" t="str">
        <f t="shared" si="62"/>
        <v/>
      </c>
      <c r="AI224" s="61" t="str">
        <f t="shared" si="63"/>
        <v/>
      </c>
    </row>
    <row r="225" spans="1:35" x14ac:dyDescent="0.25">
      <c r="A225" s="40"/>
      <c r="B225" s="41"/>
      <c r="C225" s="41"/>
      <c r="D225" s="41"/>
      <c r="E225" s="41"/>
      <c r="F225" s="41"/>
      <c r="G225" s="41"/>
      <c r="H225" s="41"/>
      <c r="I225" s="41"/>
      <c r="J225" s="42"/>
      <c r="K225" s="42"/>
      <c r="L225" s="41"/>
      <c r="M225" s="41"/>
      <c r="N225" s="41"/>
      <c r="O225" s="41"/>
      <c r="P225" s="41"/>
      <c r="Q225" s="41"/>
      <c r="R225" s="16" t="str">
        <f t="shared" ca="1" si="48"/>
        <v/>
      </c>
      <c r="S225" s="16" t="str">
        <f ca="1">IF(A225="","",IF(OR(M225='02_マスタ'!$E$10,M225='02_マスタ'!$E$12),"",IF(L225="High","High",IF(AND(K225&lt;&gt;"",K225&lt;TODAY()),INDEX(_ゴミ箱_Backup!$B$117:$D$247,MATCH("ALERT_OVERDUE",_ゴミ箱_Backup!$A$117:$A$247,0),MATCH(言語切替!$B$3,_ゴミ箱_Backup!$B$1:$D$1,0)),IF(AND(K225&lt;&gt;"",K225-TODAY()&lt;=7),INDEX(_ゴミ箱_Backup!$B$117:$D$247,MATCH("ALERT_APPROACHING",_ゴミ箱_Backup!$A$117:$A$247,0),MATCH(言語切替!$B$3,_ゴミ箱_Backup!$B$1:$D$1,0)),IF(OR(M225='02_マスタ'!$E$7,M225='02_マスタ'!$E$8),INDEX(_ゴミ箱_Backup!$B$117:$D$247,MATCH("ALERT_CHECK",_ゴミ箱_Backup!$A$117:$A$247,0),MATCH(言語切替!$B$3,_ゴミ箱_Backup!$B$1:$D$1,0)),""))))))</f>
        <v/>
      </c>
      <c r="T225" s="52"/>
      <c r="U225" s="61" t="str">
        <f t="shared" si="49"/>
        <v/>
      </c>
      <c r="V225" s="61" t="str">
        <f t="shared" si="50"/>
        <v/>
      </c>
      <c r="W225" s="61" t="str">
        <f t="shared" si="51"/>
        <v/>
      </c>
      <c r="X225" s="61" t="str">
        <f t="shared" si="52"/>
        <v/>
      </c>
      <c r="Y225" s="61" t="str">
        <f t="shared" si="53"/>
        <v/>
      </c>
      <c r="Z225" s="61" t="str">
        <f t="shared" si="54"/>
        <v/>
      </c>
      <c r="AA225" s="61" t="str">
        <f t="shared" si="55"/>
        <v/>
      </c>
      <c r="AB225" s="61" t="str">
        <f t="shared" si="56"/>
        <v/>
      </c>
      <c r="AC225" s="61" t="str">
        <f t="shared" si="57"/>
        <v/>
      </c>
      <c r="AD225" s="61" t="str">
        <f t="shared" si="58"/>
        <v/>
      </c>
      <c r="AE225" s="61" t="str">
        <f t="shared" si="59"/>
        <v/>
      </c>
      <c r="AF225" s="61" t="str">
        <f t="shared" si="60"/>
        <v/>
      </c>
      <c r="AG225" s="61" t="str">
        <f t="shared" si="61"/>
        <v/>
      </c>
      <c r="AH225" s="61" t="str">
        <f t="shared" si="62"/>
        <v/>
      </c>
      <c r="AI225" s="61" t="str">
        <f t="shared" si="63"/>
        <v/>
      </c>
    </row>
    <row r="226" spans="1:35" x14ac:dyDescent="0.25">
      <c r="A226" s="36"/>
      <c r="B226" s="37"/>
      <c r="C226" s="37"/>
      <c r="D226" s="37"/>
      <c r="E226" s="37"/>
      <c r="F226" s="37"/>
      <c r="G226" s="37"/>
      <c r="H226" s="37"/>
      <c r="I226" s="37"/>
      <c r="J226" s="38"/>
      <c r="K226" s="38"/>
      <c r="L226" s="37"/>
      <c r="M226" s="37"/>
      <c r="N226" s="37"/>
      <c r="O226" s="37"/>
      <c r="P226" s="37"/>
      <c r="Q226" s="37"/>
      <c r="R226" s="13" t="str">
        <f t="shared" ca="1" si="48"/>
        <v/>
      </c>
      <c r="S226" s="13" t="str">
        <f ca="1">IF(A226="","",IF(OR(M226='02_マスタ'!$E$10,M226='02_マスタ'!$E$12),"",IF(L226="High","High",IF(AND(K226&lt;&gt;"",K226&lt;TODAY()),INDEX(_ゴミ箱_Backup!$B$117:$D$247,MATCH("ALERT_OVERDUE",_ゴミ箱_Backup!$A$117:$A$247,0),MATCH(言語切替!$B$3,_ゴミ箱_Backup!$B$1:$D$1,0)),IF(AND(K226&lt;&gt;"",K226-TODAY()&lt;=7),INDEX(_ゴミ箱_Backup!$B$117:$D$247,MATCH("ALERT_APPROACHING",_ゴミ箱_Backup!$A$117:$A$247,0),MATCH(言語切替!$B$3,_ゴミ箱_Backup!$B$1:$D$1,0)),IF(OR(M226='02_マスタ'!$E$7,M226='02_マスタ'!$E$8),INDEX(_ゴミ箱_Backup!$B$117:$D$247,MATCH("ALERT_CHECK",_ゴミ箱_Backup!$A$117:$A$247,0),MATCH(言語切替!$B$3,_ゴミ箱_Backup!$B$1:$D$1,0)),""))))))</f>
        <v/>
      </c>
      <c r="T226" s="53"/>
      <c r="U226" s="61" t="str">
        <f t="shared" si="49"/>
        <v/>
      </c>
      <c r="V226" s="61" t="str">
        <f t="shared" si="50"/>
        <v/>
      </c>
      <c r="W226" s="61" t="str">
        <f t="shared" si="51"/>
        <v/>
      </c>
      <c r="X226" s="61" t="str">
        <f t="shared" si="52"/>
        <v/>
      </c>
      <c r="Y226" s="61" t="str">
        <f t="shared" si="53"/>
        <v/>
      </c>
      <c r="Z226" s="61" t="str">
        <f t="shared" si="54"/>
        <v/>
      </c>
      <c r="AA226" s="61" t="str">
        <f t="shared" si="55"/>
        <v/>
      </c>
      <c r="AB226" s="61" t="str">
        <f t="shared" si="56"/>
        <v/>
      </c>
      <c r="AC226" s="61" t="str">
        <f t="shared" si="57"/>
        <v/>
      </c>
      <c r="AD226" s="61" t="str">
        <f t="shared" si="58"/>
        <v/>
      </c>
      <c r="AE226" s="61" t="str">
        <f t="shared" si="59"/>
        <v/>
      </c>
      <c r="AF226" s="61" t="str">
        <f t="shared" si="60"/>
        <v/>
      </c>
      <c r="AG226" s="61" t="str">
        <f t="shared" si="61"/>
        <v/>
      </c>
      <c r="AH226" s="61" t="str">
        <f t="shared" si="62"/>
        <v/>
      </c>
      <c r="AI226" s="61" t="str">
        <f t="shared" si="63"/>
        <v/>
      </c>
    </row>
    <row r="227" spans="1:35" x14ac:dyDescent="0.25">
      <c r="A227" s="40"/>
      <c r="B227" s="41"/>
      <c r="C227" s="41"/>
      <c r="D227" s="41"/>
      <c r="E227" s="41"/>
      <c r="F227" s="41"/>
      <c r="G227" s="41"/>
      <c r="H227" s="41"/>
      <c r="I227" s="41"/>
      <c r="J227" s="42"/>
      <c r="K227" s="42"/>
      <c r="L227" s="41"/>
      <c r="M227" s="41"/>
      <c r="N227" s="41"/>
      <c r="O227" s="41"/>
      <c r="P227" s="41"/>
      <c r="Q227" s="41"/>
      <c r="R227" s="16" t="str">
        <f t="shared" ca="1" si="48"/>
        <v/>
      </c>
      <c r="S227" s="16" t="str">
        <f ca="1">IF(A227="","",IF(OR(M227='02_マスタ'!$E$10,M227='02_マスタ'!$E$12),"",IF(L227="High","High",IF(AND(K227&lt;&gt;"",K227&lt;TODAY()),INDEX(_ゴミ箱_Backup!$B$117:$D$247,MATCH("ALERT_OVERDUE",_ゴミ箱_Backup!$A$117:$A$247,0),MATCH(言語切替!$B$3,_ゴミ箱_Backup!$B$1:$D$1,0)),IF(AND(K227&lt;&gt;"",K227-TODAY()&lt;=7),INDEX(_ゴミ箱_Backup!$B$117:$D$247,MATCH("ALERT_APPROACHING",_ゴミ箱_Backup!$A$117:$A$247,0),MATCH(言語切替!$B$3,_ゴミ箱_Backup!$B$1:$D$1,0)),IF(OR(M227='02_マスタ'!$E$7,M227='02_マスタ'!$E$8),INDEX(_ゴミ箱_Backup!$B$117:$D$247,MATCH("ALERT_CHECK",_ゴミ箱_Backup!$A$117:$A$247,0),MATCH(言語切替!$B$3,_ゴミ箱_Backup!$B$1:$D$1,0)),""))))))</f>
        <v/>
      </c>
      <c r="T227" s="52"/>
      <c r="U227" s="61" t="str">
        <f t="shared" si="49"/>
        <v/>
      </c>
      <c r="V227" s="61" t="str">
        <f t="shared" si="50"/>
        <v/>
      </c>
      <c r="W227" s="61" t="str">
        <f t="shared" si="51"/>
        <v/>
      </c>
      <c r="X227" s="61" t="str">
        <f t="shared" si="52"/>
        <v/>
      </c>
      <c r="Y227" s="61" t="str">
        <f t="shared" si="53"/>
        <v/>
      </c>
      <c r="Z227" s="61" t="str">
        <f t="shared" si="54"/>
        <v/>
      </c>
      <c r="AA227" s="61" t="str">
        <f t="shared" si="55"/>
        <v/>
      </c>
      <c r="AB227" s="61" t="str">
        <f t="shared" si="56"/>
        <v/>
      </c>
      <c r="AC227" s="61" t="str">
        <f t="shared" si="57"/>
        <v/>
      </c>
      <c r="AD227" s="61" t="str">
        <f t="shared" si="58"/>
        <v/>
      </c>
      <c r="AE227" s="61" t="str">
        <f t="shared" si="59"/>
        <v/>
      </c>
      <c r="AF227" s="61" t="str">
        <f t="shared" si="60"/>
        <v/>
      </c>
      <c r="AG227" s="61" t="str">
        <f t="shared" si="61"/>
        <v/>
      </c>
      <c r="AH227" s="61" t="str">
        <f t="shared" si="62"/>
        <v/>
      </c>
      <c r="AI227" s="61" t="str">
        <f t="shared" si="63"/>
        <v/>
      </c>
    </row>
    <row r="228" spans="1:35" x14ac:dyDescent="0.25">
      <c r="A228" s="36"/>
      <c r="B228" s="37"/>
      <c r="C228" s="37"/>
      <c r="D228" s="37"/>
      <c r="E228" s="37"/>
      <c r="F228" s="37"/>
      <c r="G228" s="37"/>
      <c r="H228" s="37"/>
      <c r="I228" s="37"/>
      <c r="J228" s="38"/>
      <c r="K228" s="38"/>
      <c r="L228" s="37"/>
      <c r="M228" s="37"/>
      <c r="N228" s="37"/>
      <c r="O228" s="37"/>
      <c r="P228" s="37"/>
      <c r="Q228" s="37"/>
      <c r="R228" s="13" t="str">
        <f t="shared" ca="1" si="48"/>
        <v/>
      </c>
      <c r="S228" s="13" t="str">
        <f ca="1">IF(A228="","",IF(OR(M228='02_マスタ'!$E$10,M228='02_マスタ'!$E$12),"",IF(L228="High","High",IF(AND(K228&lt;&gt;"",K228&lt;TODAY()),INDEX(_ゴミ箱_Backup!$B$117:$D$247,MATCH("ALERT_OVERDUE",_ゴミ箱_Backup!$A$117:$A$247,0),MATCH(言語切替!$B$3,_ゴミ箱_Backup!$B$1:$D$1,0)),IF(AND(K228&lt;&gt;"",K228-TODAY()&lt;=7),INDEX(_ゴミ箱_Backup!$B$117:$D$247,MATCH("ALERT_APPROACHING",_ゴミ箱_Backup!$A$117:$A$247,0),MATCH(言語切替!$B$3,_ゴミ箱_Backup!$B$1:$D$1,0)),IF(OR(M228='02_マスタ'!$E$7,M228='02_マスタ'!$E$8),INDEX(_ゴミ箱_Backup!$B$117:$D$247,MATCH("ALERT_CHECK",_ゴミ箱_Backup!$A$117:$A$247,0),MATCH(言語切替!$B$3,_ゴミ箱_Backup!$B$1:$D$1,0)),""))))))</f>
        <v/>
      </c>
      <c r="T228" s="53"/>
      <c r="U228" s="61" t="str">
        <f t="shared" si="49"/>
        <v/>
      </c>
      <c r="V228" s="61" t="str">
        <f t="shared" si="50"/>
        <v/>
      </c>
      <c r="W228" s="61" t="str">
        <f t="shared" si="51"/>
        <v/>
      </c>
      <c r="X228" s="61" t="str">
        <f t="shared" si="52"/>
        <v/>
      </c>
      <c r="Y228" s="61" t="str">
        <f t="shared" si="53"/>
        <v/>
      </c>
      <c r="Z228" s="61" t="str">
        <f t="shared" si="54"/>
        <v/>
      </c>
      <c r="AA228" s="61" t="str">
        <f t="shared" si="55"/>
        <v/>
      </c>
      <c r="AB228" s="61" t="str">
        <f t="shared" si="56"/>
        <v/>
      </c>
      <c r="AC228" s="61" t="str">
        <f t="shared" si="57"/>
        <v/>
      </c>
      <c r="AD228" s="61" t="str">
        <f t="shared" si="58"/>
        <v/>
      </c>
      <c r="AE228" s="61" t="str">
        <f t="shared" si="59"/>
        <v/>
      </c>
      <c r="AF228" s="61" t="str">
        <f t="shared" si="60"/>
        <v/>
      </c>
      <c r="AG228" s="61" t="str">
        <f t="shared" si="61"/>
        <v/>
      </c>
      <c r="AH228" s="61" t="str">
        <f t="shared" si="62"/>
        <v/>
      </c>
      <c r="AI228" s="61" t="str">
        <f t="shared" si="63"/>
        <v/>
      </c>
    </row>
    <row r="229" spans="1:35" x14ac:dyDescent="0.25">
      <c r="A229" s="40"/>
      <c r="B229" s="41"/>
      <c r="C229" s="41"/>
      <c r="D229" s="41"/>
      <c r="E229" s="41"/>
      <c r="F229" s="41"/>
      <c r="G229" s="41"/>
      <c r="H229" s="41"/>
      <c r="I229" s="41"/>
      <c r="J229" s="42"/>
      <c r="K229" s="42"/>
      <c r="L229" s="41"/>
      <c r="M229" s="41"/>
      <c r="N229" s="41"/>
      <c r="O229" s="41"/>
      <c r="P229" s="41"/>
      <c r="Q229" s="41"/>
      <c r="R229" s="16" t="str">
        <f t="shared" ca="1" si="48"/>
        <v/>
      </c>
      <c r="S229" s="16" t="str">
        <f ca="1">IF(A229="","",IF(OR(M229='02_マスタ'!$E$10,M229='02_マスタ'!$E$12),"",IF(L229="High","High",IF(AND(K229&lt;&gt;"",K229&lt;TODAY()),INDEX(_ゴミ箱_Backup!$B$117:$D$247,MATCH("ALERT_OVERDUE",_ゴミ箱_Backup!$A$117:$A$247,0),MATCH(言語切替!$B$3,_ゴミ箱_Backup!$B$1:$D$1,0)),IF(AND(K229&lt;&gt;"",K229-TODAY()&lt;=7),INDEX(_ゴミ箱_Backup!$B$117:$D$247,MATCH("ALERT_APPROACHING",_ゴミ箱_Backup!$A$117:$A$247,0),MATCH(言語切替!$B$3,_ゴミ箱_Backup!$B$1:$D$1,0)),IF(OR(M229='02_マスタ'!$E$7,M229='02_マスタ'!$E$8),INDEX(_ゴミ箱_Backup!$B$117:$D$247,MATCH("ALERT_CHECK",_ゴミ箱_Backup!$A$117:$A$247,0),MATCH(言語切替!$B$3,_ゴミ箱_Backup!$B$1:$D$1,0)),""))))))</f>
        <v/>
      </c>
      <c r="T229" s="52"/>
      <c r="U229" s="61" t="str">
        <f t="shared" si="49"/>
        <v/>
      </c>
      <c r="V229" s="61" t="str">
        <f t="shared" si="50"/>
        <v/>
      </c>
      <c r="W229" s="61" t="str">
        <f t="shared" si="51"/>
        <v/>
      </c>
      <c r="X229" s="61" t="str">
        <f t="shared" si="52"/>
        <v/>
      </c>
      <c r="Y229" s="61" t="str">
        <f t="shared" si="53"/>
        <v/>
      </c>
      <c r="Z229" s="61" t="str">
        <f t="shared" si="54"/>
        <v/>
      </c>
      <c r="AA229" s="61" t="str">
        <f t="shared" si="55"/>
        <v/>
      </c>
      <c r="AB229" s="61" t="str">
        <f t="shared" si="56"/>
        <v/>
      </c>
      <c r="AC229" s="61" t="str">
        <f t="shared" si="57"/>
        <v/>
      </c>
      <c r="AD229" s="61" t="str">
        <f t="shared" si="58"/>
        <v/>
      </c>
      <c r="AE229" s="61" t="str">
        <f t="shared" si="59"/>
        <v/>
      </c>
      <c r="AF229" s="61" t="str">
        <f t="shared" si="60"/>
        <v/>
      </c>
      <c r="AG229" s="61" t="str">
        <f t="shared" si="61"/>
        <v/>
      </c>
      <c r="AH229" s="61" t="str">
        <f t="shared" si="62"/>
        <v/>
      </c>
      <c r="AI229" s="61" t="str">
        <f t="shared" si="63"/>
        <v/>
      </c>
    </row>
    <row r="230" spans="1:35" x14ac:dyDescent="0.25">
      <c r="A230" s="36"/>
      <c r="B230" s="37"/>
      <c r="C230" s="37"/>
      <c r="D230" s="37"/>
      <c r="E230" s="37"/>
      <c r="F230" s="37"/>
      <c r="G230" s="37"/>
      <c r="H230" s="37"/>
      <c r="I230" s="37"/>
      <c r="J230" s="38"/>
      <c r="K230" s="38"/>
      <c r="L230" s="37"/>
      <c r="M230" s="37"/>
      <c r="N230" s="37"/>
      <c r="O230" s="37"/>
      <c r="P230" s="37"/>
      <c r="Q230" s="37"/>
      <c r="R230" s="13" t="str">
        <f t="shared" ca="1" si="48"/>
        <v/>
      </c>
      <c r="S230" s="13" t="str">
        <f ca="1">IF(A230="","",IF(OR(M230='02_マスタ'!$E$10,M230='02_マスタ'!$E$12),"",IF(L230="High","High",IF(AND(K230&lt;&gt;"",K230&lt;TODAY()),INDEX(_ゴミ箱_Backup!$B$117:$D$247,MATCH("ALERT_OVERDUE",_ゴミ箱_Backup!$A$117:$A$247,0),MATCH(言語切替!$B$3,_ゴミ箱_Backup!$B$1:$D$1,0)),IF(AND(K230&lt;&gt;"",K230-TODAY()&lt;=7),INDEX(_ゴミ箱_Backup!$B$117:$D$247,MATCH("ALERT_APPROACHING",_ゴミ箱_Backup!$A$117:$A$247,0),MATCH(言語切替!$B$3,_ゴミ箱_Backup!$B$1:$D$1,0)),IF(OR(M230='02_マスタ'!$E$7,M230='02_マスタ'!$E$8),INDEX(_ゴミ箱_Backup!$B$117:$D$247,MATCH("ALERT_CHECK",_ゴミ箱_Backup!$A$117:$A$247,0),MATCH(言語切替!$B$3,_ゴミ箱_Backup!$B$1:$D$1,0)),""))))))</f>
        <v/>
      </c>
      <c r="T230" s="53"/>
      <c r="U230" s="61" t="str">
        <f t="shared" si="49"/>
        <v/>
      </c>
      <c r="V230" s="61" t="str">
        <f t="shared" si="50"/>
        <v/>
      </c>
      <c r="W230" s="61" t="str">
        <f t="shared" si="51"/>
        <v/>
      </c>
      <c r="X230" s="61" t="str">
        <f t="shared" si="52"/>
        <v/>
      </c>
      <c r="Y230" s="61" t="str">
        <f t="shared" si="53"/>
        <v/>
      </c>
      <c r="Z230" s="61" t="str">
        <f t="shared" si="54"/>
        <v/>
      </c>
      <c r="AA230" s="61" t="str">
        <f t="shared" si="55"/>
        <v/>
      </c>
      <c r="AB230" s="61" t="str">
        <f t="shared" si="56"/>
        <v/>
      </c>
      <c r="AC230" s="61" t="str">
        <f t="shared" si="57"/>
        <v/>
      </c>
      <c r="AD230" s="61" t="str">
        <f t="shared" si="58"/>
        <v/>
      </c>
      <c r="AE230" s="61" t="str">
        <f t="shared" si="59"/>
        <v/>
      </c>
      <c r="AF230" s="61" t="str">
        <f t="shared" si="60"/>
        <v/>
      </c>
      <c r="AG230" s="61" t="str">
        <f t="shared" si="61"/>
        <v/>
      </c>
      <c r="AH230" s="61" t="str">
        <f t="shared" si="62"/>
        <v/>
      </c>
      <c r="AI230" s="61" t="str">
        <f t="shared" si="63"/>
        <v/>
      </c>
    </row>
    <row r="231" spans="1:35" x14ac:dyDescent="0.25">
      <c r="A231" s="40"/>
      <c r="B231" s="41"/>
      <c r="C231" s="41"/>
      <c r="D231" s="41"/>
      <c r="E231" s="41"/>
      <c r="F231" s="41"/>
      <c r="G231" s="41"/>
      <c r="H231" s="41"/>
      <c r="I231" s="41"/>
      <c r="J231" s="42"/>
      <c r="K231" s="42"/>
      <c r="L231" s="41"/>
      <c r="M231" s="41"/>
      <c r="N231" s="41"/>
      <c r="O231" s="41"/>
      <c r="P231" s="41"/>
      <c r="Q231" s="41"/>
      <c r="R231" s="16" t="str">
        <f t="shared" ca="1" si="48"/>
        <v/>
      </c>
      <c r="S231" s="16" t="str">
        <f ca="1">IF(A231="","",IF(OR(M231='02_マスタ'!$E$10,M231='02_マスタ'!$E$12),"",IF(L231="High","High",IF(AND(K231&lt;&gt;"",K231&lt;TODAY()),INDEX(_ゴミ箱_Backup!$B$117:$D$247,MATCH("ALERT_OVERDUE",_ゴミ箱_Backup!$A$117:$A$247,0),MATCH(言語切替!$B$3,_ゴミ箱_Backup!$B$1:$D$1,0)),IF(AND(K231&lt;&gt;"",K231-TODAY()&lt;=7),INDEX(_ゴミ箱_Backup!$B$117:$D$247,MATCH("ALERT_APPROACHING",_ゴミ箱_Backup!$A$117:$A$247,0),MATCH(言語切替!$B$3,_ゴミ箱_Backup!$B$1:$D$1,0)),IF(OR(M231='02_マスタ'!$E$7,M231='02_マスタ'!$E$8),INDEX(_ゴミ箱_Backup!$B$117:$D$247,MATCH("ALERT_CHECK",_ゴミ箱_Backup!$A$117:$A$247,0),MATCH(言語切替!$B$3,_ゴミ箱_Backup!$B$1:$D$1,0)),""))))))</f>
        <v/>
      </c>
      <c r="T231" s="52"/>
      <c r="U231" s="61" t="str">
        <f t="shared" si="49"/>
        <v/>
      </c>
      <c r="V231" s="61" t="str">
        <f t="shared" si="50"/>
        <v/>
      </c>
      <c r="W231" s="61" t="str">
        <f t="shared" si="51"/>
        <v/>
      </c>
      <c r="X231" s="61" t="str">
        <f t="shared" si="52"/>
        <v/>
      </c>
      <c r="Y231" s="61" t="str">
        <f t="shared" si="53"/>
        <v/>
      </c>
      <c r="Z231" s="61" t="str">
        <f t="shared" si="54"/>
        <v/>
      </c>
      <c r="AA231" s="61" t="str">
        <f t="shared" si="55"/>
        <v/>
      </c>
      <c r="AB231" s="61" t="str">
        <f t="shared" si="56"/>
        <v/>
      </c>
      <c r="AC231" s="61" t="str">
        <f t="shared" si="57"/>
        <v/>
      </c>
      <c r="AD231" s="61" t="str">
        <f t="shared" si="58"/>
        <v/>
      </c>
      <c r="AE231" s="61" t="str">
        <f t="shared" si="59"/>
        <v/>
      </c>
      <c r="AF231" s="61" t="str">
        <f t="shared" si="60"/>
        <v/>
      </c>
      <c r="AG231" s="61" t="str">
        <f t="shared" si="61"/>
        <v/>
      </c>
      <c r="AH231" s="61" t="str">
        <f t="shared" si="62"/>
        <v/>
      </c>
      <c r="AI231" s="61" t="str">
        <f t="shared" si="63"/>
        <v/>
      </c>
    </row>
    <row r="232" spans="1:35" x14ac:dyDescent="0.25">
      <c r="A232" s="36"/>
      <c r="B232" s="37"/>
      <c r="C232" s="37"/>
      <c r="D232" s="37"/>
      <c r="E232" s="37"/>
      <c r="F232" s="37"/>
      <c r="G232" s="37"/>
      <c r="H232" s="37"/>
      <c r="I232" s="37"/>
      <c r="J232" s="38"/>
      <c r="K232" s="38"/>
      <c r="L232" s="37"/>
      <c r="M232" s="37"/>
      <c r="N232" s="37"/>
      <c r="O232" s="37"/>
      <c r="P232" s="37"/>
      <c r="Q232" s="37"/>
      <c r="R232" s="13" t="str">
        <f t="shared" ca="1" si="48"/>
        <v/>
      </c>
      <c r="S232" s="13" t="str">
        <f ca="1">IF(A232="","",IF(OR(M232='02_マスタ'!$E$10,M232='02_マスタ'!$E$12),"",IF(L232="High","High",IF(AND(K232&lt;&gt;"",K232&lt;TODAY()),INDEX(_ゴミ箱_Backup!$B$117:$D$247,MATCH("ALERT_OVERDUE",_ゴミ箱_Backup!$A$117:$A$247,0),MATCH(言語切替!$B$3,_ゴミ箱_Backup!$B$1:$D$1,0)),IF(AND(K232&lt;&gt;"",K232-TODAY()&lt;=7),INDEX(_ゴミ箱_Backup!$B$117:$D$247,MATCH("ALERT_APPROACHING",_ゴミ箱_Backup!$A$117:$A$247,0),MATCH(言語切替!$B$3,_ゴミ箱_Backup!$B$1:$D$1,0)),IF(OR(M232='02_マスタ'!$E$7,M232='02_マスタ'!$E$8),INDEX(_ゴミ箱_Backup!$B$117:$D$247,MATCH("ALERT_CHECK",_ゴミ箱_Backup!$A$117:$A$247,0),MATCH(言語切替!$B$3,_ゴミ箱_Backup!$B$1:$D$1,0)),""))))))</f>
        <v/>
      </c>
      <c r="T232" s="53"/>
      <c r="U232" s="61" t="str">
        <f t="shared" si="49"/>
        <v/>
      </c>
      <c r="V232" s="61" t="str">
        <f t="shared" si="50"/>
        <v/>
      </c>
      <c r="W232" s="61" t="str">
        <f t="shared" si="51"/>
        <v/>
      </c>
      <c r="X232" s="61" t="str">
        <f t="shared" si="52"/>
        <v/>
      </c>
      <c r="Y232" s="61" t="str">
        <f t="shared" si="53"/>
        <v/>
      </c>
      <c r="Z232" s="61" t="str">
        <f t="shared" si="54"/>
        <v/>
      </c>
      <c r="AA232" s="61" t="str">
        <f t="shared" si="55"/>
        <v/>
      </c>
      <c r="AB232" s="61" t="str">
        <f t="shared" si="56"/>
        <v/>
      </c>
      <c r="AC232" s="61" t="str">
        <f t="shared" si="57"/>
        <v/>
      </c>
      <c r="AD232" s="61" t="str">
        <f t="shared" si="58"/>
        <v/>
      </c>
      <c r="AE232" s="61" t="str">
        <f t="shared" si="59"/>
        <v/>
      </c>
      <c r="AF232" s="61" t="str">
        <f t="shared" si="60"/>
        <v/>
      </c>
      <c r="AG232" s="61" t="str">
        <f t="shared" si="61"/>
        <v/>
      </c>
      <c r="AH232" s="61" t="str">
        <f t="shared" si="62"/>
        <v/>
      </c>
      <c r="AI232" s="61" t="str">
        <f t="shared" si="63"/>
        <v/>
      </c>
    </row>
    <row r="233" spans="1:35" x14ac:dyDescent="0.25">
      <c r="A233" s="40"/>
      <c r="B233" s="41"/>
      <c r="C233" s="41"/>
      <c r="D233" s="41"/>
      <c r="E233" s="41"/>
      <c r="F233" s="41"/>
      <c r="G233" s="41"/>
      <c r="H233" s="41"/>
      <c r="I233" s="41"/>
      <c r="J233" s="42"/>
      <c r="K233" s="42"/>
      <c r="L233" s="41"/>
      <c r="M233" s="41"/>
      <c r="N233" s="41"/>
      <c r="O233" s="41"/>
      <c r="P233" s="41"/>
      <c r="Q233" s="41"/>
      <c r="R233" s="16" t="str">
        <f t="shared" ca="1" si="48"/>
        <v/>
      </c>
      <c r="S233" s="16" t="str">
        <f ca="1">IF(A233="","",IF(OR(M233='02_マスタ'!$E$10,M233='02_マスタ'!$E$12),"",IF(L233="High","High",IF(AND(K233&lt;&gt;"",K233&lt;TODAY()),INDEX(_ゴミ箱_Backup!$B$117:$D$247,MATCH("ALERT_OVERDUE",_ゴミ箱_Backup!$A$117:$A$247,0),MATCH(言語切替!$B$3,_ゴミ箱_Backup!$B$1:$D$1,0)),IF(AND(K233&lt;&gt;"",K233-TODAY()&lt;=7),INDEX(_ゴミ箱_Backup!$B$117:$D$247,MATCH("ALERT_APPROACHING",_ゴミ箱_Backup!$A$117:$A$247,0),MATCH(言語切替!$B$3,_ゴミ箱_Backup!$B$1:$D$1,0)),IF(OR(M233='02_マスタ'!$E$7,M233='02_マスタ'!$E$8),INDEX(_ゴミ箱_Backup!$B$117:$D$247,MATCH("ALERT_CHECK",_ゴミ箱_Backup!$A$117:$A$247,0),MATCH(言語切替!$B$3,_ゴミ箱_Backup!$B$1:$D$1,0)),""))))))</f>
        <v/>
      </c>
      <c r="T233" s="52"/>
      <c r="U233" s="61" t="str">
        <f t="shared" si="49"/>
        <v/>
      </c>
      <c r="V233" s="61" t="str">
        <f t="shared" si="50"/>
        <v/>
      </c>
      <c r="W233" s="61" t="str">
        <f t="shared" si="51"/>
        <v/>
      </c>
      <c r="X233" s="61" t="str">
        <f t="shared" si="52"/>
        <v/>
      </c>
      <c r="Y233" s="61" t="str">
        <f t="shared" si="53"/>
        <v/>
      </c>
      <c r="Z233" s="61" t="str">
        <f t="shared" si="54"/>
        <v/>
      </c>
      <c r="AA233" s="61" t="str">
        <f t="shared" si="55"/>
        <v/>
      </c>
      <c r="AB233" s="61" t="str">
        <f t="shared" si="56"/>
        <v/>
      </c>
      <c r="AC233" s="61" t="str">
        <f t="shared" si="57"/>
        <v/>
      </c>
      <c r="AD233" s="61" t="str">
        <f t="shared" si="58"/>
        <v/>
      </c>
      <c r="AE233" s="61" t="str">
        <f t="shared" si="59"/>
        <v/>
      </c>
      <c r="AF233" s="61" t="str">
        <f t="shared" si="60"/>
        <v/>
      </c>
      <c r="AG233" s="61" t="str">
        <f t="shared" si="61"/>
        <v/>
      </c>
      <c r="AH233" s="61" t="str">
        <f t="shared" si="62"/>
        <v/>
      </c>
      <c r="AI233" s="61" t="str">
        <f t="shared" si="63"/>
        <v/>
      </c>
    </row>
    <row r="234" spans="1:35" x14ac:dyDescent="0.25">
      <c r="A234" s="36"/>
      <c r="B234" s="37"/>
      <c r="C234" s="37"/>
      <c r="D234" s="37"/>
      <c r="E234" s="37"/>
      <c r="F234" s="37"/>
      <c r="G234" s="37"/>
      <c r="H234" s="37"/>
      <c r="I234" s="37"/>
      <c r="J234" s="38"/>
      <c r="K234" s="38"/>
      <c r="L234" s="37"/>
      <c r="M234" s="37"/>
      <c r="N234" s="37"/>
      <c r="O234" s="37"/>
      <c r="P234" s="37"/>
      <c r="Q234" s="37"/>
      <c r="R234" s="13" t="str">
        <f t="shared" ca="1" si="48"/>
        <v/>
      </c>
      <c r="S234" s="13" t="str">
        <f ca="1">IF(A234="","",IF(OR(M234='02_マスタ'!$E$10,M234='02_マスタ'!$E$12),"",IF(L234="High","High",IF(AND(K234&lt;&gt;"",K234&lt;TODAY()),INDEX(_ゴミ箱_Backup!$B$117:$D$247,MATCH("ALERT_OVERDUE",_ゴミ箱_Backup!$A$117:$A$247,0),MATCH(言語切替!$B$3,_ゴミ箱_Backup!$B$1:$D$1,0)),IF(AND(K234&lt;&gt;"",K234-TODAY()&lt;=7),INDEX(_ゴミ箱_Backup!$B$117:$D$247,MATCH("ALERT_APPROACHING",_ゴミ箱_Backup!$A$117:$A$247,0),MATCH(言語切替!$B$3,_ゴミ箱_Backup!$B$1:$D$1,0)),IF(OR(M234='02_マスタ'!$E$7,M234='02_マスタ'!$E$8),INDEX(_ゴミ箱_Backup!$B$117:$D$247,MATCH("ALERT_CHECK",_ゴミ箱_Backup!$A$117:$A$247,0),MATCH(言語切替!$B$3,_ゴミ箱_Backup!$B$1:$D$1,0)),""))))))</f>
        <v/>
      </c>
      <c r="T234" s="53"/>
      <c r="U234" s="61" t="str">
        <f t="shared" si="49"/>
        <v/>
      </c>
      <c r="V234" s="61" t="str">
        <f t="shared" si="50"/>
        <v/>
      </c>
      <c r="W234" s="61" t="str">
        <f t="shared" si="51"/>
        <v/>
      </c>
      <c r="X234" s="61" t="str">
        <f t="shared" si="52"/>
        <v/>
      </c>
      <c r="Y234" s="61" t="str">
        <f t="shared" si="53"/>
        <v/>
      </c>
      <c r="Z234" s="61" t="str">
        <f t="shared" si="54"/>
        <v/>
      </c>
      <c r="AA234" s="61" t="str">
        <f t="shared" si="55"/>
        <v/>
      </c>
      <c r="AB234" s="61" t="str">
        <f t="shared" si="56"/>
        <v/>
      </c>
      <c r="AC234" s="61" t="str">
        <f t="shared" si="57"/>
        <v/>
      </c>
      <c r="AD234" s="61" t="str">
        <f t="shared" si="58"/>
        <v/>
      </c>
      <c r="AE234" s="61" t="str">
        <f t="shared" si="59"/>
        <v/>
      </c>
      <c r="AF234" s="61" t="str">
        <f t="shared" si="60"/>
        <v/>
      </c>
      <c r="AG234" s="61" t="str">
        <f t="shared" si="61"/>
        <v/>
      </c>
      <c r="AH234" s="61" t="str">
        <f t="shared" si="62"/>
        <v/>
      </c>
      <c r="AI234" s="61" t="str">
        <f t="shared" si="63"/>
        <v/>
      </c>
    </row>
    <row r="235" spans="1:35" x14ac:dyDescent="0.25">
      <c r="A235" s="40"/>
      <c r="B235" s="41"/>
      <c r="C235" s="41"/>
      <c r="D235" s="41"/>
      <c r="E235" s="41"/>
      <c r="F235" s="41"/>
      <c r="G235" s="41"/>
      <c r="H235" s="41"/>
      <c r="I235" s="41"/>
      <c r="J235" s="42"/>
      <c r="K235" s="42"/>
      <c r="L235" s="41"/>
      <c r="M235" s="41"/>
      <c r="N235" s="41"/>
      <c r="O235" s="41"/>
      <c r="P235" s="41"/>
      <c r="Q235" s="41"/>
      <c r="R235" s="16" t="str">
        <f t="shared" ca="1" si="48"/>
        <v/>
      </c>
      <c r="S235" s="16" t="str">
        <f ca="1">IF(A235="","",IF(OR(M235='02_マスタ'!$E$10,M235='02_マスタ'!$E$12),"",IF(L235="High","High",IF(AND(K235&lt;&gt;"",K235&lt;TODAY()),INDEX(_ゴミ箱_Backup!$B$117:$D$247,MATCH("ALERT_OVERDUE",_ゴミ箱_Backup!$A$117:$A$247,0),MATCH(言語切替!$B$3,_ゴミ箱_Backup!$B$1:$D$1,0)),IF(AND(K235&lt;&gt;"",K235-TODAY()&lt;=7),INDEX(_ゴミ箱_Backup!$B$117:$D$247,MATCH("ALERT_APPROACHING",_ゴミ箱_Backup!$A$117:$A$247,0),MATCH(言語切替!$B$3,_ゴミ箱_Backup!$B$1:$D$1,0)),IF(OR(M235='02_マスタ'!$E$7,M235='02_マスタ'!$E$8),INDEX(_ゴミ箱_Backup!$B$117:$D$247,MATCH("ALERT_CHECK",_ゴミ箱_Backup!$A$117:$A$247,0),MATCH(言語切替!$B$3,_ゴミ箱_Backup!$B$1:$D$1,0)),""))))))</f>
        <v/>
      </c>
      <c r="T235" s="52"/>
      <c r="U235" s="61" t="str">
        <f t="shared" si="49"/>
        <v/>
      </c>
      <c r="V235" s="61" t="str">
        <f t="shared" si="50"/>
        <v/>
      </c>
      <c r="W235" s="61" t="str">
        <f t="shared" si="51"/>
        <v/>
      </c>
      <c r="X235" s="61" t="str">
        <f t="shared" si="52"/>
        <v/>
      </c>
      <c r="Y235" s="61" t="str">
        <f t="shared" si="53"/>
        <v/>
      </c>
      <c r="Z235" s="61" t="str">
        <f t="shared" si="54"/>
        <v/>
      </c>
      <c r="AA235" s="61" t="str">
        <f t="shared" si="55"/>
        <v/>
      </c>
      <c r="AB235" s="61" t="str">
        <f t="shared" si="56"/>
        <v/>
      </c>
      <c r="AC235" s="61" t="str">
        <f t="shared" si="57"/>
        <v/>
      </c>
      <c r="AD235" s="61" t="str">
        <f t="shared" si="58"/>
        <v/>
      </c>
      <c r="AE235" s="61" t="str">
        <f t="shared" si="59"/>
        <v/>
      </c>
      <c r="AF235" s="61" t="str">
        <f t="shared" si="60"/>
        <v/>
      </c>
      <c r="AG235" s="61" t="str">
        <f t="shared" si="61"/>
        <v/>
      </c>
      <c r="AH235" s="61" t="str">
        <f t="shared" si="62"/>
        <v/>
      </c>
      <c r="AI235" s="61" t="str">
        <f t="shared" si="63"/>
        <v/>
      </c>
    </row>
    <row r="236" spans="1:35" x14ac:dyDescent="0.25">
      <c r="A236" s="36"/>
      <c r="B236" s="37"/>
      <c r="C236" s="37"/>
      <c r="D236" s="37"/>
      <c r="E236" s="37"/>
      <c r="F236" s="37"/>
      <c r="G236" s="37"/>
      <c r="H236" s="37"/>
      <c r="I236" s="37"/>
      <c r="J236" s="38"/>
      <c r="K236" s="38"/>
      <c r="L236" s="37"/>
      <c r="M236" s="37"/>
      <c r="N236" s="37"/>
      <c r="O236" s="37"/>
      <c r="P236" s="37"/>
      <c r="Q236" s="37"/>
      <c r="R236" s="13" t="str">
        <f t="shared" ca="1" si="48"/>
        <v/>
      </c>
      <c r="S236" s="13" t="str">
        <f ca="1">IF(A236="","",IF(OR(M236='02_マスタ'!$E$10,M236='02_マスタ'!$E$12),"",IF(L236="High","High",IF(AND(K236&lt;&gt;"",K236&lt;TODAY()),INDEX(_ゴミ箱_Backup!$B$117:$D$247,MATCH("ALERT_OVERDUE",_ゴミ箱_Backup!$A$117:$A$247,0),MATCH(言語切替!$B$3,_ゴミ箱_Backup!$B$1:$D$1,0)),IF(AND(K236&lt;&gt;"",K236-TODAY()&lt;=7),INDEX(_ゴミ箱_Backup!$B$117:$D$247,MATCH("ALERT_APPROACHING",_ゴミ箱_Backup!$A$117:$A$247,0),MATCH(言語切替!$B$3,_ゴミ箱_Backup!$B$1:$D$1,0)),IF(OR(M236='02_マスタ'!$E$7,M236='02_マスタ'!$E$8),INDEX(_ゴミ箱_Backup!$B$117:$D$247,MATCH("ALERT_CHECK",_ゴミ箱_Backup!$A$117:$A$247,0),MATCH(言語切替!$B$3,_ゴミ箱_Backup!$B$1:$D$1,0)),""))))))</f>
        <v/>
      </c>
      <c r="T236" s="53"/>
      <c r="U236" s="61" t="str">
        <f t="shared" si="49"/>
        <v/>
      </c>
      <c r="V236" s="61" t="str">
        <f t="shared" si="50"/>
        <v/>
      </c>
      <c r="W236" s="61" t="str">
        <f t="shared" si="51"/>
        <v/>
      </c>
      <c r="X236" s="61" t="str">
        <f t="shared" si="52"/>
        <v/>
      </c>
      <c r="Y236" s="61" t="str">
        <f t="shared" si="53"/>
        <v/>
      </c>
      <c r="Z236" s="61" t="str">
        <f t="shared" si="54"/>
        <v/>
      </c>
      <c r="AA236" s="61" t="str">
        <f t="shared" si="55"/>
        <v/>
      </c>
      <c r="AB236" s="61" t="str">
        <f t="shared" si="56"/>
        <v/>
      </c>
      <c r="AC236" s="61" t="str">
        <f t="shared" si="57"/>
        <v/>
      </c>
      <c r="AD236" s="61" t="str">
        <f t="shared" si="58"/>
        <v/>
      </c>
      <c r="AE236" s="61" t="str">
        <f t="shared" si="59"/>
        <v/>
      </c>
      <c r="AF236" s="61" t="str">
        <f t="shared" si="60"/>
        <v/>
      </c>
      <c r="AG236" s="61" t="str">
        <f t="shared" si="61"/>
        <v/>
      </c>
      <c r="AH236" s="61" t="str">
        <f t="shared" si="62"/>
        <v/>
      </c>
      <c r="AI236" s="61" t="str">
        <f t="shared" si="63"/>
        <v/>
      </c>
    </row>
    <row r="237" spans="1:35" x14ac:dyDescent="0.25">
      <c r="A237" s="40"/>
      <c r="B237" s="41"/>
      <c r="C237" s="41"/>
      <c r="D237" s="41"/>
      <c r="E237" s="41"/>
      <c r="F237" s="41"/>
      <c r="G237" s="41"/>
      <c r="H237" s="41"/>
      <c r="I237" s="41"/>
      <c r="J237" s="42"/>
      <c r="K237" s="42"/>
      <c r="L237" s="41"/>
      <c r="M237" s="41"/>
      <c r="N237" s="41"/>
      <c r="O237" s="41"/>
      <c r="P237" s="41"/>
      <c r="Q237" s="41"/>
      <c r="R237" s="16" t="str">
        <f t="shared" ca="1" si="48"/>
        <v/>
      </c>
      <c r="S237" s="16" t="str">
        <f ca="1">IF(A237="","",IF(OR(M237='02_マスタ'!$E$10,M237='02_マスタ'!$E$12),"",IF(L237="High","High",IF(AND(K237&lt;&gt;"",K237&lt;TODAY()),INDEX(_ゴミ箱_Backup!$B$117:$D$247,MATCH("ALERT_OVERDUE",_ゴミ箱_Backup!$A$117:$A$247,0),MATCH(言語切替!$B$3,_ゴミ箱_Backup!$B$1:$D$1,0)),IF(AND(K237&lt;&gt;"",K237-TODAY()&lt;=7),INDEX(_ゴミ箱_Backup!$B$117:$D$247,MATCH("ALERT_APPROACHING",_ゴミ箱_Backup!$A$117:$A$247,0),MATCH(言語切替!$B$3,_ゴミ箱_Backup!$B$1:$D$1,0)),IF(OR(M237='02_マスタ'!$E$7,M237='02_マスタ'!$E$8),INDEX(_ゴミ箱_Backup!$B$117:$D$247,MATCH("ALERT_CHECK",_ゴミ箱_Backup!$A$117:$A$247,0),MATCH(言語切替!$B$3,_ゴミ箱_Backup!$B$1:$D$1,0)),""))))))</f>
        <v/>
      </c>
      <c r="T237" s="52"/>
      <c r="U237" s="61" t="str">
        <f t="shared" si="49"/>
        <v/>
      </c>
      <c r="V237" s="61" t="str">
        <f t="shared" si="50"/>
        <v/>
      </c>
      <c r="W237" s="61" t="str">
        <f t="shared" si="51"/>
        <v/>
      </c>
      <c r="X237" s="61" t="str">
        <f t="shared" si="52"/>
        <v/>
      </c>
      <c r="Y237" s="61" t="str">
        <f t="shared" si="53"/>
        <v/>
      </c>
      <c r="Z237" s="61" t="str">
        <f t="shared" si="54"/>
        <v/>
      </c>
      <c r="AA237" s="61" t="str">
        <f t="shared" si="55"/>
        <v/>
      </c>
      <c r="AB237" s="61" t="str">
        <f t="shared" si="56"/>
        <v/>
      </c>
      <c r="AC237" s="61" t="str">
        <f t="shared" si="57"/>
        <v/>
      </c>
      <c r="AD237" s="61" t="str">
        <f t="shared" si="58"/>
        <v/>
      </c>
      <c r="AE237" s="61" t="str">
        <f t="shared" si="59"/>
        <v/>
      </c>
      <c r="AF237" s="61" t="str">
        <f t="shared" si="60"/>
        <v/>
      </c>
      <c r="AG237" s="61" t="str">
        <f t="shared" si="61"/>
        <v/>
      </c>
      <c r="AH237" s="61" t="str">
        <f t="shared" si="62"/>
        <v/>
      </c>
      <c r="AI237" s="61" t="str">
        <f t="shared" si="63"/>
        <v/>
      </c>
    </row>
    <row r="238" spans="1:35" x14ac:dyDescent="0.25">
      <c r="A238" s="36"/>
      <c r="B238" s="37"/>
      <c r="C238" s="37"/>
      <c r="D238" s="37"/>
      <c r="E238" s="37"/>
      <c r="F238" s="37"/>
      <c r="G238" s="37"/>
      <c r="H238" s="37"/>
      <c r="I238" s="37"/>
      <c r="J238" s="38"/>
      <c r="K238" s="38"/>
      <c r="L238" s="37"/>
      <c r="M238" s="37"/>
      <c r="N238" s="37"/>
      <c r="O238" s="37"/>
      <c r="P238" s="37"/>
      <c r="Q238" s="37"/>
      <c r="R238" s="13" t="str">
        <f t="shared" ca="1" si="48"/>
        <v/>
      </c>
      <c r="S238" s="13" t="str">
        <f ca="1">IF(A238="","",IF(OR(M238='02_マスタ'!$E$10,M238='02_マスタ'!$E$12),"",IF(L238="High","High",IF(AND(K238&lt;&gt;"",K238&lt;TODAY()),INDEX(_ゴミ箱_Backup!$B$117:$D$247,MATCH("ALERT_OVERDUE",_ゴミ箱_Backup!$A$117:$A$247,0),MATCH(言語切替!$B$3,_ゴミ箱_Backup!$B$1:$D$1,0)),IF(AND(K238&lt;&gt;"",K238-TODAY()&lt;=7),INDEX(_ゴミ箱_Backup!$B$117:$D$247,MATCH("ALERT_APPROACHING",_ゴミ箱_Backup!$A$117:$A$247,0),MATCH(言語切替!$B$3,_ゴミ箱_Backup!$B$1:$D$1,0)),IF(OR(M238='02_マスタ'!$E$7,M238='02_マスタ'!$E$8),INDEX(_ゴミ箱_Backup!$B$117:$D$247,MATCH("ALERT_CHECK",_ゴミ箱_Backup!$A$117:$A$247,0),MATCH(言語切替!$B$3,_ゴミ箱_Backup!$B$1:$D$1,0)),""))))))</f>
        <v/>
      </c>
      <c r="T238" s="53"/>
      <c r="U238" s="61" t="str">
        <f t="shared" si="49"/>
        <v/>
      </c>
      <c r="V238" s="61" t="str">
        <f t="shared" si="50"/>
        <v/>
      </c>
      <c r="W238" s="61" t="str">
        <f t="shared" si="51"/>
        <v/>
      </c>
      <c r="X238" s="61" t="str">
        <f t="shared" si="52"/>
        <v/>
      </c>
      <c r="Y238" s="61" t="str">
        <f t="shared" si="53"/>
        <v/>
      </c>
      <c r="Z238" s="61" t="str">
        <f t="shared" si="54"/>
        <v/>
      </c>
      <c r="AA238" s="61" t="str">
        <f t="shared" si="55"/>
        <v/>
      </c>
      <c r="AB238" s="61" t="str">
        <f t="shared" si="56"/>
        <v/>
      </c>
      <c r="AC238" s="61" t="str">
        <f t="shared" si="57"/>
        <v/>
      </c>
      <c r="AD238" s="61" t="str">
        <f t="shared" si="58"/>
        <v/>
      </c>
      <c r="AE238" s="61" t="str">
        <f t="shared" si="59"/>
        <v/>
      </c>
      <c r="AF238" s="61" t="str">
        <f t="shared" si="60"/>
        <v/>
      </c>
      <c r="AG238" s="61" t="str">
        <f t="shared" si="61"/>
        <v/>
      </c>
      <c r="AH238" s="61" t="str">
        <f t="shared" si="62"/>
        <v/>
      </c>
      <c r="AI238" s="61" t="str">
        <f t="shared" si="63"/>
        <v/>
      </c>
    </row>
    <row r="239" spans="1:35" x14ac:dyDescent="0.25">
      <c r="A239" s="40"/>
      <c r="B239" s="41"/>
      <c r="C239" s="41"/>
      <c r="D239" s="41"/>
      <c r="E239" s="41"/>
      <c r="F239" s="41"/>
      <c r="G239" s="41"/>
      <c r="H239" s="41"/>
      <c r="I239" s="41"/>
      <c r="J239" s="42"/>
      <c r="K239" s="42"/>
      <c r="L239" s="41"/>
      <c r="M239" s="41"/>
      <c r="N239" s="41"/>
      <c r="O239" s="41"/>
      <c r="P239" s="41"/>
      <c r="Q239" s="41"/>
      <c r="R239" s="16" t="str">
        <f t="shared" ca="1" si="48"/>
        <v/>
      </c>
      <c r="S239" s="16" t="str">
        <f ca="1">IF(A239="","",IF(OR(M239='02_マスタ'!$E$10,M239='02_マスタ'!$E$12),"",IF(L239="High","High",IF(AND(K239&lt;&gt;"",K239&lt;TODAY()),INDEX(_ゴミ箱_Backup!$B$117:$D$247,MATCH("ALERT_OVERDUE",_ゴミ箱_Backup!$A$117:$A$247,0),MATCH(言語切替!$B$3,_ゴミ箱_Backup!$B$1:$D$1,0)),IF(AND(K239&lt;&gt;"",K239-TODAY()&lt;=7),INDEX(_ゴミ箱_Backup!$B$117:$D$247,MATCH("ALERT_APPROACHING",_ゴミ箱_Backup!$A$117:$A$247,0),MATCH(言語切替!$B$3,_ゴミ箱_Backup!$B$1:$D$1,0)),IF(OR(M239='02_マスタ'!$E$7,M239='02_マスタ'!$E$8),INDEX(_ゴミ箱_Backup!$B$117:$D$247,MATCH("ALERT_CHECK",_ゴミ箱_Backup!$A$117:$A$247,0),MATCH(言語切替!$B$3,_ゴミ箱_Backup!$B$1:$D$1,0)),""))))))</f>
        <v/>
      </c>
      <c r="T239" s="52"/>
      <c r="U239" s="61" t="str">
        <f t="shared" si="49"/>
        <v/>
      </c>
      <c r="V239" s="61" t="str">
        <f t="shared" si="50"/>
        <v/>
      </c>
      <c r="W239" s="61" t="str">
        <f t="shared" si="51"/>
        <v/>
      </c>
      <c r="X239" s="61" t="str">
        <f t="shared" si="52"/>
        <v/>
      </c>
      <c r="Y239" s="61" t="str">
        <f t="shared" si="53"/>
        <v/>
      </c>
      <c r="Z239" s="61" t="str">
        <f t="shared" si="54"/>
        <v/>
      </c>
      <c r="AA239" s="61" t="str">
        <f t="shared" si="55"/>
        <v/>
      </c>
      <c r="AB239" s="61" t="str">
        <f t="shared" si="56"/>
        <v/>
      </c>
      <c r="AC239" s="61" t="str">
        <f t="shared" si="57"/>
        <v/>
      </c>
      <c r="AD239" s="61" t="str">
        <f t="shared" si="58"/>
        <v/>
      </c>
      <c r="AE239" s="61" t="str">
        <f t="shared" si="59"/>
        <v/>
      </c>
      <c r="AF239" s="61" t="str">
        <f t="shared" si="60"/>
        <v/>
      </c>
      <c r="AG239" s="61" t="str">
        <f t="shared" si="61"/>
        <v/>
      </c>
      <c r="AH239" s="61" t="str">
        <f t="shared" si="62"/>
        <v/>
      </c>
      <c r="AI239" s="61" t="str">
        <f t="shared" si="63"/>
        <v/>
      </c>
    </row>
    <row r="240" spans="1:35" x14ac:dyDescent="0.25">
      <c r="A240" s="36"/>
      <c r="B240" s="37"/>
      <c r="C240" s="37"/>
      <c r="D240" s="37"/>
      <c r="E240" s="37"/>
      <c r="F240" s="37"/>
      <c r="G240" s="37"/>
      <c r="H240" s="37"/>
      <c r="I240" s="37"/>
      <c r="J240" s="38"/>
      <c r="K240" s="38"/>
      <c r="L240" s="37"/>
      <c r="M240" s="37"/>
      <c r="N240" s="37"/>
      <c r="O240" s="37"/>
      <c r="P240" s="37"/>
      <c r="Q240" s="37"/>
      <c r="R240" s="13" t="str">
        <f t="shared" ca="1" si="48"/>
        <v/>
      </c>
      <c r="S240" s="13" t="str">
        <f ca="1">IF(A240="","",IF(OR(M240='02_マスタ'!$E$10,M240='02_マスタ'!$E$12),"",IF(L240="High","High",IF(AND(K240&lt;&gt;"",K240&lt;TODAY()),INDEX(_ゴミ箱_Backup!$B$117:$D$247,MATCH("ALERT_OVERDUE",_ゴミ箱_Backup!$A$117:$A$247,0),MATCH(言語切替!$B$3,_ゴミ箱_Backup!$B$1:$D$1,0)),IF(AND(K240&lt;&gt;"",K240-TODAY()&lt;=7),INDEX(_ゴミ箱_Backup!$B$117:$D$247,MATCH("ALERT_APPROACHING",_ゴミ箱_Backup!$A$117:$A$247,0),MATCH(言語切替!$B$3,_ゴミ箱_Backup!$B$1:$D$1,0)),IF(OR(M240='02_マスタ'!$E$7,M240='02_マスタ'!$E$8),INDEX(_ゴミ箱_Backup!$B$117:$D$247,MATCH("ALERT_CHECK",_ゴミ箱_Backup!$A$117:$A$247,0),MATCH(言語切替!$B$3,_ゴミ箱_Backup!$B$1:$D$1,0)),""))))))</f>
        <v/>
      </c>
      <c r="T240" s="53"/>
      <c r="U240" s="61" t="str">
        <f t="shared" si="49"/>
        <v/>
      </c>
      <c r="V240" s="61" t="str">
        <f t="shared" si="50"/>
        <v/>
      </c>
      <c r="W240" s="61" t="str">
        <f t="shared" si="51"/>
        <v/>
      </c>
      <c r="X240" s="61" t="str">
        <f t="shared" si="52"/>
        <v/>
      </c>
      <c r="Y240" s="61" t="str">
        <f t="shared" si="53"/>
        <v/>
      </c>
      <c r="Z240" s="61" t="str">
        <f t="shared" si="54"/>
        <v/>
      </c>
      <c r="AA240" s="61" t="str">
        <f t="shared" si="55"/>
        <v/>
      </c>
      <c r="AB240" s="61" t="str">
        <f t="shared" si="56"/>
        <v/>
      </c>
      <c r="AC240" s="61" t="str">
        <f t="shared" si="57"/>
        <v/>
      </c>
      <c r="AD240" s="61" t="str">
        <f t="shared" si="58"/>
        <v/>
      </c>
      <c r="AE240" s="61" t="str">
        <f t="shared" si="59"/>
        <v/>
      </c>
      <c r="AF240" s="61" t="str">
        <f t="shared" si="60"/>
        <v/>
      </c>
      <c r="AG240" s="61" t="str">
        <f t="shared" si="61"/>
        <v/>
      </c>
      <c r="AH240" s="61" t="str">
        <f t="shared" si="62"/>
        <v/>
      </c>
      <c r="AI240" s="61" t="str">
        <f t="shared" si="63"/>
        <v/>
      </c>
    </row>
    <row r="241" spans="1:35" x14ac:dyDescent="0.25">
      <c r="A241" s="40"/>
      <c r="B241" s="41"/>
      <c r="C241" s="41"/>
      <c r="D241" s="41"/>
      <c r="E241" s="41"/>
      <c r="F241" s="41"/>
      <c r="G241" s="41"/>
      <c r="H241" s="41"/>
      <c r="I241" s="41"/>
      <c r="J241" s="42"/>
      <c r="K241" s="42"/>
      <c r="L241" s="41"/>
      <c r="M241" s="41"/>
      <c r="N241" s="41"/>
      <c r="O241" s="41"/>
      <c r="P241" s="41"/>
      <c r="Q241" s="41"/>
      <c r="R241" s="16" t="str">
        <f t="shared" ca="1" si="48"/>
        <v/>
      </c>
      <c r="S241" s="16" t="str">
        <f ca="1">IF(A241="","",IF(OR(M241='02_マスタ'!$E$10,M241='02_マスタ'!$E$12),"",IF(L241="High","High",IF(AND(K241&lt;&gt;"",K241&lt;TODAY()),INDEX(_ゴミ箱_Backup!$B$117:$D$247,MATCH("ALERT_OVERDUE",_ゴミ箱_Backup!$A$117:$A$247,0),MATCH(言語切替!$B$3,_ゴミ箱_Backup!$B$1:$D$1,0)),IF(AND(K241&lt;&gt;"",K241-TODAY()&lt;=7),INDEX(_ゴミ箱_Backup!$B$117:$D$247,MATCH("ALERT_APPROACHING",_ゴミ箱_Backup!$A$117:$A$247,0),MATCH(言語切替!$B$3,_ゴミ箱_Backup!$B$1:$D$1,0)),IF(OR(M241='02_マスタ'!$E$7,M241='02_マスタ'!$E$8),INDEX(_ゴミ箱_Backup!$B$117:$D$247,MATCH("ALERT_CHECK",_ゴミ箱_Backup!$A$117:$A$247,0),MATCH(言語切替!$B$3,_ゴミ箱_Backup!$B$1:$D$1,0)),""))))))</f>
        <v/>
      </c>
      <c r="T241" s="52"/>
      <c r="U241" s="61" t="str">
        <f t="shared" si="49"/>
        <v/>
      </c>
      <c r="V241" s="61" t="str">
        <f t="shared" si="50"/>
        <v/>
      </c>
      <c r="W241" s="61" t="str">
        <f t="shared" si="51"/>
        <v/>
      </c>
      <c r="X241" s="61" t="str">
        <f t="shared" si="52"/>
        <v/>
      </c>
      <c r="Y241" s="61" t="str">
        <f t="shared" si="53"/>
        <v/>
      </c>
      <c r="Z241" s="61" t="str">
        <f t="shared" si="54"/>
        <v/>
      </c>
      <c r="AA241" s="61" t="str">
        <f t="shared" si="55"/>
        <v/>
      </c>
      <c r="AB241" s="61" t="str">
        <f t="shared" si="56"/>
        <v/>
      </c>
      <c r="AC241" s="61" t="str">
        <f t="shared" si="57"/>
        <v/>
      </c>
      <c r="AD241" s="61" t="str">
        <f t="shared" si="58"/>
        <v/>
      </c>
      <c r="AE241" s="61" t="str">
        <f t="shared" si="59"/>
        <v/>
      </c>
      <c r="AF241" s="61" t="str">
        <f t="shared" si="60"/>
        <v/>
      </c>
      <c r="AG241" s="61" t="str">
        <f t="shared" si="61"/>
        <v/>
      </c>
      <c r="AH241" s="61" t="str">
        <f t="shared" si="62"/>
        <v/>
      </c>
      <c r="AI241" s="61" t="str">
        <f t="shared" si="63"/>
        <v/>
      </c>
    </row>
    <row r="242" spans="1:35" x14ac:dyDescent="0.25">
      <c r="A242" s="36"/>
      <c r="B242" s="37"/>
      <c r="C242" s="37"/>
      <c r="D242" s="37"/>
      <c r="E242" s="37"/>
      <c r="F242" s="37"/>
      <c r="G242" s="37"/>
      <c r="H242" s="37"/>
      <c r="I242" s="37"/>
      <c r="J242" s="38"/>
      <c r="K242" s="38"/>
      <c r="L242" s="37"/>
      <c r="M242" s="37"/>
      <c r="N242" s="37"/>
      <c r="O242" s="37"/>
      <c r="P242" s="37"/>
      <c r="Q242" s="37"/>
      <c r="R242" s="13" t="str">
        <f t="shared" ca="1" si="48"/>
        <v/>
      </c>
      <c r="S242" s="13" t="str">
        <f ca="1">IF(A242="","",IF(OR(M242='02_マスタ'!$E$10,M242='02_マスタ'!$E$12),"",IF(L242="High","High",IF(AND(K242&lt;&gt;"",K242&lt;TODAY()),INDEX(_ゴミ箱_Backup!$B$117:$D$247,MATCH("ALERT_OVERDUE",_ゴミ箱_Backup!$A$117:$A$247,0),MATCH(言語切替!$B$3,_ゴミ箱_Backup!$B$1:$D$1,0)),IF(AND(K242&lt;&gt;"",K242-TODAY()&lt;=7),INDEX(_ゴミ箱_Backup!$B$117:$D$247,MATCH("ALERT_APPROACHING",_ゴミ箱_Backup!$A$117:$A$247,0),MATCH(言語切替!$B$3,_ゴミ箱_Backup!$B$1:$D$1,0)),IF(OR(M242='02_マスタ'!$E$7,M242='02_マスタ'!$E$8),INDEX(_ゴミ箱_Backup!$B$117:$D$247,MATCH("ALERT_CHECK",_ゴミ箱_Backup!$A$117:$A$247,0),MATCH(言語切替!$B$3,_ゴミ箱_Backup!$B$1:$D$1,0)),""))))))</f>
        <v/>
      </c>
      <c r="T242" s="53"/>
      <c r="U242" s="61" t="str">
        <f t="shared" si="49"/>
        <v/>
      </c>
      <c r="V242" s="61" t="str">
        <f t="shared" si="50"/>
        <v/>
      </c>
      <c r="W242" s="61" t="str">
        <f t="shared" si="51"/>
        <v/>
      </c>
      <c r="X242" s="61" t="str">
        <f t="shared" si="52"/>
        <v/>
      </c>
      <c r="Y242" s="61" t="str">
        <f t="shared" si="53"/>
        <v/>
      </c>
      <c r="Z242" s="61" t="str">
        <f t="shared" si="54"/>
        <v/>
      </c>
      <c r="AA242" s="61" t="str">
        <f t="shared" si="55"/>
        <v/>
      </c>
      <c r="AB242" s="61" t="str">
        <f t="shared" si="56"/>
        <v/>
      </c>
      <c r="AC242" s="61" t="str">
        <f t="shared" si="57"/>
        <v/>
      </c>
      <c r="AD242" s="61" t="str">
        <f t="shared" si="58"/>
        <v/>
      </c>
      <c r="AE242" s="61" t="str">
        <f t="shared" si="59"/>
        <v/>
      </c>
      <c r="AF242" s="61" t="str">
        <f t="shared" si="60"/>
        <v/>
      </c>
      <c r="AG242" s="61" t="str">
        <f t="shared" si="61"/>
        <v/>
      </c>
      <c r="AH242" s="61" t="str">
        <f t="shared" si="62"/>
        <v/>
      </c>
      <c r="AI242" s="61" t="str">
        <f t="shared" si="63"/>
        <v/>
      </c>
    </row>
    <row r="243" spans="1:35" x14ac:dyDescent="0.25">
      <c r="A243" s="40"/>
      <c r="B243" s="41"/>
      <c r="C243" s="41"/>
      <c r="D243" s="41"/>
      <c r="E243" s="41"/>
      <c r="F243" s="41"/>
      <c r="G243" s="41"/>
      <c r="H243" s="41"/>
      <c r="I243" s="41"/>
      <c r="J243" s="42"/>
      <c r="K243" s="42"/>
      <c r="L243" s="41"/>
      <c r="M243" s="41"/>
      <c r="N243" s="41"/>
      <c r="O243" s="41"/>
      <c r="P243" s="41"/>
      <c r="Q243" s="41"/>
      <c r="R243" s="16" t="str">
        <f t="shared" ca="1" si="48"/>
        <v/>
      </c>
      <c r="S243" s="16" t="str">
        <f ca="1">IF(A243="","",IF(OR(M243='02_マスタ'!$E$10,M243='02_マスタ'!$E$12),"",IF(L243="High","High",IF(AND(K243&lt;&gt;"",K243&lt;TODAY()),INDEX(_ゴミ箱_Backup!$B$117:$D$247,MATCH("ALERT_OVERDUE",_ゴミ箱_Backup!$A$117:$A$247,0),MATCH(言語切替!$B$3,_ゴミ箱_Backup!$B$1:$D$1,0)),IF(AND(K243&lt;&gt;"",K243-TODAY()&lt;=7),INDEX(_ゴミ箱_Backup!$B$117:$D$247,MATCH("ALERT_APPROACHING",_ゴミ箱_Backup!$A$117:$A$247,0),MATCH(言語切替!$B$3,_ゴミ箱_Backup!$B$1:$D$1,0)),IF(OR(M243='02_マスタ'!$E$7,M243='02_マスタ'!$E$8),INDEX(_ゴミ箱_Backup!$B$117:$D$247,MATCH("ALERT_CHECK",_ゴミ箱_Backup!$A$117:$A$247,0),MATCH(言語切替!$B$3,_ゴミ箱_Backup!$B$1:$D$1,0)),""))))))</f>
        <v/>
      </c>
      <c r="T243" s="52"/>
      <c r="U243" s="61" t="str">
        <f t="shared" si="49"/>
        <v/>
      </c>
      <c r="V243" s="61" t="str">
        <f t="shared" si="50"/>
        <v/>
      </c>
      <c r="W243" s="61" t="str">
        <f t="shared" si="51"/>
        <v/>
      </c>
      <c r="X243" s="61" t="str">
        <f t="shared" si="52"/>
        <v/>
      </c>
      <c r="Y243" s="61" t="str">
        <f t="shared" si="53"/>
        <v/>
      </c>
      <c r="Z243" s="61" t="str">
        <f t="shared" si="54"/>
        <v/>
      </c>
      <c r="AA243" s="61" t="str">
        <f t="shared" si="55"/>
        <v/>
      </c>
      <c r="AB243" s="61" t="str">
        <f t="shared" si="56"/>
        <v/>
      </c>
      <c r="AC243" s="61" t="str">
        <f t="shared" si="57"/>
        <v/>
      </c>
      <c r="AD243" s="61" t="str">
        <f t="shared" si="58"/>
        <v/>
      </c>
      <c r="AE243" s="61" t="str">
        <f t="shared" si="59"/>
        <v/>
      </c>
      <c r="AF243" s="61" t="str">
        <f t="shared" si="60"/>
        <v/>
      </c>
      <c r="AG243" s="61" t="str">
        <f t="shared" si="61"/>
        <v/>
      </c>
      <c r="AH243" s="61" t="str">
        <f t="shared" si="62"/>
        <v/>
      </c>
      <c r="AI243" s="61" t="str">
        <f t="shared" si="63"/>
        <v/>
      </c>
    </row>
    <row r="244" spans="1:35" x14ac:dyDescent="0.25">
      <c r="A244" s="36"/>
      <c r="B244" s="37"/>
      <c r="C244" s="37"/>
      <c r="D244" s="37"/>
      <c r="E244" s="37"/>
      <c r="F244" s="37"/>
      <c r="G244" s="37"/>
      <c r="H244" s="37"/>
      <c r="I244" s="37"/>
      <c r="J244" s="38"/>
      <c r="K244" s="38"/>
      <c r="L244" s="37"/>
      <c r="M244" s="37"/>
      <c r="N244" s="37"/>
      <c r="O244" s="37"/>
      <c r="P244" s="37"/>
      <c r="Q244" s="37"/>
      <c r="R244" s="13" t="str">
        <f t="shared" ca="1" si="48"/>
        <v/>
      </c>
      <c r="S244" s="13" t="str">
        <f ca="1">IF(A244="","",IF(OR(M244='02_マスタ'!$E$10,M244='02_マスタ'!$E$12),"",IF(L244="High","High",IF(AND(K244&lt;&gt;"",K244&lt;TODAY()),INDEX(_ゴミ箱_Backup!$B$117:$D$247,MATCH("ALERT_OVERDUE",_ゴミ箱_Backup!$A$117:$A$247,0),MATCH(言語切替!$B$3,_ゴミ箱_Backup!$B$1:$D$1,0)),IF(AND(K244&lt;&gt;"",K244-TODAY()&lt;=7),INDEX(_ゴミ箱_Backup!$B$117:$D$247,MATCH("ALERT_APPROACHING",_ゴミ箱_Backup!$A$117:$A$247,0),MATCH(言語切替!$B$3,_ゴミ箱_Backup!$B$1:$D$1,0)),IF(OR(M244='02_マスタ'!$E$7,M244='02_マスタ'!$E$8),INDEX(_ゴミ箱_Backup!$B$117:$D$247,MATCH("ALERT_CHECK",_ゴミ箱_Backup!$A$117:$A$247,0),MATCH(言語切替!$B$3,_ゴミ箱_Backup!$B$1:$D$1,0)),""))))))</f>
        <v/>
      </c>
      <c r="T244" s="53"/>
      <c r="U244" s="61" t="str">
        <f t="shared" si="49"/>
        <v/>
      </c>
      <c r="V244" s="61" t="str">
        <f t="shared" si="50"/>
        <v/>
      </c>
      <c r="W244" s="61" t="str">
        <f t="shared" si="51"/>
        <v/>
      </c>
      <c r="X244" s="61" t="str">
        <f t="shared" si="52"/>
        <v/>
      </c>
      <c r="Y244" s="61" t="str">
        <f t="shared" si="53"/>
        <v/>
      </c>
      <c r="Z244" s="61" t="str">
        <f t="shared" si="54"/>
        <v/>
      </c>
      <c r="AA244" s="61" t="str">
        <f t="shared" si="55"/>
        <v/>
      </c>
      <c r="AB244" s="61" t="str">
        <f t="shared" si="56"/>
        <v/>
      </c>
      <c r="AC244" s="61" t="str">
        <f t="shared" si="57"/>
        <v/>
      </c>
      <c r="AD244" s="61" t="str">
        <f t="shared" si="58"/>
        <v/>
      </c>
      <c r="AE244" s="61" t="str">
        <f t="shared" si="59"/>
        <v/>
      </c>
      <c r="AF244" s="61" t="str">
        <f t="shared" si="60"/>
        <v/>
      </c>
      <c r="AG244" s="61" t="str">
        <f t="shared" si="61"/>
        <v/>
      </c>
      <c r="AH244" s="61" t="str">
        <f t="shared" si="62"/>
        <v/>
      </c>
      <c r="AI244" s="61" t="str">
        <f t="shared" si="63"/>
        <v/>
      </c>
    </row>
    <row r="245" spans="1:35" x14ac:dyDescent="0.25">
      <c r="A245" s="40"/>
      <c r="B245" s="41"/>
      <c r="C245" s="41"/>
      <c r="D245" s="41"/>
      <c r="E245" s="41"/>
      <c r="F245" s="41"/>
      <c r="G245" s="41"/>
      <c r="H245" s="41"/>
      <c r="I245" s="41"/>
      <c r="J245" s="42"/>
      <c r="K245" s="42"/>
      <c r="L245" s="41"/>
      <c r="M245" s="41"/>
      <c r="N245" s="41"/>
      <c r="O245" s="41"/>
      <c r="P245" s="41"/>
      <c r="Q245" s="41"/>
      <c r="R245" s="16" t="str">
        <f t="shared" ca="1" si="48"/>
        <v/>
      </c>
      <c r="S245" s="16" t="str">
        <f ca="1">IF(A245="","",IF(OR(M245='02_マスタ'!$E$10,M245='02_マスタ'!$E$12),"",IF(L245="High","High",IF(AND(K245&lt;&gt;"",K245&lt;TODAY()),INDEX(_ゴミ箱_Backup!$B$117:$D$247,MATCH("ALERT_OVERDUE",_ゴミ箱_Backup!$A$117:$A$247,0),MATCH(言語切替!$B$3,_ゴミ箱_Backup!$B$1:$D$1,0)),IF(AND(K245&lt;&gt;"",K245-TODAY()&lt;=7),INDEX(_ゴミ箱_Backup!$B$117:$D$247,MATCH("ALERT_APPROACHING",_ゴミ箱_Backup!$A$117:$A$247,0),MATCH(言語切替!$B$3,_ゴミ箱_Backup!$B$1:$D$1,0)),IF(OR(M245='02_マスタ'!$E$7,M245='02_マスタ'!$E$8),INDEX(_ゴミ箱_Backup!$B$117:$D$247,MATCH("ALERT_CHECK",_ゴミ箱_Backup!$A$117:$A$247,0),MATCH(言語切替!$B$3,_ゴミ箱_Backup!$B$1:$D$1,0)),""))))))</f>
        <v/>
      </c>
      <c r="T245" s="52"/>
      <c r="U245" s="61" t="str">
        <f t="shared" si="49"/>
        <v/>
      </c>
      <c r="V245" s="61" t="str">
        <f t="shared" si="50"/>
        <v/>
      </c>
      <c r="W245" s="61" t="str">
        <f t="shared" si="51"/>
        <v/>
      </c>
      <c r="X245" s="61" t="str">
        <f t="shared" si="52"/>
        <v/>
      </c>
      <c r="Y245" s="61" t="str">
        <f t="shared" si="53"/>
        <v/>
      </c>
      <c r="Z245" s="61" t="str">
        <f t="shared" si="54"/>
        <v/>
      </c>
      <c r="AA245" s="61" t="str">
        <f t="shared" si="55"/>
        <v/>
      </c>
      <c r="AB245" s="61" t="str">
        <f t="shared" si="56"/>
        <v/>
      </c>
      <c r="AC245" s="61" t="str">
        <f t="shared" si="57"/>
        <v/>
      </c>
      <c r="AD245" s="61" t="str">
        <f t="shared" si="58"/>
        <v/>
      </c>
      <c r="AE245" s="61" t="str">
        <f t="shared" si="59"/>
        <v/>
      </c>
      <c r="AF245" s="61" t="str">
        <f t="shared" si="60"/>
        <v/>
      </c>
      <c r="AG245" s="61" t="str">
        <f t="shared" si="61"/>
        <v/>
      </c>
      <c r="AH245" s="61" t="str">
        <f t="shared" si="62"/>
        <v/>
      </c>
      <c r="AI245" s="61" t="str">
        <f t="shared" si="63"/>
        <v/>
      </c>
    </row>
    <row r="246" spans="1:35" x14ac:dyDescent="0.25">
      <c r="A246" s="36"/>
      <c r="B246" s="37"/>
      <c r="C246" s="37"/>
      <c r="D246" s="37"/>
      <c r="E246" s="37"/>
      <c r="F246" s="37"/>
      <c r="G246" s="37"/>
      <c r="H246" s="37"/>
      <c r="I246" s="37"/>
      <c r="J246" s="38"/>
      <c r="K246" s="38"/>
      <c r="L246" s="37"/>
      <c r="M246" s="37"/>
      <c r="N246" s="37"/>
      <c r="O246" s="37"/>
      <c r="P246" s="37"/>
      <c r="Q246" s="37"/>
      <c r="R246" s="13" t="str">
        <f t="shared" ca="1" si="48"/>
        <v/>
      </c>
      <c r="S246" s="13" t="str">
        <f ca="1">IF(A246="","",IF(OR(M246='02_マスタ'!$E$10,M246='02_マスタ'!$E$12),"",IF(L246="High","High",IF(AND(K246&lt;&gt;"",K246&lt;TODAY()),INDEX(_ゴミ箱_Backup!$B$117:$D$247,MATCH("ALERT_OVERDUE",_ゴミ箱_Backup!$A$117:$A$247,0),MATCH(言語切替!$B$3,_ゴミ箱_Backup!$B$1:$D$1,0)),IF(AND(K246&lt;&gt;"",K246-TODAY()&lt;=7),INDEX(_ゴミ箱_Backup!$B$117:$D$247,MATCH("ALERT_APPROACHING",_ゴミ箱_Backup!$A$117:$A$247,0),MATCH(言語切替!$B$3,_ゴミ箱_Backup!$B$1:$D$1,0)),IF(OR(M246='02_マスタ'!$E$7,M246='02_マスタ'!$E$8),INDEX(_ゴミ箱_Backup!$B$117:$D$247,MATCH("ALERT_CHECK",_ゴミ箱_Backup!$A$117:$A$247,0),MATCH(言語切替!$B$3,_ゴミ箱_Backup!$B$1:$D$1,0)),""))))))</f>
        <v/>
      </c>
      <c r="T246" s="53"/>
      <c r="U246" s="61" t="str">
        <f t="shared" si="49"/>
        <v/>
      </c>
      <c r="V246" s="61" t="str">
        <f t="shared" si="50"/>
        <v/>
      </c>
      <c r="W246" s="61" t="str">
        <f t="shared" si="51"/>
        <v/>
      </c>
      <c r="X246" s="61" t="str">
        <f t="shared" si="52"/>
        <v/>
      </c>
      <c r="Y246" s="61" t="str">
        <f t="shared" si="53"/>
        <v/>
      </c>
      <c r="Z246" s="61" t="str">
        <f t="shared" si="54"/>
        <v/>
      </c>
      <c r="AA246" s="61" t="str">
        <f t="shared" si="55"/>
        <v/>
      </c>
      <c r="AB246" s="61" t="str">
        <f t="shared" si="56"/>
        <v/>
      </c>
      <c r="AC246" s="61" t="str">
        <f t="shared" si="57"/>
        <v/>
      </c>
      <c r="AD246" s="61" t="str">
        <f t="shared" si="58"/>
        <v/>
      </c>
      <c r="AE246" s="61" t="str">
        <f t="shared" si="59"/>
        <v/>
      </c>
      <c r="AF246" s="61" t="str">
        <f t="shared" si="60"/>
        <v/>
      </c>
      <c r="AG246" s="61" t="str">
        <f t="shared" si="61"/>
        <v/>
      </c>
      <c r="AH246" s="61" t="str">
        <f t="shared" si="62"/>
        <v/>
      </c>
      <c r="AI246" s="61" t="str">
        <f t="shared" si="63"/>
        <v/>
      </c>
    </row>
    <row r="247" spans="1:35" x14ac:dyDescent="0.25">
      <c r="A247" s="40"/>
      <c r="B247" s="41"/>
      <c r="C247" s="41"/>
      <c r="D247" s="41"/>
      <c r="E247" s="41"/>
      <c r="F247" s="41"/>
      <c r="G247" s="41"/>
      <c r="H247" s="41"/>
      <c r="I247" s="41"/>
      <c r="J247" s="42"/>
      <c r="K247" s="42"/>
      <c r="L247" s="41"/>
      <c r="M247" s="41"/>
      <c r="N247" s="41"/>
      <c r="O247" s="41"/>
      <c r="P247" s="41"/>
      <c r="Q247" s="41"/>
      <c r="R247" s="16" t="str">
        <f t="shared" ca="1" si="48"/>
        <v/>
      </c>
      <c r="S247" s="16" t="str">
        <f ca="1">IF(A247="","",IF(OR(M247='02_マスタ'!$E$10,M247='02_マスタ'!$E$12),"",IF(L247="High","High",IF(AND(K247&lt;&gt;"",K247&lt;TODAY()),INDEX(_ゴミ箱_Backup!$B$117:$D$247,MATCH("ALERT_OVERDUE",_ゴミ箱_Backup!$A$117:$A$247,0),MATCH(言語切替!$B$3,_ゴミ箱_Backup!$B$1:$D$1,0)),IF(AND(K247&lt;&gt;"",K247-TODAY()&lt;=7),INDEX(_ゴミ箱_Backup!$B$117:$D$247,MATCH("ALERT_APPROACHING",_ゴミ箱_Backup!$A$117:$A$247,0),MATCH(言語切替!$B$3,_ゴミ箱_Backup!$B$1:$D$1,0)),IF(OR(M247='02_マスタ'!$E$7,M247='02_マスタ'!$E$8),INDEX(_ゴミ箱_Backup!$B$117:$D$247,MATCH("ALERT_CHECK",_ゴミ箱_Backup!$A$117:$A$247,0),MATCH(言語切替!$B$3,_ゴミ箱_Backup!$B$1:$D$1,0)),""))))))</f>
        <v/>
      </c>
      <c r="T247" s="52"/>
      <c r="U247" s="61" t="str">
        <f t="shared" si="49"/>
        <v/>
      </c>
      <c r="V247" s="61" t="str">
        <f t="shared" si="50"/>
        <v/>
      </c>
      <c r="W247" s="61" t="str">
        <f t="shared" si="51"/>
        <v/>
      </c>
      <c r="X247" s="61" t="str">
        <f t="shared" si="52"/>
        <v/>
      </c>
      <c r="Y247" s="61" t="str">
        <f t="shared" si="53"/>
        <v/>
      </c>
      <c r="Z247" s="61" t="str">
        <f t="shared" si="54"/>
        <v/>
      </c>
      <c r="AA247" s="61" t="str">
        <f t="shared" si="55"/>
        <v/>
      </c>
      <c r="AB247" s="61" t="str">
        <f t="shared" si="56"/>
        <v/>
      </c>
      <c r="AC247" s="61" t="str">
        <f t="shared" si="57"/>
        <v/>
      </c>
      <c r="AD247" s="61" t="str">
        <f t="shared" si="58"/>
        <v/>
      </c>
      <c r="AE247" s="61" t="str">
        <f t="shared" si="59"/>
        <v/>
      </c>
      <c r="AF247" s="61" t="str">
        <f t="shared" si="60"/>
        <v/>
      </c>
      <c r="AG247" s="61" t="str">
        <f t="shared" si="61"/>
        <v/>
      </c>
      <c r="AH247" s="61" t="str">
        <f t="shared" si="62"/>
        <v/>
      </c>
      <c r="AI247" s="61" t="str">
        <f t="shared" si="63"/>
        <v/>
      </c>
    </row>
    <row r="248" spans="1:35" x14ac:dyDescent="0.25">
      <c r="A248" s="36"/>
      <c r="B248" s="37"/>
      <c r="C248" s="37"/>
      <c r="D248" s="37"/>
      <c r="E248" s="37"/>
      <c r="F248" s="37"/>
      <c r="G248" s="37"/>
      <c r="H248" s="37"/>
      <c r="I248" s="37"/>
      <c r="J248" s="38"/>
      <c r="K248" s="38"/>
      <c r="L248" s="37"/>
      <c r="M248" s="37"/>
      <c r="N248" s="37"/>
      <c r="O248" s="37"/>
      <c r="P248" s="37"/>
      <c r="Q248" s="37"/>
      <c r="R248" s="13" t="str">
        <f t="shared" ca="1" si="48"/>
        <v/>
      </c>
      <c r="S248" s="13" t="str">
        <f ca="1">IF(A248="","",IF(OR(M248='02_マスタ'!$E$10,M248='02_マスタ'!$E$12),"",IF(L248="High","High",IF(AND(K248&lt;&gt;"",K248&lt;TODAY()),INDEX(_ゴミ箱_Backup!$B$117:$D$247,MATCH("ALERT_OVERDUE",_ゴミ箱_Backup!$A$117:$A$247,0),MATCH(言語切替!$B$3,_ゴミ箱_Backup!$B$1:$D$1,0)),IF(AND(K248&lt;&gt;"",K248-TODAY()&lt;=7),INDEX(_ゴミ箱_Backup!$B$117:$D$247,MATCH("ALERT_APPROACHING",_ゴミ箱_Backup!$A$117:$A$247,0),MATCH(言語切替!$B$3,_ゴミ箱_Backup!$B$1:$D$1,0)),IF(OR(M248='02_マスタ'!$E$7,M248='02_マスタ'!$E$8),INDEX(_ゴミ箱_Backup!$B$117:$D$247,MATCH("ALERT_CHECK",_ゴミ箱_Backup!$A$117:$A$247,0),MATCH(言語切替!$B$3,_ゴミ箱_Backup!$B$1:$D$1,0)),""))))))</f>
        <v/>
      </c>
      <c r="T248" s="53"/>
      <c r="U248" s="61" t="str">
        <f t="shared" si="49"/>
        <v/>
      </c>
      <c r="V248" s="61" t="str">
        <f t="shared" si="50"/>
        <v/>
      </c>
      <c r="W248" s="61" t="str">
        <f t="shared" si="51"/>
        <v/>
      </c>
      <c r="X248" s="61" t="str">
        <f t="shared" si="52"/>
        <v/>
      </c>
      <c r="Y248" s="61" t="str">
        <f t="shared" si="53"/>
        <v/>
      </c>
      <c r="Z248" s="61" t="str">
        <f t="shared" si="54"/>
        <v/>
      </c>
      <c r="AA248" s="61" t="str">
        <f t="shared" si="55"/>
        <v/>
      </c>
      <c r="AB248" s="61" t="str">
        <f t="shared" si="56"/>
        <v/>
      </c>
      <c r="AC248" s="61" t="str">
        <f t="shared" si="57"/>
        <v/>
      </c>
      <c r="AD248" s="61" t="str">
        <f t="shared" si="58"/>
        <v/>
      </c>
      <c r="AE248" s="61" t="str">
        <f t="shared" si="59"/>
        <v/>
      </c>
      <c r="AF248" s="61" t="str">
        <f t="shared" si="60"/>
        <v/>
      </c>
      <c r="AG248" s="61" t="str">
        <f t="shared" si="61"/>
        <v/>
      </c>
      <c r="AH248" s="61" t="str">
        <f t="shared" si="62"/>
        <v/>
      </c>
      <c r="AI248" s="61" t="str">
        <f t="shared" si="63"/>
        <v/>
      </c>
    </row>
    <row r="249" spans="1:35" x14ac:dyDescent="0.25">
      <c r="A249" s="40"/>
      <c r="B249" s="41"/>
      <c r="C249" s="41"/>
      <c r="D249" s="41"/>
      <c r="E249" s="41"/>
      <c r="F249" s="41"/>
      <c r="G249" s="41"/>
      <c r="H249" s="41"/>
      <c r="I249" s="41"/>
      <c r="J249" s="42"/>
      <c r="K249" s="42"/>
      <c r="L249" s="41"/>
      <c r="M249" s="41"/>
      <c r="N249" s="41"/>
      <c r="O249" s="41"/>
      <c r="P249" s="41"/>
      <c r="Q249" s="41"/>
      <c r="R249" s="16" t="str">
        <f t="shared" ca="1" si="48"/>
        <v/>
      </c>
      <c r="S249" s="16" t="str">
        <f ca="1">IF(A249="","",IF(OR(M249='02_マスタ'!$E$10,M249='02_マスタ'!$E$12),"",IF(L249="High","High",IF(AND(K249&lt;&gt;"",K249&lt;TODAY()),INDEX(_ゴミ箱_Backup!$B$117:$D$247,MATCH("ALERT_OVERDUE",_ゴミ箱_Backup!$A$117:$A$247,0),MATCH(言語切替!$B$3,_ゴミ箱_Backup!$B$1:$D$1,0)),IF(AND(K249&lt;&gt;"",K249-TODAY()&lt;=7),INDEX(_ゴミ箱_Backup!$B$117:$D$247,MATCH("ALERT_APPROACHING",_ゴミ箱_Backup!$A$117:$A$247,0),MATCH(言語切替!$B$3,_ゴミ箱_Backup!$B$1:$D$1,0)),IF(OR(M249='02_マスタ'!$E$7,M249='02_マスタ'!$E$8),INDEX(_ゴミ箱_Backup!$B$117:$D$247,MATCH("ALERT_CHECK",_ゴミ箱_Backup!$A$117:$A$247,0),MATCH(言語切替!$B$3,_ゴミ箱_Backup!$B$1:$D$1,0)),""))))))</f>
        <v/>
      </c>
      <c r="T249" s="52"/>
      <c r="U249" s="61" t="str">
        <f t="shared" si="49"/>
        <v/>
      </c>
      <c r="V249" s="61" t="str">
        <f t="shared" si="50"/>
        <v/>
      </c>
      <c r="W249" s="61" t="str">
        <f t="shared" si="51"/>
        <v/>
      </c>
      <c r="X249" s="61" t="str">
        <f t="shared" si="52"/>
        <v/>
      </c>
      <c r="Y249" s="61" t="str">
        <f t="shared" si="53"/>
        <v/>
      </c>
      <c r="Z249" s="61" t="str">
        <f t="shared" si="54"/>
        <v/>
      </c>
      <c r="AA249" s="61" t="str">
        <f t="shared" si="55"/>
        <v/>
      </c>
      <c r="AB249" s="61" t="str">
        <f t="shared" si="56"/>
        <v/>
      </c>
      <c r="AC249" s="61" t="str">
        <f t="shared" si="57"/>
        <v/>
      </c>
      <c r="AD249" s="61" t="str">
        <f t="shared" si="58"/>
        <v/>
      </c>
      <c r="AE249" s="61" t="str">
        <f t="shared" si="59"/>
        <v/>
      </c>
      <c r="AF249" s="61" t="str">
        <f t="shared" si="60"/>
        <v/>
      </c>
      <c r="AG249" s="61" t="str">
        <f t="shared" si="61"/>
        <v/>
      </c>
      <c r="AH249" s="61" t="str">
        <f t="shared" si="62"/>
        <v/>
      </c>
      <c r="AI249" s="61" t="str">
        <f t="shared" si="63"/>
        <v/>
      </c>
    </row>
    <row r="250" spans="1:35" x14ac:dyDescent="0.25">
      <c r="A250" s="36"/>
      <c r="B250" s="37"/>
      <c r="C250" s="37"/>
      <c r="D250" s="37"/>
      <c r="E250" s="37"/>
      <c r="F250" s="37"/>
      <c r="G250" s="37"/>
      <c r="H250" s="37"/>
      <c r="I250" s="37"/>
      <c r="J250" s="38"/>
      <c r="K250" s="38"/>
      <c r="L250" s="37"/>
      <c r="M250" s="37"/>
      <c r="N250" s="37"/>
      <c r="O250" s="37"/>
      <c r="P250" s="37"/>
      <c r="Q250" s="37"/>
      <c r="R250" s="13" t="str">
        <f t="shared" ca="1" si="48"/>
        <v/>
      </c>
      <c r="S250" s="13" t="str">
        <f ca="1">IF(A250="","",IF(OR(M250='02_マスタ'!$E$10,M250='02_マスタ'!$E$12),"",IF(L250="High","High",IF(AND(K250&lt;&gt;"",K250&lt;TODAY()),INDEX(_ゴミ箱_Backup!$B$117:$D$247,MATCH("ALERT_OVERDUE",_ゴミ箱_Backup!$A$117:$A$247,0),MATCH(言語切替!$B$3,_ゴミ箱_Backup!$B$1:$D$1,0)),IF(AND(K250&lt;&gt;"",K250-TODAY()&lt;=7),INDEX(_ゴミ箱_Backup!$B$117:$D$247,MATCH("ALERT_APPROACHING",_ゴミ箱_Backup!$A$117:$A$247,0),MATCH(言語切替!$B$3,_ゴミ箱_Backup!$B$1:$D$1,0)),IF(OR(M250='02_マスタ'!$E$7,M250='02_マスタ'!$E$8),INDEX(_ゴミ箱_Backup!$B$117:$D$247,MATCH("ALERT_CHECK",_ゴミ箱_Backup!$A$117:$A$247,0),MATCH(言語切替!$B$3,_ゴミ箱_Backup!$B$1:$D$1,0)),""))))))</f>
        <v/>
      </c>
      <c r="T250" s="53"/>
      <c r="U250" s="61" t="str">
        <f t="shared" si="49"/>
        <v/>
      </c>
      <c r="V250" s="61" t="str">
        <f t="shared" si="50"/>
        <v/>
      </c>
      <c r="W250" s="61" t="str">
        <f t="shared" si="51"/>
        <v/>
      </c>
      <c r="X250" s="61" t="str">
        <f t="shared" si="52"/>
        <v/>
      </c>
      <c r="Y250" s="61" t="str">
        <f t="shared" si="53"/>
        <v/>
      </c>
      <c r="Z250" s="61" t="str">
        <f t="shared" si="54"/>
        <v/>
      </c>
      <c r="AA250" s="61" t="str">
        <f t="shared" si="55"/>
        <v/>
      </c>
      <c r="AB250" s="61" t="str">
        <f t="shared" si="56"/>
        <v/>
      </c>
      <c r="AC250" s="61" t="str">
        <f t="shared" si="57"/>
        <v/>
      </c>
      <c r="AD250" s="61" t="str">
        <f t="shared" si="58"/>
        <v/>
      </c>
      <c r="AE250" s="61" t="str">
        <f t="shared" si="59"/>
        <v/>
      </c>
      <c r="AF250" s="61" t="str">
        <f t="shared" si="60"/>
        <v/>
      </c>
      <c r="AG250" s="61" t="str">
        <f t="shared" si="61"/>
        <v/>
      </c>
      <c r="AH250" s="61" t="str">
        <f t="shared" si="62"/>
        <v/>
      </c>
      <c r="AI250" s="61" t="str">
        <f t="shared" si="63"/>
        <v/>
      </c>
    </row>
    <row r="251" spans="1:35" x14ac:dyDescent="0.25">
      <c r="A251" s="40"/>
      <c r="B251" s="41"/>
      <c r="C251" s="41"/>
      <c r="D251" s="41"/>
      <c r="E251" s="41"/>
      <c r="F251" s="41"/>
      <c r="G251" s="41"/>
      <c r="H251" s="41"/>
      <c r="I251" s="41"/>
      <c r="J251" s="42"/>
      <c r="K251" s="42"/>
      <c r="L251" s="41"/>
      <c r="M251" s="41"/>
      <c r="N251" s="41"/>
      <c r="O251" s="41"/>
      <c r="P251" s="41"/>
      <c r="Q251" s="41"/>
      <c r="R251" s="16" t="str">
        <f t="shared" ca="1" si="48"/>
        <v/>
      </c>
      <c r="S251" s="16" t="str">
        <f ca="1">IF(A251="","",IF(OR(M251='02_マスタ'!$E$10,M251='02_マスタ'!$E$12),"",IF(L251="High","High",IF(AND(K251&lt;&gt;"",K251&lt;TODAY()),INDEX(_ゴミ箱_Backup!$B$117:$D$247,MATCH("ALERT_OVERDUE",_ゴミ箱_Backup!$A$117:$A$247,0),MATCH(言語切替!$B$3,_ゴミ箱_Backup!$B$1:$D$1,0)),IF(AND(K251&lt;&gt;"",K251-TODAY()&lt;=7),INDEX(_ゴミ箱_Backup!$B$117:$D$247,MATCH("ALERT_APPROACHING",_ゴミ箱_Backup!$A$117:$A$247,0),MATCH(言語切替!$B$3,_ゴミ箱_Backup!$B$1:$D$1,0)),IF(OR(M251='02_マスタ'!$E$7,M251='02_マスタ'!$E$8),INDEX(_ゴミ箱_Backup!$B$117:$D$247,MATCH("ALERT_CHECK",_ゴミ箱_Backup!$A$117:$A$247,0),MATCH(言語切替!$B$3,_ゴミ箱_Backup!$B$1:$D$1,0)),""))))))</f>
        <v/>
      </c>
      <c r="T251" s="52"/>
      <c r="U251" s="61" t="str">
        <f t="shared" si="49"/>
        <v/>
      </c>
      <c r="V251" s="61" t="str">
        <f t="shared" si="50"/>
        <v/>
      </c>
      <c r="W251" s="61" t="str">
        <f t="shared" si="51"/>
        <v/>
      </c>
      <c r="X251" s="61" t="str">
        <f t="shared" si="52"/>
        <v/>
      </c>
      <c r="Y251" s="61" t="str">
        <f t="shared" si="53"/>
        <v/>
      </c>
      <c r="Z251" s="61" t="str">
        <f t="shared" si="54"/>
        <v/>
      </c>
      <c r="AA251" s="61" t="str">
        <f t="shared" si="55"/>
        <v/>
      </c>
      <c r="AB251" s="61" t="str">
        <f t="shared" si="56"/>
        <v/>
      </c>
      <c r="AC251" s="61" t="str">
        <f t="shared" si="57"/>
        <v/>
      </c>
      <c r="AD251" s="61" t="str">
        <f t="shared" si="58"/>
        <v/>
      </c>
      <c r="AE251" s="61" t="str">
        <f t="shared" si="59"/>
        <v/>
      </c>
      <c r="AF251" s="61" t="str">
        <f t="shared" si="60"/>
        <v/>
      </c>
      <c r="AG251" s="61" t="str">
        <f t="shared" si="61"/>
        <v/>
      </c>
      <c r="AH251" s="61" t="str">
        <f t="shared" si="62"/>
        <v/>
      </c>
      <c r="AI251" s="61" t="str">
        <f t="shared" si="63"/>
        <v/>
      </c>
    </row>
    <row r="252" spans="1:35" x14ac:dyDescent="0.25">
      <c r="A252" s="36"/>
      <c r="B252" s="37"/>
      <c r="C252" s="37"/>
      <c r="D252" s="37"/>
      <c r="E252" s="37"/>
      <c r="F252" s="37"/>
      <c r="G252" s="37"/>
      <c r="H252" s="37"/>
      <c r="I252" s="37"/>
      <c r="J252" s="38"/>
      <c r="K252" s="38"/>
      <c r="L252" s="37"/>
      <c r="M252" s="37"/>
      <c r="N252" s="37"/>
      <c r="O252" s="37"/>
      <c r="P252" s="37"/>
      <c r="Q252" s="37"/>
      <c r="R252" s="13" t="str">
        <f t="shared" ca="1" si="48"/>
        <v/>
      </c>
      <c r="S252" s="13" t="str">
        <f ca="1">IF(A252="","",IF(OR(M252='02_マスタ'!$E$10,M252='02_マスタ'!$E$12),"",IF(L252="High","High",IF(AND(K252&lt;&gt;"",K252&lt;TODAY()),INDEX(_ゴミ箱_Backup!$B$117:$D$247,MATCH("ALERT_OVERDUE",_ゴミ箱_Backup!$A$117:$A$247,0),MATCH(言語切替!$B$3,_ゴミ箱_Backup!$B$1:$D$1,0)),IF(AND(K252&lt;&gt;"",K252-TODAY()&lt;=7),INDEX(_ゴミ箱_Backup!$B$117:$D$247,MATCH("ALERT_APPROACHING",_ゴミ箱_Backup!$A$117:$A$247,0),MATCH(言語切替!$B$3,_ゴミ箱_Backup!$B$1:$D$1,0)),IF(OR(M252='02_マスタ'!$E$7,M252='02_マスタ'!$E$8),INDEX(_ゴミ箱_Backup!$B$117:$D$247,MATCH("ALERT_CHECK",_ゴミ箱_Backup!$A$117:$A$247,0),MATCH(言語切替!$B$3,_ゴミ箱_Backup!$B$1:$D$1,0)),""))))))</f>
        <v/>
      </c>
      <c r="T252" s="53"/>
      <c r="U252" s="61" t="str">
        <f t="shared" si="49"/>
        <v/>
      </c>
      <c r="V252" s="61" t="str">
        <f t="shared" si="50"/>
        <v/>
      </c>
      <c r="W252" s="61" t="str">
        <f t="shared" si="51"/>
        <v/>
      </c>
      <c r="X252" s="61" t="str">
        <f t="shared" si="52"/>
        <v/>
      </c>
      <c r="Y252" s="61" t="str">
        <f t="shared" si="53"/>
        <v/>
      </c>
      <c r="Z252" s="61" t="str">
        <f t="shared" si="54"/>
        <v/>
      </c>
      <c r="AA252" s="61" t="str">
        <f t="shared" si="55"/>
        <v/>
      </c>
      <c r="AB252" s="61" t="str">
        <f t="shared" si="56"/>
        <v/>
      </c>
      <c r="AC252" s="61" t="str">
        <f t="shared" si="57"/>
        <v/>
      </c>
      <c r="AD252" s="61" t="str">
        <f t="shared" si="58"/>
        <v/>
      </c>
      <c r="AE252" s="61" t="str">
        <f t="shared" si="59"/>
        <v/>
      </c>
      <c r="AF252" s="61" t="str">
        <f t="shared" si="60"/>
        <v/>
      </c>
      <c r="AG252" s="61" t="str">
        <f t="shared" si="61"/>
        <v/>
      </c>
      <c r="AH252" s="61" t="str">
        <f t="shared" si="62"/>
        <v/>
      </c>
      <c r="AI252" s="61" t="str">
        <f t="shared" si="63"/>
        <v/>
      </c>
    </row>
    <row r="253" spans="1:35" x14ac:dyDescent="0.25">
      <c r="A253" s="40"/>
      <c r="B253" s="41"/>
      <c r="C253" s="41"/>
      <c r="D253" s="41"/>
      <c r="E253" s="41"/>
      <c r="F253" s="41"/>
      <c r="G253" s="41"/>
      <c r="H253" s="41"/>
      <c r="I253" s="41"/>
      <c r="J253" s="42"/>
      <c r="K253" s="42"/>
      <c r="L253" s="41"/>
      <c r="M253" s="41"/>
      <c r="N253" s="41"/>
      <c r="O253" s="41"/>
      <c r="P253" s="41"/>
      <c r="Q253" s="41"/>
      <c r="R253" s="16" t="str">
        <f t="shared" ca="1" si="48"/>
        <v/>
      </c>
      <c r="S253" s="16" t="str">
        <f ca="1">IF(A253="","",IF(OR(M253='02_マスタ'!$E$10,M253='02_マスタ'!$E$12),"",IF(L253="High","High",IF(AND(K253&lt;&gt;"",K253&lt;TODAY()),INDEX(_ゴミ箱_Backup!$B$117:$D$247,MATCH("ALERT_OVERDUE",_ゴミ箱_Backup!$A$117:$A$247,0),MATCH(言語切替!$B$3,_ゴミ箱_Backup!$B$1:$D$1,0)),IF(AND(K253&lt;&gt;"",K253-TODAY()&lt;=7),INDEX(_ゴミ箱_Backup!$B$117:$D$247,MATCH("ALERT_APPROACHING",_ゴミ箱_Backup!$A$117:$A$247,0),MATCH(言語切替!$B$3,_ゴミ箱_Backup!$B$1:$D$1,0)),IF(OR(M253='02_マスタ'!$E$7,M253='02_マスタ'!$E$8),INDEX(_ゴミ箱_Backup!$B$117:$D$247,MATCH("ALERT_CHECK",_ゴミ箱_Backup!$A$117:$A$247,0),MATCH(言語切替!$B$3,_ゴミ箱_Backup!$B$1:$D$1,0)),""))))))</f>
        <v/>
      </c>
      <c r="T253" s="52"/>
      <c r="U253" s="61" t="str">
        <f t="shared" si="49"/>
        <v/>
      </c>
      <c r="V253" s="61" t="str">
        <f t="shared" si="50"/>
        <v/>
      </c>
      <c r="W253" s="61" t="str">
        <f t="shared" si="51"/>
        <v/>
      </c>
      <c r="X253" s="61" t="str">
        <f t="shared" si="52"/>
        <v/>
      </c>
      <c r="Y253" s="61" t="str">
        <f t="shared" si="53"/>
        <v/>
      </c>
      <c r="Z253" s="61" t="str">
        <f t="shared" si="54"/>
        <v/>
      </c>
      <c r="AA253" s="61" t="str">
        <f t="shared" si="55"/>
        <v/>
      </c>
      <c r="AB253" s="61" t="str">
        <f t="shared" si="56"/>
        <v/>
      </c>
      <c r="AC253" s="61" t="str">
        <f t="shared" si="57"/>
        <v/>
      </c>
      <c r="AD253" s="61" t="str">
        <f t="shared" si="58"/>
        <v/>
      </c>
      <c r="AE253" s="61" t="str">
        <f t="shared" si="59"/>
        <v/>
      </c>
      <c r="AF253" s="61" t="str">
        <f t="shared" si="60"/>
        <v/>
      </c>
      <c r="AG253" s="61" t="str">
        <f t="shared" si="61"/>
        <v/>
      </c>
      <c r="AH253" s="61" t="str">
        <f t="shared" si="62"/>
        <v/>
      </c>
      <c r="AI253" s="61" t="str">
        <f t="shared" si="63"/>
        <v/>
      </c>
    </row>
    <row r="254" spans="1:35" x14ac:dyDescent="0.25">
      <c r="A254" s="36"/>
      <c r="B254" s="37"/>
      <c r="C254" s="37"/>
      <c r="D254" s="37"/>
      <c r="E254" s="37"/>
      <c r="F254" s="37"/>
      <c r="G254" s="37"/>
      <c r="H254" s="37"/>
      <c r="I254" s="37"/>
      <c r="J254" s="38"/>
      <c r="K254" s="38"/>
      <c r="L254" s="37"/>
      <c r="M254" s="37"/>
      <c r="N254" s="37"/>
      <c r="O254" s="37"/>
      <c r="P254" s="37"/>
      <c r="Q254" s="37"/>
      <c r="R254" s="13" t="str">
        <f t="shared" ca="1" si="48"/>
        <v/>
      </c>
      <c r="S254" s="13" t="str">
        <f ca="1">IF(A254="","",IF(OR(M254='02_マスタ'!$E$10,M254='02_マスタ'!$E$12),"",IF(L254="High","High",IF(AND(K254&lt;&gt;"",K254&lt;TODAY()),INDEX(_ゴミ箱_Backup!$B$117:$D$247,MATCH("ALERT_OVERDUE",_ゴミ箱_Backup!$A$117:$A$247,0),MATCH(言語切替!$B$3,_ゴミ箱_Backup!$B$1:$D$1,0)),IF(AND(K254&lt;&gt;"",K254-TODAY()&lt;=7),INDEX(_ゴミ箱_Backup!$B$117:$D$247,MATCH("ALERT_APPROACHING",_ゴミ箱_Backup!$A$117:$A$247,0),MATCH(言語切替!$B$3,_ゴミ箱_Backup!$B$1:$D$1,0)),IF(OR(M254='02_マスタ'!$E$7,M254='02_マスタ'!$E$8),INDEX(_ゴミ箱_Backup!$B$117:$D$247,MATCH("ALERT_CHECK",_ゴミ箱_Backup!$A$117:$A$247,0),MATCH(言語切替!$B$3,_ゴミ箱_Backup!$B$1:$D$1,0)),""))))))</f>
        <v/>
      </c>
      <c r="T254" s="53"/>
      <c r="U254" s="61" t="str">
        <f t="shared" si="49"/>
        <v/>
      </c>
      <c r="V254" s="61" t="str">
        <f t="shared" si="50"/>
        <v/>
      </c>
      <c r="W254" s="61" t="str">
        <f t="shared" si="51"/>
        <v/>
      </c>
      <c r="X254" s="61" t="str">
        <f t="shared" si="52"/>
        <v/>
      </c>
      <c r="Y254" s="61" t="str">
        <f t="shared" si="53"/>
        <v/>
      </c>
      <c r="Z254" s="61" t="str">
        <f t="shared" si="54"/>
        <v/>
      </c>
      <c r="AA254" s="61" t="str">
        <f t="shared" si="55"/>
        <v/>
      </c>
      <c r="AB254" s="61" t="str">
        <f t="shared" si="56"/>
        <v/>
      </c>
      <c r="AC254" s="61" t="str">
        <f t="shared" si="57"/>
        <v/>
      </c>
      <c r="AD254" s="61" t="str">
        <f t="shared" si="58"/>
        <v/>
      </c>
      <c r="AE254" s="61" t="str">
        <f t="shared" si="59"/>
        <v/>
      </c>
      <c r="AF254" s="61" t="str">
        <f t="shared" si="60"/>
        <v/>
      </c>
      <c r="AG254" s="61" t="str">
        <f t="shared" si="61"/>
        <v/>
      </c>
      <c r="AH254" s="61" t="str">
        <f t="shared" si="62"/>
        <v/>
      </c>
      <c r="AI254" s="61" t="str">
        <f t="shared" si="63"/>
        <v/>
      </c>
    </row>
    <row r="255" spans="1:35" x14ac:dyDescent="0.25">
      <c r="A255" s="40"/>
      <c r="B255" s="41"/>
      <c r="C255" s="41"/>
      <c r="D255" s="41"/>
      <c r="E255" s="41"/>
      <c r="F255" s="41"/>
      <c r="G255" s="41"/>
      <c r="H255" s="41"/>
      <c r="I255" s="41"/>
      <c r="J255" s="42"/>
      <c r="K255" s="42"/>
      <c r="L255" s="41"/>
      <c r="M255" s="41"/>
      <c r="N255" s="41"/>
      <c r="O255" s="41"/>
      <c r="P255" s="41"/>
      <c r="Q255" s="41"/>
      <c r="R255" s="16" t="str">
        <f t="shared" ca="1" si="48"/>
        <v/>
      </c>
      <c r="S255" s="16" t="str">
        <f ca="1">IF(A255="","",IF(OR(M255='02_マスタ'!$E$10,M255='02_マスタ'!$E$12),"",IF(L255="High","High",IF(AND(K255&lt;&gt;"",K255&lt;TODAY()),INDEX(_ゴミ箱_Backup!$B$117:$D$247,MATCH("ALERT_OVERDUE",_ゴミ箱_Backup!$A$117:$A$247,0),MATCH(言語切替!$B$3,_ゴミ箱_Backup!$B$1:$D$1,0)),IF(AND(K255&lt;&gt;"",K255-TODAY()&lt;=7),INDEX(_ゴミ箱_Backup!$B$117:$D$247,MATCH("ALERT_APPROACHING",_ゴミ箱_Backup!$A$117:$A$247,0),MATCH(言語切替!$B$3,_ゴミ箱_Backup!$B$1:$D$1,0)),IF(OR(M255='02_マスタ'!$E$7,M255='02_マスタ'!$E$8),INDEX(_ゴミ箱_Backup!$B$117:$D$247,MATCH("ALERT_CHECK",_ゴミ箱_Backup!$A$117:$A$247,0),MATCH(言語切替!$B$3,_ゴミ箱_Backup!$B$1:$D$1,0)),""))))))</f>
        <v/>
      </c>
      <c r="T255" s="52"/>
      <c r="U255" s="61" t="str">
        <f t="shared" si="49"/>
        <v/>
      </c>
      <c r="V255" s="61" t="str">
        <f t="shared" si="50"/>
        <v/>
      </c>
      <c r="W255" s="61" t="str">
        <f t="shared" si="51"/>
        <v/>
      </c>
      <c r="X255" s="61" t="str">
        <f t="shared" si="52"/>
        <v/>
      </c>
      <c r="Y255" s="61" t="str">
        <f t="shared" si="53"/>
        <v/>
      </c>
      <c r="Z255" s="61" t="str">
        <f t="shared" si="54"/>
        <v/>
      </c>
      <c r="AA255" s="61" t="str">
        <f t="shared" si="55"/>
        <v/>
      </c>
      <c r="AB255" s="61" t="str">
        <f t="shared" si="56"/>
        <v/>
      </c>
      <c r="AC255" s="61" t="str">
        <f t="shared" si="57"/>
        <v/>
      </c>
      <c r="AD255" s="61" t="str">
        <f t="shared" si="58"/>
        <v/>
      </c>
      <c r="AE255" s="61" t="str">
        <f t="shared" si="59"/>
        <v/>
      </c>
      <c r="AF255" s="61" t="str">
        <f t="shared" si="60"/>
        <v/>
      </c>
      <c r="AG255" s="61" t="str">
        <f t="shared" si="61"/>
        <v/>
      </c>
      <c r="AH255" s="61" t="str">
        <f t="shared" si="62"/>
        <v/>
      </c>
      <c r="AI255" s="61" t="str">
        <f t="shared" si="63"/>
        <v/>
      </c>
    </row>
    <row r="256" spans="1:35" x14ac:dyDescent="0.25">
      <c r="A256" s="36"/>
      <c r="B256" s="37"/>
      <c r="C256" s="37"/>
      <c r="D256" s="37"/>
      <c r="E256" s="37"/>
      <c r="F256" s="37"/>
      <c r="G256" s="37"/>
      <c r="H256" s="37"/>
      <c r="I256" s="37"/>
      <c r="J256" s="38"/>
      <c r="K256" s="38"/>
      <c r="L256" s="37"/>
      <c r="M256" s="37"/>
      <c r="N256" s="37"/>
      <c r="O256" s="37"/>
      <c r="P256" s="37"/>
      <c r="Q256" s="37"/>
      <c r="R256" s="13" t="str">
        <f t="shared" ca="1" si="48"/>
        <v/>
      </c>
      <c r="S256" s="13" t="str">
        <f ca="1">IF(A256="","",IF(OR(M256='02_マスタ'!$E$10,M256='02_マスタ'!$E$12),"",IF(L256="High","High",IF(AND(K256&lt;&gt;"",K256&lt;TODAY()),INDEX(_ゴミ箱_Backup!$B$117:$D$247,MATCH("ALERT_OVERDUE",_ゴミ箱_Backup!$A$117:$A$247,0),MATCH(言語切替!$B$3,_ゴミ箱_Backup!$B$1:$D$1,0)),IF(AND(K256&lt;&gt;"",K256-TODAY()&lt;=7),INDEX(_ゴミ箱_Backup!$B$117:$D$247,MATCH("ALERT_APPROACHING",_ゴミ箱_Backup!$A$117:$A$247,0),MATCH(言語切替!$B$3,_ゴミ箱_Backup!$B$1:$D$1,0)),IF(OR(M256='02_マスタ'!$E$7,M256='02_マスタ'!$E$8),INDEX(_ゴミ箱_Backup!$B$117:$D$247,MATCH("ALERT_CHECK",_ゴミ箱_Backup!$A$117:$A$247,0),MATCH(言語切替!$B$3,_ゴミ箱_Backup!$B$1:$D$1,0)),""))))))</f>
        <v/>
      </c>
      <c r="T256" s="53"/>
      <c r="U256" s="61" t="str">
        <f t="shared" si="49"/>
        <v/>
      </c>
      <c r="V256" s="61" t="str">
        <f t="shared" si="50"/>
        <v/>
      </c>
      <c r="W256" s="61" t="str">
        <f t="shared" si="51"/>
        <v/>
      </c>
      <c r="X256" s="61" t="str">
        <f t="shared" si="52"/>
        <v/>
      </c>
      <c r="Y256" s="61" t="str">
        <f t="shared" si="53"/>
        <v/>
      </c>
      <c r="Z256" s="61" t="str">
        <f t="shared" si="54"/>
        <v/>
      </c>
      <c r="AA256" s="61" t="str">
        <f t="shared" si="55"/>
        <v/>
      </c>
      <c r="AB256" s="61" t="str">
        <f t="shared" si="56"/>
        <v/>
      </c>
      <c r="AC256" s="61" t="str">
        <f t="shared" si="57"/>
        <v/>
      </c>
      <c r="AD256" s="61" t="str">
        <f t="shared" si="58"/>
        <v/>
      </c>
      <c r="AE256" s="61" t="str">
        <f t="shared" si="59"/>
        <v/>
      </c>
      <c r="AF256" s="61" t="str">
        <f t="shared" si="60"/>
        <v/>
      </c>
      <c r="AG256" s="61" t="str">
        <f t="shared" si="61"/>
        <v/>
      </c>
      <c r="AH256" s="61" t="str">
        <f t="shared" si="62"/>
        <v/>
      </c>
      <c r="AI256" s="61" t="str">
        <f t="shared" si="63"/>
        <v/>
      </c>
    </row>
    <row r="257" spans="1:35" x14ac:dyDescent="0.25">
      <c r="A257" s="40"/>
      <c r="B257" s="41"/>
      <c r="C257" s="41"/>
      <c r="D257" s="41"/>
      <c r="E257" s="41"/>
      <c r="F257" s="41"/>
      <c r="G257" s="41"/>
      <c r="H257" s="41"/>
      <c r="I257" s="41"/>
      <c r="J257" s="42"/>
      <c r="K257" s="42"/>
      <c r="L257" s="41"/>
      <c r="M257" s="41"/>
      <c r="N257" s="41"/>
      <c r="O257" s="41"/>
      <c r="P257" s="41"/>
      <c r="Q257" s="41"/>
      <c r="R257" s="16" t="str">
        <f t="shared" ca="1" si="48"/>
        <v/>
      </c>
      <c r="S257" s="16" t="str">
        <f ca="1">IF(A257="","",IF(OR(M257='02_マスタ'!$E$10,M257='02_マスタ'!$E$12),"",IF(L257="High","High",IF(AND(K257&lt;&gt;"",K257&lt;TODAY()),INDEX(_ゴミ箱_Backup!$B$117:$D$247,MATCH("ALERT_OVERDUE",_ゴミ箱_Backup!$A$117:$A$247,0),MATCH(言語切替!$B$3,_ゴミ箱_Backup!$B$1:$D$1,0)),IF(AND(K257&lt;&gt;"",K257-TODAY()&lt;=7),INDEX(_ゴミ箱_Backup!$B$117:$D$247,MATCH("ALERT_APPROACHING",_ゴミ箱_Backup!$A$117:$A$247,0),MATCH(言語切替!$B$3,_ゴミ箱_Backup!$B$1:$D$1,0)),IF(OR(M257='02_マスタ'!$E$7,M257='02_マスタ'!$E$8),INDEX(_ゴミ箱_Backup!$B$117:$D$247,MATCH("ALERT_CHECK",_ゴミ箱_Backup!$A$117:$A$247,0),MATCH(言語切替!$B$3,_ゴミ箱_Backup!$B$1:$D$1,0)),""))))))</f>
        <v/>
      </c>
      <c r="T257" s="52"/>
      <c r="U257" s="61" t="str">
        <f t="shared" si="49"/>
        <v/>
      </c>
      <c r="V257" s="61" t="str">
        <f t="shared" si="50"/>
        <v/>
      </c>
      <c r="W257" s="61" t="str">
        <f t="shared" si="51"/>
        <v/>
      </c>
      <c r="X257" s="61" t="str">
        <f t="shared" si="52"/>
        <v/>
      </c>
      <c r="Y257" s="61" t="str">
        <f t="shared" si="53"/>
        <v/>
      </c>
      <c r="Z257" s="61" t="str">
        <f t="shared" si="54"/>
        <v/>
      </c>
      <c r="AA257" s="61" t="str">
        <f t="shared" si="55"/>
        <v/>
      </c>
      <c r="AB257" s="61" t="str">
        <f t="shared" si="56"/>
        <v/>
      </c>
      <c r="AC257" s="61" t="str">
        <f t="shared" si="57"/>
        <v/>
      </c>
      <c r="AD257" s="61" t="str">
        <f t="shared" si="58"/>
        <v/>
      </c>
      <c r="AE257" s="61" t="str">
        <f t="shared" si="59"/>
        <v/>
      </c>
      <c r="AF257" s="61" t="str">
        <f t="shared" si="60"/>
        <v/>
      </c>
      <c r="AG257" s="61" t="str">
        <f t="shared" si="61"/>
        <v/>
      </c>
      <c r="AH257" s="61" t="str">
        <f t="shared" si="62"/>
        <v/>
      </c>
      <c r="AI257" s="61" t="str">
        <f t="shared" si="63"/>
        <v/>
      </c>
    </row>
    <row r="258" spans="1:35" x14ac:dyDescent="0.25">
      <c r="A258" s="36"/>
      <c r="B258" s="37"/>
      <c r="C258" s="37"/>
      <c r="D258" s="37"/>
      <c r="E258" s="37"/>
      <c r="F258" s="37"/>
      <c r="G258" s="37"/>
      <c r="H258" s="37"/>
      <c r="I258" s="37"/>
      <c r="J258" s="38"/>
      <c r="K258" s="38"/>
      <c r="L258" s="37"/>
      <c r="M258" s="37"/>
      <c r="N258" s="37"/>
      <c r="O258" s="37"/>
      <c r="P258" s="37"/>
      <c r="Q258" s="37"/>
      <c r="R258" s="13" t="str">
        <f t="shared" ca="1" si="48"/>
        <v/>
      </c>
      <c r="S258" s="13" t="str">
        <f ca="1">IF(A258="","",IF(OR(M258='02_マスタ'!$E$10,M258='02_マスタ'!$E$12),"",IF(L258="High","High",IF(AND(K258&lt;&gt;"",K258&lt;TODAY()),INDEX(_ゴミ箱_Backup!$B$117:$D$247,MATCH("ALERT_OVERDUE",_ゴミ箱_Backup!$A$117:$A$247,0),MATCH(言語切替!$B$3,_ゴミ箱_Backup!$B$1:$D$1,0)),IF(AND(K258&lt;&gt;"",K258-TODAY()&lt;=7),INDEX(_ゴミ箱_Backup!$B$117:$D$247,MATCH("ALERT_APPROACHING",_ゴミ箱_Backup!$A$117:$A$247,0),MATCH(言語切替!$B$3,_ゴミ箱_Backup!$B$1:$D$1,0)),IF(OR(M258='02_マスタ'!$E$7,M258='02_マスタ'!$E$8),INDEX(_ゴミ箱_Backup!$B$117:$D$247,MATCH("ALERT_CHECK",_ゴミ箱_Backup!$A$117:$A$247,0),MATCH(言語切替!$B$3,_ゴミ箱_Backup!$B$1:$D$1,0)),""))))))</f>
        <v/>
      </c>
      <c r="T258" s="53"/>
      <c r="U258" s="61" t="str">
        <f t="shared" si="49"/>
        <v/>
      </c>
      <c r="V258" s="61" t="str">
        <f t="shared" si="50"/>
        <v/>
      </c>
      <c r="W258" s="61" t="str">
        <f t="shared" si="51"/>
        <v/>
      </c>
      <c r="X258" s="61" t="str">
        <f t="shared" si="52"/>
        <v/>
      </c>
      <c r="Y258" s="61" t="str">
        <f t="shared" si="53"/>
        <v/>
      </c>
      <c r="Z258" s="61" t="str">
        <f t="shared" si="54"/>
        <v/>
      </c>
      <c r="AA258" s="61" t="str">
        <f t="shared" si="55"/>
        <v/>
      </c>
      <c r="AB258" s="61" t="str">
        <f t="shared" si="56"/>
        <v/>
      </c>
      <c r="AC258" s="61" t="str">
        <f t="shared" si="57"/>
        <v/>
      </c>
      <c r="AD258" s="61" t="str">
        <f t="shared" si="58"/>
        <v/>
      </c>
      <c r="AE258" s="61" t="str">
        <f t="shared" si="59"/>
        <v/>
      </c>
      <c r="AF258" s="61" t="str">
        <f t="shared" si="60"/>
        <v/>
      </c>
      <c r="AG258" s="61" t="str">
        <f t="shared" si="61"/>
        <v/>
      </c>
      <c r="AH258" s="61" t="str">
        <f t="shared" si="62"/>
        <v/>
      </c>
      <c r="AI258" s="61" t="str">
        <f t="shared" si="63"/>
        <v/>
      </c>
    </row>
    <row r="259" spans="1:35" x14ac:dyDescent="0.25">
      <c r="A259" s="40"/>
      <c r="B259" s="41"/>
      <c r="C259" s="41"/>
      <c r="D259" s="41"/>
      <c r="E259" s="41"/>
      <c r="F259" s="41"/>
      <c r="G259" s="41"/>
      <c r="H259" s="41"/>
      <c r="I259" s="41"/>
      <c r="J259" s="42"/>
      <c r="K259" s="42"/>
      <c r="L259" s="41"/>
      <c r="M259" s="41"/>
      <c r="N259" s="41"/>
      <c r="O259" s="41"/>
      <c r="P259" s="41"/>
      <c r="Q259" s="41"/>
      <c r="R259" s="16" t="str">
        <f t="shared" ca="1" si="48"/>
        <v/>
      </c>
      <c r="S259" s="16" t="str">
        <f ca="1">IF(A259="","",IF(OR(M259='02_マスタ'!$E$10,M259='02_マスタ'!$E$12),"",IF(L259="High","High",IF(AND(K259&lt;&gt;"",K259&lt;TODAY()),INDEX(_ゴミ箱_Backup!$B$117:$D$247,MATCH("ALERT_OVERDUE",_ゴミ箱_Backup!$A$117:$A$247,0),MATCH(言語切替!$B$3,_ゴミ箱_Backup!$B$1:$D$1,0)),IF(AND(K259&lt;&gt;"",K259-TODAY()&lt;=7),INDEX(_ゴミ箱_Backup!$B$117:$D$247,MATCH("ALERT_APPROACHING",_ゴミ箱_Backup!$A$117:$A$247,0),MATCH(言語切替!$B$3,_ゴミ箱_Backup!$B$1:$D$1,0)),IF(OR(M259='02_マスタ'!$E$7,M259='02_マスタ'!$E$8),INDEX(_ゴミ箱_Backup!$B$117:$D$247,MATCH("ALERT_CHECK",_ゴミ箱_Backup!$A$117:$A$247,0),MATCH(言語切替!$B$3,_ゴミ箱_Backup!$B$1:$D$1,0)),""))))))</f>
        <v/>
      </c>
      <c r="T259" s="52"/>
      <c r="U259" s="61" t="str">
        <f t="shared" si="49"/>
        <v/>
      </c>
      <c r="V259" s="61" t="str">
        <f t="shared" si="50"/>
        <v/>
      </c>
      <c r="W259" s="61" t="str">
        <f t="shared" si="51"/>
        <v/>
      </c>
      <c r="X259" s="61" t="str">
        <f t="shared" si="52"/>
        <v/>
      </c>
      <c r="Y259" s="61" t="str">
        <f t="shared" si="53"/>
        <v/>
      </c>
      <c r="Z259" s="61" t="str">
        <f t="shared" si="54"/>
        <v/>
      </c>
      <c r="AA259" s="61" t="str">
        <f t="shared" si="55"/>
        <v/>
      </c>
      <c r="AB259" s="61" t="str">
        <f t="shared" si="56"/>
        <v/>
      </c>
      <c r="AC259" s="61" t="str">
        <f t="shared" si="57"/>
        <v/>
      </c>
      <c r="AD259" s="61" t="str">
        <f t="shared" si="58"/>
        <v/>
      </c>
      <c r="AE259" s="61" t="str">
        <f t="shared" si="59"/>
        <v/>
      </c>
      <c r="AF259" s="61" t="str">
        <f t="shared" si="60"/>
        <v/>
      </c>
      <c r="AG259" s="61" t="str">
        <f t="shared" si="61"/>
        <v/>
      </c>
      <c r="AH259" s="61" t="str">
        <f t="shared" si="62"/>
        <v/>
      </c>
      <c r="AI259" s="61" t="str">
        <f t="shared" si="63"/>
        <v/>
      </c>
    </row>
    <row r="260" spans="1:35" x14ac:dyDescent="0.25">
      <c r="A260" s="36"/>
      <c r="B260" s="37"/>
      <c r="C260" s="37"/>
      <c r="D260" s="37"/>
      <c r="E260" s="37"/>
      <c r="F260" s="37"/>
      <c r="G260" s="37"/>
      <c r="H260" s="37"/>
      <c r="I260" s="37"/>
      <c r="J260" s="38"/>
      <c r="K260" s="38"/>
      <c r="L260" s="37"/>
      <c r="M260" s="37"/>
      <c r="N260" s="37"/>
      <c r="O260" s="37"/>
      <c r="P260" s="37"/>
      <c r="Q260" s="37"/>
      <c r="R260" s="13" t="str">
        <f t="shared" ca="1" si="48"/>
        <v/>
      </c>
      <c r="S260" s="13" t="str">
        <f ca="1">IF(A260="","",IF(OR(M260='02_マスタ'!$E$10,M260='02_マスタ'!$E$12),"",IF(L260="High","High",IF(AND(K260&lt;&gt;"",K260&lt;TODAY()),INDEX(_ゴミ箱_Backup!$B$117:$D$247,MATCH("ALERT_OVERDUE",_ゴミ箱_Backup!$A$117:$A$247,0),MATCH(言語切替!$B$3,_ゴミ箱_Backup!$B$1:$D$1,0)),IF(AND(K260&lt;&gt;"",K260-TODAY()&lt;=7),INDEX(_ゴミ箱_Backup!$B$117:$D$247,MATCH("ALERT_APPROACHING",_ゴミ箱_Backup!$A$117:$A$247,0),MATCH(言語切替!$B$3,_ゴミ箱_Backup!$B$1:$D$1,0)),IF(OR(M260='02_マスタ'!$E$7,M260='02_マスタ'!$E$8),INDEX(_ゴミ箱_Backup!$B$117:$D$247,MATCH("ALERT_CHECK",_ゴミ箱_Backup!$A$117:$A$247,0),MATCH(言語切替!$B$3,_ゴミ箱_Backup!$B$1:$D$1,0)),""))))))</f>
        <v/>
      </c>
      <c r="T260" s="53"/>
      <c r="U260" s="61" t="str">
        <f t="shared" si="49"/>
        <v/>
      </c>
      <c r="V260" s="61" t="str">
        <f t="shared" si="50"/>
        <v/>
      </c>
      <c r="W260" s="61" t="str">
        <f t="shared" si="51"/>
        <v/>
      </c>
      <c r="X260" s="61" t="str">
        <f t="shared" si="52"/>
        <v/>
      </c>
      <c r="Y260" s="61" t="str">
        <f t="shared" si="53"/>
        <v/>
      </c>
      <c r="Z260" s="61" t="str">
        <f t="shared" si="54"/>
        <v/>
      </c>
      <c r="AA260" s="61" t="str">
        <f t="shared" si="55"/>
        <v/>
      </c>
      <c r="AB260" s="61" t="str">
        <f t="shared" si="56"/>
        <v/>
      </c>
      <c r="AC260" s="61" t="str">
        <f t="shared" si="57"/>
        <v/>
      </c>
      <c r="AD260" s="61" t="str">
        <f t="shared" si="58"/>
        <v/>
      </c>
      <c r="AE260" s="61" t="str">
        <f t="shared" si="59"/>
        <v/>
      </c>
      <c r="AF260" s="61" t="str">
        <f t="shared" si="60"/>
        <v/>
      </c>
      <c r="AG260" s="61" t="str">
        <f t="shared" si="61"/>
        <v/>
      </c>
      <c r="AH260" s="61" t="str">
        <f t="shared" si="62"/>
        <v/>
      </c>
      <c r="AI260" s="61" t="str">
        <f t="shared" si="63"/>
        <v/>
      </c>
    </row>
    <row r="261" spans="1:35" x14ac:dyDescent="0.25">
      <c r="A261" s="40"/>
      <c r="B261" s="41"/>
      <c r="C261" s="41"/>
      <c r="D261" s="41"/>
      <c r="E261" s="41"/>
      <c r="F261" s="41"/>
      <c r="G261" s="41"/>
      <c r="H261" s="41"/>
      <c r="I261" s="41"/>
      <c r="J261" s="42"/>
      <c r="K261" s="42"/>
      <c r="L261" s="41"/>
      <c r="M261" s="41"/>
      <c r="N261" s="41"/>
      <c r="O261" s="41"/>
      <c r="P261" s="41"/>
      <c r="Q261" s="41"/>
      <c r="R261" s="16" t="str">
        <f t="shared" ref="R261:R304" ca="1" si="64">IF(K261="","",K261-TODAY())</f>
        <v/>
      </c>
      <c r="S261" s="16" t="str">
        <f ca="1">IF(A261="","",IF(OR(M261='02_マスタ'!$E$10,M261='02_マスタ'!$E$12),"",IF(L261="High","High",IF(AND(K261&lt;&gt;"",K261&lt;TODAY()),INDEX(_ゴミ箱_Backup!$B$117:$D$247,MATCH("ALERT_OVERDUE",_ゴミ箱_Backup!$A$117:$A$247,0),MATCH(言語切替!$B$3,_ゴミ箱_Backup!$B$1:$D$1,0)),IF(AND(K261&lt;&gt;"",K261-TODAY()&lt;=7),INDEX(_ゴミ箱_Backup!$B$117:$D$247,MATCH("ALERT_APPROACHING",_ゴミ箱_Backup!$A$117:$A$247,0),MATCH(言語切替!$B$3,_ゴミ箱_Backup!$B$1:$D$1,0)),IF(OR(M261='02_マスタ'!$E$7,M261='02_マスタ'!$E$8),INDEX(_ゴミ箱_Backup!$B$117:$D$247,MATCH("ALERT_CHECK",_ゴミ箱_Backup!$A$117:$A$247,0),MATCH(言語切替!$B$3,_ゴミ箱_Backup!$B$1:$D$1,0)),""))))))</f>
        <v/>
      </c>
      <c r="T261" s="52"/>
      <c r="U261" s="61" t="str">
        <f t="shared" ref="U261:U304" si="65">IF(E261="","",IFERROR(_xlfn.TRANSLATE(E261,,"ja"),""))</f>
        <v/>
      </c>
      <c r="V261" s="61" t="str">
        <f t="shared" ref="V261:V304" si="66">IF(E261="","",IFERROR(_xlfn.TRANSLATE(E261,,"zh-Hans"),""))</f>
        <v/>
      </c>
      <c r="W261" s="61" t="str">
        <f t="shared" ref="W261:W304" si="67">IF(E261="","",IFERROR(_xlfn.TRANSLATE(E261,,"vi"),""))</f>
        <v/>
      </c>
      <c r="X261" s="61" t="str">
        <f t="shared" ref="X261:X304" si="68">IF(F261="","",IFERROR(_xlfn.TRANSLATE(F261,,"ja"),""))</f>
        <v/>
      </c>
      <c r="Y261" s="61" t="str">
        <f t="shared" ref="Y261:Y304" si="69">IF(F261="","",IFERROR(_xlfn.TRANSLATE(F261,,"zh-Hans"),""))</f>
        <v/>
      </c>
      <c r="Z261" s="61" t="str">
        <f t="shared" ref="Z261:Z304" si="70">IF(F261="","",IFERROR(_xlfn.TRANSLATE(F261,,"vi"),""))</f>
        <v/>
      </c>
      <c r="AA261" s="61" t="str">
        <f t="shared" ref="AA261:AA304" si="71">IF(G261="","",IFERROR(_xlfn.TRANSLATE(G261,,"ja"),""))</f>
        <v/>
      </c>
      <c r="AB261" s="61" t="str">
        <f t="shared" ref="AB261:AB304" si="72">IF(G261="","",IFERROR(_xlfn.TRANSLATE(G261,,"zh-Hans"),""))</f>
        <v/>
      </c>
      <c r="AC261" s="61" t="str">
        <f t="shared" ref="AC261:AC304" si="73">IF(G261="","",IFERROR(_xlfn.TRANSLATE(G261,,"vi"),""))</f>
        <v/>
      </c>
      <c r="AD261" s="61" t="str">
        <f t="shared" ref="AD261:AD304" si="74">IF(O261="","",IFERROR(_xlfn.TRANSLATE(O261,,"ja"),""))</f>
        <v/>
      </c>
      <c r="AE261" s="61" t="str">
        <f t="shared" ref="AE261:AE304" si="75">IF(O261="","",IFERROR(_xlfn.TRANSLATE(O261,,"zh-Hans"),""))</f>
        <v/>
      </c>
      <c r="AF261" s="61" t="str">
        <f t="shared" ref="AF261:AF304" si="76">IF(O261="","",IFERROR(_xlfn.TRANSLATE(O261,,"vi"),""))</f>
        <v/>
      </c>
      <c r="AG261" s="61" t="str">
        <f t="shared" ref="AG261:AG304" si="77">IF(P261="","",IFERROR(_xlfn.TRANSLATE(P261,,"ja"),""))</f>
        <v/>
      </c>
      <c r="AH261" s="61" t="str">
        <f t="shared" ref="AH261:AH304" si="78">IF(P261="","",IFERROR(_xlfn.TRANSLATE(P261,,"zh-Hans"),""))</f>
        <v/>
      </c>
      <c r="AI261" s="61" t="str">
        <f t="shared" ref="AI261:AI304" si="79">IF(P261="","",IFERROR(_xlfn.TRANSLATE(P261,,"vi"),""))</f>
        <v/>
      </c>
    </row>
    <row r="262" spans="1:35" x14ac:dyDescent="0.25">
      <c r="A262" s="36"/>
      <c r="B262" s="37"/>
      <c r="C262" s="37"/>
      <c r="D262" s="37"/>
      <c r="E262" s="37"/>
      <c r="F262" s="37"/>
      <c r="G262" s="37"/>
      <c r="H262" s="37"/>
      <c r="I262" s="37"/>
      <c r="J262" s="38"/>
      <c r="K262" s="38"/>
      <c r="L262" s="37"/>
      <c r="M262" s="37"/>
      <c r="N262" s="37"/>
      <c r="O262" s="37"/>
      <c r="P262" s="37"/>
      <c r="Q262" s="37"/>
      <c r="R262" s="13" t="str">
        <f t="shared" ca="1" si="64"/>
        <v/>
      </c>
      <c r="S262" s="13" t="str">
        <f ca="1">IF(A262="","",IF(OR(M262='02_マスタ'!$E$10,M262='02_マスタ'!$E$12),"",IF(L262="High","High",IF(AND(K262&lt;&gt;"",K262&lt;TODAY()),INDEX(_ゴミ箱_Backup!$B$117:$D$247,MATCH("ALERT_OVERDUE",_ゴミ箱_Backup!$A$117:$A$247,0),MATCH(言語切替!$B$3,_ゴミ箱_Backup!$B$1:$D$1,0)),IF(AND(K262&lt;&gt;"",K262-TODAY()&lt;=7),INDEX(_ゴミ箱_Backup!$B$117:$D$247,MATCH("ALERT_APPROACHING",_ゴミ箱_Backup!$A$117:$A$247,0),MATCH(言語切替!$B$3,_ゴミ箱_Backup!$B$1:$D$1,0)),IF(OR(M262='02_マスタ'!$E$7,M262='02_マスタ'!$E$8),INDEX(_ゴミ箱_Backup!$B$117:$D$247,MATCH("ALERT_CHECK",_ゴミ箱_Backup!$A$117:$A$247,0),MATCH(言語切替!$B$3,_ゴミ箱_Backup!$B$1:$D$1,0)),""))))))</f>
        <v/>
      </c>
      <c r="T262" s="53"/>
      <c r="U262" s="61" t="str">
        <f t="shared" si="65"/>
        <v/>
      </c>
      <c r="V262" s="61" t="str">
        <f t="shared" si="66"/>
        <v/>
      </c>
      <c r="W262" s="61" t="str">
        <f t="shared" si="67"/>
        <v/>
      </c>
      <c r="X262" s="61" t="str">
        <f t="shared" si="68"/>
        <v/>
      </c>
      <c r="Y262" s="61" t="str">
        <f t="shared" si="69"/>
        <v/>
      </c>
      <c r="Z262" s="61" t="str">
        <f t="shared" si="70"/>
        <v/>
      </c>
      <c r="AA262" s="61" t="str">
        <f t="shared" si="71"/>
        <v/>
      </c>
      <c r="AB262" s="61" t="str">
        <f t="shared" si="72"/>
        <v/>
      </c>
      <c r="AC262" s="61" t="str">
        <f t="shared" si="73"/>
        <v/>
      </c>
      <c r="AD262" s="61" t="str">
        <f t="shared" si="74"/>
        <v/>
      </c>
      <c r="AE262" s="61" t="str">
        <f t="shared" si="75"/>
        <v/>
      </c>
      <c r="AF262" s="61" t="str">
        <f t="shared" si="76"/>
        <v/>
      </c>
      <c r="AG262" s="61" t="str">
        <f t="shared" si="77"/>
        <v/>
      </c>
      <c r="AH262" s="61" t="str">
        <f t="shared" si="78"/>
        <v/>
      </c>
      <c r="AI262" s="61" t="str">
        <f t="shared" si="79"/>
        <v/>
      </c>
    </row>
    <row r="263" spans="1:35" x14ac:dyDescent="0.25">
      <c r="A263" s="40"/>
      <c r="B263" s="41"/>
      <c r="C263" s="41"/>
      <c r="D263" s="41"/>
      <c r="E263" s="41"/>
      <c r="F263" s="41"/>
      <c r="G263" s="41"/>
      <c r="H263" s="41"/>
      <c r="I263" s="41"/>
      <c r="J263" s="42"/>
      <c r="K263" s="42"/>
      <c r="L263" s="41"/>
      <c r="M263" s="41"/>
      <c r="N263" s="41"/>
      <c r="O263" s="41"/>
      <c r="P263" s="41"/>
      <c r="Q263" s="41"/>
      <c r="R263" s="16" t="str">
        <f t="shared" ca="1" si="64"/>
        <v/>
      </c>
      <c r="S263" s="16" t="str">
        <f ca="1">IF(A263="","",IF(OR(M263='02_マスタ'!$E$10,M263='02_マスタ'!$E$12),"",IF(L263="High","High",IF(AND(K263&lt;&gt;"",K263&lt;TODAY()),INDEX(_ゴミ箱_Backup!$B$117:$D$247,MATCH("ALERT_OVERDUE",_ゴミ箱_Backup!$A$117:$A$247,0),MATCH(言語切替!$B$3,_ゴミ箱_Backup!$B$1:$D$1,0)),IF(AND(K263&lt;&gt;"",K263-TODAY()&lt;=7),INDEX(_ゴミ箱_Backup!$B$117:$D$247,MATCH("ALERT_APPROACHING",_ゴミ箱_Backup!$A$117:$A$247,0),MATCH(言語切替!$B$3,_ゴミ箱_Backup!$B$1:$D$1,0)),IF(OR(M263='02_マスタ'!$E$7,M263='02_マスタ'!$E$8),INDEX(_ゴミ箱_Backup!$B$117:$D$247,MATCH("ALERT_CHECK",_ゴミ箱_Backup!$A$117:$A$247,0),MATCH(言語切替!$B$3,_ゴミ箱_Backup!$B$1:$D$1,0)),""))))))</f>
        <v/>
      </c>
      <c r="T263" s="52"/>
      <c r="U263" s="61" t="str">
        <f t="shared" si="65"/>
        <v/>
      </c>
      <c r="V263" s="61" t="str">
        <f t="shared" si="66"/>
        <v/>
      </c>
      <c r="W263" s="61" t="str">
        <f t="shared" si="67"/>
        <v/>
      </c>
      <c r="X263" s="61" t="str">
        <f t="shared" si="68"/>
        <v/>
      </c>
      <c r="Y263" s="61" t="str">
        <f t="shared" si="69"/>
        <v/>
      </c>
      <c r="Z263" s="61" t="str">
        <f t="shared" si="70"/>
        <v/>
      </c>
      <c r="AA263" s="61" t="str">
        <f t="shared" si="71"/>
        <v/>
      </c>
      <c r="AB263" s="61" t="str">
        <f t="shared" si="72"/>
        <v/>
      </c>
      <c r="AC263" s="61" t="str">
        <f t="shared" si="73"/>
        <v/>
      </c>
      <c r="AD263" s="61" t="str">
        <f t="shared" si="74"/>
        <v/>
      </c>
      <c r="AE263" s="61" t="str">
        <f t="shared" si="75"/>
        <v/>
      </c>
      <c r="AF263" s="61" t="str">
        <f t="shared" si="76"/>
        <v/>
      </c>
      <c r="AG263" s="61" t="str">
        <f t="shared" si="77"/>
        <v/>
      </c>
      <c r="AH263" s="61" t="str">
        <f t="shared" si="78"/>
        <v/>
      </c>
      <c r="AI263" s="61" t="str">
        <f t="shared" si="79"/>
        <v/>
      </c>
    </row>
    <row r="264" spans="1:35" x14ac:dyDescent="0.25">
      <c r="A264" s="36"/>
      <c r="B264" s="37"/>
      <c r="C264" s="37"/>
      <c r="D264" s="37"/>
      <c r="E264" s="37"/>
      <c r="F264" s="37"/>
      <c r="G264" s="37"/>
      <c r="H264" s="37"/>
      <c r="I264" s="37"/>
      <c r="J264" s="38"/>
      <c r="K264" s="38"/>
      <c r="L264" s="37"/>
      <c r="M264" s="37"/>
      <c r="N264" s="37"/>
      <c r="O264" s="37"/>
      <c r="P264" s="37"/>
      <c r="Q264" s="37"/>
      <c r="R264" s="13" t="str">
        <f t="shared" ca="1" si="64"/>
        <v/>
      </c>
      <c r="S264" s="13" t="str">
        <f ca="1">IF(A264="","",IF(OR(M264='02_マスタ'!$E$10,M264='02_マスタ'!$E$12),"",IF(L264="High","High",IF(AND(K264&lt;&gt;"",K264&lt;TODAY()),INDEX(_ゴミ箱_Backup!$B$117:$D$247,MATCH("ALERT_OVERDUE",_ゴミ箱_Backup!$A$117:$A$247,0),MATCH(言語切替!$B$3,_ゴミ箱_Backup!$B$1:$D$1,0)),IF(AND(K264&lt;&gt;"",K264-TODAY()&lt;=7),INDEX(_ゴミ箱_Backup!$B$117:$D$247,MATCH("ALERT_APPROACHING",_ゴミ箱_Backup!$A$117:$A$247,0),MATCH(言語切替!$B$3,_ゴミ箱_Backup!$B$1:$D$1,0)),IF(OR(M264='02_マスタ'!$E$7,M264='02_マスタ'!$E$8),INDEX(_ゴミ箱_Backup!$B$117:$D$247,MATCH("ALERT_CHECK",_ゴミ箱_Backup!$A$117:$A$247,0),MATCH(言語切替!$B$3,_ゴミ箱_Backup!$B$1:$D$1,0)),""))))))</f>
        <v/>
      </c>
      <c r="T264" s="53"/>
      <c r="U264" s="61" t="str">
        <f t="shared" si="65"/>
        <v/>
      </c>
      <c r="V264" s="61" t="str">
        <f t="shared" si="66"/>
        <v/>
      </c>
      <c r="W264" s="61" t="str">
        <f t="shared" si="67"/>
        <v/>
      </c>
      <c r="X264" s="61" t="str">
        <f t="shared" si="68"/>
        <v/>
      </c>
      <c r="Y264" s="61" t="str">
        <f t="shared" si="69"/>
        <v/>
      </c>
      <c r="Z264" s="61" t="str">
        <f t="shared" si="70"/>
        <v/>
      </c>
      <c r="AA264" s="61" t="str">
        <f t="shared" si="71"/>
        <v/>
      </c>
      <c r="AB264" s="61" t="str">
        <f t="shared" si="72"/>
        <v/>
      </c>
      <c r="AC264" s="61" t="str">
        <f t="shared" si="73"/>
        <v/>
      </c>
      <c r="AD264" s="61" t="str">
        <f t="shared" si="74"/>
        <v/>
      </c>
      <c r="AE264" s="61" t="str">
        <f t="shared" si="75"/>
        <v/>
      </c>
      <c r="AF264" s="61" t="str">
        <f t="shared" si="76"/>
        <v/>
      </c>
      <c r="AG264" s="61" t="str">
        <f t="shared" si="77"/>
        <v/>
      </c>
      <c r="AH264" s="61" t="str">
        <f t="shared" si="78"/>
        <v/>
      </c>
      <c r="AI264" s="61" t="str">
        <f t="shared" si="79"/>
        <v/>
      </c>
    </row>
    <row r="265" spans="1:35" x14ac:dyDescent="0.25">
      <c r="A265" s="40"/>
      <c r="B265" s="41"/>
      <c r="C265" s="41"/>
      <c r="D265" s="41"/>
      <c r="E265" s="41"/>
      <c r="F265" s="41"/>
      <c r="G265" s="41"/>
      <c r="H265" s="41"/>
      <c r="I265" s="41"/>
      <c r="J265" s="42"/>
      <c r="K265" s="42"/>
      <c r="L265" s="41"/>
      <c r="M265" s="41"/>
      <c r="N265" s="41"/>
      <c r="O265" s="41"/>
      <c r="P265" s="41"/>
      <c r="Q265" s="41"/>
      <c r="R265" s="16" t="str">
        <f t="shared" ca="1" si="64"/>
        <v/>
      </c>
      <c r="S265" s="16" t="str">
        <f ca="1">IF(A265="","",IF(OR(M265='02_マスタ'!$E$10,M265='02_マスタ'!$E$12),"",IF(L265="High","High",IF(AND(K265&lt;&gt;"",K265&lt;TODAY()),INDEX(_ゴミ箱_Backup!$B$117:$D$247,MATCH("ALERT_OVERDUE",_ゴミ箱_Backup!$A$117:$A$247,0),MATCH(言語切替!$B$3,_ゴミ箱_Backup!$B$1:$D$1,0)),IF(AND(K265&lt;&gt;"",K265-TODAY()&lt;=7),INDEX(_ゴミ箱_Backup!$B$117:$D$247,MATCH("ALERT_APPROACHING",_ゴミ箱_Backup!$A$117:$A$247,0),MATCH(言語切替!$B$3,_ゴミ箱_Backup!$B$1:$D$1,0)),IF(OR(M265='02_マスタ'!$E$7,M265='02_マスタ'!$E$8),INDEX(_ゴミ箱_Backup!$B$117:$D$247,MATCH("ALERT_CHECK",_ゴミ箱_Backup!$A$117:$A$247,0),MATCH(言語切替!$B$3,_ゴミ箱_Backup!$B$1:$D$1,0)),""))))))</f>
        <v/>
      </c>
      <c r="T265" s="52"/>
      <c r="U265" s="61" t="str">
        <f t="shared" si="65"/>
        <v/>
      </c>
      <c r="V265" s="61" t="str">
        <f t="shared" si="66"/>
        <v/>
      </c>
      <c r="W265" s="61" t="str">
        <f t="shared" si="67"/>
        <v/>
      </c>
      <c r="X265" s="61" t="str">
        <f t="shared" si="68"/>
        <v/>
      </c>
      <c r="Y265" s="61" t="str">
        <f t="shared" si="69"/>
        <v/>
      </c>
      <c r="Z265" s="61" t="str">
        <f t="shared" si="70"/>
        <v/>
      </c>
      <c r="AA265" s="61" t="str">
        <f t="shared" si="71"/>
        <v/>
      </c>
      <c r="AB265" s="61" t="str">
        <f t="shared" si="72"/>
        <v/>
      </c>
      <c r="AC265" s="61" t="str">
        <f t="shared" si="73"/>
        <v/>
      </c>
      <c r="AD265" s="61" t="str">
        <f t="shared" si="74"/>
        <v/>
      </c>
      <c r="AE265" s="61" t="str">
        <f t="shared" si="75"/>
        <v/>
      </c>
      <c r="AF265" s="61" t="str">
        <f t="shared" si="76"/>
        <v/>
      </c>
      <c r="AG265" s="61" t="str">
        <f t="shared" si="77"/>
        <v/>
      </c>
      <c r="AH265" s="61" t="str">
        <f t="shared" si="78"/>
        <v/>
      </c>
      <c r="AI265" s="61" t="str">
        <f t="shared" si="79"/>
        <v/>
      </c>
    </row>
    <row r="266" spans="1:35" x14ac:dyDescent="0.25">
      <c r="A266" s="36"/>
      <c r="B266" s="37"/>
      <c r="C266" s="37"/>
      <c r="D266" s="37"/>
      <c r="E266" s="37"/>
      <c r="F266" s="37"/>
      <c r="G266" s="37"/>
      <c r="H266" s="37"/>
      <c r="I266" s="37"/>
      <c r="J266" s="38"/>
      <c r="K266" s="38"/>
      <c r="L266" s="37"/>
      <c r="M266" s="37"/>
      <c r="N266" s="37"/>
      <c r="O266" s="37"/>
      <c r="P266" s="37"/>
      <c r="Q266" s="37"/>
      <c r="R266" s="13" t="str">
        <f t="shared" ca="1" si="64"/>
        <v/>
      </c>
      <c r="S266" s="13" t="str">
        <f ca="1">IF(A266="","",IF(OR(M266='02_マスタ'!$E$10,M266='02_マスタ'!$E$12),"",IF(L266="High","High",IF(AND(K266&lt;&gt;"",K266&lt;TODAY()),INDEX(_ゴミ箱_Backup!$B$117:$D$247,MATCH("ALERT_OVERDUE",_ゴミ箱_Backup!$A$117:$A$247,0),MATCH(言語切替!$B$3,_ゴミ箱_Backup!$B$1:$D$1,0)),IF(AND(K266&lt;&gt;"",K266-TODAY()&lt;=7),INDEX(_ゴミ箱_Backup!$B$117:$D$247,MATCH("ALERT_APPROACHING",_ゴミ箱_Backup!$A$117:$A$247,0),MATCH(言語切替!$B$3,_ゴミ箱_Backup!$B$1:$D$1,0)),IF(OR(M266='02_マスタ'!$E$7,M266='02_マスタ'!$E$8),INDEX(_ゴミ箱_Backup!$B$117:$D$247,MATCH("ALERT_CHECK",_ゴミ箱_Backup!$A$117:$A$247,0),MATCH(言語切替!$B$3,_ゴミ箱_Backup!$B$1:$D$1,0)),""))))))</f>
        <v/>
      </c>
      <c r="T266" s="53"/>
      <c r="U266" s="61" t="str">
        <f t="shared" si="65"/>
        <v/>
      </c>
      <c r="V266" s="61" t="str">
        <f t="shared" si="66"/>
        <v/>
      </c>
      <c r="W266" s="61" t="str">
        <f t="shared" si="67"/>
        <v/>
      </c>
      <c r="X266" s="61" t="str">
        <f t="shared" si="68"/>
        <v/>
      </c>
      <c r="Y266" s="61" t="str">
        <f t="shared" si="69"/>
        <v/>
      </c>
      <c r="Z266" s="61" t="str">
        <f t="shared" si="70"/>
        <v/>
      </c>
      <c r="AA266" s="61" t="str">
        <f t="shared" si="71"/>
        <v/>
      </c>
      <c r="AB266" s="61" t="str">
        <f t="shared" si="72"/>
        <v/>
      </c>
      <c r="AC266" s="61" t="str">
        <f t="shared" si="73"/>
        <v/>
      </c>
      <c r="AD266" s="61" t="str">
        <f t="shared" si="74"/>
        <v/>
      </c>
      <c r="AE266" s="61" t="str">
        <f t="shared" si="75"/>
        <v/>
      </c>
      <c r="AF266" s="61" t="str">
        <f t="shared" si="76"/>
        <v/>
      </c>
      <c r="AG266" s="61" t="str">
        <f t="shared" si="77"/>
        <v/>
      </c>
      <c r="AH266" s="61" t="str">
        <f t="shared" si="78"/>
        <v/>
      </c>
      <c r="AI266" s="61" t="str">
        <f t="shared" si="79"/>
        <v/>
      </c>
    </row>
    <row r="267" spans="1:35" x14ac:dyDescent="0.25">
      <c r="A267" s="40"/>
      <c r="B267" s="41"/>
      <c r="C267" s="41"/>
      <c r="D267" s="41"/>
      <c r="E267" s="41"/>
      <c r="F267" s="41"/>
      <c r="G267" s="41"/>
      <c r="H267" s="41"/>
      <c r="I267" s="41"/>
      <c r="J267" s="42"/>
      <c r="K267" s="42"/>
      <c r="L267" s="41"/>
      <c r="M267" s="41"/>
      <c r="N267" s="41"/>
      <c r="O267" s="41"/>
      <c r="P267" s="41"/>
      <c r="Q267" s="41"/>
      <c r="R267" s="16" t="str">
        <f t="shared" ca="1" si="64"/>
        <v/>
      </c>
      <c r="S267" s="16" t="str">
        <f ca="1">IF(A267="","",IF(OR(M267='02_マスタ'!$E$10,M267='02_マスタ'!$E$12),"",IF(L267="High","High",IF(AND(K267&lt;&gt;"",K267&lt;TODAY()),INDEX(_ゴミ箱_Backup!$B$117:$D$247,MATCH("ALERT_OVERDUE",_ゴミ箱_Backup!$A$117:$A$247,0),MATCH(言語切替!$B$3,_ゴミ箱_Backup!$B$1:$D$1,0)),IF(AND(K267&lt;&gt;"",K267-TODAY()&lt;=7),INDEX(_ゴミ箱_Backup!$B$117:$D$247,MATCH("ALERT_APPROACHING",_ゴミ箱_Backup!$A$117:$A$247,0),MATCH(言語切替!$B$3,_ゴミ箱_Backup!$B$1:$D$1,0)),IF(OR(M267='02_マスタ'!$E$7,M267='02_マスタ'!$E$8),INDEX(_ゴミ箱_Backup!$B$117:$D$247,MATCH("ALERT_CHECK",_ゴミ箱_Backup!$A$117:$A$247,0),MATCH(言語切替!$B$3,_ゴミ箱_Backup!$B$1:$D$1,0)),""))))))</f>
        <v/>
      </c>
      <c r="T267" s="52"/>
      <c r="U267" s="61" t="str">
        <f t="shared" si="65"/>
        <v/>
      </c>
      <c r="V267" s="61" t="str">
        <f t="shared" si="66"/>
        <v/>
      </c>
      <c r="W267" s="61" t="str">
        <f t="shared" si="67"/>
        <v/>
      </c>
      <c r="X267" s="61" t="str">
        <f t="shared" si="68"/>
        <v/>
      </c>
      <c r="Y267" s="61" t="str">
        <f t="shared" si="69"/>
        <v/>
      </c>
      <c r="Z267" s="61" t="str">
        <f t="shared" si="70"/>
        <v/>
      </c>
      <c r="AA267" s="61" t="str">
        <f t="shared" si="71"/>
        <v/>
      </c>
      <c r="AB267" s="61" t="str">
        <f t="shared" si="72"/>
        <v/>
      </c>
      <c r="AC267" s="61" t="str">
        <f t="shared" si="73"/>
        <v/>
      </c>
      <c r="AD267" s="61" t="str">
        <f t="shared" si="74"/>
        <v/>
      </c>
      <c r="AE267" s="61" t="str">
        <f t="shared" si="75"/>
        <v/>
      </c>
      <c r="AF267" s="61" t="str">
        <f t="shared" si="76"/>
        <v/>
      </c>
      <c r="AG267" s="61" t="str">
        <f t="shared" si="77"/>
        <v/>
      </c>
      <c r="AH267" s="61" t="str">
        <f t="shared" si="78"/>
        <v/>
      </c>
      <c r="AI267" s="61" t="str">
        <f t="shared" si="79"/>
        <v/>
      </c>
    </row>
    <row r="268" spans="1:35" x14ac:dyDescent="0.25">
      <c r="A268" s="36"/>
      <c r="B268" s="37"/>
      <c r="C268" s="37"/>
      <c r="D268" s="37"/>
      <c r="E268" s="37"/>
      <c r="F268" s="37"/>
      <c r="G268" s="37"/>
      <c r="H268" s="37"/>
      <c r="I268" s="37"/>
      <c r="J268" s="38"/>
      <c r="K268" s="38"/>
      <c r="L268" s="37"/>
      <c r="M268" s="37"/>
      <c r="N268" s="37"/>
      <c r="O268" s="37"/>
      <c r="P268" s="37"/>
      <c r="Q268" s="37"/>
      <c r="R268" s="13" t="str">
        <f t="shared" ca="1" si="64"/>
        <v/>
      </c>
      <c r="S268" s="13" t="str">
        <f ca="1">IF(A268="","",IF(OR(M268='02_マスタ'!$E$10,M268='02_マスタ'!$E$12),"",IF(L268="High","High",IF(AND(K268&lt;&gt;"",K268&lt;TODAY()),INDEX(_ゴミ箱_Backup!$B$117:$D$247,MATCH("ALERT_OVERDUE",_ゴミ箱_Backup!$A$117:$A$247,0),MATCH(言語切替!$B$3,_ゴミ箱_Backup!$B$1:$D$1,0)),IF(AND(K268&lt;&gt;"",K268-TODAY()&lt;=7),INDEX(_ゴミ箱_Backup!$B$117:$D$247,MATCH("ALERT_APPROACHING",_ゴミ箱_Backup!$A$117:$A$247,0),MATCH(言語切替!$B$3,_ゴミ箱_Backup!$B$1:$D$1,0)),IF(OR(M268='02_マスタ'!$E$7,M268='02_マスタ'!$E$8),INDEX(_ゴミ箱_Backup!$B$117:$D$247,MATCH("ALERT_CHECK",_ゴミ箱_Backup!$A$117:$A$247,0),MATCH(言語切替!$B$3,_ゴミ箱_Backup!$B$1:$D$1,0)),""))))))</f>
        <v/>
      </c>
      <c r="T268" s="53"/>
      <c r="U268" s="61" t="str">
        <f t="shared" si="65"/>
        <v/>
      </c>
      <c r="V268" s="61" t="str">
        <f t="shared" si="66"/>
        <v/>
      </c>
      <c r="W268" s="61" t="str">
        <f t="shared" si="67"/>
        <v/>
      </c>
      <c r="X268" s="61" t="str">
        <f t="shared" si="68"/>
        <v/>
      </c>
      <c r="Y268" s="61" t="str">
        <f t="shared" si="69"/>
        <v/>
      </c>
      <c r="Z268" s="61" t="str">
        <f t="shared" si="70"/>
        <v/>
      </c>
      <c r="AA268" s="61" t="str">
        <f t="shared" si="71"/>
        <v/>
      </c>
      <c r="AB268" s="61" t="str">
        <f t="shared" si="72"/>
        <v/>
      </c>
      <c r="AC268" s="61" t="str">
        <f t="shared" si="73"/>
        <v/>
      </c>
      <c r="AD268" s="61" t="str">
        <f t="shared" si="74"/>
        <v/>
      </c>
      <c r="AE268" s="61" t="str">
        <f t="shared" si="75"/>
        <v/>
      </c>
      <c r="AF268" s="61" t="str">
        <f t="shared" si="76"/>
        <v/>
      </c>
      <c r="AG268" s="61" t="str">
        <f t="shared" si="77"/>
        <v/>
      </c>
      <c r="AH268" s="61" t="str">
        <f t="shared" si="78"/>
        <v/>
      </c>
      <c r="AI268" s="61" t="str">
        <f t="shared" si="79"/>
        <v/>
      </c>
    </row>
    <row r="269" spans="1:35" x14ac:dyDescent="0.25">
      <c r="A269" s="40"/>
      <c r="B269" s="41"/>
      <c r="C269" s="41"/>
      <c r="D269" s="41"/>
      <c r="E269" s="41"/>
      <c r="F269" s="41"/>
      <c r="G269" s="41"/>
      <c r="H269" s="41"/>
      <c r="I269" s="41"/>
      <c r="J269" s="42"/>
      <c r="K269" s="42"/>
      <c r="L269" s="41"/>
      <c r="M269" s="41"/>
      <c r="N269" s="41"/>
      <c r="O269" s="41"/>
      <c r="P269" s="41"/>
      <c r="Q269" s="41"/>
      <c r="R269" s="16" t="str">
        <f t="shared" ca="1" si="64"/>
        <v/>
      </c>
      <c r="S269" s="16" t="str">
        <f ca="1">IF(A269="","",IF(OR(M269='02_マスタ'!$E$10,M269='02_マスタ'!$E$12),"",IF(L269="High","High",IF(AND(K269&lt;&gt;"",K269&lt;TODAY()),INDEX(_ゴミ箱_Backup!$B$117:$D$247,MATCH("ALERT_OVERDUE",_ゴミ箱_Backup!$A$117:$A$247,0),MATCH(言語切替!$B$3,_ゴミ箱_Backup!$B$1:$D$1,0)),IF(AND(K269&lt;&gt;"",K269-TODAY()&lt;=7),INDEX(_ゴミ箱_Backup!$B$117:$D$247,MATCH("ALERT_APPROACHING",_ゴミ箱_Backup!$A$117:$A$247,0),MATCH(言語切替!$B$3,_ゴミ箱_Backup!$B$1:$D$1,0)),IF(OR(M269='02_マスタ'!$E$7,M269='02_マスタ'!$E$8),INDEX(_ゴミ箱_Backup!$B$117:$D$247,MATCH("ALERT_CHECK",_ゴミ箱_Backup!$A$117:$A$247,0),MATCH(言語切替!$B$3,_ゴミ箱_Backup!$B$1:$D$1,0)),""))))))</f>
        <v/>
      </c>
      <c r="T269" s="52"/>
      <c r="U269" s="61" t="str">
        <f t="shared" si="65"/>
        <v/>
      </c>
      <c r="V269" s="61" t="str">
        <f t="shared" si="66"/>
        <v/>
      </c>
      <c r="W269" s="61" t="str">
        <f t="shared" si="67"/>
        <v/>
      </c>
      <c r="X269" s="61" t="str">
        <f t="shared" si="68"/>
        <v/>
      </c>
      <c r="Y269" s="61" t="str">
        <f t="shared" si="69"/>
        <v/>
      </c>
      <c r="Z269" s="61" t="str">
        <f t="shared" si="70"/>
        <v/>
      </c>
      <c r="AA269" s="61" t="str">
        <f t="shared" si="71"/>
        <v/>
      </c>
      <c r="AB269" s="61" t="str">
        <f t="shared" si="72"/>
        <v/>
      </c>
      <c r="AC269" s="61" t="str">
        <f t="shared" si="73"/>
        <v/>
      </c>
      <c r="AD269" s="61" t="str">
        <f t="shared" si="74"/>
        <v/>
      </c>
      <c r="AE269" s="61" t="str">
        <f t="shared" si="75"/>
        <v/>
      </c>
      <c r="AF269" s="61" t="str">
        <f t="shared" si="76"/>
        <v/>
      </c>
      <c r="AG269" s="61" t="str">
        <f t="shared" si="77"/>
        <v/>
      </c>
      <c r="AH269" s="61" t="str">
        <f t="shared" si="78"/>
        <v/>
      </c>
      <c r="AI269" s="61" t="str">
        <f t="shared" si="79"/>
        <v/>
      </c>
    </row>
    <row r="270" spans="1:35" x14ac:dyDescent="0.25">
      <c r="A270" s="36"/>
      <c r="B270" s="37"/>
      <c r="C270" s="37"/>
      <c r="D270" s="37"/>
      <c r="E270" s="37"/>
      <c r="F270" s="37"/>
      <c r="G270" s="37"/>
      <c r="H270" s="37"/>
      <c r="I270" s="37"/>
      <c r="J270" s="38"/>
      <c r="K270" s="38"/>
      <c r="L270" s="37"/>
      <c r="M270" s="37"/>
      <c r="N270" s="37"/>
      <c r="O270" s="37"/>
      <c r="P270" s="37"/>
      <c r="Q270" s="37"/>
      <c r="R270" s="13" t="str">
        <f t="shared" ca="1" si="64"/>
        <v/>
      </c>
      <c r="S270" s="13" t="str">
        <f ca="1">IF(A270="","",IF(OR(M270='02_マスタ'!$E$10,M270='02_マスタ'!$E$12),"",IF(L270="High","High",IF(AND(K270&lt;&gt;"",K270&lt;TODAY()),INDEX(_ゴミ箱_Backup!$B$117:$D$247,MATCH("ALERT_OVERDUE",_ゴミ箱_Backup!$A$117:$A$247,0),MATCH(言語切替!$B$3,_ゴミ箱_Backup!$B$1:$D$1,0)),IF(AND(K270&lt;&gt;"",K270-TODAY()&lt;=7),INDEX(_ゴミ箱_Backup!$B$117:$D$247,MATCH("ALERT_APPROACHING",_ゴミ箱_Backup!$A$117:$A$247,0),MATCH(言語切替!$B$3,_ゴミ箱_Backup!$B$1:$D$1,0)),IF(OR(M270='02_マスタ'!$E$7,M270='02_マスタ'!$E$8),INDEX(_ゴミ箱_Backup!$B$117:$D$247,MATCH("ALERT_CHECK",_ゴミ箱_Backup!$A$117:$A$247,0),MATCH(言語切替!$B$3,_ゴミ箱_Backup!$B$1:$D$1,0)),""))))))</f>
        <v/>
      </c>
      <c r="T270" s="53"/>
      <c r="U270" s="61" t="str">
        <f t="shared" si="65"/>
        <v/>
      </c>
      <c r="V270" s="61" t="str">
        <f t="shared" si="66"/>
        <v/>
      </c>
      <c r="W270" s="61" t="str">
        <f t="shared" si="67"/>
        <v/>
      </c>
      <c r="X270" s="61" t="str">
        <f t="shared" si="68"/>
        <v/>
      </c>
      <c r="Y270" s="61" t="str">
        <f t="shared" si="69"/>
        <v/>
      </c>
      <c r="Z270" s="61" t="str">
        <f t="shared" si="70"/>
        <v/>
      </c>
      <c r="AA270" s="61" t="str">
        <f t="shared" si="71"/>
        <v/>
      </c>
      <c r="AB270" s="61" t="str">
        <f t="shared" si="72"/>
        <v/>
      </c>
      <c r="AC270" s="61" t="str">
        <f t="shared" si="73"/>
        <v/>
      </c>
      <c r="AD270" s="61" t="str">
        <f t="shared" si="74"/>
        <v/>
      </c>
      <c r="AE270" s="61" t="str">
        <f t="shared" si="75"/>
        <v/>
      </c>
      <c r="AF270" s="61" t="str">
        <f t="shared" si="76"/>
        <v/>
      </c>
      <c r="AG270" s="61" t="str">
        <f t="shared" si="77"/>
        <v/>
      </c>
      <c r="AH270" s="61" t="str">
        <f t="shared" si="78"/>
        <v/>
      </c>
      <c r="AI270" s="61" t="str">
        <f t="shared" si="79"/>
        <v/>
      </c>
    </row>
    <row r="271" spans="1:35" x14ac:dyDescent="0.25">
      <c r="A271" s="40"/>
      <c r="B271" s="41"/>
      <c r="C271" s="41"/>
      <c r="D271" s="41"/>
      <c r="E271" s="41"/>
      <c r="F271" s="41"/>
      <c r="G271" s="41"/>
      <c r="H271" s="41"/>
      <c r="I271" s="41"/>
      <c r="J271" s="42"/>
      <c r="K271" s="42"/>
      <c r="L271" s="41"/>
      <c r="M271" s="41"/>
      <c r="N271" s="41"/>
      <c r="O271" s="41"/>
      <c r="P271" s="41"/>
      <c r="Q271" s="41"/>
      <c r="R271" s="16" t="str">
        <f t="shared" ca="1" si="64"/>
        <v/>
      </c>
      <c r="S271" s="16" t="str">
        <f ca="1">IF(A271="","",IF(OR(M271='02_マスタ'!$E$10,M271='02_マスタ'!$E$12),"",IF(L271="High","High",IF(AND(K271&lt;&gt;"",K271&lt;TODAY()),INDEX(_ゴミ箱_Backup!$B$117:$D$247,MATCH("ALERT_OVERDUE",_ゴミ箱_Backup!$A$117:$A$247,0),MATCH(言語切替!$B$3,_ゴミ箱_Backup!$B$1:$D$1,0)),IF(AND(K271&lt;&gt;"",K271-TODAY()&lt;=7),INDEX(_ゴミ箱_Backup!$B$117:$D$247,MATCH("ALERT_APPROACHING",_ゴミ箱_Backup!$A$117:$A$247,0),MATCH(言語切替!$B$3,_ゴミ箱_Backup!$B$1:$D$1,0)),IF(OR(M271='02_マスタ'!$E$7,M271='02_マスタ'!$E$8),INDEX(_ゴミ箱_Backup!$B$117:$D$247,MATCH("ALERT_CHECK",_ゴミ箱_Backup!$A$117:$A$247,0),MATCH(言語切替!$B$3,_ゴミ箱_Backup!$B$1:$D$1,0)),""))))))</f>
        <v/>
      </c>
      <c r="T271" s="52"/>
      <c r="U271" s="61" t="str">
        <f t="shared" si="65"/>
        <v/>
      </c>
      <c r="V271" s="61" t="str">
        <f t="shared" si="66"/>
        <v/>
      </c>
      <c r="W271" s="61" t="str">
        <f t="shared" si="67"/>
        <v/>
      </c>
      <c r="X271" s="61" t="str">
        <f t="shared" si="68"/>
        <v/>
      </c>
      <c r="Y271" s="61" t="str">
        <f t="shared" si="69"/>
        <v/>
      </c>
      <c r="Z271" s="61" t="str">
        <f t="shared" si="70"/>
        <v/>
      </c>
      <c r="AA271" s="61" t="str">
        <f t="shared" si="71"/>
        <v/>
      </c>
      <c r="AB271" s="61" t="str">
        <f t="shared" si="72"/>
        <v/>
      </c>
      <c r="AC271" s="61" t="str">
        <f t="shared" si="73"/>
        <v/>
      </c>
      <c r="AD271" s="61" t="str">
        <f t="shared" si="74"/>
        <v/>
      </c>
      <c r="AE271" s="61" t="str">
        <f t="shared" si="75"/>
        <v/>
      </c>
      <c r="AF271" s="61" t="str">
        <f t="shared" si="76"/>
        <v/>
      </c>
      <c r="AG271" s="61" t="str">
        <f t="shared" si="77"/>
        <v/>
      </c>
      <c r="AH271" s="61" t="str">
        <f t="shared" si="78"/>
        <v/>
      </c>
      <c r="AI271" s="61" t="str">
        <f t="shared" si="79"/>
        <v/>
      </c>
    </row>
    <row r="272" spans="1:35" x14ac:dyDescent="0.25">
      <c r="A272" s="36"/>
      <c r="B272" s="37"/>
      <c r="C272" s="37"/>
      <c r="D272" s="37"/>
      <c r="E272" s="37"/>
      <c r="F272" s="37"/>
      <c r="G272" s="37"/>
      <c r="H272" s="37"/>
      <c r="I272" s="37"/>
      <c r="J272" s="38"/>
      <c r="K272" s="38"/>
      <c r="L272" s="37"/>
      <c r="M272" s="37"/>
      <c r="N272" s="37"/>
      <c r="O272" s="37"/>
      <c r="P272" s="37"/>
      <c r="Q272" s="37"/>
      <c r="R272" s="13" t="str">
        <f t="shared" ca="1" si="64"/>
        <v/>
      </c>
      <c r="S272" s="13" t="str">
        <f ca="1">IF(A272="","",IF(OR(M272='02_マスタ'!$E$10,M272='02_マスタ'!$E$12),"",IF(L272="High","High",IF(AND(K272&lt;&gt;"",K272&lt;TODAY()),INDEX(_ゴミ箱_Backup!$B$117:$D$247,MATCH("ALERT_OVERDUE",_ゴミ箱_Backup!$A$117:$A$247,0),MATCH(言語切替!$B$3,_ゴミ箱_Backup!$B$1:$D$1,0)),IF(AND(K272&lt;&gt;"",K272-TODAY()&lt;=7),INDEX(_ゴミ箱_Backup!$B$117:$D$247,MATCH("ALERT_APPROACHING",_ゴミ箱_Backup!$A$117:$A$247,0),MATCH(言語切替!$B$3,_ゴミ箱_Backup!$B$1:$D$1,0)),IF(OR(M272='02_マスタ'!$E$7,M272='02_マスタ'!$E$8),INDEX(_ゴミ箱_Backup!$B$117:$D$247,MATCH("ALERT_CHECK",_ゴミ箱_Backup!$A$117:$A$247,0),MATCH(言語切替!$B$3,_ゴミ箱_Backup!$B$1:$D$1,0)),""))))))</f>
        <v/>
      </c>
      <c r="T272" s="53"/>
      <c r="U272" s="61" t="str">
        <f t="shared" si="65"/>
        <v/>
      </c>
      <c r="V272" s="61" t="str">
        <f t="shared" si="66"/>
        <v/>
      </c>
      <c r="W272" s="61" t="str">
        <f t="shared" si="67"/>
        <v/>
      </c>
      <c r="X272" s="61" t="str">
        <f t="shared" si="68"/>
        <v/>
      </c>
      <c r="Y272" s="61" t="str">
        <f t="shared" si="69"/>
        <v/>
      </c>
      <c r="Z272" s="61" t="str">
        <f t="shared" si="70"/>
        <v/>
      </c>
      <c r="AA272" s="61" t="str">
        <f t="shared" si="71"/>
        <v/>
      </c>
      <c r="AB272" s="61" t="str">
        <f t="shared" si="72"/>
        <v/>
      </c>
      <c r="AC272" s="61" t="str">
        <f t="shared" si="73"/>
        <v/>
      </c>
      <c r="AD272" s="61" t="str">
        <f t="shared" si="74"/>
        <v/>
      </c>
      <c r="AE272" s="61" t="str">
        <f t="shared" si="75"/>
        <v/>
      </c>
      <c r="AF272" s="61" t="str">
        <f t="shared" si="76"/>
        <v/>
      </c>
      <c r="AG272" s="61" t="str">
        <f t="shared" si="77"/>
        <v/>
      </c>
      <c r="AH272" s="61" t="str">
        <f t="shared" si="78"/>
        <v/>
      </c>
      <c r="AI272" s="61" t="str">
        <f t="shared" si="79"/>
        <v/>
      </c>
    </row>
    <row r="273" spans="1:35" x14ac:dyDescent="0.25">
      <c r="A273" s="40"/>
      <c r="B273" s="41"/>
      <c r="C273" s="41"/>
      <c r="D273" s="41"/>
      <c r="E273" s="41"/>
      <c r="F273" s="41"/>
      <c r="G273" s="41"/>
      <c r="H273" s="41"/>
      <c r="I273" s="41"/>
      <c r="J273" s="42"/>
      <c r="K273" s="42"/>
      <c r="L273" s="41"/>
      <c r="M273" s="41"/>
      <c r="N273" s="41"/>
      <c r="O273" s="41"/>
      <c r="P273" s="41"/>
      <c r="Q273" s="41"/>
      <c r="R273" s="16" t="str">
        <f t="shared" ca="1" si="64"/>
        <v/>
      </c>
      <c r="S273" s="16" t="str">
        <f ca="1">IF(A273="","",IF(OR(M273='02_マスタ'!$E$10,M273='02_マスタ'!$E$12),"",IF(L273="High","High",IF(AND(K273&lt;&gt;"",K273&lt;TODAY()),INDEX(_ゴミ箱_Backup!$B$117:$D$247,MATCH("ALERT_OVERDUE",_ゴミ箱_Backup!$A$117:$A$247,0),MATCH(言語切替!$B$3,_ゴミ箱_Backup!$B$1:$D$1,0)),IF(AND(K273&lt;&gt;"",K273-TODAY()&lt;=7),INDEX(_ゴミ箱_Backup!$B$117:$D$247,MATCH("ALERT_APPROACHING",_ゴミ箱_Backup!$A$117:$A$247,0),MATCH(言語切替!$B$3,_ゴミ箱_Backup!$B$1:$D$1,0)),IF(OR(M273='02_マスタ'!$E$7,M273='02_マスタ'!$E$8),INDEX(_ゴミ箱_Backup!$B$117:$D$247,MATCH("ALERT_CHECK",_ゴミ箱_Backup!$A$117:$A$247,0),MATCH(言語切替!$B$3,_ゴミ箱_Backup!$B$1:$D$1,0)),""))))))</f>
        <v/>
      </c>
      <c r="T273" s="52"/>
      <c r="U273" s="61" t="str">
        <f t="shared" si="65"/>
        <v/>
      </c>
      <c r="V273" s="61" t="str">
        <f t="shared" si="66"/>
        <v/>
      </c>
      <c r="W273" s="61" t="str">
        <f t="shared" si="67"/>
        <v/>
      </c>
      <c r="X273" s="61" t="str">
        <f t="shared" si="68"/>
        <v/>
      </c>
      <c r="Y273" s="61" t="str">
        <f t="shared" si="69"/>
        <v/>
      </c>
      <c r="Z273" s="61" t="str">
        <f t="shared" si="70"/>
        <v/>
      </c>
      <c r="AA273" s="61" t="str">
        <f t="shared" si="71"/>
        <v/>
      </c>
      <c r="AB273" s="61" t="str">
        <f t="shared" si="72"/>
        <v/>
      </c>
      <c r="AC273" s="61" t="str">
        <f t="shared" si="73"/>
        <v/>
      </c>
      <c r="AD273" s="61" t="str">
        <f t="shared" si="74"/>
        <v/>
      </c>
      <c r="AE273" s="61" t="str">
        <f t="shared" si="75"/>
        <v/>
      </c>
      <c r="AF273" s="61" t="str">
        <f t="shared" si="76"/>
        <v/>
      </c>
      <c r="AG273" s="61" t="str">
        <f t="shared" si="77"/>
        <v/>
      </c>
      <c r="AH273" s="61" t="str">
        <f t="shared" si="78"/>
        <v/>
      </c>
      <c r="AI273" s="61" t="str">
        <f t="shared" si="79"/>
        <v/>
      </c>
    </row>
    <row r="274" spans="1:35" x14ac:dyDescent="0.25">
      <c r="A274" s="36"/>
      <c r="B274" s="37"/>
      <c r="C274" s="37"/>
      <c r="D274" s="37"/>
      <c r="E274" s="37"/>
      <c r="F274" s="37"/>
      <c r="G274" s="37"/>
      <c r="H274" s="37"/>
      <c r="I274" s="37"/>
      <c r="J274" s="38"/>
      <c r="K274" s="38"/>
      <c r="L274" s="37"/>
      <c r="M274" s="37"/>
      <c r="N274" s="37"/>
      <c r="O274" s="37"/>
      <c r="P274" s="37"/>
      <c r="Q274" s="37"/>
      <c r="R274" s="13" t="str">
        <f t="shared" ca="1" si="64"/>
        <v/>
      </c>
      <c r="S274" s="13" t="str">
        <f ca="1">IF(A274="","",IF(OR(M274='02_マスタ'!$E$10,M274='02_マスタ'!$E$12),"",IF(L274="High","High",IF(AND(K274&lt;&gt;"",K274&lt;TODAY()),INDEX(_ゴミ箱_Backup!$B$117:$D$247,MATCH("ALERT_OVERDUE",_ゴミ箱_Backup!$A$117:$A$247,0),MATCH(言語切替!$B$3,_ゴミ箱_Backup!$B$1:$D$1,0)),IF(AND(K274&lt;&gt;"",K274-TODAY()&lt;=7),INDEX(_ゴミ箱_Backup!$B$117:$D$247,MATCH("ALERT_APPROACHING",_ゴミ箱_Backup!$A$117:$A$247,0),MATCH(言語切替!$B$3,_ゴミ箱_Backup!$B$1:$D$1,0)),IF(OR(M274='02_マスタ'!$E$7,M274='02_マスタ'!$E$8),INDEX(_ゴミ箱_Backup!$B$117:$D$247,MATCH("ALERT_CHECK",_ゴミ箱_Backup!$A$117:$A$247,0),MATCH(言語切替!$B$3,_ゴミ箱_Backup!$B$1:$D$1,0)),""))))))</f>
        <v/>
      </c>
      <c r="T274" s="53"/>
      <c r="U274" s="61" t="str">
        <f t="shared" si="65"/>
        <v/>
      </c>
      <c r="V274" s="61" t="str">
        <f t="shared" si="66"/>
        <v/>
      </c>
      <c r="W274" s="61" t="str">
        <f t="shared" si="67"/>
        <v/>
      </c>
      <c r="X274" s="61" t="str">
        <f t="shared" si="68"/>
        <v/>
      </c>
      <c r="Y274" s="61" t="str">
        <f t="shared" si="69"/>
        <v/>
      </c>
      <c r="Z274" s="61" t="str">
        <f t="shared" si="70"/>
        <v/>
      </c>
      <c r="AA274" s="61" t="str">
        <f t="shared" si="71"/>
        <v/>
      </c>
      <c r="AB274" s="61" t="str">
        <f t="shared" si="72"/>
        <v/>
      </c>
      <c r="AC274" s="61" t="str">
        <f t="shared" si="73"/>
        <v/>
      </c>
      <c r="AD274" s="61" t="str">
        <f t="shared" si="74"/>
        <v/>
      </c>
      <c r="AE274" s="61" t="str">
        <f t="shared" si="75"/>
        <v/>
      </c>
      <c r="AF274" s="61" t="str">
        <f t="shared" si="76"/>
        <v/>
      </c>
      <c r="AG274" s="61" t="str">
        <f t="shared" si="77"/>
        <v/>
      </c>
      <c r="AH274" s="61" t="str">
        <f t="shared" si="78"/>
        <v/>
      </c>
      <c r="AI274" s="61" t="str">
        <f t="shared" si="79"/>
        <v/>
      </c>
    </row>
    <row r="275" spans="1:35" x14ac:dyDescent="0.25">
      <c r="A275" s="40"/>
      <c r="B275" s="41"/>
      <c r="C275" s="41"/>
      <c r="D275" s="41"/>
      <c r="E275" s="41"/>
      <c r="F275" s="41"/>
      <c r="G275" s="41"/>
      <c r="H275" s="41"/>
      <c r="I275" s="41"/>
      <c r="J275" s="42"/>
      <c r="K275" s="42"/>
      <c r="L275" s="41"/>
      <c r="M275" s="41"/>
      <c r="N275" s="41"/>
      <c r="O275" s="41"/>
      <c r="P275" s="41"/>
      <c r="Q275" s="41"/>
      <c r="R275" s="16" t="str">
        <f t="shared" ca="1" si="64"/>
        <v/>
      </c>
      <c r="S275" s="16" t="str">
        <f ca="1">IF(A275="","",IF(OR(M275='02_マスタ'!$E$10,M275='02_マスタ'!$E$12),"",IF(L275="High","High",IF(AND(K275&lt;&gt;"",K275&lt;TODAY()),INDEX(_ゴミ箱_Backup!$B$117:$D$247,MATCH("ALERT_OVERDUE",_ゴミ箱_Backup!$A$117:$A$247,0),MATCH(言語切替!$B$3,_ゴミ箱_Backup!$B$1:$D$1,0)),IF(AND(K275&lt;&gt;"",K275-TODAY()&lt;=7),INDEX(_ゴミ箱_Backup!$B$117:$D$247,MATCH("ALERT_APPROACHING",_ゴミ箱_Backup!$A$117:$A$247,0),MATCH(言語切替!$B$3,_ゴミ箱_Backup!$B$1:$D$1,0)),IF(OR(M275='02_マスタ'!$E$7,M275='02_マスタ'!$E$8),INDEX(_ゴミ箱_Backup!$B$117:$D$247,MATCH("ALERT_CHECK",_ゴミ箱_Backup!$A$117:$A$247,0),MATCH(言語切替!$B$3,_ゴミ箱_Backup!$B$1:$D$1,0)),""))))))</f>
        <v/>
      </c>
      <c r="T275" s="52"/>
      <c r="U275" s="61" t="str">
        <f t="shared" si="65"/>
        <v/>
      </c>
      <c r="V275" s="61" t="str">
        <f t="shared" si="66"/>
        <v/>
      </c>
      <c r="W275" s="61" t="str">
        <f t="shared" si="67"/>
        <v/>
      </c>
      <c r="X275" s="61" t="str">
        <f t="shared" si="68"/>
        <v/>
      </c>
      <c r="Y275" s="61" t="str">
        <f t="shared" si="69"/>
        <v/>
      </c>
      <c r="Z275" s="61" t="str">
        <f t="shared" si="70"/>
        <v/>
      </c>
      <c r="AA275" s="61" t="str">
        <f t="shared" si="71"/>
        <v/>
      </c>
      <c r="AB275" s="61" t="str">
        <f t="shared" si="72"/>
        <v/>
      </c>
      <c r="AC275" s="61" t="str">
        <f t="shared" si="73"/>
        <v/>
      </c>
      <c r="AD275" s="61" t="str">
        <f t="shared" si="74"/>
        <v/>
      </c>
      <c r="AE275" s="61" t="str">
        <f t="shared" si="75"/>
        <v/>
      </c>
      <c r="AF275" s="61" t="str">
        <f t="shared" si="76"/>
        <v/>
      </c>
      <c r="AG275" s="61" t="str">
        <f t="shared" si="77"/>
        <v/>
      </c>
      <c r="AH275" s="61" t="str">
        <f t="shared" si="78"/>
        <v/>
      </c>
      <c r="AI275" s="61" t="str">
        <f t="shared" si="79"/>
        <v/>
      </c>
    </row>
    <row r="276" spans="1:35" x14ac:dyDescent="0.25">
      <c r="A276" s="36"/>
      <c r="B276" s="37"/>
      <c r="C276" s="37"/>
      <c r="D276" s="37"/>
      <c r="E276" s="37"/>
      <c r="F276" s="37"/>
      <c r="G276" s="37"/>
      <c r="H276" s="37"/>
      <c r="I276" s="37"/>
      <c r="J276" s="38"/>
      <c r="K276" s="38"/>
      <c r="L276" s="37"/>
      <c r="M276" s="37"/>
      <c r="N276" s="37"/>
      <c r="O276" s="37"/>
      <c r="P276" s="37"/>
      <c r="Q276" s="37"/>
      <c r="R276" s="13" t="str">
        <f t="shared" ca="1" si="64"/>
        <v/>
      </c>
      <c r="S276" s="13" t="str">
        <f ca="1">IF(A276="","",IF(OR(M276='02_マスタ'!$E$10,M276='02_マスタ'!$E$12),"",IF(L276="High","High",IF(AND(K276&lt;&gt;"",K276&lt;TODAY()),INDEX(_ゴミ箱_Backup!$B$117:$D$247,MATCH("ALERT_OVERDUE",_ゴミ箱_Backup!$A$117:$A$247,0),MATCH(言語切替!$B$3,_ゴミ箱_Backup!$B$1:$D$1,0)),IF(AND(K276&lt;&gt;"",K276-TODAY()&lt;=7),INDEX(_ゴミ箱_Backup!$B$117:$D$247,MATCH("ALERT_APPROACHING",_ゴミ箱_Backup!$A$117:$A$247,0),MATCH(言語切替!$B$3,_ゴミ箱_Backup!$B$1:$D$1,0)),IF(OR(M276='02_マスタ'!$E$7,M276='02_マスタ'!$E$8),INDEX(_ゴミ箱_Backup!$B$117:$D$247,MATCH("ALERT_CHECK",_ゴミ箱_Backup!$A$117:$A$247,0),MATCH(言語切替!$B$3,_ゴミ箱_Backup!$B$1:$D$1,0)),""))))))</f>
        <v/>
      </c>
      <c r="T276" s="53"/>
      <c r="U276" s="61" t="str">
        <f t="shared" si="65"/>
        <v/>
      </c>
      <c r="V276" s="61" t="str">
        <f t="shared" si="66"/>
        <v/>
      </c>
      <c r="W276" s="61" t="str">
        <f t="shared" si="67"/>
        <v/>
      </c>
      <c r="X276" s="61" t="str">
        <f t="shared" si="68"/>
        <v/>
      </c>
      <c r="Y276" s="61" t="str">
        <f t="shared" si="69"/>
        <v/>
      </c>
      <c r="Z276" s="61" t="str">
        <f t="shared" si="70"/>
        <v/>
      </c>
      <c r="AA276" s="61" t="str">
        <f t="shared" si="71"/>
        <v/>
      </c>
      <c r="AB276" s="61" t="str">
        <f t="shared" si="72"/>
        <v/>
      </c>
      <c r="AC276" s="61" t="str">
        <f t="shared" si="73"/>
        <v/>
      </c>
      <c r="AD276" s="61" t="str">
        <f t="shared" si="74"/>
        <v/>
      </c>
      <c r="AE276" s="61" t="str">
        <f t="shared" si="75"/>
        <v/>
      </c>
      <c r="AF276" s="61" t="str">
        <f t="shared" si="76"/>
        <v/>
      </c>
      <c r="AG276" s="61" t="str">
        <f t="shared" si="77"/>
        <v/>
      </c>
      <c r="AH276" s="61" t="str">
        <f t="shared" si="78"/>
        <v/>
      </c>
      <c r="AI276" s="61" t="str">
        <f t="shared" si="79"/>
        <v/>
      </c>
    </row>
    <row r="277" spans="1:35" x14ac:dyDescent="0.25">
      <c r="A277" s="40"/>
      <c r="B277" s="41"/>
      <c r="C277" s="41"/>
      <c r="D277" s="41"/>
      <c r="E277" s="41"/>
      <c r="F277" s="41"/>
      <c r="G277" s="41"/>
      <c r="H277" s="41"/>
      <c r="I277" s="41"/>
      <c r="J277" s="42"/>
      <c r="K277" s="42"/>
      <c r="L277" s="41"/>
      <c r="M277" s="41"/>
      <c r="N277" s="41"/>
      <c r="O277" s="41"/>
      <c r="P277" s="41"/>
      <c r="Q277" s="41"/>
      <c r="R277" s="16" t="str">
        <f t="shared" ca="1" si="64"/>
        <v/>
      </c>
      <c r="S277" s="16" t="str">
        <f ca="1">IF(A277="","",IF(OR(M277='02_マスタ'!$E$10,M277='02_マスタ'!$E$12),"",IF(L277="High","High",IF(AND(K277&lt;&gt;"",K277&lt;TODAY()),INDEX(_ゴミ箱_Backup!$B$117:$D$247,MATCH("ALERT_OVERDUE",_ゴミ箱_Backup!$A$117:$A$247,0),MATCH(言語切替!$B$3,_ゴミ箱_Backup!$B$1:$D$1,0)),IF(AND(K277&lt;&gt;"",K277-TODAY()&lt;=7),INDEX(_ゴミ箱_Backup!$B$117:$D$247,MATCH("ALERT_APPROACHING",_ゴミ箱_Backup!$A$117:$A$247,0),MATCH(言語切替!$B$3,_ゴミ箱_Backup!$B$1:$D$1,0)),IF(OR(M277='02_マスタ'!$E$7,M277='02_マスタ'!$E$8),INDEX(_ゴミ箱_Backup!$B$117:$D$247,MATCH("ALERT_CHECK",_ゴミ箱_Backup!$A$117:$A$247,0),MATCH(言語切替!$B$3,_ゴミ箱_Backup!$B$1:$D$1,0)),""))))))</f>
        <v/>
      </c>
      <c r="T277" s="52"/>
      <c r="U277" s="61" t="str">
        <f t="shared" si="65"/>
        <v/>
      </c>
      <c r="V277" s="61" t="str">
        <f t="shared" si="66"/>
        <v/>
      </c>
      <c r="W277" s="61" t="str">
        <f t="shared" si="67"/>
        <v/>
      </c>
      <c r="X277" s="61" t="str">
        <f t="shared" si="68"/>
        <v/>
      </c>
      <c r="Y277" s="61" t="str">
        <f t="shared" si="69"/>
        <v/>
      </c>
      <c r="Z277" s="61" t="str">
        <f t="shared" si="70"/>
        <v/>
      </c>
      <c r="AA277" s="61" t="str">
        <f t="shared" si="71"/>
        <v/>
      </c>
      <c r="AB277" s="61" t="str">
        <f t="shared" si="72"/>
        <v/>
      </c>
      <c r="AC277" s="61" t="str">
        <f t="shared" si="73"/>
        <v/>
      </c>
      <c r="AD277" s="61" t="str">
        <f t="shared" si="74"/>
        <v/>
      </c>
      <c r="AE277" s="61" t="str">
        <f t="shared" si="75"/>
        <v/>
      </c>
      <c r="AF277" s="61" t="str">
        <f t="shared" si="76"/>
        <v/>
      </c>
      <c r="AG277" s="61" t="str">
        <f t="shared" si="77"/>
        <v/>
      </c>
      <c r="AH277" s="61" t="str">
        <f t="shared" si="78"/>
        <v/>
      </c>
      <c r="AI277" s="61" t="str">
        <f t="shared" si="79"/>
        <v/>
      </c>
    </row>
    <row r="278" spans="1:35" x14ac:dyDescent="0.25">
      <c r="A278" s="36"/>
      <c r="B278" s="37"/>
      <c r="C278" s="37"/>
      <c r="D278" s="37"/>
      <c r="E278" s="37"/>
      <c r="F278" s="37"/>
      <c r="G278" s="37"/>
      <c r="H278" s="37"/>
      <c r="I278" s="37"/>
      <c r="J278" s="38"/>
      <c r="K278" s="38"/>
      <c r="L278" s="37"/>
      <c r="M278" s="37"/>
      <c r="N278" s="37"/>
      <c r="O278" s="37"/>
      <c r="P278" s="37"/>
      <c r="Q278" s="37"/>
      <c r="R278" s="13" t="str">
        <f t="shared" ca="1" si="64"/>
        <v/>
      </c>
      <c r="S278" s="13" t="str">
        <f ca="1">IF(A278="","",IF(OR(M278='02_マスタ'!$E$10,M278='02_マスタ'!$E$12),"",IF(L278="High","High",IF(AND(K278&lt;&gt;"",K278&lt;TODAY()),INDEX(_ゴミ箱_Backup!$B$117:$D$247,MATCH("ALERT_OVERDUE",_ゴミ箱_Backup!$A$117:$A$247,0),MATCH(言語切替!$B$3,_ゴミ箱_Backup!$B$1:$D$1,0)),IF(AND(K278&lt;&gt;"",K278-TODAY()&lt;=7),INDEX(_ゴミ箱_Backup!$B$117:$D$247,MATCH("ALERT_APPROACHING",_ゴミ箱_Backup!$A$117:$A$247,0),MATCH(言語切替!$B$3,_ゴミ箱_Backup!$B$1:$D$1,0)),IF(OR(M278='02_マスタ'!$E$7,M278='02_マスタ'!$E$8),INDEX(_ゴミ箱_Backup!$B$117:$D$247,MATCH("ALERT_CHECK",_ゴミ箱_Backup!$A$117:$A$247,0),MATCH(言語切替!$B$3,_ゴミ箱_Backup!$B$1:$D$1,0)),""))))))</f>
        <v/>
      </c>
      <c r="T278" s="53"/>
      <c r="U278" s="61" t="str">
        <f t="shared" si="65"/>
        <v/>
      </c>
      <c r="V278" s="61" t="str">
        <f t="shared" si="66"/>
        <v/>
      </c>
      <c r="W278" s="61" t="str">
        <f t="shared" si="67"/>
        <v/>
      </c>
      <c r="X278" s="61" t="str">
        <f t="shared" si="68"/>
        <v/>
      </c>
      <c r="Y278" s="61" t="str">
        <f t="shared" si="69"/>
        <v/>
      </c>
      <c r="Z278" s="61" t="str">
        <f t="shared" si="70"/>
        <v/>
      </c>
      <c r="AA278" s="61" t="str">
        <f t="shared" si="71"/>
        <v/>
      </c>
      <c r="AB278" s="61" t="str">
        <f t="shared" si="72"/>
        <v/>
      </c>
      <c r="AC278" s="61" t="str">
        <f t="shared" si="73"/>
        <v/>
      </c>
      <c r="AD278" s="61" t="str">
        <f t="shared" si="74"/>
        <v/>
      </c>
      <c r="AE278" s="61" t="str">
        <f t="shared" si="75"/>
        <v/>
      </c>
      <c r="AF278" s="61" t="str">
        <f t="shared" si="76"/>
        <v/>
      </c>
      <c r="AG278" s="61" t="str">
        <f t="shared" si="77"/>
        <v/>
      </c>
      <c r="AH278" s="61" t="str">
        <f t="shared" si="78"/>
        <v/>
      </c>
      <c r="AI278" s="61" t="str">
        <f t="shared" si="79"/>
        <v/>
      </c>
    </row>
    <row r="279" spans="1:35" x14ac:dyDescent="0.25">
      <c r="A279" s="40"/>
      <c r="B279" s="41"/>
      <c r="C279" s="41"/>
      <c r="D279" s="41"/>
      <c r="E279" s="41"/>
      <c r="F279" s="41"/>
      <c r="G279" s="41"/>
      <c r="H279" s="41"/>
      <c r="I279" s="41"/>
      <c r="J279" s="42"/>
      <c r="K279" s="42"/>
      <c r="L279" s="41"/>
      <c r="M279" s="41"/>
      <c r="N279" s="41"/>
      <c r="O279" s="41"/>
      <c r="P279" s="41"/>
      <c r="Q279" s="41"/>
      <c r="R279" s="16" t="str">
        <f t="shared" ca="1" si="64"/>
        <v/>
      </c>
      <c r="S279" s="16" t="str">
        <f ca="1">IF(A279="","",IF(OR(M279='02_マスタ'!$E$10,M279='02_マスタ'!$E$12),"",IF(L279="High","High",IF(AND(K279&lt;&gt;"",K279&lt;TODAY()),INDEX(_ゴミ箱_Backup!$B$117:$D$247,MATCH("ALERT_OVERDUE",_ゴミ箱_Backup!$A$117:$A$247,0),MATCH(言語切替!$B$3,_ゴミ箱_Backup!$B$1:$D$1,0)),IF(AND(K279&lt;&gt;"",K279-TODAY()&lt;=7),INDEX(_ゴミ箱_Backup!$B$117:$D$247,MATCH("ALERT_APPROACHING",_ゴミ箱_Backup!$A$117:$A$247,0),MATCH(言語切替!$B$3,_ゴミ箱_Backup!$B$1:$D$1,0)),IF(OR(M279='02_マスタ'!$E$7,M279='02_マスタ'!$E$8),INDEX(_ゴミ箱_Backup!$B$117:$D$247,MATCH("ALERT_CHECK",_ゴミ箱_Backup!$A$117:$A$247,0),MATCH(言語切替!$B$3,_ゴミ箱_Backup!$B$1:$D$1,0)),""))))))</f>
        <v/>
      </c>
      <c r="T279" s="52"/>
      <c r="U279" s="61" t="str">
        <f t="shared" si="65"/>
        <v/>
      </c>
      <c r="V279" s="61" t="str">
        <f t="shared" si="66"/>
        <v/>
      </c>
      <c r="W279" s="61" t="str">
        <f t="shared" si="67"/>
        <v/>
      </c>
      <c r="X279" s="61" t="str">
        <f t="shared" si="68"/>
        <v/>
      </c>
      <c r="Y279" s="61" t="str">
        <f t="shared" si="69"/>
        <v/>
      </c>
      <c r="Z279" s="61" t="str">
        <f t="shared" si="70"/>
        <v/>
      </c>
      <c r="AA279" s="61" t="str">
        <f t="shared" si="71"/>
        <v/>
      </c>
      <c r="AB279" s="61" t="str">
        <f t="shared" si="72"/>
        <v/>
      </c>
      <c r="AC279" s="61" t="str">
        <f t="shared" si="73"/>
        <v/>
      </c>
      <c r="AD279" s="61" t="str">
        <f t="shared" si="74"/>
        <v/>
      </c>
      <c r="AE279" s="61" t="str">
        <f t="shared" si="75"/>
        <v/>
      </c>
      <c r="AF279" s="61" t="str">
        <f t="shared" si="76"/>
        <v/>
      </c>
      <c r="AG279" s="61" t="str">
        <f t="shared" si="77"/>
        <v/>
      </c>
      <c r="AH279" s="61" t="str">
        <f t="shared" si="78"/>
        <v/>
      </c>
      <c r="AI279" s="61" t="str">
        <f t="shared" si="79"/>
        <v/>
      </c>
    </row>
    <row r="280" spans="1:35" x14ac:dyDescent="0.25">
      <c r="A280" s="36"/>
      <c r="B280" s="37"/>
      <c r="C280" s="37"/>
      <c r="D280" s="37"/>
      <c r="E280" s="37"/>
      <c r="F280" s="37"/>
      <c r="G280" s="37"/>
      <c r="H280" s="37"/>
      <c r="I280" s="37"/>
      <c r="J280" s="38"/>
      <c r="K280" s="38"/>
      <c r="L280" s="37"/>
      <c r="M280" s="37"/>
      <c r="N280" s="37"/>
      <c r="O280" s="37"/>
      <c r="P280" s="37"/>
      <c r="Q280" s="37"/>
      <c r="R280" s="13" t="str">
        <f t="shared" ca="1" si="64"/>
        <v/>
      </c>
      <c r="S280" s="13" t="str">
        <f ca="1">IF(A280="","",IF(OR(M280='02_マスタ'!$E$10,M280='02_マスタ'!$E$12),"",IF(L280="High","High",IF(AND(K280&lt;&gt;"",K280&lt;TODAY()),INDEX(_ゴミ箱_Backup!$B$117:$D$247,MATCH("ALERT_OVERDUE",_ゴミ箱_Backup!$A$117:$A$247,0),MATCH(言語切替!$B$3,_ゴミ箱_Backup!$B$1:$D$1,0)),IF(AND(K280&lt;&gt;"",K280-TODAY()&lt;=7),INDEX(_ゴミ箱_Backup!$B$117:$D$247,MATCH("ALERT_APPROACHING",_ゴミ箱_Backup!$A$117:$A$247,0),MATCH(言語切替!$B$3,_ゴミ箱_Backup!$B$1:$D$1,0)),IF(OR(M280='02_マスタ'!$E$7,M280='02_マスタ'!$E$8),INDEX(_ゴミ箱_Backup!$B$117:$D$247,MATCH("ALERT_CHECK",_ゴミ箱_Backup!$A$117:$A$247,0),MATCH(言語切替!$B$3,_ゴミ箱_Backup!$B$1:$D$1,0)),""))))))</f>
        <v/>
      </c>
      <c r="T280" s="53"/>
      <c r="U280" s="61" t="str">
        <f t="shared" si="65"/>
        <v/>
      </c>
      <c r="V280" s="61" t="str">
        <f t="shared" si="66"/>
        <v/>
      </c>
      <c r="W280" s="61" t="str">
        <f t="shared" si="67"/>
        <v/>
      </c>
      <c r="X280" s="61" t="str">
        <f t="shared" si="68"/>
        <v/>
      </c>
      <c r="Y280" s="61" t="str">
        <f t="shared" si="69"/>
        <v/>
      </c>
      <c r="Z280" s="61" t="str">
        <f t="shared" si="70"/>
        <v/>
      </c>
      <c r="AA280" s="61" t="str">
        <f t="shared" si="71"/>
        <v/>
      </c>
      <c r="AB280" s="61" t="str">
        <f t="shared" si="72"/>
        <v/>
      </c>
      <c r="AC280" s="61" t="str">
        <f t="shared" si="73"/>
        <v/>
      </c>
      <c r="AD280" s="61" t="str">
        <f t="shared" si="74"/>
        <v/>
      </c>
      <c r="AE280" s="61" t="str">
        <f t="shared" si="75"/>
        <v/>
      </c>
      <c r="AF280" s="61" t="str">
        <f t="shared" si="76"/>
        <v/>
      </c>
      <c r="AG280" s="61" t="str">
        <f t="shared" si="77"/>
        <v/>
      </c>
      <c r="AH280" s="61" t="str">
        <f t="shared" si="78"/>
        <v/>
      </c>
      <c r="AI280" s="61" t="str">
        <f t="shared" si="79"/>
        <v/>
      </c>
    </row>
    <row r="281" spans="1:35" x14ac:dyDescent="0.25">
      <c r="A281" s="40"/>
      <c r="B281" s="41"/>
      <c r="C281" s="41"/>
      <c r="D281" s="41"/>
      <c r="E281" s="41"/>
      <c r="F281" s="41"/>
      <c r="G281" s="41"/>
      <c r="H281" s="41"/>
      <c r="I281" s="41"/>
      <c r="J281" s="42"/>
      <c r="K281" s="42"/>
      <c r="L281" s="41"/>
      <c r="M281" s="41"/>
      <c r="N281" s="41"/>
      <c r="O281" s="41"/>
      <c r="P281" s="41"/>
      <c r="Q281" s="41"/>
      <c r="R281" s="16" t="str">
        <f t="shared" ca="1" si="64"/>
        <v/>
      </c>
      <c r="S281" s="16" t="str">
        <f ca="1">IF(A281="","",IF(OR(M281='02_マスタ'!$E$10,M281='02_マスタ'!$E$12),"",IF(L281="High","High",IF(AND(K281&lt;&gt;"",K281&lt;TODAY()),INDEX(_ゴミ箱_Backup!$B$117:$D$247,MATCH("ALERT_OVERDUE",_ゴミ箱_Backup!$A$117:$A$247,0),MATCH(言語切替!$B$3,_ゴミ箱_Backup!$B$1:$D$1,0)),IF(AND(K281&lt;&gt;"",K281-TODAY()&lt;=7),INDEX(_ゴミ箱_Backup!$B$117:$D$247,MATCH("ALERT_APPROACHING",_ゴミ箱_Backup!$A$117:$A$247,0),MATCH(言語切替!$B$3,_ゴミ箱_Backup!$B$1:$D$1,0)),IF(OR(M281='02_マスタ'!$E$7,M281='02_マスタ'!$E$8),INDEX(_ゴミ箱_Backup!$B$117:$D$247,MATCH("ALERT_CHECK",_ゴミ箱_Backup!$A$117:$A$247,0),MATCH(言語切替!$B$3,_ゴミ箱_Backup!$B$1:$D$1,0)),""))))))</f>
        <v/>
      </c>
      <c r="T281" s="52"/>
      <c r="U281" s="61" t="str">
        <f t="shared" si="65"/>
        <v/>
      </c>
      <c r="V281" s="61" t="str">
        <f t="shared" si="66"/>
        <v/>
      </c>
      <c r="W281" s="61" t="str">
        <f t="shared" si="67"/>
        <v/>
      </c>
      <c r="X281" s="61" t="str">
        <f t="shared" si="68"/>
        <v/>
      </c>
      <c r="Y281" s="61" t="str">
        <f t="shared" si="69"/>
        <v/>
      </c>
      <c r="Z281" s="61" t="str">
        <f t="shared" si="70"/>
        <v/>
      </c>
      <c r="AA281" s="61" t="str">
        <f t="shared" si="71"/>
        <v/>
      </c>
      <c r="AB281" s="61" t="str">
        <f t="shared" si="72"/>
        <v/>
      </c>
      <c r="AC281" s="61" t="str">
        <f t="shared" si="73"/>
        <v/>
      </c>
      <c r="AD281" s="61" t="str">
        <f t="shared" si="74"/>
        <v/>
      </c>
      <c r="AE281" s="61" t="str">
        <f t="shared" si="75"/>
        <v/>
      </c>
      <c r="AF281" s="61" t="str">
        <f t="shared" si="76"/>
        <v/>
      </c>
      <c r="AG281" s="61" t="str">
        <f t="shared" si="77"/>
        <v/>
      </c>
      <c r="AH281" s="61" t="str">
        <f t="shared" si="78"/>
        <v/>
      </c>
      <c r="AI281" s="61" t="str">
        <f t="shared" si="79"/>
        <v/>
      </c>
    </row>
    <row r="282" spans="1:35" x14ac:dyDescent="0.25">
      <c r="A282" s="36"/>
      <c r="B282" s="37"/>
      <c r="C282" s="37"/>
      <c r="D282" s="37"/>
      <c r="E282" s="37"/>
      <c r="F282" s="37"/>
      <c r="G282" s="37"/>
      <c r="H282" s="37"/>
      <c r="I282" s="37"/>
      <c r="J282" s="38"/>
      <c r="K282" s="38"/>
      <c r="L282" s="37"/>
      <c r="M282" s="37"/>
      <c r="N282" s="37"/>
      <c r="O282" s="37"/>
      <c r="P282" s="37"/>
      <c r="Q282" s="37"/>
      <c r="R282" s="13" t="str">
        <f t="shared" ca="1" si="64"/>
        <v/>
      </c>
      <c r="S282" s="13" t="str">
        <f ca="1">IF(A282="","",IF(OR(M282='02_マスタ'!$E$10,M282='02_マスタ'!$E$12),"",IF(L282="High","High",IF(AND(K282&lt;&gt;"",K282&lt;TODAY()),INDEX(_ゴミ箱_Backup!$B$117:$D$247,MATCH("ALERT_OVERDUE",_ゴミ箱_Backup!$A$117:$A$247,0),MATCH(言語切替!$B$3,_ゴミ箱_Backup!$B$1:$D$1,0)),IF(AND(K282&lt;&gt;"",K282-TODAY()&lt;=7),INDEX(_ゴミ箱_Backup!$B$117:$D$247,MATCH("ALERT_APPROACHING",_ゴミ箱_Backup!$A$117:$A$247,0),MATCH(言語切替!$B$3,_ゴミ箱_Backup!$B$1:$D$1,0)),IF(OR(M282='02_マスタ'!$E$7,M282='02_マスタ'!$E$8),INDEX(_ゴミ箱_Backup!$B$117:$D$247,MATCH("ALERT_CHECK",_ゴミ箱_Backup!$A$117:$A$247,0),MATCH(言語切替!$B$3,_ゴミ箱_Backup!$B$1:$D$1,0)),""))))))</f>
        <v/>
      </c>
      <c r="T282" s="53"/>
      <c r="U282" s="61" t="str">
        <f t="shared" si="65"/>
        <v/>
      </c>
      <c r="V282" s="61" t="str">
        <f t="shared" si="66"/>
        <v/>
      </c>
      <c r="W282" s="61" t="str">
        <f t="shared" si="67"/>
        <v/>
      </c>
      <c r="X282" s="61" t="str">
        <f t="shared" si="68"/>
        <v/>
      </c>
      <c r="Y282" s="61" t="str">
        <f t="shared" si="69"/>
        <v/>
      </c>
      <c r="Z282" s="61" t="str">
        <f t="shared" si="70"/>
        <v/>
      </c>
      <c r="AA282" s="61" t="str">
        <f t="shared" si="71"/>
        <v/>
      </c>
      <c r="AB282" s="61" t="str">
        <f t="shared" si="72"/>
        <v/>
      </c>
      <c r="AC282" s="61" t="str">
        <f t="shared" si="73"/>
        <v/>
      </c>
      <c r="AD282" s="61" t="str">
        <f t="shared" si="74"/>
        <v/>
      </c>
      <c r="AE282" s="61" t="str">
        <f t="shared" si="75"/>
        <v/>
      </c>
      <c r="AF282" s="61" t="str">
        <f t="shared" si="76"/>
        <v/>
      </c>
      <c r="AG282" s="61" t="str">
        <f t="shared" si="77"/>
        <v/>
      </c>
      <c r="AH282" s="61" t="str">
        <f t="shared" si="78"/>
        <v/>
      </c>
      <c r="AI282" s="61" t="str">
        <f t="shared" si="79"/>
        <v/>
      </c>
    </row>
    <row r="283" spans="1:35" x14ac:dyDescent="0.25">
      <c r="A283" s="40"/>
      <c r="B283" s="41"/>
      <c r="C283" s="41"/>
      <c r="D283" s="41"/>
      <c r="E283" s="41"/>
      <c r="F283" s="41"/>
      <c r="G283" s="41"/>
      <c r="H283" s="41"/>
      <c r="I283" s="41"/>
      <c r="J283" s="42"/>
      <c r="K283" s="42"/>
      <c r="L283" s="41"/>
      <c r="M283" s="41"/>
      <c r="N283" s="41"/>
      <c r="O283" s="41"/>
      <c r="P283" s="41"/>
      <c r="Q283" s="41"/>
      <c r="R283" s="16" t="str">
        <f t="shared" ca="1" si="64"/>
        <v/>
      </c>
      <c r="S283" s="16" t="str">
        <f ca="1">IF(A283="","",IF(OR(M283='02_マスタ'!$E$10,M283='02_マスタ'!$E$12),"",IF(L283="High","High",IF(AND(K283&lt;&gt;"",K283&lt;TODAY()),INDEX(_ゴミ箱_Backup!$B$117:$D$247,MATCH("ALERT_OVERDUE",_ゴミ箱_Backup!$A$117:$A$247,0),MATCH(言語切替!$B$3,_ゴミ箱_Backup!$B$1:$D$1,0)),IF(AND(K283&lt;&gt;"",K283-TODAY()&lt;=7),INDEX(_ゴミ箱_Backup!$B$117:$D$247,MATCH("ALERT_APPROACHING",_ゴミ箱_Backup!$A$117:$A$247,0),MATCH(言語切替!$B$3,_ゴミ箱_Backup!$B$1:$D$1,0)),IF(OR(M283='02_マスタ'!$E$7,M283='02_マスタ'!$E$8),INDEX(_ゴミ箱_Backup!$B$117:$D$247,MATCH("ALERT_CHECK",_ゴミ箱_Backup!$A$117:$A$247,0),MATCH(言語切替!$B$3,_ゴミ箱_Backup!$B$1:$D$1,0)),""))))))</f>
        <v/>
      </c>
      <c r="T283" s="52"/>
      <c r="U283" s="61" t="str">
        <f t="shared" si="65"/>
        <v/>
      </c>
      <c r="V283" s="61" t="str">
        <f t="shared" si="66"/>
        <v/>
      </c>
      <c r="W283" s="61" t="str">
        <f t="shared" si="67"/>
        <v/>
      </c>
      <c r="X283" s="61" t="str">
        <f t="shared" si="68"/>
        <v/>
      </c>
      <c r="Y283" s="61" t="str">
        <f t="shared" si="69"/>
        <v/>
      </c>
      <c r="Z283" s="61" t="str">
        <f t="shared" si="70"/>
        <v/>
      </c>
      <c r="AA283" s="61" t="str">
        <f t="shared" si="71"/>
        <v/>
      </c>
      <c r="AB283" s="61" t="str">
        <f t="shared" si="72"/>
        <v/>
      </c>
      <c r="AC283" s="61" t="str">
        <f t="shared" si="73"/>
        <v/>
      </c>
      <c r="AD283" s="61" t="str">
        <f t="shared" si="74"/>
        <v/>
      </c>
      <c r="AE283" s="61" t="str">
        <f t="shared" si="75"/>
        <v/>
      </c>
      <c r="AF283" s="61" t="str">
        <f t="shared" si="76"/>
        <v/>
      </c>
      <c r="AG283" s="61" t="str">
        <f t="shared" si="77"/>
        <v/>
      </c>
      <c r="AH283" s="61" t="str">
        <f t="shared" si="78"/>
        <v/>
      </c>
      <c r="AI283" s="61" t="str">
        <f t="shared" si="79"/>
        <v/>
      </c>
    </row>
    <row r="284" spans="1:35" x14ac:dyDescent="0.25">
      <c r="A284" s="36"/>
      <c r="B284" s="37"/>
      <c r="C284" s="37"/>
      <c r="D284" s="37"/>
      <c r="E284" s="37"/>
      <c r="F284" s="37"/>
      <c r="G284" s="37"/>
      <c r="H284" s="37"/>
      <c r="I284" s="37"/>
      <c r="J284" s="38"/>
      <c r="K284" s="38"/>
      <c r="L284" s="37"/>
      <c r="M284" s="37"/>
      <c r="N284" s="37"/>
      <c r="O284" s="37"/>
      <c r="P284" s="37"/>
      <c r="Q284" s="37"/>
      <c r="R284" s="13" t="str">
        <f t="shared" ca="1" si="64"/>
        <v/>
      </c>
      <c r="S284" s="13" t="str">
        <f ca="1">IF(A284="","",IF(OR(M284='02_マスタ'!$E$10,M284='02_マスタ'!$E$12),"",IF(L284="High","High",IF(AND(K284&lt;&gt;"",K284&lt;TODAY()),INDEX(_ゴミ箱_Backup!$B$117:$D$247,MATCH("ALERT_OVERDUE",_ゴミ箱_Backup!$A$117:$A$247,0),MATCH(言語切替!$B$3,_ゴミ箱_Backup!$B$1:$D$1,0)),IF(AND(K284&lt;&gt;"",K284-TODAY()&lt;=7),INDEX(_ゴミ箱_Backup!$B$117:$D$247,MATCH("ALERT_APPROACHING",_ゴミ箱_Backup!$A$117:$A$247,0),MATCH(言語切替!$B$3,_ゴミ箱_Backup!$B$1:$D$1,0)),IF(OR(M284='02_マスタ'!$E$7,M284='02_マスタ'!$E$8),INDEX(_ゴミ箱_Backup!$B$117:$D$247,MATCH("ALERT_CHECK",_ゴミ箱_Backup!$A$117:$A$247,0),MATCH(言語切替!$B$3,_ゴミ箱_Backup!$B$1:$D$1,0)),""))))))</f>
        <v/>
      </c>
      <c r="T284" s="53"/>
      <c r="U284" s="61" t="str">
        <f t="shared" si="65"/>
        <v/>
      </c>
      <c r="V284" s="61" t="str">
        <f t="shared" si="66"/>
        <v/>
      </c>
      <c r="W284" s="61" t="str">
        <f t="shared" si="67"/>
        <v/>
      </c>
      <c r="X284" s="61" t="str">
        <f t="shared" si="68"/>
        <v/>
      </c>
      <c r="Y284" s="61" t="str">
        <f t="shared" si="69"/>
        <v/>
      </c>
      <c r="Z284" s="61" t="str">
        <f t="shared" si="70"/>
        <v/>
      </c>
      <c r="AA284" s="61" t="str">
        <f t="shared" si="71"/>
        <v/>
      </c>
      <c r="AB284" s="61" t="str">
        <f t="shared" si="72"/>
        <v/>
      </c>
      <c r="AC284" s="61" t="str">
        <f t="shared" si="73"/>
        <v/>
      </c>
      <c r="AD284" s="61" t="str">
        <f t="shared" si="74"/>
        <v/>
      </c>
      <c r="AE284" s="61" t="str">
        <f t="shared" si="75"/>
        <v/>
      </c>
      <c r="AF284" s="61" t="str">
        <f t="shared" si="76"/>
        <v/>
      </c>
      <c r="AG284" s="61" t="str">
        <f t="shared" si="77"/>
        <v/>
      </c>
      <c r="AH284" s="61" t="str">
        <f t="shared" si="78"/>
        <v/>
      </c>
      <c r="AI284" s="61" t="str">
        <f t="shared" si="79"/>
        <v/>
      </c>
    </row>
    <row r="285" spans="1:35" x14ac:dyDescent="0.25">
      <c r="A285" s="40"/>
      <c r="B285" s="41"/>
      <c r="C285" s="41"/>
      <c r="D285" s="41"/>
      <c r="E285" s="41"/>
      <c r="F285" s="41"/>
      <c r="G285" s="41"/>
      <c r="H285" s="41"/>
      <c r="I285" s="41"/>
      <c r="J285" s="42"/>
      <c r="K285" s="42"/>
      <c r="L285" s="41"/>
      <c r="M285" s="41"/>
      <c r="N285" s="41"/>
      <c r="O285" s="41"/>
      <c r="P285" s="41"/>
      <c r="Q285" s="41"/>
      <c r="R285" s="16" t="str">
        <f t="shared" ca="1" si="64"/>
        <v/>
      </c>
      <c r="S285" s="16" t="str">
        <f ca="1">IF(A285="","",IF(OR(M285='02_マスタ'!$E$10,M285='02_マスタ'!$E$12),"",IF(L285="High","High",IF(AND(K285&lt;&gt;"",K285&lt;TODAY()),INDEX(_ゴミ箱_Backup!$B$117:$D$247,MATCH("ALERT_OVERDUE",_ゴミ箱_Backup!$A$117:$A$247,0),MATCH(言語切替!$B$3,_ゴミ箱_Backup!$B$1:$D$1,0)),IF(AND(K285&lt;&gt;"",K285-TODAY()&lt;=7),INDEX(_ゴミ箱_Backup!$B$117:$D$247,MATCH("ALERT_APPROACHING",_ゴミ箱_Backup!$A$117:$A$247,0),MATCH(言語切替!$B$3,_ゴミ箱_Backup!$B$1:$D$1,0)),IF(OR(M285='02_マスタ'!$E$7,M285='02_マスタ'!$E$8),INDEX(_ゴミ箱_Backup!$B$117:$D$247,MATCH("ALERT_CHECK",_ゴミ箱_Backup!$A$117:$A$247,0),MATCH(言語切替!$B$3,_ゴミ箱_Backup!$B$1:$D$1,0)),""))))))</f>
        <v/>
      </c>
      <c r="T285" s="52"/>
      <c r="U285" s="61" t="str">
        <f t="shared" si="65"/>
        <v/>
      </c>
      <c r="V285" s="61" t="str">
        <f t="shared" si="66"/>
        <v/>
      </c>
      <c r="W285" s="61" t="str">
        <f t="shared" si="67"/>
        <v/>
      </c>
      <c r="X285" s="61" t="str">
        <f t="shared" si="68"/>
        <v/>
      </c>
      <c r="Y285" s="61" t="str">
        <f t="shared" si="69"/>
        <v/>
      </c>
      <c r="Z285" s="61" t="str">
        <f t="shared" si="70"/>
        <v/>
      </c>
      <c r="AA285" s="61" t="str">
        <f t="shared" si="71"/>
        <v/>
      </c>
      <c r="AB285" s="61" t="str">
        <f t="shared" si="72"/>
        <v/>
      </c>
      <c r="AC285" s="61" t="str">
        <f t="shared" si="73"/>
        <v/>
      </c>
      <c r="AD285" s="61" t="str">
        <f t="shared" si="74"/>
        <v/>
      </c>
      <c r="AE285" s="61" t="str">
        <f t="shared" si="75"/>
        <v/>
      </c>
      <c r="AF285" s="61" t="str">
        <f t="shared" si="76"/>
        <v/>
      </c>
      <c r="AG285" s="61" t="str">
        <f t="shared" si="77"/>
        <v/>
      </c>
      <c r="AH285" s="61" t="str">
        <f t="shared" si="78"/>
        <v/>
      </c>
      <c r="AI285" s="61" t="str">
        <f t="shared" si="79"/>
        <v/>
      </c>
    </row>
    <row r="286" spans="1:35" x14ac:dyDescent="0.25">
      <c r="A286" s="36"/>
      <c r="B286" s="37"/>
      <c r="C286" s="37"/>
      <c r="D286" s="37"/>
      <c r="E286" s="37"/>
      <c r="F286" s="37"/>
      <c r="G286" s="37"/>
      <c r="H286" s="37"/>
      <c r="I286" s="37"/>
      <c r="J286" s="38"/>
      <c r="K286" s="38"/>
      <c r="L286" s="37"/>
      <c r="M286" s="37"/>
      <c r="N286" s="37"/>
      <c r="O286" s="37"/>
      <c r="P286" s="37"/>
      <c r="Q286" s="37"/>
      <c r="R286" s="13" t="str">
        <f t="shared" ca="1" si="64"/>
        <v/>
      </c>
      <c r="S286" s="13" t="str">
        <f ca="1">IF(A286="","",IF(OR(M286='02_マスタ'!$E$10,M286='02_マスタ'!$E$12),"",IF(L286="High","High",IF(AND(K286&lt;&gt;"",K286&lt;TODAY()),INDEX(_ゴミ箱_Backup!$B$117:$D$247,MATCH("ALERT_OVERDUE",_ゴミ箱_Backup!$A$117:$A$247,0),MATCH(言語切替!$B$3,_ゴミ箱_Backup!$B$1:$D$1,0)),IF(AND(K286&lt;&gt;"",K286-TODAY()&lt;=7),INDEX(_ゴミ箱_Backup!$B$117:$D$247,MATCH("ALERT_APPROACHING",_ゴミ箱_Backup!$A$117:$A$247,0),MATCH(言語切替!$B$3,_ゴミ箱_Backup!$B$1:$D$1,0)),IF(OR(M286='02_マスタ'!$E$7,M286='02_マスタ'!$E$8),INDEX(_ゴミ箱_Backup!$B$117:$D$247,MATCH("ALERT_CHECK",_ゴミ箱_Backup!$A$117:$A$247,0),MATCH(言語切替!$B$3,_ゴミ箱_Backup!$B$1:$D$1,0)),""))))))</f>
        <v/>
      </c>
      <c r="T286" s="53"/>
      <c r="U286" s="61" t="str">
        <f t="shared" si="65"/>
        <v/>
      </c>
      <c r="V286" s="61" t="str">
        <f t="shared" si="66"/>
        <v/>
      </c>
      <c r="W286" s="61" t="str">
        <f t="shared" si="67"/>
        <v/>
      </c>
      <c r="X286" s="61" t="str">
        <f t="shared" si="68"/>
        <v/>
      </c>
      <c r="Y286" s="61" t="str">
        <f t="shared" si="69"/>
        <v/>
      </c>
      <c r="Z286" s="61" t="str">
        <f t="shared" si="70"/>
        <v/>
      </c>
      <c r="AA286" s="61" t="str">
        <f t="shared" si="71"/>
        <v/>
      </c>
      <c r="AB286" s="61" t="str">
        <f t="shared" si="72"/>
        <v/>
      </c>
      <c r="AC286" s="61" t="str">
        <f t="shared" si="73"/>
        <v/>
      </c>
      <c r="AD286" s="61" t="str">
        <f t="shared" si="74"/>
        <v/>
      </c>
      <c r="AE286" s="61" t="str">
        <f t="shared" si="75"/>
        <v/>
      </c>
      <c r="AF286" s="61" t="str">
        <f t="shared" si="76"/>
        <v/>
      </c>
      <c r="AG286" s="61" t="str">
        <f t="shared" si="77"/>
        <v/>
      </c>
      <c r="AH286" s="61" t="str">
        <f t="shared" si="78"/>
        <v/>
      </c>
      <c r="AI286" s="61" t="str">
        <f t="shared" si="79"/>
        <v/>
      </c>
    </row>
    <row r="287" spans="1:35" x14ac:dyDescent="0.25">
      <c r="A287" s="40"/>
      <c r="B287" s="41"/>
      <c r="C287" s="41"/>
      <c r="D287" s="41"/>
      <c r="E287" s="41"/>
      <c r="F287" s="41"/>
      <c r="G287" s="41"/>
      <c r="H287" s="41"/>
      <c r="I287" s="41"/>
      <c r="J287" s="42"/>
      <c r="K287" s="42"/>
      <c r="L287" s="41"/>
      <c r="M287" s="41"/>
      <c r="N287" s="41"/>
      <c r="O287" s="41"/>
      <c r="P287" s="41"/>
      <c r="Q287" s="41"/>
      <c r="R287" s="16" t="str">
        <f t="shared" ca="1" si="64"/>
        <v/>
      </c>
      <c r="S287" s="16" t="str">
        <f ca="1">IF(A287="","",IF(OR(M287='02_マスタ'!$E$10,M287='02_マスタ'!$E$12),"",IF(L287="High","High",IF(AND(K287&lt;&gt;"",K287&lt;TODAY()),INDEX(_ゴミ箱_Backup!$B$117:$D$247,MATCH("ALERT_OVERDUE",_ゴミ箱_Backup!$A$117:$A$247,0),MATCH(言語切替!$B$3,_ゴミ箱_Backup!$B$1:$D$1,0)),IF(AND(K287&lt;&gt;"",K287-TODAY()&lt;=7),INDEX(_ゴミ箱_Backup!$B$117:$D$247,MATCH("ALERT_APPROACHING",_ゴミ箱_Backup!$A$117:$A$247,0),MATCH(言語切替!$B$3,_ゴミ箱_Backup!$B$1:$D$1,0)),IF(OR(M287='02_マスタ'!$E$7,M287='02_マスタ'!$E$8),INDEX(_ゴミ箱_Backup!$B$117:$D$247,MATCH("ALERT_CHECK",_ゴミ箱_Backup!$A$117:$A$247,0),MATCH(言語切替!$B$3,_ゴミ箱_Backup!$B$1:$D$1,0)),""))))))</f>
        <v/>
      </c>
      <c r="T287" s="52"/>
      <c r="U287" s="61" t="str">
        <f t="shared" si="65"/>
        <v/>
      </c>
      <c r="V287" s="61" t="str">
        <f t="shared" si="66"/>
        <v/>
      </c>
      <c r="W287" s="61" t="str">
        <f t="shared" si="67"/>
        <v/>
      </c>
      <c r="X287" s="61" t="str">
        <f t="shared" si="68"/>
        <v/>
      </c>
      <c r="Y287" s="61" t="str">
        <f t="shared" si="69"/>
        <v/>
      </c>
      <c r="Z287" s="61" t="str">
        <f t="shared" si="70"/>
        <v/>
      </c>
      <c r="AA287" s="61" t="str">
        <f t="shared" si="71"/>
        <v/>
      </c>
      <c r="AB287" s="61" t="str">
        <f t="shared" si="72"/>
        <v/>
      </c>
      <c r="AC287" s="61" t="str">
        <f t="shared" si="73"/>
        <v/>
      </c>
      <c r="AD287" s="61" t="str">
        <f t="shared" si="74"/>
        <v/>
      </c>
      <c r="AE287" s="61" t="str">
        <f t="shared" si="75"/>
        <v/>
      </c>
      <c r="AF287" s="61" t="str">
        <f t="shared" si="76"/>
        <v/>
      </c>
      <c r="AG287" s="61" t="str">
        <f t="shared" si="77"/>
        <v/>
      </c>
      <c r="AH287" s="61" t="str">
        <f t="shared" si="78"/>
        <v/>
      </c>
      <c r="AI287" s="61" t="str">
        <f t="shared" si="79"/>
        <v/>
      </c>
    </row>
    <row r="288" spans="1:35" x14ac:dyDescent="0.25">
      <c r="A288" s="36"/>
      <c r="B288" s="37"/>
      <c r="C288" s="37"/>
      <c r="D288" s="37"/>
      <c r="E288" s="37"/>
      <c r="F288" s="37"/>
      <c r="G288" s="37"/>
      <c r="H288" s="37"/>
      <c r="I288" s="37"/>
      <c r="J288" s="38"/>
      <c r="K288" s="38"/>
      <c r="L288" s="37"/>
      <c r="M288" s="37"/>
      <c r="N288" s="37"/>
      <c r="O288" s="37"/>
      <c r="P288" s="37"/>
      <c r="Q288" s="37"/>
      <c r="R288" s="13" t="str">
        <f t="shared" ca="1" si="64"/>
        <v/>
      </c>
      <c r="S288" s="13" t="str">
        <f ca="1">IF(A288="","",IF(OR(M288='02_マスタ'!$E$10,M288='02_マスタ'!$E$12),"",IF(L288="High","High",IF(AND(K288&lt;&gt;"",K288&lt;TODAY()),INDEX(_ゴミ箱_Backup!$B$117:$D$247,MATCH("ALERT_OVERDUE",_ゴミ箱_Backup!$A$117:$A$247,0),MATCH(言語切替!$B$3,_ゴミ箱_Backup!$B$1:$D$1,0)),IF(AND(K288&lt;&gt;"",K288-TODAY()&lt;=7),INDEX(_ゴミ箱_Backup!$B$117:$D$247,MATCH("ALERT_APPROACHING",_ゴミ箱_Backup!$A$117:$A$247,0),MATCH(言語切替!$B$3,_ゴミ箱_Backup!$B$1:$D$1,0)),IF(OR(M288='02_マスタ'!$E$7,M288='02_マスタ'!$E$8),INDEX(_ゴミ箱_Backup!$B$117:$D$247,MATCH("ALERT_CHECK",_ゴミ箱_Backup!$A$117:$A$247,0),MATCH(言語切替!$B$3,_ゴミ箱_Backup!$B$1:$D$1,0)),""))))))</f>
        <v/>
      </c>
      <c r="T288" s="53"/>
      <c r="U288" s="61" t="str">
        <f t="shared" si="65"/>
        <v/>
      </c>
      <c r="V288" s="61" t="str">
        <f t="shared" si="66"/>
        <v/>
      </c>
      <c r="W288" s="61" t="str">
        <f t="shared" si="67"/>
        <v/>
      </c>
      <c r="X288" s="61" t="str">
        <f t="shared" si="68"/>
        <v/>
      </c>
      <c r="Y288" s="61" t="str">
        <f t="shared" si="69"/>
        <v/>
      </c>
      <c r="Z288" s="61" t="str">
        <f t="shared" si="70"/>
        <v/>
      </c>
      <c r="AA288" s="61" t="str">
        <f t="shared" si="71"/>
        <v/>
      </c>
      <c r="AB288" s="61" t="str">
        <f t="shared" si="72"/>
        <v/>
      </c>
      <c r="AC288" s="61" t="str">
        <f t="shared" si="73"/>
        <v/>
      </c>
      <c r="AD288" s="61" t="str">
        <f t="shared" si="74"/>
        <v/>
      </c>
      <c r="AE288" s="61" t="str">
        <f t="shared" si="75"/>
        <v/>
      </c>
      <c r="AF288" s="61" t="str">
        <f t="shared" si="76"/>
        <v/>
      </c>
      <c r="AG288" s="61" t="str">
        <f t="shared" si="77"/>
        <v/>
      </c>
      <c r="AH288" s="61" t="str">
        <f t="shared" si="78"/>
        <v/>
      </c>
      <c r="AI288" s="61" t="str">
        <f t="shared" si="79"/>
        <v/>
      </c>
    </row>
    <row r="289" spans="1:35" x14ac:dyDescent="0.25">
      <c r="A289" s="40"/>
      <c r="B289" s="41"/>
      <c r="C289" s="41"/>
      <c r="D289" s="41"/>
      <c r="E289" s="41"/>
      <c r="F289" s="41"/>
      <c r="G289" s="41"/>
      <c r="H289" s="41"/>
      <c r="I289" s="41"/>
      <c r="J289" s="42"/>
      <c r="K289" s="42"/>
      <c r="L289" s="41"/>
      <c r="M289" s="41"/>
      <c r="N289" s="41"/>
      <c r="O289" s="41"/>
      <c r="P289" s="41"/>
      <c r="Q289" s="41"/>
      <c r="R289" s="16" t="str">
        <f t="shared" ca="1" si="64"/>
        <v/>
      </c>
      <c r="S289" s="16" t="str">
        <f ca="1">IF(A289="","",IF(OR(M289='02_マスタ'!$E$10,M289='02_マスタ'!$E$12),"",IF(L289="High","High",IF(AND(K289&lt;&gt;"",K289&lt;TODAY()),INDEX(_ゴミ箱_Backup!$B$117:$D$247,MATCH("ALERT_OVERDUE",_ゴミ箱_Backup!$A$117:$A$247,0),MATCH(言語切替!$B$3,_ゴミ箱_Backup!$B$1:$D$1,0)),IF(AND(K289&lt;&gt;"",K289-TODAY()&lt;=7),INDEX(_ゴミ箱_Backup!$B$117:$D$247,MATCH("ALERT_APPROACHING",_ゴミ箱_Backup!$A$117:$A$247,0),MATCH(言語切替!$B$3,_ゴミ箱_Backup!$B$1:$D$1,0)),IF(OR(M289='02_マスタ'!$E$7,M289='02_マスタ'!$E$8),INDEX(_ゴミ箱_Backup!$B$117:$D$247,MATCH("ALERT_CHECK",_ゴミ箱_Backup!$A$117:$A$247,0),MATCH(言語切替!$B$3,_ゴミ箱_Backup!$B$1:$D$1,0)),""))))))</f>
        <v/>
      </c>
      <c r="T289" s="52"/>
      <c r="U289" s="61" t="str">
        <f t="shared" si="65"/>
        <v/>
      </c>
      <c r="V289" s="61" t="str">
        <f t="shared" si="66"/>
        <v/>
      </c>
      <c r="W289" s="61" t="str">
        <f t="shared" si="67"/>
        <v/>
      </c>
      <c r="X289" s="61" t="str">
        <f t="shared" si="68"/>
        <v/>
      </c>
      <c r="Y289" s="61" t="str">
        <f t="shared" si="69"/>
        <v/>
      </c>
      <c r="Z289" s="61" t="str">
        <f t="shared" si="70"/>
        <v/>
      </c>
      <c r="AA289" s="61" t="str">
        <f t="shared" si="71"/>
        <v/>
      </c>
      <c r="AB289" s="61" t="str">
        <f t="shared" si="72"/>
        <v/>
      </c>
      <c r="AC289" s="61" t="str">
        <f t="shared" si="73"/>
        <v/>
      </c>
      <c r="AD289" s="61" t="str">
        <f t="shared" si="74"/>
        <v/>
      </c>
      <c r="AE289" s="61" t="str">
        <f t="shared" si="75"/>
        <v/>
      </c>
      <c r="AF289" s="61" t="str">
        <f t="shared" si="76"/>
        <v/>
      </c>
      <c r="AG289" s="61" t="str">
        <f t="shared" si="77"/>
        <v/>
      </c>
      <c r="AH289" s="61" t="str">
        <f t="shared" si="78"/>
        <v/>
      </c>
      <c r="AI289" s="61" t="str">
        <f t="shared" si="79"/>
        <v/>
      </c>
    </row>
    <row r="290" spans="1:35" x14ac:dyDescent="0.25">
      <c r="A290" s="36"/>
      <c r="B290" s="37"/>
      <c r="C290" s="37"/>
      <c r="D290" s="37"/>
      <c r="E290" s="37"/>
      <c r="F290" s="37"/>
      <c r="G290" s="37"/>
      <c r="H290" s="37"/>
      <c r="I290" s="37"/>
      <c r="J290" s="38"/>
      <c r="K290" s="38"/>
      <c r="L290" s="37"/>
      <c r="M290" s="37"/>
      <c r="N290" s="37"/>
      <c r="O290" s="37"/>
      <c r="P290" s="37"/>
      <c r="Q290" s="37"/>
      <c r="R290" s="13" t="str">
        <f t="shared" ca="1" si="64"/>
        <v/>
      </c>
      <c r="S290" s="13" t="str">
        <f ca="1">IF(A290="","",IF(OR(M290='02_マスタ'!$E$10,M290='02_マスタ'!$E$12),"",IF(L290="High","High",IF(AND(K290&lt;&gt;"",K290&lt;TODAY()),INDEX(_ゴミ箱_Backup!$B$117:$D$247,MATCH("ALERT_OVERDUE",_ゴミ箱_Backup!$A$117:$A$247,0),MATCH(言語切替!$B$3,_ゴミ箱_Backup!$B$1:$D$1,0)),IF(AND(K290&lt;&gt;"",K290-TODAY()&lt;=7),INDEX(_ゴミ箱_Backup!$B$117:$D$247,MATCH("ALERT_APPROACHING",_ゴミ箱_Backup!$A$117:$A$247,0),MATCH(言語切替!$B$3,_ゴミ箱_Backup!$B$1:$D$1,0)),IF(OR(M290='02_マスタ'!$E$7,M290='02_マスタ'!$E$8),INDEX(_ゴミ箱_Backup!$B$117:$D$247,MATCH("ALERT_CHECK",_ゴミ箱_Backup!$A$117:$A$247,0),MATCH(言語切替!$B$3,_ゴミ箱_Backup!$B$1:$D$1,0)),""))))))</f>
        <v/>
      </c>
      <c r="T290" s="53"/>
      <c r="U290" s="61" t="str">
        <f t="shared" si="65"/>
        <v/>
      </c>
      <c r="V290" s="61" t="str">
        <f t="shared" si="66"/>
        <v/>
      </c>
      <c r="W290" s="61" t="str">
        <f t="shared" si="67"/>
        <v/>
      </c>
      <c r="X290" s="61" t="str">
        <f t="shared" si="68"/>
        <v/>
      </c>
      <c r="Y290" s="61" t="str">
        <f t="shared" si="69"/>
        <v/>
      </c>
      <c r="Z290" s="61" t="str">
        <f t="shared" si="70"/>
        <v/>
      </c>
      <c r="AA290" s="61" t="str">
        <f t="shared" si="71"/>
        <v/>
      </c>
      <c r="AB290" s="61" t="str">
        <f t="shared" si="72"/>
        <v/>
      </c>
      <c r="AC290" s="61" t="str">
        <f t="shared" si="73"/>
        <v/>
      </c>
      <c r="AD290" s="61" t="str">
        <f t="shared" si="74"/>
        <v/>
      </c>
      <c r="AE290" s="61" t="str">
        <f t="shared" si="75"/>
        <v/>
      </c>
      <c r="AF290" s="61" t="str">
        <f t="shared" si="76"/>
        <v/>
      </c>
      <c r="AG290" s="61" t="str">
        <f t="shared" si="77"/>
        <v/>
      </c>
      <c r="AH290" s="61" t="str">
        <f t="shared" si="78"/>
        <v/>
      </c>
      <c r="AI290" s="61" t="str">
        <f t="shared" si="79"/>
        <v/>
      </c>
    </row>
    <row r="291" spans="1:35" x14ac:dyDescent="0.25">
      <c r="A291" s="40"/>
      <c r="B291" s="41"/>
      <c r="C291" s="41"/>
      <c r="D291" s="41"/>
      <c r="E291" s="41"/>
      <c r="F291" s="41"/>
      <c r="G291" s="41"/>
      <c r="H291" s="41"/>
      <c r="I291" s="41"/>
      <c r="J291" s="42"/>
      <c r="K291" s="42"/>
      <c r="L291" s="41"/>
      <c r="M291" s="41"/>
      <c r="N291" s="41"/>
      <c r="O291" s="41"/>
      <c r="P291" s="41"/>
      <c r="Q291" s="41"/>
      <c r="R291" s="16" t="str">
        <f t="shared" ca="1" si="64"/>
        <v/>
      </c>
      <c r="S291" s="16" t="str">
        <f ca="1">IF(A291="","",IF(OR(M291='02_マスタ'!$E$10,M291='02_マスタ'!$E$12),"",IF(L291="High","High",IF(AND(K291&lt;&gt;"",K291&lt;TODAY()),INDEX(_ゴミ箱_Backup!$B$117:$D$247,MATCH("ALERT_OVERDUE",_ゴミ箱_Backup!$A$117:$A$247,0),MATCH(言語切替!$B$3,_ゴミ箱_Backup!$B$1:$D$1,0)),IF(AND(K291&lt;&gt;"",K291-TODAY()&lt;=7),INDEX(_ゴミ箱_Backup!$B$117:$D$247,MATCH("ALERT_APPROACHING",_ゴミ箱_Backup!$A$117:$A$247,0),MATCH(言語切替!$B$3,_ゴミ箱_Backup!$B$1:$D$1,0)),IF(OR(M291='02_マスタ'!$E$7,M291='02_マスタ'!$E$8),INDEX(_ゴミ箱_Backup!$B$117:$D$247,MATCH("ALERT_CHECK",_ゴミ箱_Backup!$A$117:$A$247,0),MATCH(言語切替!$B$3,_ゴミ箱_Backup!$B$1:$D$1,0)),""))))))</f>
        <v/>
      </c>
      <c r="T291" s="52"/>
      <c r="U291" s="61" t="str">
        <f t="shared" si="65"/>
        <v/>
      </c>
      <c r="V291" s="61" t="str">
        <f t="shared" si="66"/>
        <v/>
      </c>
      <c r="W291" s="61" t="str">
        <f t="shared" si="67"/>
        <v/>
      </c>
      <c r="X291" s="61" t="str">
        <f t="shared" si="68"/>
        <v/>
      </c>
      <c r="Y291" s="61" t="str">
        <f t="shared" si="69"/>
        <v/>
      </c>
      <c r="Z291" s="61" t="str">
        <f t="shared" si="70"/>
        <v/>
      </c>
      <c r="AA291" s="61" t="str">
        <f t="shared" si="71"/>
        <v/>
      </c>
      <c r="AB291" s="61" t="str">
        <f t="shared" si="72"/>
        <v/>
      </c>
      <c r="AC291" s="61" t="str">
        <f t="shared" si="73"/>
        <v/>
      </c>
      <c r="AD291" s="61" t="str">
        <f t="shared" si="74"/>
        <v/>
      </c>
      <c r="AE291" s="61" t="str">
        <f t="shared" si="75"/>
        <v/>
      </c>
      <c r="AF291" s="61" t="str">
        <f t="shared" si="76"/>
        <v/>
      </c>
      <c r="AG291" s="61" t="str">
        <f t="shared" si="77"/>
        <v/>
      </c>
      <c r="AH291" s="61" t="str">
        <f t="shared" si="78"/>
        <v/>
      </c>
      <c r="AI291" s="61" t="str">
        <f t="shared" si="79"/>
        <v/>
      </c>
    </row>
    <row r="292" spans="1:35" x14ac:dyDescent="0.25">
      <c r="A292" s="36"/>
      <c r="B292" s="37"/>
      <c r="C292" s="37"/>
      <c r="D292" s="37"/>
      <c r="E292" s="37"/>
      <c r="F292" s="37"/>
      <c r="G292" s="37"/>
      <c r="H292" s="37"/>
      <c r="I292" s="37"/>
      <c r="J292" s="38"/>
      <c r="K292" s="38"/>
      <c r="L292" s="37"/>
      <c r="M292" s="37"/>
      <c r="N292" s="37"/>
      <c r="O292" s="37"/>
      <c r="P292" s="37"/>
      <c r="Q292" s="37"/>
      <c r="R292" s="13" t="str">
        <f t="shared" ca="1" si="64"/>
        <v/>
      </c>
      <c r="S292" s="13" t="str">
        <f ca="1">IF(A292="","",IF(OR(M292='02_マスタ'!$E$10,M292='02_マスタ'!$E$12),"",IF(L292="High","High",IF(AND(K292&lt;&gt;"",K292&lt;TODAY()),INDEX(_ゴミ箱_Backup!$B$117:$D$247,MATCH("ALERT_OVERDUE",_ゴミ箱_Backup!$A$117:$A$247,0),MATCH(言語切替!$B$3,_ゴミ箱_Backup!$B$1:$D$1,0)),IF(AND(K292&lt;&gt;"",K292-TODAY()&lt;=7),INDEX(_ゴミ箱_Backup!$B$117:$D$247,MATCH("ALERT_APPROACHING",_ゴミ箱_Backup!$A$117:$A$247,0),MATCH(言語切替!$B$3,_ゴミ箱_Backup!$B$1:$D$1,0)),IF(OR(M292='02_マスタ'!$E$7,M292='02_マスタ'!$E$8),INDEX(_ゴミ箱_Backup!$B$117:$D$247,MATCH("ALERT_CHECK",_ゴミ箱_Backup!$A$117:$A$247,0),MATCH(言語切替!$B$3,_ゴミ箱_Backup!$B$1:$D$1,0)),""))))))</f>
        <v/>
      </c>
      <c r="T292" s="53"/>
      <c r="U292" s="61" t="str">
        <f t="shared" si="65"/>
        <v/>
      </c>
      <c r="V292" s="61" t="str">
        <f t="shared" si="66"/>
        <v/>
      </c>
      <c r="W292" s="61" t="str">
        <f t="shared" si="67"/>
        <v/>
      </c>
      <c r="X292" s="61" t="str">
        <f t="shared" si="68"/>
        <v/>
      </c>
      <c r="Y292" s="61" t="str">
        <f t="shared" si="69"/>
        <v/>
      </c>
      <c r="Z292" s="61" t="str">
        <f t="shared" si="70"/>
        <v/>
      </c>
      <c r="AA292" s="61" t="str">
        <f t="shared" si="71"/>
        <v/>
      </c>
      <c r="AB292" s="61" t="str">
        <f t="shared" si="72"/>
        <v/>
      </c>
      <c r="AC292" s="61" t="str">
        <f t="shared" si="73"/>
        <v/>
      </c>
      <c r="AD292" s="61" t="str">
        <f t="shared" si="74"/>
        <v/>
      </c>
      <c r="AE292" s="61" t="str">
        <f t="shared" si="75"/>
        <v/>
      </c>
      <c r="AF292" s="61" t="str">
        <f t="shared" si="76"/>
        <v/>
      </c>
      <c r="AG292" s="61" t="str">
        <f t="shared" si="77"/>
        <v/>
      </c>
      <c r="AH292" s="61" t="str">
        <f t="shared" si="78"/>
        <v/>
      </c>
      <c r="AI292" s="61" t="str">
        <f t="shared" si="79"/>
        <v/>
      </c>
    </row>
    <row r="293" spans="1:35" x14ac:dyDescent="0.25">
      <c r="A293" s="40"/>
      <c r="B293" s="41"/>
      <c r="C293" s="41"/>
      <c r="D293" s="41"/>
      <c r="E293" s="41"/>
      <c r="F293" s="41"/>
      <c r="G293" s="41"/>
      <c r="H293" s="41"/>
      <c r="I293" s="41"/>
      <c r="J293" s="42"/>
      <c r="K293" s="42"/>
      <c r="L293" s="41"/>
      <c r="M293" s="41"/>
      <c r="N293" s="41"/>
      <c r="O293" s="41"/>
      <c r="P293" s="41"/>
      <c r="Q293" s="41"/>
      <c r="R293" s="16" t="str">
        <f t="shared" ca="1" si="64"/>
        <v/>
      </c>
      <c r="S293" s="16" t="str">
        <f ca="1">IF(A293="","",IF(OR(M293='02_マスタ'!$E$10,M293='02_マスタ'!$E$12),"",IF(L293="High","High",IF(AND(K293&lt;&gt;"",K293&lt;TODAY()),INDEX(_ゴミ箱_Backup!$B$117:$D$247,MATCH("ALERT_OVERDUE",_ゴミ箱_Backup!$A$117:$A$247,0),MATCH(言語切替!$B$3,_ゴミ箱_Backup!$B$1:$D$1,0)),IF(AND(K293&lt;&gt;"",K293-TODAY()&lt;=7),INDEX(_ゴミ箱_Backup!$B$117:$D$247,MATCH("ALERT_APPROACHING",_ゴミ箱_Backup!$A$117:$A$247,0),MATCH(言語切替!$B$3,_ゴミ箱_Backup!$B$1:$D$1,0)),IF(OR(M293='02_マスタ'!$E$7,M293='02_マスタ'!$E$8),INDEX(_ゴミ箱_Backup!$B$117:$D$247,MATCH("ALERT_CHECK",_ゴミ箱_Backup!$A$117:$A$247,0),MATCH(言語切替!$B$3,_ゴミ箱_Backup!$B$1:$D$1,0)),""))))))</f>
        <v/>
      </c>
      <c r="T293" s="52"/>
      <c r="U293" s="61" t="str">
        <f t="shared" si="65"/>
        <v/>
      </c>
      <c r="V293" s="61" t="str">
        <f t="shared" si="66"/>
        <v/>
      </c>
      <c r="W293" s="61" t="str">
        <f t="shared" si="67"/>
        <v/>
      </c>
      <c r="X293" s="61" t="str">
        <f t="shared" si="68"/>
        <v/>
      </c>
      <c r="Y293" s="61" t="str">
        <f t="shared" si="69"/>
        <v/>
      </c>
      <c r="Z293" s="61" t="str">
        <f t="shared" si="70"/>
        <v/>
      </c>
      <c r="AA293" s="61" t="str">
        <f t="shared" si="71"/>
        <v/>
      </c>
      <c r="AB293" s="61" t="str">
        <f t="shared" si="72"/>
        <v/>
      </c>
      <c r="AC293" s="61" t="str">
        <f t="shared" si="73"/>
        <v/>
      </c>
      <c r="AD293" s="61" t="str">
        <f t="shared" si="74"/>
        <v/>
      </c>
      <c r="AE293" s="61" t="str">
        <f t="shared" si="75"/>
        <v/>
      </c>
      <c r="AF293" s="61" t="str">
        <f t="shared" si="76"/>
        <v/>
      </c>
      <c r="AG293" s="61" t="str">
        <f t="shared" si="77"/>
        <v/>
      </c>
      <c r="AH293" s="61" t="str">
        <f t="shared" si="78"/>
        <v/>
      </c>
      <c r="AI293" s="61" t="str">
        <f t="shared" si="79"/>
        <v/>
      </c>
    </row>
    <row r="294" spans="1:35" x14ac:dyDescent="0.25">
      <c r="A294" s="36"/>
      <c r="B294" s="37"/>
      <c r="C294" s="37"/>
      <c r="D294" s="37"/>
      <c r="E294" s="37"/>
      <c r="F294" s="37"/>
      <c r="G294" s="37"/>
      <c r="H294" s="37"/>
      <c r="I294" s="37"/>
      <c r="J294" s="38"/>
      <c r="K294" s="38"/>
      <c r="L294" s="37"/>
      <c r="M294" s="37"/>
      <c r="N294" s="37"/>
      <c r="O294" s="37"/>
      <c r="P294" s="37"/>
      <c r="Q294" s="37"/>
      <c r="R294" s="13" t="str">
        <f t="shared" ca="1" si="64"/>
        <v/>
      </c>
      <c r="S294" s="13" t="str">
        <f ca="1">IF(A294="","",IF(OR(M294='02_マスタ'!$E$10,M294='02_マスタ'!$E$12),"",IF(L294="High","High",IF(AND(K294&lt;&gt;"",K294&lt;TODAY()),INDEX(_ゴミ箱_Backup!$B$117:$D$247,MATCH("ALERT_OVERDUE",_ゴミ箱_Backup!$A$117:$A$247,0),MATCH(言語切替!$B$3,_ゴミ箱_Backup!$B$1:$D$1,0)),IF(AND(K294&lt;&gt;"",K294-TODAY()&lt;=7),INDEX(_ゴミ箱_Backup!$B$117:$D$247,MATCH("ALERT_APPROACHING",_ゴミ箱_Backup!$A$117:$A$247,0),MATCH(言語切替!$B$3,_ゴミ箱_Backup!$B$1:$D$1,0)),IF(OR(M294='02_マスタ'!$E$7,M294='02_マスタ'!$E$8),INDEX(_ゴミ箱_Backup!$B$117:$D$247,MATCH("ALERT_CHECK",_ゴミ箱_Backup!$A$117:$A$247,0),MATCH(言語切替!$B$3,_ゴミ箱_Backup!$B$1:$D$1,0)),""))))))</f>
        <v/>
      </c>
      <c r="T294" s="53"/>
      <c r="U294" s="61" t="str">
        <f t="shared" si="65"/>
        <v/>
      </c>
      <c r="V294" s="61" t="str">
        <f t="shared" si="66"/>
        <v/>
      </c>
      <c r="W294" s="61" t="str">
        <f t="shared" si="67"/>
        <v/>
      </c>
      <c r="X294" s="61" t="str">
        <f t="shared" si="68"/>
        <v/>
      </c>
      <c r="Y294" s="61" t="str">
        <f t="shared" si="69"/>
        <v/>
      </c>
      <c r="Z294" s="61" t="str">
        <f t="shared" si="70"/>
        <v/>
      </c>
      <c r="AA294" s="61" t="str">
        <f t="shared" si="71"/>
        <v/>
      </c>
      <c r="AB294" s="61" t="str">
        <f t="shared" si="72"/>
        <v/>
      </c>
      <c r="AC294" s="61" t="str">
        <f t="shared" si="73"/>
        <v/>
      </c>
      <c r="AD294" s="61" t="str">
        <f t="shared" si="74"/>
        <v/>
      </c>
      <c r="AE294" s="61" t="str">
        <f t="shared" si="75"/>
        <v/>
      </c>
      <c r="AF294" s="61" t="str">
        <f t="shared" si="76"/>
        <v/>
      </c>
      <c r="AG294" s="61" t="str">
        <f t="shared" si="77"/>
        <v/>
      </c>
      <c r="AH294" s="61" t="str">
        <f t="shared" si="78"/>
        <v/>
      </c>
      <c r="AI294" s="61" t="str">
        <f t="shared" si="79"/>
        <v/>
      </c>
    </row>
    <row r="295" spans="1:35" x14ac:dyDescent="0.25">
      <c r="A295" s="40"/>
      <c r="B295" s="41"/>
      <c r="C295" s="41"/>
      <c r="D295" s="41"/>
      <c r="E295" s="41"/>
      <c r="F295" s="41"/>
      <c r="G295" s="41"/>
      <c r="H295" s="41"/>
      <c r="I295" s="41"/>
      <c r="J295" s="42"/>
      <c r="K295" s="42"/>
      <c r="L295" s="41"/>
      <c r="M295" s="41"/>
      <c r="N295" s="41"/>
      <c r="O295" s="41"/>
      <c r="P295" s="41"/>
      <c r="Q295" s="41"/>
      <c r="R295" s="16" t="str">
        <f t="shared" ca="1" si="64"/>
        <v/>
      </c>
      <c r="S295" s="16" t="str">
        <f ca="1">IF(A295="","",IF(OR(M295='02_マスタ'!$E$10,M295='02_マスタ'!$E$12),"",IF(L295="High","High",IF(AND(K295&lt;&gt;"",K295&lt;TODAY()),INDEX(_ゴミ箱_Backup!$B$117:$D$247,MATCH("ALERT_OVERDUE",_ゴミ箱_Backup!$A$117:$A$247,0),MATCH(言語切替!$B$3,_ゴミ箱_Backup!$B$1:$D$1,0)),IF(AND(K295&lt;&gt;"",K295-TODAY()&lt;=7),INDEX(_ゴミ箱_Backup!$B$117:$D$247,MATCH("ALERT_APPROACHING",_ゴミ箱_Backup!$A$117:$A$247,0),MATCH(言語切替!$B$3,_ゴミ箱_Backup!$B$1:$D$1,0)),IF(OR(M295='02_マスタ'!$E$7,M295='02_マスタ'!$E$8),INDEX(_ゴミ箱_Backup!$B$117:$D$247,MATCH("ALERT_CHECK",_ゴミ箱_Backup!$A$117:$A$247,0),MATCH(言語切替!$B$3,_ゴミ箱_Backup!$B$1:$D$1,0)),""))))))</f>
        <v/>
      </c>
      <c r="T295" s="52"/>
      <c r="U295" s="61" t="str">
        <f t="shared" si="65"/>
        <v/>
      </c>
      <c r="V295" s="61" t="str">
        <f t="shared" si="66"/>
        <v/>
      </c>
      <c r="W295" s="61" t="str">
        <f t="shared" si="67"/>
        <v/>
      </c>
      <c r="X295" s="61" t="str">
        <f t="shared" si="68"/>
        <v/>
      </c>
      <c r="Y295" s="61" t="str">
        <f t="shared" si="69"/>
        <v/>
      </c>
      <c r="Z295" s="61" t="str">
        <f t="shared" si="70"/>
        <v/>
      </c>
      <c r="AA295" s="61" t="str">
        <f t="shared" si="71"/>
        <v/>
      </c>
      <c r="AB295" s="61" t="str">
        <f t="shared" si="72"/>
        <v/>
      </c>
      <c r="AC295" s="61" t="str">
        <f t="shared" si="73"/>
        <v/>
      </c>
      <c r="AD295" s="61" t="str">
        <f t="shared" si="74"/>
        <v/>
      </c>
      <c r="AE295" s="61" t="str">
        <f t="shared" si="75"/>
        <v/>
      </c>
      <c r="AF295" s="61" t="str">
        <f t="shared" si="76"/>
        <v/>
      </c>
      <c r="AG295" s="61" t="str">
        <f t="shared" si="77"/>
        <v/>
      </c>
      <c r="AH295" s="61" t="str">
        <f t="shared" si="78"/>
        <v/>
      </c>
      <c r="AI295" s="61" t="str">
        <f t="shared" si="79"/>
        <v/>
      </c>
    </row>
    <row r="296" spans="1:35" x14ac:dyDescent="0.25">
      <c r="A296" s="36"/>
      <c r="B296" s="37"/>
      <c r="C296" s="37"/>
      <c r="D296" s="37"/>
      <c r="E296" s="37"/>
      <c r="F296" s="37"/>
      <c r="G296" s="37"/>
      <c r="H296" s="37"/>
      <c r="I296" s="37"/>
      <c r="J296" s="38"/>
      <c r="K296" s="38"/>
      <c r="L296" s="37"/>
      <c r="M296" s="37"/>
      <c r="N296" s="37"/>
      <c r="O296" s="37"/>
      <c r="P296" s="37"/>
      <c r="Q296" s="37"/>
      <c r="R296" s="13" t="str">
        <f t="shared" ca="1" si="64"/>
        <v/>
      </c>
      <c r="S296" s="13" t="str">
        <f ca="1">IF(A296="","",IF(OR(M296='02_マスタ'!$E$10,M296='02_マスタ'!$E$12),"",IF(L296="High","High",IF(AND(K296&lt;&gt;"",K296&lt;TODAY()),INDEX(_ゴミ箱_Backup!$B$117:$D$247,MATCH("ALERT_OVERDUE",_ゴミ箱_Backup!$A$117:$A$247,0),MATCH(言語切替!$B$3,_ゴミ箱_Backup!$B$1:$D$1,0)),IF(AND(K296&lt;&gt;"",K296-TODAY()&lt;=7),INDEX(_ゴミ箱_Backup!$B$117:$D$247,MATCH("ALERT_APPROACHING",_ゴミ箱_Backup!$A$117:$A$247,0),MATCH(言語切替!$B$3,_ゴミ箱_Backup!$B$1:$D$1,0)),IF(OR(M296='02_マスタ'!$E$7,M296='02_マスタ'!$E$8),INDEX(_ゴミ箱_Backup!$B$117:$D$247,MATCH("ALERT_CHECK",_ゴミ箱_Backup!$A$117:$A$247,0),MATCH(言語切替!$B$3,_ゴミ箱_Backup!$B$1:$D$1,0)),""))))))</f>
        <v/>
      </c>
      <c r="T296" s="53"/>
      <c r="U296" s="61" t="str">
        <f t="shared" si="65"/>
        <v/>
      </c>
      <c r="V296" s="61" t="str">
        <f t="shared" si="66"/>
        <v/>
      </c>
      <c r="W296" s="61" t="str">
        <f t="shared" si="67"/>
        <v/>
      </c>
      <c r="X296" s="61" t="str">
        <f t="shared" si="68"/>
        <v/>
      </c>
      <c r="Y296" s="61" t="str">
        <f t="shared" si="69"/>
        <v/>
      </c>
      <c r="Z296" s="61" t="str">
        <f t="shared" si="70"/>
        <v/>
      </c>
      <c r="AA296" s="61" t="str">
        <f t="shared" si="71"/>
        <v/>
      </c>
      <c r="AB296" s="61" t="str">
        <f t="shared" si="72"/>
        <v/>
      </c>
      <c r="AC296" s="61" t="str">
        <f t="shared" si="73"/>
        <v/>
      </c>
      <c r="AD296" s="61" t="str">
        <f t="shared" si="74"/>
        <v/>
      </c>
      <c r="AE296" s="61" t="str">
        <f t="shared" si="75"/>
        <v/>
      </c>
      <c r="AF296" s="61" t="str">
        <f t="shared" si="76"/>
        <v/>
      </c>
      <c r="AG296" s="61" t="str">
        <f t="shared" si="77"/>
        <v/>
      </c>
      <c r="AH296" s="61" t="str">
        <f t="shared" si="78"/>
        <v/>
      </c>
      <c r="AI296" s="61" t="str">
        <f t="shared" si="79"/>
        <v/>
      </c>
    </row>
    <row r="297" spans="1:35" x14ac:dyDescent="0.25">
      <c r="A297" s="40"/>
      <c r="B297" s="41"/>
      <c r="C297" s="41"/>
      <c r="D297" s="41"/>
      <c r="E297" s="41"/>
      <c r="F297" s="41"/>
      <c r="G297" s="41"/>
      <c r="H297" s="41"/>
      <c r="I297" s="41"/>
      <c r="J297" s="42"/>
      <c r="K297" s="42"/>
      <c r="L297" s="41"/>
      <c r="M297" s="41"/>
      <c r="N297" s="41"/>
      <c r="O297" s="41"/>
      <c r="P297" s="41"/>
      <c r="Q297" s="41"/>
      <c r="R297" s="16" t="str">
        <f t="shared" ca="1" si="64"/>
        <v/>
      </c>
      <c r="S297" s="16" t="str">
        <f ca="1">IF(A297="","",IF(OR(M297='02_マスタ'!$E$10,M297='02_マスタ'!$E$12),"",IF(L297="High","High",IF(AND(K297&lt;&gt;"",K297&lt;TODAY()),INDEX(_ゴミ箱_Backup!$B$117:$D$247,MATCH("ALERT_OVERDUE",_ゴミ箱_Backup!$A$117:$A$247,0),MATCH(言語切替!$B$3,_ゴミ箱_Backup!$B$1:$D$1,0)),IF(AND(K297&lt;&gt;"",K297-TODAY()&lt;=7),INDEX(_ゴミ箱_Backup!$B$117:$D$247,MATCH("ALERT_APPROACHING",_ゴミ箱_Backup!$A$117:$A$247,0),MATCH(言語切替!$B$3,_ゴミ箱_Backup!$B$1:$D$1,0)),IF(OR(M297='02_マスタ'!$E$7,M297='02_マスタ'!$E$8),INDEX(_ゴミ箱_Backup!$B$117:$D$247,MATCH("ALERT_CHECK",_ゴミ箱_Backup!$A$117:$A$247,0),MATCH(言語切替!$B$3,_ゴミ箱_Backup!$B$1:$D$1,0)),""))))))</f>
        <v/>
      </c>
      <c r="T297" s="52"/>
      <c r="U297" s="61" t="str">
        <f t="shared" si="65"/>
        <v/>
      </c>
      <c r="V297" s="61" t="str">
        <f t="shared" si="66"/>
        <v/>
      </c>
      <c r="W297" s="61" t="str">
        <f t="shared" si="67"/>
        <v/>
      </c>
      <c r="X297" s="61" t="str">
        <f t="shared" si="68"/>
        <v/>
      </c>
      <c r="Y297" s="61" t="str">
        <f t="shared" si="69"/>
        <v/>
      </c>
      <c r="Z297" s="61" t="str">
        <f t="shared" si="70"/>
        <v/>
      </c>
      <c r="AA297" s="61" t="str">
        <f t="shared" si="71"/>
        <v/>
      </c>
      <c r="AB297" s="61" t="str">
        <f t="shared" si="72"/>
        <v/>
      </c>
      <c r="AC297" s="61" t="str">
        <f t="shared" si="73"/>
        <v/>
      </c>
      <c r="AD297" s="61" t="str">
        <f t="shared" si="74"/>
        <v/>
      </c>
      <c r="AE297" s="61" t="str">
        <f t="shared" si="75"/>
        <v/>
      </c>
      <c r="AF297" s="61" t="str">
        <f t="shared" si="76"/>
        <v/>
      </c>
      <c r="AG297" s="61" t="str">
        <f t="shared" si="77"/>
        <v/>
      </c>
      <c r="AH297" s="61" t="str">
        <f t="shared" si="78"/>
        <v/>
      </c>
      <c r="AI297" s="61" t="str">
        <f t="shared" si="79"/>
        <v/>
      </c>
    </row>
    <row r="298" spans="1:35" x14ac:dyDescent="0.25">
      <c r="A298" s="36"/>
      <c r="B298" s="37"/>
      <c r="C298" s="37"/>
      <c r="D298" s="37"/>
      <c r="E298" s="37"/>
      <c r="F298" s="37"/>
      <c r="G298" s="37"/>
      <c r="H298" s="37"/>
      <c r="I298" s="37"/>
      <c r="J298" s="38"/>
      <c r="K298" s="38"/>
      <c r="L298" s="37"/>
      <c r="M298" s="37"/>
      <c r="N298" s="37"/>
      <c r="O298" s="37"/>
      <c r="P298" s="37"/>
      <c r="Q298" s="37"/>
      <c r="R298" s="13" t="str">
        <f t="shared" ca="1" si="64"/>
        <v/>
      </c>
      <c r="S298" s="13" t="str">
        <f ca="1">IF(A298="","",IF(OR(M298='02_マスタ'!$E$10,M298='02_マスタ'!$E$12),"",IF(L298="High","High",IF(AND(K298&lt;&gt;"",K298&lt;TODAY()),INDEX(_ゴミ箱_Backup!$B$117:$D$247,MATCH("ALERT_OVERDUE",_ゴミ箱_Backup!$A$117:$A$247,0),MATCH(言語切替!$B$3,_ゴミ箱_Backup!$B$1:$D$1,0)),IF(AND(K298&lt;&gt;"",K298-TODAY()&lt;=7),INDEX(_ゴミ箱_Backup!$B$117:$D$247,MATCH("ALERT_APPROACHING",_ゴミ箱_Backup!$A$117:$A$247,0),MATCH(言語切替!$B$3,_ゴミ箱_Backup!$B$1:$D$1,0)),IF(OR(M298='02_マスタ'!$E$7,M298='02_マスタ'!$E$8),INDEX(_ゴミ箱_Backup!$B$117:$D$247,MATCH("ALERT_CHECK",_ゴミ箱_Backup!$A$117:$A$247,0),MATCH(言語切替!$B$3,_ゴミ箱_Backup!$B$1:$D$1,0)),""))))))</f>
        <v/>
      </c>
      <c r="T298" s="53"/>
      <c r="U298" s="61" t="str">
        <f t="shared" si="65"/>
        <v/>
      </c>
      <c r="V298" s="61" t="str">
        <f t="shared" si="66"/>
        <v/>
      </c>
      <c r="W298" s="61" t="str">
        <f t="shared" si="67"/>
        <v/>
      </c>
      <c r="X298" s="61" t="str">
        <f t="shared" si="68"/>
        <v/>
      </c>
      <c r="Y298" s="61" t="str">
        <f t="shared" si="69"/>
        <v/>
      </c>
      <c r="Z298" s="61" t="str">
        <f t="shared" si="70"/>
        <v/>
      </c>
      <c r="AA298" s="61" t="str">
        <f t="shared" si="71"/>
        <v/>
      </c>
      <c r="AB298" s="61" t="str">
        <f t="shared" si="72"/>
        <v/>
      </c>
      <c r="AC298" s="61" t="str">
        <f t="shared" si="73"/>
        <v/>
      </c>
      <c r="AD298" s="61" t="str">
        <f t="shared" si="74"/>
        <v/>
      </c>
      <c r="AE298" s="61" t="str">
        <f t="shared" si="75"/>
        <v/>
      </c>
      <c r="AF298" s="61" t="str">
        <f t="shared" si="76"/>
        <v/>
      </c>
      <c r="AG298" s="61" t="str">
        <f t="shared" si="77"/>
        <v/>
      </c>
      <c r="AH298" s="61" t="str">
        <f t="shared" si="78"/>
        <v/>
      </c>
      <c r="AI298" s="61" t="str">
        <f t="shared" si="79"/>
        <v/>
      </c>
    </row>
    <row r="299" spans="1:35" x14ac:dyDescent="0.25">
      <c r="A299" s="40"/>
      <c r="B299" s="41"/>
      <c r="C299" s="41"/>
      <c r="D299" s="41"/>
      <c r="E299" s="41"/>
      <c r="F299" s="41"/>
      <c r="G299" s="41"/>
      <c r="H299" s="41"/>
      <c r="I299" s="41"/>
      <c r="J299" s="42"/>
      <c r="K299" s="42"/>
      <c r="L299" s="41"/>
      <c r="M299" s="41"/>
      <c r="N299" s="41"/>
      <c r="O299" s="41"/>
      <c r="P299" s="41"/>
      <c r="Q299" s="41"/>
      <c r="R299" s="16" t="str">
        <f t="shared" ca="1" si="64"/>
        <v/>
      </c>
      <c r="S299" s="16" t="str">
        <f ca="1">IF(A299="","",IF(OR(M299='02_マスタ'!$E$10,M299='02_マスタ'!$E$12),"",IF(L299="High","High",IF(AND(K299&lt;&gt;"",K299&lt;TODAY()),INDEX(_ゴミ箱_Backup!$B$117:$D$247,MATCH("ALERT_OVERDUE",_ゴミ箱_Backup!$A$117:$A$247,0),MATCH(言語切替!$B$3,_ゴミ箱_Backup!$B$1:$D$1,0)),IF(AND(K299&lt;&gt;"",K299-TODAY()&lt;=7),INDEX(_ゴミ箱_Backup!$B$117:$D$247,MATCH("ALERT_APPROACHING",_ゴミ箱_Backup!$A$117:$A$247,0),MATCH(言語切替!$B$3,_ゴミ箱_Backup!$B$1:$D$1,0)),IF(OR(M299='02_マスタ'!$E$7,M299='02_マスタ'!$E$8),INDEX(_ゴミ箱_Backup!$B$117:$D$247,MATCH("ALERT_CHECK",_ゴミ箱_Backup!$A$117:$A$247,0),MATCH(言語切替!$B$3,_ゴミ箱_Backup!$B$1:$D$1,0)),""))))))</f>
        <v/>
      </c>
      <c r="T299" s="52"/>
      <c r="U299" s="61" t="str">
        <f t="shared" si="65"/>
        <v/>
      </c>
      <c r="V299" s="61" t="str">
        <f t="shared" si="66"/>
        <v/>
      </c>
      <c r="W299" s="61" t="str">
        <f t="shared" si="67"/>
        <v/>
      </c>
      <c r="X299" s="61" t="str">
        <f t="shared" si="68"/>
        <v/>
      </c>
      <c r="Y299" s="61" t="str">
        <f t="shared" si="69"/>
        <v/>
      </c>
      <c r="Z299" s="61" t="str">
        <f t="shared" si="70"/>
        <v/>
      </c>
      <c r="AA299" s="61" t="str">
        <f t="shared" si="71"/>
        <v/>
      </c>
      <c r="AB299" s="61" t="str">
        <f t="shared" si="72"/>
        <v/>
      </c>
      <c r="AC299" s="61" t="str">
        <f t="shared" si="73"/>
        <v/>
      </c>
      <c r="AD299" s="61" t="str">
        <f t="shared" si="74"/>
        <v/>
      </c>
      <c r="AE299" s="61" t="str">
        <f t="shared" si="75"/>
        <v/>
      </c>
      <c r="AF299" s="61" t="str">
        <f t="shared" si="76"/>
        <v/>
      </c>
      <c r="AG299" s="61" t="str">
        <f t="shared" si="77"/>
        <v/>
      </c>
      <c r="AH299" s="61" t="str">
        <f t="shared" si="78"/>
        <v/>
      </c>
      <c r="AI299" s="61" t="str">
        <f t="shared" si="79"/>
        <v/>
      </c>
    </row>
    <row r="300" spans="1:35" x14ac:dyDescent="0.25">
      <c r="A300" s="36"/>
      <c r="B300" s="37"/>
      <c r="C300" s="37"/>
      <c r="D300" s="37"/>
      <c r="E300" s="37"/>
      <c r="F300" s="37"/>
      <c r="G300" s="37"/>
      <c r="H300" s="37"/>
      <c r="I300" s="37"/>
      <c r="J300" s="38"/>
      <c r="K300" s="38"/>
      <c r="L300" s="37"/>
      <c r="M300" s="37"/>
      <c r="N300" s="37"/>
      <c r="O300" s="37"/>
      <c r="P300" s="37"/>
      <c r="Q300" s="37"/>
      <c r="R300" s="13" t="str">
        <f t="shared" ca="1" si="64"/>
        <v/>
      </c>
      <c r="S300" s="13" t="str">
        <f ca="1">IF(A300="","",IF(OR(M300='02_マスタ'!$E$10,M300='02_マスタ'!$E$12),"",IF(L300="High","High",IF(AND(K300&lt;&gt;"",K300&lt;TODAY()),INDEX(_ゴミ箱_Backup!$B$117:$D$247,MATCH("ALERT_OVERDUE",_ゴミ箱_Backup!$A$117:$A$247,0),MATCH(言語切替!$B$3,_ゴミ箱_Backup!$B$1:$D$1,0)),IF(AND(K300&lt;&gt;"",K300-TODAY()&lt;=7),INDEX(_ゴミ箱_Backup!$B$117:$D$247,MATCH("ALERT_APPROACHING",_ゴミ箱_Backup!$A$117:$A$247,0),MATCH(言語切替!$B$3,_ゴミ箱_Backup!$B$1:$D$1,0)),IF(OR(M300='02_マスタ'!$E$7,M300='02_マスタ'!$E$8),INDEX(_ゴミ箱_Backup!$B$117:$D$247,MATCH("ALERT_CHECK",_ゴミ箱_Backup!$A$117:$A$247,0),MATCH(言語切替!$B$3,_ゴミ箱_Backup!$B$1:$D$1,0)),""))))))</f>
        <v/>
      </c>
      <c r="T300" s="53"/>
      <c r="U300" s="61" t="str">
        <f t="shared" si="65"/>
        <v/>
      </c>
      <c r="V300" s="61" t="str">
        <f t="shared" si="66"/>
        <v/>
      </c>
      <c r="W300" s="61" t="str">
        <f t="shared" si="67"/>
        <v/>
      </c>
      <c r="X300" s="61" t="str">
        <f t="shared" si="68"/>
        <v/>
      </c>
      <c r="Y300" s="61" t="str">
        <f t="shared" si="69"/>
        <v/>
      </c>
      <c r="Z300" s="61" t="str">
        <f t="shared" si="70"/>
        <v/>
      </c>
      <c r="AA300" s="61" t="str">
        <f t="shared" si="71"/>
        <v/>
      </c>
      <c r="AB300" s="61" t="str">
        <f t="shared" si="72"/>
        <v/>
      </c>
      <c r="AC300" s="61" t="str">
        <f t="shared" si="73"/>
        <v/>
      </c>
      <c r="AD300" s="61" t="str">
        <f t="shared" si="74"/>
        <v/>
      </c>
      <c r="AE300" s="61" t="str">
        <f t="shared" si="75"/>
        <v/>
      </c>
      <c r="AF300" s="61" t="str">
        <f t="shared" si="76"/>
        <v/>
      </c>
      <c r="AG300" s="61" t="str">
        <f t="shared" si="77"/>
        <v/>
      </c>
      <c r="AH300" s="61" t="str">
        <f t="shared" si="78"/>
        <v/>
      </c>
      <c r="AI300" s="61" t="str">
        <f t="shared" si="79"/>
        <v/>
      </c>
    </row>
    <row r="301" spans="1:35" x14ac:dyDescent="0.25">
      <c r="A301" s="40"/>
      <c r="B301" s="41"/>
      <c r="C301" s="41"/>
      <c r="D301" s="41"/>
      <c r="E301" s="41"/>
      <c r="F301" s="41"/>
      <c r="G301" s="41"/>
      <c r="H301" s="41"/>
      <c r="I301" s="41"/>
      <c r="J301" s="42"/>
      <c r="K301" s="42"/>
      <c r="L301" s="41"/>
      <c r="M301" s="41"/>
      <c r="N301" s="41"/>
      <c r="O301" s="41"/>
      <c r="P301" s="41"/>
      <c r="Q301" s="41"/>
      <c r="R301" s="16" t="str">
        <f t="shared" ca="1" si="64"/>
        <v/>
      </c>
      <c r="S301" s="16" t="str">
        <f ca="1">IF(A301="","",IF(OR(M301='02_マスタ'!$E$10,M301='02_マスタ'!$E$12),"",IF(L301="High","High",IF(AND(K301&lt;&gt;"",K301&lt;TODAY()),INDEX(_ゴミ箱_Backup!$B$117:$D$247,MATCH("ALERT_OVERDUE",_ゴミ箱_Backup!$A$117:$A$247,0),MATCH(言語切替!$B$3,_ゴミ箱_Backup!$B$1:$D$1,0)),IF(AND(K301&lt;&gt;"",K301-TODAY()&lt;=7),INDEX(_ゴミ箱_Backup!$B$117:$D$247,MATCH("ALERT_APPROACHING",_ゴミ箱_Backup!$A$117:$A$247,0),MATCH(言語切替!$B$3,_ゴミ箱_Backup!$B$1:$D$1,0)),IF(OR(M301='02_マスタ'!$E$7,M301='02_マスタ'!$E$8),INDEX(_ゴミ箱_Backup!$B$117:$D$247,MATCH("ALERT_CHECK",_ゴミ箱_Backup!$A$117:$A$247,0),MATCH(言語切替!$B$3,_ゴミ箱_Backup!$B$1:$D$1,0)),""))))))</f>
        <v/>
      </c>
      <c r="T301" s="52"/>
      <c r="U301" s="61" t="str">
        <f t="shared" si="65"/>
        <v/>
      </c>
      <c r="V301" s="61" t="str">
        <f t="shared" si="66"/>
        <v/>
      </c>
      <c r="W301" s="61" t="str">
        <f t="shared" si="67"/>
        <v/>
      </c>
      <c r="X301" s="61" t="str">
        <f t="shared" si="68"/>
        <v/>
      </c>
      <c r="Y301" s="61" t="str">
        <f t="shared" si="69"/>
        <v/>
      </c>
      <c r="Z301" s="61" t="str">
        <f t="shared" si="70"/>
        <v/>
      </c>
      <c r="AA301" s="61" t="str">
        <f t="shared" si="71"/>
        <v/>
      </c>
      <c r="AB301" s="61" t="str">
        <f t="shared" si="72"/>
        <v/>
      </c>
      <c r="AC301" s="61" t="str">
        <f t="shared" si="73"/>
        <v/>
      </c>
      <c r="AD301" s="61" t="str">
        <f t="shared" si="74"/>
        <v/>
      </c>
      <c r="AE301" s="61" t="str">
        <f t="shared" si="75"/>
        <v/>
      </c>
      <c r="AF301" s="61" t="str">
        <f t="shared" si="76"/>
        <v/>
      </c>
      <c r="AG301" s="61" t="str">
        <f t="shared" si="77"/>
        <v/>
      </c>
      <c r="AH301" s="61" t="str">
        <f t="shared" si="78"/>
        <v/>
      </c>
      <c r="AI301" s="61" t="str">
        <f t="shared" si="79"/>
        <v/>
      </c>
    </row>
    <row r="302" spans="1:35" x14ac:dyDescent="0.25">
      <c r="A302" s="36"/>
      <c r="B302" s="37"/>
      <c r="C302" s="37"/>
      <c r="D302" s="37"/>
      <c r="E302" s="37"/>
      <c r="F302" s="37"/>
      <c r="G302" s="37"/>
      <c r="H302" s="37"/>
      <c r="I302" s="37"/>
      <c r="J302" s="38"/>
      <c r="K302" s="38"/>
      <c r="L302" s="37"/>
      <c r="M302" s="37"/>
      <c r="N302" s="37"/>
      <c r="O302" s="37"/>
      <c r="P302" s="37"/>
      <c r="Q302" s="37"/>
      <c r="R302" s="13" t="str">
        <f t="shared" ca="1" si="64"/>
        <v/>
      </c>
      <c r="S302" s="13" t="str">
        <f ca="1">IF(A302="","",IF(OR(M302='02_マスタ'!$E$10,M302='02_マスタ'!$E$12),"",IF(L302="High","High",IF(AND(K302&lt;&gt;"",K302&lt;TODAY()),INDEX(_ゴミ箱_Backup!$B$117:$D$247,MATCH("ALERT_OVERDUE",_ゴミ箱_Backup!$A$117:$A$247,0),MATCH(言語切替!$B$3,_ゴミ箱_Backup!$B$1:$D$1,0)),IF(AND(K302&lt;&gt;"",K302-TODAY()&lt;=7),INDEX(_ゴミ箱_Backup!$B$117:$D$247,MATCH("ALERT_APPROACHING",_ゴミ箱_Backup!$A$117:$A$247,0),MATCH(言語切替!$B$3,_ゴミ箱_Backup!$B$1:$D$1,0)),IF(OR(M302='02_マスタ'!$E$7,M302='02_マスタ'!$E$8),INDEX(_ゴミ箱_Backup!$B$117:$D$247,MATCH("ALERT_CHECK",_ゴミ箱_Backup!$A$117:$A$247,0),MATCH(言語切替!$B$3,_ゴミ箱_Backup!$B$1:$D$1,0)),""))))))</f>
        <v/>
      </c>
      <c r="T302" s="53"/>
      <c r="U302" s="61" t="str">
        <f t="shared" si="65"/>
        <v/>
      </c>
      <c r="V302" s="61" t="str">
        <f t="shared" si="66"/>
        <v/>
      </c>
      <c r="W302" s="61" t="str">
        <f t="shared" si="67"/>
        <v/>
      </c>
      <c r="X302" s="61" t="str">
        <f t="shared" si="68"/>
        <v/>
      </c>
      <c r="Y302" s="61" t="str">
        <f t="shared" si="69"/>
        <v/>
      </c>
      <c r="Z302" s="61" t="str">
        <f t="shared" si="70"/>
        <v/>
      </c>
      <c r="AA302" s="61" t="str">
        <f t="shared" si="71"/>
        <v/>
      </c>
      <c r="AB302" s="61" t="str">
        <f t="shared" si="72"/>
        <v/>
      </c>
      <c r="AC302" s="61" t="str">
        <f t="shared" si="73"/>
        <v/>
      </c>
      <c r="AD302" s="61" t="str">
        <f t="shared" si="74"/>
        <v/>
      </c>
      <c r="AE302" s="61" t="str">
        <f t="shared" si="75"/>
        <v/>
      </c>
      <c r="AF302" s="61" t="str">
        <f t="shared" si="76"/>
        <v/>
      </c>
      <c r="AG302" s="61" t="str">
        <f t="shared" si="77"/>
        <v/>
      </c>
      <c r="AH302" s="61" t="str">
        <f t="shared" si="78"/>
        <v/>
      </c>
      <c r="AI302" s="61" t="str">
        <f t="shared" si="79"/>
        <v/>
      </c>
    </row>
    <row r="303" spans="1:35" x14ac:dyDescent="0.25">
      <c r="A303" s="40"/>
      <c r="B303" s="41"/>
      <c r="C303" s="41"/>
      <c r="D303" s="41"/>
      <c r="E303" s="41"/>
      <c r="F303" s="41"/>
      <c r="G303" s="41"/>
      <c r="H303" s="41"/>
      <c r="I303" s="41"/>
      <c r="J303" s="42"/>
      <c r="K303" s="42"/>
      <c r="L303" s="41"/>
      <c r="M303" s="41"/>
      <c r="N303" s="41"/>
      <c r="O303" s="41"/>
      <c r="P303" s="41"/>
      <c r="Q303" s="41"/>
      <c r="R303" s="16" t="str">
        <f t="shared" ca="1" si="64"/>
        <v/>
      </c>
      <c r="S303" s="16" t="str">
        <f ca="1">IF(A303="","",IF(OR(M303='02_マスタ'!$E$10,M303='02_マスタ'!$E$12),"",IF(L303="High","High",IF(AND(K303&lt;&gt;"",K303&lt;TODAY()),INDEX(_ゴミ箱_Backup!$B$117:$D$247,MATCH("ALERT_OVERDUE",_ゴミ箱_Backup!$A$117:$A$247,0),MATCH(言語切替!$B$3,_ゴミ箱_Backup!$B$1:$D$1,0)),IF(AND(K303&lt;&gt;"",K303-TODAY()&lt;=7),INDEX(_ゴミ箱_Backup!$B$117:$D$247,MATCH("ALERT_APPROACHING",_ゴミ箱_Backup!$A$117:$A$247,0),MATCH(言語切替!$B$3,_ゴミ箱_Backup!$B$1:$D$1,0)),IF(OR(M303='02_マスタ'!$E$7,M303='02_マスタ'!$E$8),INDEX(_ゴミ箱_Backup!$B$117:$D$247,MATCH("ALERT_CHECK",_ゴミ箱_Backup!$A$117:$A$247,0),MATCH(言語切替!$B$3,_ゴミ箱_Backup!$B$1:$D$1,0)),""))))))</f>
        <v/>
      </c>
      <c r="T303" s="52"/>
      <c r="U303" s="61" t="str">
        <f t="shared" si="65"/>
        <v/>
      </c>
      <c r="V303" s="61" t="str">
        <f t="shared" si="66"/>
        <v/>
      </c>
      <c r="W303" s="61" t="str">
        <f t="shared" si="67"/>
        <v/>
      </c>
      <c r="X303" s="61" t="str">
        <f t="shared" si="68"/>
        <v/>
      </c>
      <c r="Y303" s="61" t="str">
        <f t="shared" si="69"/>
        <v/>
      </c>
      <c r="Z303" s="61" t="str">
        <f t="shared" si="70"/>
        <v/>
      </c>
      <c r="AA303" s="61" t="str">
        <f t="shared" si="71"/>
        <v/>
      </c>
      <c r="AB303" s="61" t="str">
        <f t="shared" si="72"/>
        <v/>
      </c>
      <c r="AC303" s="61" t="str">
        <f t="shared" si="73"/>
        <v/>
      </c>
      <c r="AD303" s="61" t="str">
        <f t="shared" si="74"/>
        <v/>
      </c>
      <c r="AE303" s="61" t="str">
        <f t="shared" si="75"/>
        <v/>
      </c>
      <c r="AF303" s="61" t="str">
        <f t="shared" si="76"/>
        <v/>
      </c>
      <c r="AG303" s="61" t="str">
        <f t="shared" si="77"/>
        <v/>
      </c>
      <c r="AH303" s="61" t="str">
        <f t="shared" si="78"/>
        <v/>
      </c>
      <c r="AI303" s="61" t="str">
        <f t="shared" si="79"/>
        <v/>
      </c>
    </row>
    <row r="304" spans="1:35" x14ac:dyDescent="0.25">
      <c r="A304" s="44"/>
      <c r="B304" s="45"/>
      <c r="C304" s="45"/>
      <c r="D304" s="45"/>
      <c r="E304" s="45"/>
      <c r="F304" s="45"/>
      <c r="G304" s="45"/>
      <c r="H304" s="45"/>
      <c r="I304" s="45"/>
      <c r="J304" s="46"/>
      <c r="K304" s="46"/>
      <c r="L304" s="45"/>
      <c r="M304" s="45"/>
      <c r="N304" s="45"/>
      <c r="O304" s="45"/>
      <c r="P304" s="45"/>
      <c r="Q304" s="45"/>
      <c r="R304" s="19" t="str">
        <f t="shared" ca="1" si="64"/>
        <v/>
      </c>
      <c r="S304" s="19" t="str">
        <f ca="1">IF(A304="","",IF(OR(M304='02_マスタ'!$E$10,M304='02_マスタ'!$E$12),"",IF(L304="High","High",IF(AND(K304&lt;&gt;"",K304&lt;TODAY()),INDEX(_ゴミ箱_Backup!$B$117:$D$247,MATCH("ALERT_OVERDUE",_ゴミ箱_Backup!$A$117:$A$247,0),MATCH(言語切替!$B$3,_ゴミ箱_Backup!$B$1:$D$1,0)),IF(AND(K304&lt;&gt;"",K304-TODAY()&lt;=7),INDEX(_ゴミ箱_Backup!$B$117:$D$247,MATCH("ALERT_APPROACHING",_ゴミ箱_Backup!$A$117:$A$247,0),MATCH(言語切替!$B$3,_ゴミ箱_Backup!$B$1:$D$1,0)),IF(OR(M304='02_マスタ'!$E$7,M304='02_マスタ'!$E$8),INDEX(_ゴミ箱_Backup!$B$117:$D$247,MATCH("ALERT_CHECK",_ゴミ箱_Backup!$A$117:$A$247,0),MATCH(言語切替!$B$3,_ゴミ箱_Backup!$B$1:$D$1,0)),""))))))</f>
        <v/>
      </c>
      <c r="T304" s="54"/>
      <c r="U304" s="61" t="str">
        <f t="shared" si="65"/>
        <v/>
      </c>
      <c r="V304" s="61" t="str">
        <f t="shared" si="66"/>
        <v/>
      </c>
      <c r="W304" s="61" t="str">
        <f t="shared" si="67"/>
        <v/>
      </c>
      <c r="X304" s="61" t="str">
        <f t="shared" si="68"/>
        <v/>
      </c>
      <c r="Y304" s="61" t="str">
        <f t="shared" si="69"/>
        <v/>
      </c>
      <c r="Z304" s="61" t="str">
        <f t="shared" si="70"/>
        <v/>
      </c>
      <c r="AA304" s="61" t="str">
        <f t="shared" si="71"/>
        <v/>
      </c>
      <c r="AB304" s="61" t="str">
        <f t="shared" si="72"/>
        <v/>
      </c>
      <c r="AC304" s="61" t="str">
        <f t="shared" si="73"/>
        <v/>
      </c>
      <c r="AD304" s="61" t="str">
        <f t="shared" si="74"/>
        <v/>
      </c>
      <c r="AE304" s="61" t="str">
        <f t="shared" si="75"/>
        <v/>
      </c>
      <c r="AF304" s="61" t="str">
        <f t="shared" si="76"/>
        <v/>
      </c>
      <c r="AG304" s="61" t="str">
        <f t="shared" si="77"/>
        <v/>
      </c>
      <c r="AH304" s="61" t="str">
        <f t="shared" si="78"/>
        <v/>
      </c>
      <c r="AI304" s="61" t="str">
        <f t="shared" si="79"/>
        <v/>
      </c>
    </row>
  </sheetData>
  <autoFilter ref="A4:T304" xr:uid="{00000000-0001-0000-0400-000000000000}"/>
  <mergeCells count="2">
    <mergeCell ref="A2:N2"/>
    <mergeCell ref="A1:N1"/>
  </mergeCells>
  <phoneticPr fontId="1"/>
  <conditionalFormatting sqref="S5:S304">
    <cfRule type="expression" dxfId="1" priority="1" stopIfTrue="1">
      <formula>OR(S5="High",S5="期限超過",S5="逾期",S5="Quá hạn")</formula>
    </cfRule>
    <cfRule type="expression" dxfId="0" priority="2" stopIfTrue="1">
      <formula>OR(S5="期限接近",S5="临近期限",S5="Sắp đến hạn")</formula>
    </cfRule>
  </conditionalFormatting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400-000000000000}">
          <x14:formula1>
            <xm:f>'02_マスタ'!$I$5:$I$8</xm:f>
          </x14:formula1>
          <xm:sqref>B5:B304</xm:sqref>
        </x14:dataValidation>
        <x14:dataValidation type="list" allowBlank="1" xr:uid="{00000000-0002-0000-0400-000001000000}">
          <x14:formula1>
            <xm:f>'02_マスタ'!$A$5:$A$14</xm:f>
          </x14:formula1>
          <xm:sqref>C5:C304</xm:sqref>
        </x14:dataValidation>
        <x14:dataValidation type="list" allowBlank="1" xr:uid="{00000000-0002-0000-0400-000002000000}">
          <x14:formula1>
            <xm:f>'02_マスタ'!$C$5:$C$8</xm:f>
          </x14:formula1>
          <xm:sqref>D5:D304</xm:sqref>
        </x14:dataValidation>
        <x14:dataValidation type="list" allowBlank="1" xr:uid="{00000000-0002-0000-0400-000003000000}">
          <x14:formula1>
            <xm:f>'02_マスタ'!$G$5:$G$7</xm:f>
          </x14:formula1>
          <xm:sqref>L5:L304</xm:sqref>
        </x14:dataValidation>
        <x14:dataValidation type="list" allowBlank="1" xr:uid="{00000000-0002-0000-0400-000004000000}">
          <x14:formula1>
            <xm:f>'02_マスタ'!$E$5:$E$12</xm:f>
          </x14:formula1>
          <xm:sqref>M5:M304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D204"/>
  <sheetViews>
    <sheetView showGridLines="0" zoomScale="85" workbookViewId="0">
      <pane ySplit="4" topLeftCell="A5" activePane="bottomLeft" state="frozen"/>
      <selection sqref="A1:XFD1048576"/>
      <selection pane="bottomLeft" activeCell="A5" sqref="A5"/>
    </sheetView>
  </sheetViews>
  <sheetFormatPr defaultColWidth="8.75" defaultRowHeight="15.75" x14ac:dyDescent="0.25"/>
  <cols>
    <col min="1" max="2" width="12" style="1" customWidth="1"/>
    <col min="3" max="3" width="24" style="1" customWidth="1"/>
    <col min="4" max="4" width="28" style="1" customWidth="1"/>
    <col min="5" max="5" width="44" style="1" customWidth="1"/>
    <col min="6" max="6" width="38" style="1" customWidth="1"/>
    <col min="7" max="7" width="18" style="1" customWidth="1"/>
    <col min="8" max="8" width="20" style="1" customWidth="1"/>
    <col min="9" max="9" width="13" style="1" customWidth="1"/>
    <col min="10" max="10" width="34" style="1" customWidth="1"/>
    <col min="11" max="11" width="18" style="1" customWidth="1"/>
    <col min="12" max="12" width="12" style="1" customWidth="1"/>
    <col min="13" max="13" width="15" style="1" customWidth="1"/>
    <col min="14" max="14" width="30" style="1" customWidth="1"/>
    <col min="15" max="15" width="22" style="1" customWidth="1"/>
    <col min="16" max="30" width="28.625" style="1" customWidth="1"/>
    <col min="31" max="16384" width="8.75" style="1"/>
  </cols>
  <sheetData>
    <row r="1" spans="1:30" ht="27.95" customHeight="1" x14ac:dyDescent="0.25">
      <c r="A1" s="71" t="e">
        <f>INDEX(_ゴミ箱_Backup!$B$117:$D$247,MATCH("DEC_TITLE",_ゴミ箱_Backup!$A$117:$A$247,0),MATCH(言語切替!$B$3,_ゴミ箱_Backup!$B$1:$D$1,0))</f>
        <v>#N/A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30" ht="27.95" customHeight="1" x14ac:dyDescent="0.25">
      <c r="A2" s="72" t="e">
        <f>INDEX(_ゴミ箱_Backup!$B$117:$D$247,MATCH("DEC_DESC",_ゴミ箱_Backup!$A$117:$A$247,0),MATCH(言語切替!$B$3,_ゴミ箱_Backup!$B$1:$D$1,0))</f>
        <v>#N/A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30" x14ac:dyDescent="0.25">
      <c r="A3" s="1" t="e">
        <f>INDEX([1]_翻訳マスタ!$B$2:$D$300,MATCH("PARA_HOWTO",[1]_翻訳マスタ!$A$2:$A$300,0),MATCH(言語切替!$B$3,[1]_翻訳マスタ!$B$1:$D$1,0))</f>
        <v>#N/A</v>
      </c>
    </row>
    <row r="4" spans="1:30" x14ac:dyDescent="0.25">
      <c r="A4" s="6" t="e">
        <f>INDEX(_ゴミ箱_Backup!$B$117:$D$247,MATCH("DEC_COL_ID",_ゴミ箱_Backup!$A$117:$A$247,0),MATCH(言語切替!$B$3,_ゴミ箱_Backup!$B$1:$D$1,0))</f>
        <v>#N/A</v>
      </c>
      <c r="B4" s="7" t="e">
        <f>INDEX(_ゴミ箱_Backup!$B$117:$D$247,MATCH("DEC_COL_DATE",_ゴミ箱_Backup!$A$117:$A$247,0),MATCH(言語切替!$B$3,_ゴミ箱_Backup!$B$1:$D$1,0))</f>
        <v>#N/A</v>
      </c>
      <c r="C4" s="7" t="e">
        <f>INDEX(_ゴミ箱_Backup!$B$117:$D$247,MATCH("DEC_COL_FORUM",_ゴミ箱_Backup!$A$117:$A$247,0),MATCH(言語切替!$B$3,_ゴミ箱_Backup!$B$1:$D$1,0))</f>
        <v>#N/A</v>
      </c>
      <c r="D4" s="7" t="e">
        <f>INDEX(_ゴミ箱_Backup!$B$117:$D$247,MATCH("DEC_COL_TITLE",_ゴミ箱_Backup!$A$117:$A$247,0),MATCH(言語切替!$B$3,_ゴミ箱_Backup!$B$1:$D$1,0))</f>
        <v>#N/A</v>
      </c>
      <c r="E4" s="7" t="e">
        <f>INDEX(_ゴミ箱_Backup!$B$117:$D$247,MATCH("DEC_COL_CONTENT",_ゴミ箱_Backup!$A$117:$A$247,0),MATCH(言語切替!$B$3,_ゴミ箱_Backup!$B$1:$D$1,0))</f>
        <v>#N/A</v>
      </c>
      <c r="F4" s="7" t="e">
        <f>INDEX(_ゴミ箱_Backup!$B$117:$D$247,MATCH("DEC_COL_REASON",_ゴミ箱_Backup!$A$117:$A$247,0),MATCH(言語切替!$B$3,_ゴミ箱_Backup!$B$1:$D$1,0))</f>
        <v>#N/A</v>
      </c>
      <c r="G4" s="7" t="e">
        <f>INDEX(_ゴミ箱_Backup!$B$117:$D$247,MATCH("DEC_COL_DECIDER",_ゴミ箱_Backup!$A$117:$A$247,0),MATCH(言語切替!$B$3,_ゴミ箱_Backup!$B$1:$D$1,0))</f>
        <v>#N/A</v>
      </c>
      <c r="H4" s="7" t="e">
        <f>INDEX(_ゴミ箱_Backup!$B$117:$D$247,MATCH("DEC_COL_WG",_ゴミ箱_Backup!$A$117:$A$247,0),MATCH(言語切替!$B$3,_ゴミ箱_Backup!$B$1:$D$1,0))</f>
        <v>#N/A</v>
      </c>
      <c r="I4" s="7" t="e">
        <f>INDEX(_ゴミ箱_Backup!$B$117:$D$247,MATCH("DEC_COL_SITE",_ゴミ箱_Backup!$A$117:$A$247,0),MATCH(言語切替!$B$3,_ゴミ箱_Backup!$B$1:$D$1,0))</f>
        <v>#N/A</v>
      </c>
      <c r="J4" s="7" t="e">
        <f>INDEX(_ゴミ箱_Backup!$B$117:$D$247,MATCH("DEC_COL_SCOPE",_ゴミ箱_Backup!$A$117:$A$247,0),MATCH(言語切替!$B$3,_ゴミ箱_Backup!$B$1:$D$1,0))</f>
        <v>#N/A</v>
      </c>
      <c r="K4" s="7" t="e">
        <f>INDEX(_ゴミ箱_Backup!$B$117:$D$247,MATCH("DEC_COL_LEAD",_ゴミ箱_Backup!$A$117:$A$247,0),MATCH(言語切替!$B$3,_ゴミ箱_Backup!$B$1:$D$1,0))</f>
        <v>#N/A</v>
      </c>
      <c r="L4" s="7" t="e">
        <f>INDEX(_ゴミ箱_Backup!$B$117:$D$247,MATCH("DEC_COL_DUE",_ゴミ箱_Backup!$A$117:$A$247,0),MATCH(言語切替!$B$3,_ゴミ箱_Backup!$B$1:$D$1,0))</f>
        <v>#N/A</v>
      </c>
      <c r="M4" s="7" t="e">
        <f>INDEX(_ゴミ箱_Backup!$B$117:$D$247,MATCH("DEC_COL_ISSUE_ID",_ゴミ箱_Backup!$A$117:$A$247,0),MATCH(言語切替!$B$3,_ゴミ箱_Backup!$B$1:$D$1,0))</f>
        <v>#N/A</v>
      </c>
      <c r="N4" s="7" t="e">
        <f>INDEX(_ゴミ箱_Backup!$B$117:$D$247,MATCH("DEC_COL_LINK",_ゴミ箱_Backup!$A$117:$A$247,0),MATCH(言語切替!$B$3,_ゴミ箱_Backup!$B$1:$D$1,0))</f>
        <v>#N/A</v>
      </c>
      <c r="O4" s="8" t="e">
        <f>INDEX(_ゴミ箱_Backup!$B$117:$D$247,MATCH("DEC_COL_NOTE",_ゴミ箱_Backup!$A$117:$A$247,0),MATCH(言語切替!$B$3,_ゴミ箱_Backup!$B$1:$D$1,0))</f>
        <v>#N/A</v>
      </c>
      <c r="P4" s="60" t="e">
        <f>INDEX(_ゴミ箱_Backup!$B$2:$D$300,MATCH("DEC_COL_TITLE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Q4" s="60" t="e">
        <f>INDEX(_ゴミ箱_Backup!$B$2:$D$300,MATCH("DEC_COL_TITLE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R4" s="60" t="e">
        <f>INDEX(_ゴミ箱_Backup!$B$2:$D$300,MATCH("DEC_COL_TITLE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  <c r="S4" s="60" t="e">
        <f>INDEX(_ゴミ箱_Backup!$B$2:$D$300,MATCH("DEC_COL_CONTENT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T4" s="60" t="e">
        <f>INDEX(_ゴミ箱_Backup!$B$2:$D$300,MATCH("DEC_COL_CONTENT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U4" s="60" t="e">
        <f>INDEX(_ゴミ箱_Backup!$B$2:$D$300,MATCH("DEC_COL_CONTENT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  <c r="V4" s="60" t="e">
        <f>INDEX(_ゴミ箱_Backup!$B$2:$D$300,MATCH("DEC_COL_REASON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W4" s="60" t="e">
        <f>INDEX(_ゴミ箱_Backup!$B$2:$D$300,MATCH("DEC_COL_REASON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X4" s="60" t="e">
        <f>INDEX(_ゴミ箱_Backup!$B$2:$D$300,MATCH("DEC_COL_REASON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  <c r="Y4" s="60" t="e">
        <f>INDEX(_ゴミ箱_Backup!$B$2:$D$300,MATCH("DEC_COL_SCOPE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Z4" s="60" t="e">
        <f>INDEX(_ゴミ箱_Backup!$B$2:$D$300,MATCH("DEC_COL_SCOPE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AA4" s="60" t="e">
        <f>INDEX(_ゴミ箱_Backup!$B$2:$D$300,MATCH("DEC_COL_SCOPE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  <c r="AB4" s="60" t="e">
        <f>INDEX(_ゴミ箱_Backup!$B$2:$D$300,MATCH("DEC_COL_NOTE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AC4" s="60" t="e">
        <f>INDEX(_ゴミ箱_Backup!$B$2:$D$300,MATCH("DEC_COL_NOTE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AD4" s="60" t="e">
        <f>INDEX(_ゴミ箱_Backup!$B$2:$D$300,MATCH("DEC_COL_NOTE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</row>
    <row r="5" spans="1:30" x14ac:dyDescent="0.25">
      <c r="A5" s="21" t="s">
        <v>168</v>
      </c>
      <c r="B5" s="23">
        <v>46288</v>
      </c>
      <c r="C5" s="22" t="e">
        <f>INDEX(_ゴミ箱_Backup!$B$117:$D$247,MATCH("DEC_EX1_FORUM",_ゴミ箱_Backup!$A$117:$A$247,0),MATCH(言語切替!$B$3,_ゴミ箱_Backup!$B$1:$D$1,0))</f>
        <v>#N/A</v>
      </c>
      <c r="D5" s="22" t="e">
        <f>INDEX(_ゴミ箱_Backup!$B$117:$D$247,MATCH("DEC_EX1_TITLE",_ゴミ箱_Backup!$A$117:$A$247,0),MATCH(言語切替!$B$3,_ゴミ箱_Backup!$B$1:$D$1,0))</f>
        <v>#N/A</v>
      </c>
      <c r="E5" s="22" t="e">
        <f>INDEX(_ゴミ箱_Backup!$B$117:$D$247,MATCH("DEC_EX1_CONTENT",_ゴミ箱_Backup!$A$117:$A$247,0),MATCH(言語切替!$B$3,_ゴミ箱_Backup!$B$1:$D$1,0))</f>
        <v>#N/A</v>
      </c>
      <c r="F5" s="22" t="e">
        <f>INDEX(_ゴミ箱_Backup!$B$117:$D$247,MATCH("DEC_EX1_REASON",_ゴミ箱_Backup!$A$117:$A$247,0),MATCH(言語切替!$B$3,_ゴミ箱_Backup!$B$1:$D$1,0))</f>
        <v>#N/A</v>
      </c>
      <c r="G5" s="22" t="e">
        <f>INDEX(_ゴミ箱_Backup!$B$117:$D$247,MATCH("ROLE_SUBLEADER",_ゴミ箱_Backup!$A$117:$A$247,0),MATCH(言語切替!$B$3,_ゴミ箱_Backup!$B$1:$D$1,0))</f>
        <v>#N/A</v>
      </c>
      <c r="H5" s="22" t="e">
        <f>'02_マスタ'!$A$5</f>
        <v>#N/A</v>
      </c>
      <c r="I5" s="22" t="e">
        <f>'02_マスタ'!$C$5</f>
        <v>#N/A</v>
      </c>
      <c r="J5" s="22" t="e">
        <f>INDEX(_ゴミ箱_Backup!$B$117:$D$247,MATCH("COMMON_ALL_WG",_ゴミ箱_Backup!$A$117:$A$247,0),MATCH(言語切替!$B$3,_ゴミ箱_Backup!$B$1:$D$1,0))</f>
        <v>#N/A</v>
      </c>
      <c r="K5" s="22" t="e">
        <f>INDEX(_ゴミ箱_Backup!$B$117:$D$247,MATCH("ROLE_PMO",_ゴミ箱_Backup!$A$117:$A$247,0),MATCH(言語切替!$B$3,_ゴミ箱_Backup!$B$1:$D$1,0))</f>
        <v>#N/A</v>
      </c>
      <c r="L5" s="23">
        <v>46295</v>
      </c>
      <c r="M5" s="22" t="s">
        <v>131</v>
      </c>
      <c r="N5" s="22"/>
      <c r="O5" s="25" t="e">
        <f>INDEX(_ゴミ箱_Backup!$B$117:$D$247,MATCH("COMMON_EXAMPLE",_ゴミ箱_Backup!$A$117:$A$247,0),MATCH(言語切替!$B$3,_ゴミ箱_Backup!$B$1:$D$1,0))</f>
        <v>#N/A</v>
      </c>
      <c r="P5" s="61" t="e">
        <f t="shared" ref="P5:P36" si="0">IF(D5="","",IFERROR(_xlfn.TRANSLATE(D5,,"ja"),""))</f>
        <v>#N/A</v>
      </c>
      <c r="Q5" s="61" t="e">
        <f t="shared" ref="Q5:Q36" si="1">IF(D5="","",IFERROR(_xlfn.TRANSLATE(D5,,"zh-Hans"),""))</f>
        <v>#N/A</v>
      </c>
      <c r="R5" s="61" t="e">
        <f t="shared" ref="R5:R36" si="2">IF(D5="","",IFERROR(_xlfn.TRANSLATE(D5,,"vi"),""))</f>
        <v>#N/A</v>
      </c>
      <c r="S5" s="61" t="e">
        <f t="shared" ref="S5:S36" si="3">IF(E5="","",IFERROR(_xlfn.TRANSLATE(E5,,"ja"),""))</f>
        <v>#N/A</v>
      </c>
      <c r="T5" s="61" t="e">
        <f t="shared" ref="T5:T36" si="4">IF(E5="","",IFERROR(_xlfn.TRANSLATE(E5,,"zh-Hans"),""))</f>
        <v>#N/A</v>
      </c>
      <c r="U5" s="61" t="e">
        <f t="shared" ref="U5:U36" si="5">IF(E5="","",IFERROR(_xlfn.TRANSLATE(E5,,"vi"),""))</f>
        <v>#N/A</v>
      </c>
      <c r="V5" s="61" t="e">
        <f t="shared" ref="V5:V36" si="6">IF(F5="","",IFERROR(_xlfn.TRANSLATE(F5,,"ja"),""))</f>
        <v>#N/A</v>
      </c>
      <c r="W5" s="61" t="e">
        <f t="shared" ref="W5:W36" si="7">IF(F5="","",IFERROR(_xlfn.TRANSLATE(F5,,"zh-Hans"),""))</f>
        <v>#N/A</v>
      </c>
      <c r="X5" s="61" t="e">
        <f t="shared" ref="X5:X36" si="8">IF(F5="","",IFERROR(_xlfn.TRANSLATE(F5,,"vi"),""))</f>
        <v>#N/A</v>
      </c>
      <c r="Y5" s="61" t="e">
        <f t="shared" ref="Y5:Y36" si="9">IF(J5="","",IFERROR(_xlfn.TRANSLATE(J5,,"ja"),""))</f>
        <v>#N/A</v>
      </c>
      <c r="Z5" s="61" t="e">
        <f t="shared" ref="Z5:Z36" si="10">IF(J5="","",IFERROR(_xlfn.TRANSLATE(J5,,"zh-Hans"),""))</f>
        <v>#N/A</v>
      </c>
      <c r="AA5" s="61" t="e">
        <f t="shared" ref="AA5:AA36" si="11">IF(J5="","",IFERROR(_xlfn.TRANSLATE(J5,,"vi"),""))</f>
        <v>#N/A</v>
      </c>
      <c r="AB5" s="61" t="e">
        <f t="shared" ref="AB5:AB36" si="12">IF(O5="","",IFERROR(_xlfn.TRANSLATE(O5,,"ja"),""))</f>
        <v>#N/A</v>
      </c>
      <c r="AC5" s="61" t="e">
        <f t="shared" ref="AC5:AC36" si="13">IF(O5="","",IFERROR(_xlfn.TRANSLATE(O5,,"zh-Hans"),""))</f>
        <v>#N/A</v>
      </c>
      <c r="AD5" s="61" t="e">
        <f t="shared" ref="AD5:AD36" si="14">IF(O5="","",IFERROR(_xlfn.TRANSLATE(O5,,"vi"),""))</f>
        <v>#N/A</v>
      </c>
    </row>
    <row r="6" spans="1:30" x14ac:dyDescent="0.25">
      <c r="A6" s="36"/>
      <c r="B6" s="38"/>
      <c r="C6" s="37"/>
      <c r="D6" s="37"/>
      <c r="E6" s="37"/>
      <c r="F6" s="37"/>
      <c r="G6" s="37"/>
      <c r="H6" s="37"/>
      <c r="I6" s="37"/>
      <c r="J6" s="37"/>
      <c r="K6" s="37"/>
      <c r="L6" s="38"/>
      <c r="M6" s="37"/>
      <c r="N6" s="37"/>
      <c r="O6" s="39"/>
      <c r="P6" s="61" t="str">
        <f t="shared" si="0"/>
        <v/>
      </c>
      <c r="Q6" s="61" t="str">
        <f t="shared" si="1"/>
        <v/>
      </c>
      <c r="R6" s="61" t="str">
        <f t="shared" si="2"/>
        <v/>
      </c>
      <c r="S6" s="61" t="str">
        <f t="shared" si="3"/>
        <v/>
      </c>
      <c r="T6" s="61" t="str">
        <f t="shared" si="4"/>
        <v/>
      </c>
      <c r="U6" s="61" t="str">
        <f t="shared" si="5"/>
        <v/>
      </c>
      <c r="V6" s="61" t="str">
        <f t="shared" si="6"/>
        <v/>
      </c>
      <c r="W6" s="61" t="str">
        <f t="shared" si="7"/>
        <v/>
      </c>
      <c r="X6" s="61" t="str">
        <f t="shared" si="8"/>
        <v/>
      </c>
      <c r="Y6" s="61" t="str">
        <f t="shared" si="9"/>
        <v/>
      </c>
      <c r="Z6" s="61" t="str">
        <f t="shared" si="10"/>
        <v/>
      </c>
      <c r="AA6" s="61" t="str">
        <f t="shared" si="11"/>
        <v/>
      </c>
      <c r="AB6" s="61" t="str">
        <f t="shared" si="12"/>
        <v/>
      </c>
      <c r="AC6" s="61" t="str">
        <f t="shared" si="13"/>
        <v/>
      </c>
      <c r="AD6" s="61" t="str">
        <f t="shared" si="14"/>
        <v/>
      </c>
    </row>
    <row r="7" spans="1:30" x14ac:dyDescent="0.25">
      <c r="A7" s="40"/>
      <c r="B7" s="42"/>
      <c r="C7" s="41"/>
      <c r="D7" s="41"/>
      <c r="E7" s="41"/>
      <c r="F7" s="41"/>
      <c r="G7" s="41"/>
      <c r="H7" s="41"/>
      <c r="I7" s="41"/>
      <c r="J7" s="41"/>
      <c r="K7" s="41"/>
      <c r="L7" s="42"/>
      <c r="M7" s="41"/>
      <c r="N7" s="41"/>
      <c r="O7" s="43"/>
      <c r="P7" s="61" t="str">
        <f t="shared" si="0"/>
        <v/>
      </c>
      <c r="Q7" s="61" t="str">
        <f t="shared" si="1"/>
        <v/>
      </c>
      <c r="R7" s="61" t="str">
        <f t="shared" si="2"/>
        <v/>
      </c>
      <c r="S7" s="61" t="str">
        <f t="shared" si="3"/>
        <v/>
      </c>
      <c r="T7" s="61" t="str">
        <f t="shared" si="4"/>
        <v/>
      </c>
      <c r="U7" s="61" t="str">
        <f t="shared" si="5"/>
        <v/>
      </c>
      <c r="V7" s="61" t="str">
        <f t="shared" si="6"/>
        <v/>
      </c>
      <c r="W7" s="61" t="str">
        <f t="shared" si="7"/>
        <v/>
      </c>
      <c r="X7" s="61" t="str">
        <f t="shared" si="8"/>
        <v/>
      </c>
      <c r="Y7" s="61" t="str">
        <f t="shared" si="9"/>
        <v/>
      </c>
      <c r="Z7" s="61" t="str">
        <f t="shared" si="10"/>
        <v/>
      </c>
      <c r="AA7" s="61" t="str">
        <f t="shared" si="11"/>
        <v/>
      </c>
      <c r="AB7" s="61" t="str">
        <f t="shared" si="12"/>
        <v/>
      </c>
      <c r="AC7" s="61" t="str">
        <f t="shared" si="13"/>
        <v/>
      </c>
      <c r="AD7" s="61" t="str">
        <f t="shared" si="14"/>
        <v/>
      </c>
    </row>
    <row r="8" spans="1:30" x14ac:dyDescent="0.25">
      <c r="A8" s="36"/>
      <c r="B8" s="38"/>
      <c r="C8" s="37"/>
      <c r="D8" s="37"/>
      <c r="E8" s="37"/>
      <c r="F8" s="37"/>
      <c r="G8" s="37"/>
      <c r="H8" s="37"/>
      <c r="I8" s="37"/>
      <c r="J8" s="37"/>
      <c r="K8" s="37"/>
      <c r="L8" s="38"/>
      <c r="M8" s="37"/>
      <c r="N8" s="37"/>
      <c r="O8" s="39"/>
      <c r="P8" s="61" t="str">
        <f t="shared" si="0"/>
        <v/>
      </c>
      <c r="Q8" s="61" t="str">
        <f t="shared" si="1"/>
        <v/>
      </c>
      <c r="R8" s="61" t="str">
        <f t="shared" si="2"/>
        <v/>
      </c>
      <c r="S8" s="61" t="str">
        <f t="shared" si="3"/>
        <v/>
      </c>
      <c r="T8" s="61" t="str">
        <f t="shared" si="4"/>
        <v/>
      </c>
      <c r="U8" s="61" t="str">
        <f t="shared" si="5"/>
        <v/>
      </c>
      <c r="V8" s="61" t="str">
        <f t="shared" si="6"/>
        <v/>
      </c>
      <c r="W8" s="61" t="str">
        <f t="shared" si="7"/>
        <v/>
      </c>
      <c r="X8" s="61" t="str">
        <f t="shared" si="8"/>
        <v/>
      </c>
      <c r="Y8" s="61" t="str">
        <f t="shared" si="9"/>
        <v/>
      </c>
      <c r="Z8" s="61" t="str">
        <f t="shared" si="10"/>
        <v/>
      </c>
      <c r="AA8" s="61" t="str">
        <f t="shared" si="11"/>
        <v/>
      </c>
      <c r="AB8" s="61" t="str">
        <f t="shared" si="12"/>
        <v/>
      </c>
      <c r="AC8" s="61" t="str">
        <f t="shared" si="13"/>
        <v/>
      </c>
      <c r="AD8" s="61" t="str">
        <f t="shared" si="14"/>
        <v/>
      </c>
    </row>
    <row r="9" spans="1:30" x14ac:dyDescent="0.25">
      <c r="A9" s="40"/>
      <c r="B9" s="42"/>
      <c r="C9" s="41"/>
      <c r="D9" s="41"/>
      <c r="E9" s="41"/>
      <c r="F9" s="41"/>
      <c r="G9" s="41"/>
      <c r="H9" s="41"/>
      <c r="I9" s="41"/>
      <c r="J9" s="41"/>
      <c r="K9" s="41"/>
      <c r="L9" s="42"/>
      <c r="M9" s="41"/>
      <c r="N9" s="41"/>
      <c r="O9" s="43"/>
      <c r="P9" s="61" t="str">
        <f t="shared" si="0"/>
        <v/>
      </c>
      <c r="Q9" s="61" t="str">
        <f t="shared" si="1"/>
        <v/>
      </c>
      <c r="R9" s="61" t="str">
        <f t="shared" si="2"/>
        <v/>
      </c>
      <c r="S9" s="61" t="str">
        <f t="shared" si="3"/>
        <v/>
      </c>
      <c r="T9" s="61" t="str">
        <f t="shared" si="4"/>
        <v/>
      </c>
      <c r="U9" s="61" t="str">
        <f t="shared" si="5"/>
        <v/>
      </c>
      <c r="V9" s="61" t="str">
        <f t="shared" si="6"/>
        <v/>
      </c>
      <c r="W9" s="61" t="str">
        <f t="shared" si="7"/>
        <v/>
      </c>
      <c r="X9" s="61" t="str">
        <f t="shared" si="8"/>
        <v/>
      </c>
      <c r="Y9" s="61" t="str">
        <f t="shared" si="9"/>
        <v/>
      </c>
      <c r="Z9" s="61" t="str">
        <f t="shared" si="10"/>
        <v/>
      </c>
      <c r="AA9" s="61" t="str">
        <f t="shared" si="11"/>
        <v/>
      </c>
      <c r="AB9" s="61" t="str">
        <f t="shared" si="12"/>
        <v/>
      </c>
      <c r="AC9" s="61" t="str">
        <f t="shared" si="13"/>
        <v/>
      </c>
      <c r="AD9" s="61" t="str">
        <f t="shared" si="14"/>
        <v/>
      </c>
    </row>
    <row r="10" spans="1:30" x14ac:dyDescent="0.25">
      <c r="A10" s="36"/>
      <c r="B10" s="38"/>
      <c r="C10" s="37"/>
      <c r="D10" s="37"/>
      <c r="E10" s="37"/>
      <c r="F10" s="37"/>
      <c r="G10" s="37"/>
      <c r="H10" s="37"/>
      <c r="I10" s="37"/>
      <c r="J10" s="37"/>
      <c r="K10" s="37"/>
      <c r="L10" s="38"/>
      <c r="M10" s="37"/>
      <c r="N10" s="37"/>
      <c r="O10" s="39"/>
      <c r="P10" s="61" t="str">
        <f t="shared" si="0"/>
        <v/>
      </c>
      <c r="Q10" s="61" t="str">
        <f t="shared" si="1"/>
        <v/>
      </c>
      <c r="R10" s="61" t="str">
        <f t="shared" si="2"/>
        <v/>
      </c>
      <c r="S10" s="61" t="str">
        <f t="shared" si="3"/>
        <v/>
      </c>
      <c r="T10" s="61" t="str">
        <f t="shared" si="4"/>
        <v/>
      </c>
      <c r="U10" s="61" t="str">
        <f t="shared" si="5"/>
        <v/>
      </c>
      <c r="V10" s="61" t="str">
        <f t="shared" si="6"/>
        <v/>
      </c>
      <c r="W10" s="61" t="str">
        <f t="shared" si="7"/>
        <v/>
      </c>
      <c r="X10" s="61" t="str">
        <f t="shared" si="8"/>
        <v/>
      </c>
      <c r="Y10" s="61" t="str">
        <f t="shared" si="9"/>
        <v/>
      </c>
      <c r="Z10" s="61" t="str">
        <f t="shared" si="10"/>
        <v/>
      </c>
      <c r="AA10" s="61" t="str">
        <f t="shared" si="11"/>
        <v/>
      </c>
      <c r="AB10" s="61" t="str">
        <f t="shared" si="12"/>
        <v/>
      </c>
      <c r="AC10" s="61" t="str">
        <f t="shared" si="13"/>
        <v/>
      </c>
      <c r="AD10" s="61" t="str">
        <f t="shared" si="14"/>
        <v/>
      </c>
    </row>
    <row r="11" spans="1:30" x14ac:dyDescent="0.25">
      <c r="A11" s="40"/>
      <c r="B11" s="42"/>
      <c r="C11" s="41"/>
      <c r="D11" s="41"/>
      <c r="E11" s="41"/>
      <c r="F11" s="41"/>
      <c r="G11" s="41"/>
      <c r="H11" s="41"/>
      <c r="I11" s="41"/>
      <c r="J11" s="41"/>
      <c r="K11" s="41"/>
      <c r="L11" s="42"/>
      <c r="M11" s="41"/>
      <c r="N11" s="41"/>
      <c r="O11" s="43"/>
      <c r="P11" s="61" t="str">
        <f t="shared" si="0"/>
        <v/>
      </c>
      <c r="Q11" s="61" t="str">
        <f t="shared" si="1"/>
        <v/>
      </c>
      <c r="R11" s="61" t="str">
        <f t="shared" si="2"/>
        <v/>
      </c>
      <c r="S11" s="61" t="str">
        <f t="shared" si="3"/>
        <v/>
      </c>
      <c r="T11" s="61" t="str">
        <f t="shared" si="4"/>
        <v/>
      </c>
      <c r="U11" s="61" t="str">
        <f t="shared" si="5"/>
        <v/>
      </c>
      <c r="V11" s="61" t="str">
        <f t="shared" si="6"/>
        <v/>
      </c>
      <c r="W11" s="61" t="str">
        <f t="shared" si="7"/>
        <v/>
      </c>
      <c r="X11" s="61" t="str">
        <f t="shared" si="8"/>
        <v/>
      </c>
      <c r="Y11" s="61" t="str">
        <f t="shared" si="9"/>
        <v/>
      </c>
      <c r="Z11" s="61" t="str">
        <f t="shared" si="10"/>
        <v/>
      </c>
      <c r="AA11" s="61" t="str">
        <f t="shared" si="11"/>
        <v/>
      </c>
      <c r="AB11" s="61" t="str">
        <f t="shared" si="12"/>
        <v/>
      </c>
      <c r="AC11" s="61" t="str">
        <f t="shared" si="13"/>
        <v/>
      </c>
      <c r="AD11" s="61" t="str">
        <f t="shared" si="14"/>
        <v/>
      </c>
    </row>
    <row r="12" spans="1:30" x14ac:dyDescent="0.25">
      <c r="A12" s="36"/>
      <c r="B12" s="38"/>
      <c r="C12" s="37"/>
      <c r="D12" s="37"/>
      <c r="E12" s="37"/>
      <c r="F12" s="37"/>
      <c r="G12" s="37"/>
      <c r="H12" s="37"/>
      <c r="I12" s="37"/>
      <c r="J12" s="37"/>
      <c r="K12" s="37"/>
      <c r="L12" s="38"/>
      <c r="M12" s="37"/>
      <c r="N12" s="37"/>
      <c r="O12" s="39"/>
      <c r="P12" s="61" t="str">
        <f t="shared" si="0"/>
        <v/>
      </c>
      <c r="Q12" s="61" t="str">
        <f t="shared" si="1"/>
        <v/>
      </c>
      <c r="R12" s="61" t="str">
        <f t="shared" si="2"/>
        <v/>
      </c>
      <c r="S12" s="61" t="str">
        <f t="shared" si="3"/>
        <v/>
      </c>
      <c r="T12" s="61" t="str">
        <f t="shared" si="4"/>
        <v/>
      </c>
      <c r="U12" s="61" t="str">
        <f t="shared" si="5"/>
        <v/>
      </c>
      <c r="V12" s="61" t="str">
        <f t="shared" si="6"/>
        <v/>
      </c>
      <c r="W12" s="61" t="str">
        <f t="shared" si="7"/>
        <v/>
      </c>
      <c r="X12" s="61" t="str">
        <f t="shared" si="8"/>
        <v/>
      </c>
      <c r="Y12" s="61" t="str">
        <f t="shared" si="9"/>
        <v/>
      </c>
      <c r="Z12" s="61" t="str">
        <f t="shared" si="10"/>
        <v/>
      </c>
      <c r="AA12" s="61" t="str">
        <f t="shared" si="11"/>
        <v/>
      </c>
      <c r="AB12" s="61" t="str">
        <f t="shared" si="12"/>
        <v/>
      </c>
      <c r="AC12" s="61" t="str">
        <f t="shared" si="13"/>
        <v/>
      </c>
      <c r="AD12" s="61" t="str">
        <f t="shared" si="14"/>
        <v/>
      </c>
    </row>
    <row r="13" spans="1:30" x14ac:dyDescent="0.25">
      <c r="A13" s="40"/>
      <c r="B13" s="42"/>
      <c r="C13" s="41"/>
      <c r="D13" s="41"/>
      <c r="E13" s="41"/>
      <c r="F13" s="41"/>
      <c r="G13" s="41"/>
      <c r="H13" s="41"/>
      <c r="I13" s="41"/>
      <c r="J13" s="41"/>
      <c r="K13" s="41"/>
      <c r="L13" s="42"/>
      <c r="M13" s="41"/>
      <c r="N13" s="41"/>
      <c r="O13" s="43"/>
      <c r="P13" s="61" t="str">
        <f t="shared" si="0"/>
        <v/>
      </c>
      <c r="Q13" s="61" t="str">
        <f t="shared" si="1"/>
        <v/>
      </c>
      <c r="R13" s="61" t="str">
        <f t="shared" si="2"/>
        <v/>
      </c>
      <c r="S13" s="61" t="str">
        <f t="shared" si="3"/>
        <v/>
      </c>
      <c r="T13" s="61" t="str">
        <f t="shared" si="4"/>
        <v/>
      </c>
      <c r="U13" s="61" t="str">
        <f t="shared" si="5"/>
        <v/>
      </c>
      <c r="V13" s="61" t="str">
        <f t="shared" si="6"/>
        <v/>
      </c>
      <c r="W13" s="61" t="str">
        <f t="shared" si="7"/>
        <v/>
      </c>
      <c r="X13" s="61" t="str">
        <f t="shared" si="8"/>
        <v/>
      </c>
      <c r="Y13" s="61" t="str">
        <f t="shared" si="9"/>
        <v/>
      </c>
      <c r="Z13" s="61" t="str">
        <f t="shared" si="10"/>
        <v/>
      </c>
      <c r="AA13" s="61" t="str">
        <f t="shared" si="11"/>
        <v/>
      </c>
      <c r="AB13" s="61" t="str">
        <f t="shared" si="12"/>
        <v/>
      </c>
      <c r="AC13" s="61" t="str">
        <f t="shared" si="13"/>
        <v/>
      </c>
      <c r="AD13" s="61" t="str">
        <f t="shared" si="14"/>
        <v/>
      </c>
    </row>
    <row r="14" spans="1:30" x14ac:dyDescent="0.25">
      <c r="A14" s="36"/>
      <c r="B14" s="38"/>
      <c r="C14" s="37"/>
      <c r="D14" s="37"/>
      <c r="E14" s="37"/>
      <c r="F14" s="37"/>
      <c r="G14" s="37"/>
      <c r="H14" s="37"/>
      <c r="I14" s="37"/>
      <c r="J14" s="37"/>
      <c r="K14" s="37"/>
      <c r="L14" s="38"/>
      <c r="M14" s="37"/>
      <c r="N14" s="37"/>
      <c r="O14" s="39"/>
      <c r="P14" s="61" t="str">
        <f t="shared" si="0"/>
        <v/>
      </c>
      <c r="Q14" s="61" t="str">
        <f t="shared" si="1"/>
        <v/>
      </c>
      <c r="R14" s="61" t="str">
        <f t="shared" si="2"/>
        <v/>
      </c>
      <c r="S14" s="61" t="str">
        <f t="shared" si="3"/>
        <v/>
      </c>
      <c r="T14" s="61" t="str">
        <f t="shared" si="4"/>
        <v/>
      </c>
      <c r="U14" s="61" t="str">
        <f t="shared" si="5"/>
        <v/>
      </c>
      <c r="V14" s="61" t="str">
        <f t="shared" si="6"/>
        <v/>
      </c>
      <c r="W14" s="61" t="str">
        <f t="shared" si="7"/>
        <v/>
      </c>
      <c r="X14" s="61" t="str">
        <f t="shared" si="8"/>
        <v/>
      </c>
      <c r="Y14" s="61" t="str">
        <f t="shared" si="9"/>
        <v/>
      </c>
      <c r="Z14" s="61" t="str">
        <f t="shared" si="10"/>
        <v/>
      </c>
      <c r="AA14" s="61" t="str">
        <f t="shared" si="11"/>
        <v/>
      </c>
      <c r="AB14" s="61" t="str">
        <f t="shared" si="12"/>
        <v/>
      </c>
      <c r="AC14" s="61" t="str">
        <f t="shared" si="13"/>
        <v/>
      </c>
      <c r="AD14" s="61" t="str">
        <f t="shared" si="14"/>
        <v/>
      </c>
    </row>
    <row r="15" spans="1:30" x14ac:dyDescent="0.25">
      <c r="A15" s="40"/>
      <c r="B15" s="42"/>
      <c r="C15" s="41"/>
      <c r="D15" s="41"/>
      <c r="E15" s="41"/>
      <c r="F15" s="41"/>
      <c r="G15" s="41"/>
      <c r="H15" s="41"/>
      <c r="I15" s="41"/>
      <c r="J15" s="41"/>
      <c r="K15" s="41"/>
      <c r="L15" s="42"/>
      <c r="M15" s="41"/>
      <c r="N15" s="41"/>
      <c r="O15" s="43"/>
      <c r="P15" s="61" t="str">
        <f t="shared" si="0"/>
        <v/>
      </c>
      <c r="Q15" s="61" t="str">
        <f t="shared" si="1"/>
        <v/>
      </c>
      <c r="R15" s="61" t="str">
        <f t="shared" si="2"/>
        <v/>
      </c>
      <c r="S15" s="61" t="str">
        <f t="shared" si="3"/>
        <v/>
      </c>
      <c r="T15" s="61" t="str">
        <f t="shared" si="4"/>
        <v/>
      </c>
      <c r="U15" s="61" t="str">
        <f t="shared" si="5"/>
        <v/>
      </c>
      <c r="V15" s="61" t="str">
        <f t="shared" si="6"/>
        <v/>
      </c>
      <c r="W15" s="61" t="str">
        <f t="shared" si="7"/>
        <v/>
      </c>
      <c r="X15" s="61" t="str">
        <f t="shared" si="8"/>
        <v/>
      </c>
      <c r="Y15" s="61" t="str">
        <f t="shared" si="9"/>
        <v/>
      </c>
      <c r="Z15" s="61" t="str">
        <f t="shared" si="10"/>
        <v/>
      </c>
      <c r="AA15" s="61" t="str">
        <f t="shared" si="11"/>
        <v/>
      </c>
      <c r="AB15" s="61" t="str">
        <f t="shared" si="12"/>
        <v/>
      </c>
      <c r="AC15" s="61" t="str">
        <f t="shared" si="13"/>
        <v/>
      </c>
      <c r="AD15" s="61" t="str">
        <f t="shared" si="14"/>
        <v/>
      </c>
    </row>
    <row r="16" spans="1:30" x14ac:dyDescent="0.25">
      <c r="A16" s="36"/>
      <c r="B16" s="38"/>
      <c r="C16" s="37"/>
      <c r="D16" s="37"/>
      <c r="E16" s="37"/>
      <c r="F16" s="37"/>
      <c r="G16" s="37"/>
      <c r="H16" s="37"/>
      <c r="I16" s="37"/>
      <c r="J16" s="37"/>
      <c r="K16" s="37"/>
      <c r="L16" s="38"/>
      <c r="M16" s="37"/>
      <c r="N16" s="37"/>
      <c r="O16" s="39"/>
      <c r="P16" s="61" t="str">
        <f t="shared" si="0"/>
        <v/>
      </c>
      <c r="Q16" s="61" t="str">
        <f t="shared" si="1"/>
        <v/>
      </c>
      <c r="R16" s="61" t="str">
        <f t="shared" si="2"/>
        <v/>
      </c>
      <c r="S16" s="61" t="str">
        <f t="shared" si="3"/>
        <v/>
      </c>
      <c r="T16" s="61" t="str">
        <f t="shared" si="4"/>
        <v/>
      </c>
      <c r="U16" s="61" t="str">
        <f t="shared" si="5"/>
        <v/>
      </c>
      <c r="V16" s="61" t="str">
        <f t="shared" si="6"/>
        <v/>
      </c>
      <c r="W16" s="61" t="str">
        <f t="shared" si="7"/>
        <v/>
      </c>
      <c r="X16" s="61" t="str">
        <f t="shared" si="8"/>
        <v/>
      </c>
      <c r="Y16" s="61" t="str">
        <f t="shared" si="9"/>
        <v/>
      </c>
      <c r="Z16" s="61" t="str">
        <f t="shared" si="10"/>
        <v/>
      </c>
      <c r="AA16" s="61" t="str">
        <f t="shared" si="11"/>
        <v/>
      </c>
      <c r="AB16" s="61" t="str">
        <f t="shared" si="12"/>
        <v/>
      </c>
      <c r="AC16" s="61" t="str">
        <f t="shared" si="13"/>
        <v/>
      </c>
      <c r="AD16" s="61" t="str">
        <f t="shared" si="14"/>
        <v/>
      </c>
    </row>
    <row r="17" spans="1:30" x14ac:dyDescent="0.25">
      <c r="A17" s="40"/>
      <c r="B17" s="42"/>
      <c r="C17" s="41"/>
      <c r="D17" s="41"/>
      <c r="E17" s="41"/>
      <c r="F17" s="41"/>
      <c r="G17" s="41"/>
      <c r="H17" s="41"/>
      <c r="I17" s="41"/>
      <c r="J17" s="41"/>
      <c r="K17" s="41"/>
      <c r="L17" s="42"/>
      <c r="M17" s="41"/>
      <c r="N17" s="41"/>
      <c r="O17" s="43"/>
      <c r="P17" s="61" t="str">
        <f t="shared" si="0"/>
        <v/>
      </c>
      <c r="Q17" s="61" t="str">
        <f t="shared" si="1"/>
        <v/>
      </c>
      <c r="R17" s="61" t="str">
        <f t="shared" si="2"/>
        <v/>
      </c>
      <c r="S17" s="61" t="str">
        <f t="shared" si="3"/>
        <v/>
      </c>
      <c r="T17" s="61" t="str">
        <f t="shared" si="4"/>
        <v/>
      </c>
      <c r="U17" s="61" t="str">
        <f t="shared" si="5"/>
        <v/>
      </c>
      <c r="V17" s="61" t="str">
        <f t="shared" si="6"/>
        <v/>
      </c>
      <c r="W17" s="61" t="str">
        <f t="shared" si="7"/>
        <v/>
      </c>
      <c r="X17" s="61" t="str">
        <f t="shared" si="8"/>
        <v/>
      </c>
      <c r="Y17" s="61" t="str">
        <f t="shared" si="9"/>
        <v/>
      </c>
      <c r="Z17" s="61" t="str">
        <f t="shared" si="10"/>
        <v/>
      </c>
      <c r="AA17" s="61" t="str">
        <f t="shared" si="11"/>
        <v/>
      </c>
      <c r="AB17" s="61" t="str">
        <f t="shared" si="12"/>
        <v/>
      </c>
      <c r="AC17" s="61" t="str">
        <f t="shared" si="13"/>
        <v/>
      </c>
      <c r="AD17" s="61" t="str">
        <f t="shared" si="14"/>
        <v/>
      </c>
    </row>
    <row r="18" spans="1:30" x14ac:dyDescent="0.25">
      <c r="A18" s="36"/>
      <c r="B18" s="38"/>
      <c r="C18" s="37"/>
      <c r="D18" s="37"/>
      <c r="E18" s="37"/>
      <c r="F18" s="37"/>
      <c r="G18" s="37"/>
      <c r="H18" s="37"/>
      <c r="I18" s="37"/>
      <c r="J18" s="37"/>
      <c r="K18" s="37"/>
      <c r="L18" s="38"/>
      <c r="M18" s="37"/>
      <c r="N18" s="37"/>
      <c r="O18" s="39"/>
      <c r="P18" s="61" t="str">
        <f t="shared" si="0"/>
        <v/>
      </c>
      <c r="Q18" s="61" t="str">
        <f t="shared" si="1"/>
        <v/>
      </c>
      <c r="R18" s="61" t="str">
        <f t="shared" si="2"/>
        <v/>
      </c>
      <c r="S18" s="61" t="str">
        <f t="shared" si="3"/>
        <v/>
      </c>
      <c r="T18" s="61" t="str">
        <f t="shared" si="4"/>
        <v/>
      </c>
      <c r="U18" s="61" t="str">
        <f t="shared" si="5"/>
        <v/>
      </c>
      <c r="V18" s="61" t="str">
        <f t="shared" si="6"/>
        <v/>
      </c>
      <c r="W18" s="61" t="str">
        <f t="shared" si="7"/>
        <v/>
      </c>
      <c r="X18" s="61" t="str">
        <f t="shared" si="8"/>
        <v/>
      </c>
      <c r="Y18" s="61" t="str">
        <f t="shared" si="9"/>
        <v/>
      </c>
      <c r="Z18" s="61" t="str">
        <f t="shared" si="10"/>
        <v/>
      </c>
      <c r="AA18" s="61" t="str">
        <f t="shared" si="11"/>
        <v/>
      </c>
      <c r="AB18" s="61" t="str">
        <f t="shared" si="12"/>
        <v/>
      </c>
      <c r="AC18" s="61" t="str">
        <f t="shared" si="13"/>
        <v/>
      </c>
      <c r="AD18" s="61" t="str">
        <f t="shared" si="14"/>
        <v/>
      </c>
    </row>
    <row r="19" spans="1:30" x14ac:dyDescent="0.25">
      <c r="A19" s="40"/>
      <c r="B19" s="42"/>
      <c r="C19" s="41"/>
      <c r="D19" s="41"/>
      <c r="E19" s="41"/>
      <c r="F19" s="41"/>
      <c r="G19" s="41"/>
      <c r="H19" s="41"/>
      <c r="I19" s="41"/>
      <c r="J19" s="41"/>
      <c r="K19" s="41"/>
      <c r="L19" s="42"/>
      <c r="M19" s="41"/>
      <c r="N19" s="41"/>
      <c r="O19" s="43"/>
      <c r="P19" s="61" t="str">
        <f t="shared" si="0"/>
        <v/>
      </c>
      <c r="Q19" s="61" t="str">
        <f t="shared" si="1"/>
        <v/>
      </c>
      <c r="R19" s="61" t="str">
        <f t="shared" si="2"/>
        <v/>
      </c>
      <c r="S19" s="61" t="str">
        <f t="shared" si="3"/>
        <v/>
      </c>
      <c r="T19" s="61" t="str">
        <f t="shared" si="4"/>
        <v/>
      </c>
      <c r="U19" s="61" t="str">
        <f t="shared" si="5"/>
        <v/>
      </c>
      <c r="V19" s="61" t="str">
        <f t="shared" si="6"/>
        <v/>
      </c>
      <c r="W19" s="61" t="str">
        <f t="shared" si="7"/>
        <v/>
      </c>
      <c r="X19" s="61" t="str">
        <f t="shared" si="8"/>
        <v/>
      </c>
      <c r="Y19" s="61" t="str">
        <f t="shared" si="9"/>
        <v/>
      </c>
      <c r="Z19" s="61" t="str">
        <f t="shared" si="10"/>
        <v/>
      </c>
      <c r="AA19" s="61" t="str">
        <f t="shared" si="11"/>
        <v/>
      </c>
      <c r="AB19" s="61" t="str">
        <f t="shared" si="12"/>
        <v/>
      </c>
      <c r="AC19" s="61" t="str">
        <f t="shared" si="13"/>
        <v/>
      </c>
      <c r="AD19" s="61" t="str">
        <f t="shared" si="14"/>
        <v/>
      </c>
    </row>
    <row r="20" spans="1:30" x14ac:dyDescent="0.25">
      <c r="A20" s="36"/>
      <c r="B20" s="38"/>
      <c r="C20" s="37"/>
      <c r="D20" s="37"/>
      <c r="E20" s="37"/>
      <c r="F20" s="37"/>
      <c r="G20" s="37"/>
      <c r="H20" s="37"/>
      <c r="I20" s="37"/>
      <c r="J20" s="37"/>
      <c r="K20" s="37"/>
      <c r="L20" s="38"/>
      <c r="M20" s="37"/>
      <c r="N20" s="37"/>
      <c r="O20" s="39"/>
      <c r="P20" s="61" t="str">
        <f t="shared" si="0"/>
        <v/>
      </c>
      <c r="Q20" s="61" t="str">
        <f t="shared" si="1"/>
        <v/>
      </c>
      <c r="R20" s="61" t="str">
        <f t="shared" si="2"/>
        <v/>
      </c>
      <c r="S20" s="61" t="str">
        <f t="shared" si="3"/>
        <v/>
      </c>
      <c r="T20" s="61" t="str">
        <f t="shared" si="4"/>
        <v/>
      </c>
      <c r="U20" s="61" t="str">
        <f t="shared" si="5"/>
        <v/>
      </c>
      <c r="V20" s="61" t="str">
        <f t="shared" si="6"/>
        <v/>
      </c>
      <c r="W20" s="61" t="str">
        <f t="shared" si="7"/>
        <v/>
      </c>
      <c r="X20" s="61" t="str">
        <f t="shared" si="8"/>
        <v/>
      </c>
      <c r="Y20" s="61" t="str">
        <f t="shared" si="9"/>
        <v/>
      </c>
      <c r="Z20" s="61" t="str">
        <f t="shared" si="10"/>
        <v/>
      </c>
      <c r="AA20" s="61" t="str">
        <f t="shared" si="11"/>
        <v/>
      </c>
      <c r="AB20" s="61" t="str">
        <f t="shared" si="12"/>
        <v/>
      </c>
      <c r="AC20" s="61" t="str">
        <f t="shared" si="13"/>
        <v/>
      </c>
      <c r="AD20" s="61" t="str">
        <f t="shared" si="14"/>
        <v/>
      </c>
    </row>
    <row r="21" spans="1:30" x14ac:dyDescent="0.25">
      <c r="A21" s="40"/>
      <c r="B21" s="42"/>
      <c r="C21" s="41"/>
      <c r="D21" s="41"/>
      <c r="E21" s="41"/>
      <c r="F21" s="41"/>
      <c r="G21" s="41"/>
      <c r="H21" s="41"/>
      <c r="I21" s="41"/>
      <c r="J21" s="41"/>
      <c r="K21" s="41"/>
      <c r="L21" s="42"/>
      <c r="M21" s="41"/>
      <c r="N21" s="41"/>
      <c r="O21" s="43"/>
      <c r="P21" s="61" t="str">
        <f t="shared" si="0"/>
        <v/>
      </c>
      <c r="Q21" s="61" t="str">
        <f t="shared" si="1"/>
        <v/>
      </c>
      <c r="R21" s="61" t="str">
        <f t="shared" si="2"/>
        <v/>
      </c>
      <c r="S21" s="61" t="str">
        <f t="shared" si="3"/>
        <v/>
      </c>
      <c r="T21" s="61" t="str">
        <f t="shared" si="4"/>
        <v/>
      </c>
      <c r="U21" s="61" t="str">
        <f t="shared" si="5"/>
        <v/>
      </c>
      <c r="V21" s="61" t="str">
        <f t="shared" si="6"/>
        <v/>
      </c>
      <c r="W21" s="61" t="str">
        <f t="shared" si="7"/>
        <v/>
      </c>
      <c r="X21" s="61" t="str">
        <f t="shared" si="8"/>
        <v/>
      </c>
      <c r="Y21" s="61" t="str">
        <f t="shared" si="9"/>
        <v/>
      </c>
      <c r="Z21" s="61" t="str">
        <f t="shared" si="10"/>
        <v/>
      </c>
      <c r="AA21" s="61" t="str">
        <f t="shared" si="11"/>
        <v/>
      </c>
      <c r="AB21" s="61" t="str">
        <f t="shared" si="12"/>
        <v/>
      </c>
      <c r="AC21" s="61" t="str">
        <f t="shared" si="13"/>
        <v/>
      </c>
      <c r="AD21" s="61" t="str">
        <f t="shared" si="14"/>
        <v/>
      </c>
    </row>
    <row r="22" spans="1:30" x14ac:dyDescent="0.25">
      <c r="A22" s="36"/>
      <c r="B22" s="38"/>
      <c r="C22" s="37"/>
      <c r="D22" s="37"/>
      <c r="E22" s="37"/>
      <c r="F22" s="37"/>
      <c r="G22" s="37"/>
      <c r="H22" s="37"/>
      <c r="I22" s="37"/>
      <c r="J22" s="37"/>
      <c r="K22" s="37"/>
      <c r="L22" s="38"/>
      <c r="M22" s="37"/>
      <c r="N22" s="37"/>
      <c r="O22" s="39"/>
      <c r="P22" s="61" t="str">
        <f t="shared" si="0"/>
        <v/>
      </c>
      <c r="Q22" s="61" t="str">
        <f t="shared" si="1"/>
        <v/>
      </c>
      <c r="R22" s="61" t="str">
        <f t="shared" si="2"/>
        <v/>
      </c>
      <c r="S22" s="61" t="str">
        <f t="shared" si="3"/>
        <v/>
      </c>
      <c r="T22" s="61" t="str">
        <f t="shared" si="4"/>
        <v/>
      </c>
      <c r="U22" s="61" t="str">
        <f t="shared" si="5"/>
        <v/>
      </c>
      <c r="V22" s="61" t="str">
        <f t="shared" si="6"/>
        <v/>
      </c>
      <c r="W22" s="61" t="str">
        <f t="shared" si="7"/>
        <v/>
      </c>
      <c r="X22" s="61" t="str">
        <f t="shared" si="8"/>
        <v/>
      </c>
      <c r="Y22" s="61" t="str">
        <f t="shared" si="9"/>
        <v/>
      </c>
      <c r="Z22" s="61" t="str">
        <f t="shared" si="10"/>
        <v/>
      </c>
      <c r="AA22" s="61" t="str">
        <f t="shared" si="11"/>
        <v/>
      </c>
      <c r="AB22" s="61" t="str">
        <f t="shared" si="12"/>
        <v/>
      </c>
      <c r="AC22" s="61" t="str">
        <f t="shared" si="13"/>
        <v/>
      </c>
      <c r="AD22" s="61" t="str">
        <f t="shared" si="14"/>
        <v/>
      </c>
    </row>
    <row r="23" spans="1:30" x14ac:dyDescent="0.25">
      <c r="A23" s="40"/>
      <c r="B23" s="42"/>
      <c r="C23" s="41"/>
      <c r="D23" s="41"/>
      <c r="E23" s="41"/>
      <c r="F23" s="41"/>
      <c r="G23" s="41"/>
      <c r="H23" s="41"/>
      <c r="I23" s="41"/>
      <c r="J23" s="41"/>
      <c r="K23" s="41"/>
      <c r="L23" s="42"/>
      <c r="M23" s="41"/>
      <c r="N23" s="41"/>
      <c r="O23" s="43"/>
      <c r="P23" s="61" t="str">
        <f t="shared" si="0"/>
        <v/>
      </c>
      <c r="Q23" s="61" t="str">
        <f t="shared" si="1"/>
        <v/>
      </c>
      <c r="R23" s="61" t="str">
        <f t="shared" si="2"/>
        <v/>
      </c>
      <c r="S23" s="61" t="str">
        <f t="shared" si="3"/>
        <v/>
      </c>
      <c r="T23" s="61" t="str">
        <f t="shared" si="4"/>
        <v/>
      </c>
      <c r="U23" s="61" t="str">
        <f t="shared" si="5"/>
        <v/>
      </c>
      <c r="V23" s="61" t="str">
        <f t="shared" si="6"/>
        <v/>
      </c>
      <c r="W23" s="61" t="str">
        <f t="shared" si="7"/>
        <v/>
      </c>
      <c r="X23" s="61" t="str">
        <f t="shared" si="8"/>
        <v/>
      </c>
      <c r="Y23" s="61" t="str">
        <f t="shared" si="9"/>
        <v/>
      </c>
      <c r="Z23" s="61" t="str">
        <f t="shared" si="10"/>
        <v/>
      </c>
      <c r="AA23" s="61" t="str">
        <f t="shared" si="11"/>
        <v/>
      </c>
      <c r="AB23" s="61" t="str">
        <f t="shared" si="12"/>
        <v/>
      </c>
      <c r="AC23" s="61" t="str">
        <f t="shared" si="13"/>
        <v/>
      </c>
      <c r="AD23" s="61" t="str">
        <f t="shared" si="14"/>
        <v/>
      </c>
    </row>
    <row r="24" spans="1:30" x14ac:dyDescent="0.25">
      <c r="A24" s="36"/>
      <c r="B24" s="38"/>
      <c r="C24" s="37"/>
      <c r="D24" s="37"/>
      <c r="E24" s="37"/>
      <c r="F24" s="37"/>
      <c r="G24" s="37"/>
      <c r="H24" s="37"/>
      <c r="I24" s="37"/>
      <c r="J24" s="37"/>
      <c r="K24" s="37"/>
      <c r="L24" s="38"/>
      <c r="M24" s="37"/>
      <c r="N24" s="37"/>
      <c r="O24" s="39"/>
      <c r="P24" s="61" t="str">
        <f t="shared" si="0"/>
        <v/>
      </c>
      <c r="Q24" s="61" t="str">
        <f t="shared" si="1"/>
        <v/>
      </c>
      <c r="R24" s="61" t="str">
        <f t="shared" si="2"/>
        <v/>
      </c>
      <c r="S24" s="61" t="str">
        <f t="shared" si="3"/>
        <v/>
      </c>
      <c r="T24" s="61" t="str">
        <f t="shared" si="4"/>
        <v/>
      </c>
      <c r="U24" s="61" t="str">
        <f t="shared" si="5"/>
        <v/>
      </c>
      <c r="V24" s="61" t="str">
        <f t="shared" si="6"/>
        <v/>
      </c>
      <c r="W24" s="61" t="str">
        <f t="shared" si="7"/>
        <v/>
      </c>
      <c r="X24" s="61" t="str">
        <f t="shared" si="8"/>
        <v/>
      </c>
      <c r="Y24" s="61" t="str">
        <f t="shared" si="9"/>
        <v/>
      </c>
      <c r="Z24" s="61" t="str">
        <f t="shared" si="10"/>
        <v/>
      </c>
      <c r="AA24" s="61" t="str">
        <f t="shared" si="11"/>
        <v/>
      </c>
      <c r="AB24" s="61" t="str">
        <f t="shared" si="12"/>
        <v/>
      </c>
      <c r="AC24" s="61" t="str">
        <f t="shared" si="13"/>
        <v/>
      </c>
      <c r="AD24" s="61" t="str">
        <f t="shared" si="14"/>
        <v/>
      </c>
    </row>
    <row r="25" spans="1:30" x14ac:dyDescent="0.25">
      <c r="A25" s="40"/>
      <c r="B25" s="42"/>
      <c r="C25" s="41"/>
      <c r="D25" s="41"/>
      <c r="E25" s="41"/>
      <c r="F25" s="41"/>
      <c r="G25" s="41"/>
      <c r="H25" s="41"/>
      <c r="I25" s="41"/>
      <c r="J25" s="41"/>
      <c r="K25" s="41"/>
      <c r="L25" s="42"/>
      <c r="M25" s="41"/>
      <c r="N25" s="41"/>
      <c r="O25" s="43"/>
      <c r="P25" s="61" t="str">
        <f t="shared" si="0"/>
        <v/>
      </c>
      <c r="Q25" s="61" t="str">
        <f t="shared" si="1"/>
        <v/>
      </c>
      <c r="R25" s="61" t="str">
        <f t="shared" si="2"/>
        <v/>
      </c>
      <c r="S25" s="61" t="str">
        <f t="shared" si="3"/>
        <v/>
      </c>
      <c r="T25" s="61" t="str">
        <f t="shared" si="4"/>
        <v/>
      </c>
      <c r="U25" s="61" t="str">
        <f t="shared" si="5"/>
        <v/>
      </c>
      <c r="V25" s="61" t="str">
        <f t="shared" si="6"/>
        <v/>
      </c>
      <c r="W25" s="61" t="str">
        <f t="shared" si="7"/>
        <v/>
      </c>
      <c r="X25" s="61" t="str">
        <f t="shared" si="8"/>
        <v/>
      </c>
      <c r="Y25" s="61" t="str">
        <f t="shared" si="9"/>
        <v/>
      </c>
      <c r="Z25" s="61" t="str">
        <f t="shared" si="10"/>
        <v/>
      </c>
      <c r="AA25" s="61" t="str">
        <f t="shared" si="11"/>
        <v/>
      </c>
      <c r="AB25" s="61" t="str">
        <f t="shared" si="12"/>
        <v/>
      </c>
      <c r="AC25" s="61" t="str">
        <f t="shared" si="13"/>
        <v/>
      </c>
      <c r="AD25" s="61" t="str">
        <f t="shared" si="14"/>
        <v/>
      </c>
    </row>
    <row r="26" spans="1:30" x14ac:dyDescent="0.25">
      <c r="A26" s="36"/>
      <c r="B26" s="38"/>
      <c r="C26" s="37"/>
      <c r="D26" s="37"/>
      <c r="E26" s="37"/>
      <c r="F26" s="37"/>
      <c r="G26" s="37"/>
      <c r="H26" s="37"/>
      <c r="I26" s="37"/>
      <c r="J26" s="37"/>
      <c r="K26" s="37"/>
      <c r="L26" s="38"/>
      <c r="M26" s="37"/>
      <c r="N26" s="37"/>
      <c r="O26" s="39"/>
      <c r="P26" s="61" t="str">
        <f t="shared" si="0"/>
        <v/>
      </c>
      <c r="Q26" s="61" t="str">
        <f t="shared" si="1"/>
        <v/>
      </c>
      <c r="R26" s="61" t="str">
        <f t="shared" si="2"/>
        <v/>
      </c>
      <c r="S26" s="61" t="str">
        <f t="shared" si="3"/>
        <v/>
      </c>
      <c r="T26" s="61" t="str">
        <f t="shared" si="4"/>
        <v/>
      </c>
      <c r="U26" s="61" t="str">
        <f t="shared" si="5"/>
        <v/>
      </c>
      <c r="V26" s="61" t="str">
        <f t="shared" si="6"/>
        <v/>
      </c>
      <c r="W26" s="61" t="str">
        <f t="shared" si="7"/>
        <v/>
      </c>
      <c r="X26" s="61" t="str">
        <f t="shared" si="8"/>
        <v/>
      </c>
      <c r="Y26" s="61" t="str">
        <f t="shared" si="9"/>
        <v/>
      </c>
      <c r="Z26" s="61" t="str">
        <f t="shared" si="10"/>
        <v/>
      </c>
      <c r="AA26" s="61" t="str">
        <f t="shared" si="11"/>
        <v/>
      </c>
      <c r="AB26" s="61" t="str">
        <f t="shared" si="12"/>
        <v/>
      </c>
      <c r="AC26" s="61" t="str">
        <f t="shared" si="13"/>
        <v/>
      </c>
      <c r="AD26" s="61" t="str">
        <f t="shared" si="14"/>
        <v/>
      </c>
    </row>
    <row r="27" spans="1:30" x14ac:dyDescent="0.25">
      <c r="A27" s="40"/>
      <c r="B27" s="42"/>
      <c r="C27" s="41"/>
      <c r="D27" s="41"/>
      <c r="E27" s="41"/>
      <c r="F27" s="41"/>
      <c r="G27" s="41"/>
      <c r="H27" s="41"/>
      <c r="I27" s="41"/>
      <c r="J27" s="41"/>
      <c r="K27" s="41"/>
      <c r="L27" s="42"/>
      <c r="M27" s="41"/>
      <c r="N27" s="41"/>
      <c r="O27" s="43"/>
      <c r="P27" s="61" t="str">
        <f t="shared" si="0"/>
        <v/>
      </c>
      <c r="Q27" s="61" t="str">
        <f t="shared" si="1"/>
        <v/>
      </c>
      <c r="R27" s="61" t="str">
        <f t="shared" si="2"/>
        <v/>
      </c>
      <c r="S27" s="61" t="str">
        <f t="shared" si="3"/>
        <v/>
      </c>
      <c r="T27" s="61" t="str">
        <f t="shared" si="4"/>
        <v/>
      </c>
      <c r="U27" s="61" t="str">
        <f t="shared" si="5"/>
        <v/>
      </c>
      <c r="V27" s="61" t="str">
        <f t="shared" si="6"/>
        <v/>
      </c>
      <c r="W27" s="61" t="str">
        <f t="shared" si="7"/>
        <v/>
      </c>
      <c r="X27" s="61" t="str">
        <f t="shared" si="8"/>
        <v/>
      </c>
      <c r="Y27" s="61" t="str">
        <f t="shared" si="9"/>
        <v/>
      </c>
      <c r="Z27" s="61" t="str">
        <f t="shared" si="10"/>
        <v/>
      </c>
      <c r="AA27" s="61" t="str">
        <f t="shared" si="11"/>
        <v/>
      </c>
      <c r="AB27" s="61" t="str">
        <f t="shared" si="12"/>
        <v/>
      </c>
      <c r="AC27" s="61" t="str">
        <f t="shared" si="13"/>
        <v/>
      </c>
      <c r="AD27" s="61" t="str">
        <f t="shared" si="14"/>
        <v/>
      </c>
    </row>
    <row r="28" spans="1:30" x14ac:dyDescent="0.25">
      <c r="A28" s="36"/>
      <c r="B28" s="38"/>
      <c r="C28" s="37"/>
      <c r="D28" s="37"/>
      <c r="E28" s="37"/>
      <c r="F28" s="37"/>
      <c r="G28" s="37"/>
      <c r="H28" s="37"/>
      <c r="I28" s="37"/>
      <c r="J28" s="37"/>
      <c r="K28" s="37"/>
      <c r="L28" s="38"/>
      <c r="M28" s="37"/>
      <c r="N28" s="37"/>
      <c r="O28" s="39"/>
      <c r="P28" s="61" t="str">
        <f t="shared" si="0"/>
        <v/>
      </c>
      <c r="Q28" s="61" t="str">
        <f t="shared" si="1"/>
        <v/>
      </c>
      <c r="R28" s="61" t="str">
        <f t="shared" si="2"/>
        <v/>
      </c>
      <c r="S28" s="61" t="str">
        <f t="shared" si="3"/>
        <v/>
      </c>
      <c r="T28" s="61" t="str">
        <f t="shared" si="4"/>
        <v/>
      </c>
      <c r="U28" s="61" t="str">
        <f t="shared" si="5"/>
        <v/>
      </c>
      <c r="V28" s="61" t="str">
        <f t="shared" si="6"/>
        <v/>
      </c>
      <c r="W28" s="61" t="str">
        <f t="shared" si="7"/>
        <v/>
      </c>
      <c r="X28" s="61" t="str">
        <f t="shared" si="8"/>
        <v/>
      </c>
      <c r="Y28" s="61" t="str">
        <f t="shared" si="9"/>
        <v/>
      </c>
      <c r="Z28" s="61" t="str">
        <f t="shared" si="10"/>
        <v/>
      </c>
      <c r="AA28" s="61" t="str">
        <f t="shared" si="11"/>
        <v/>
      </c>
      <c r="AB28" s="61" t="str">
        <f t="shared" si="12"/>
        <v/>
      </c>
      <c r="AC28" s="61" t="str">
        <f t="shared" si="13"/>
        <v/>
      </c>
      <c r="AD28" s="61" t="str">
        <f t="shared" si="14"/>
        <v/>
      </c>
    </row>
    <row r="29" spans="1:30" x14ac:dyDescent="0.25">
      <c r="A29" s="40"/>
      <c r="B29" s="42"/>
      <c r="C29" s="41"/>
      <c r="D29" s="41"/>
      <c r="E29" s="41"/>
      <c r="F29" s="41"/>
      <c r="G29" s="41"/>
      <c r="H29" s="41"/>
      <c r="I29" s="41"/>
      <c r="J29" s="41"/>
      <c r="K29" s="41"/>
      <c r="L29" s="42"/>
      <c r="M29" s="41"/>
      <c r="N29" s="41"/>
      <c r="O29" s="43"/>
      <c r="P29" s="61" t="str">
        <f t="shared" si="0"/>
        <v/>
      </c>
      <c r="Q29" s="61" t="str">
        <f t="shared" si="1"/>
        <v/>
      </c>
      <c r="R29" s="61" t="str">
        <f t="shared" si="2"/>
        <v/>
      </c>
      <c r="S29" s="61" t="str">
        <f t="shared" si="3"/>
        <v/>
      </c>
      <c r="T29" s="61" t="str">
        <f t="shared" si="4"/>
        <v/>
      </c>
      <c r="U29" s="61" t="str">
        <f t="shared" si="5"/>
        <v/>
      </c>
      <c r="V29" s="61" t="str">
        <f t="shared" si="6"/>
        <v/>
      </c>
      <c r="W29" s="61" t="str">
        <f t="shared" si="7"/>
        <v/>
      </c>
      <c r="X29" s="61" t="str">
        <f t="shared" si="8"/>
        <v/>
      </c>
      <c r="Y29" s="61" t="str">
        <f t="shared" si="9"/>
        <v/>
      </c>
      <c r="Z29" s="61" t="str">
        <f t="shared" si="10"/>
        <v/>
      </c>
      <c r="AA29" s="61" t="str">
        <f t="shared" si="11"/>
        <v/>
      </c>
      <c r="AB29" s="61" t="str">
        <f t="shared" si="12"/>
        <v/>
      </c>
      <c r="AC29" s="61" t="str">
        <f t="shared" si="13"/>
        <v/>
      </c>
      <c r="AD29" s="61" t="str">
        <f t="shared" si="14"/>
        <v/>
      </c>
    </row>
    <row r="30" spans="1:30" x14ac:dyDescent="0.25">
      <c r="A30" s="36"/>
      <c r="B30" s="38"/>
      <c r="C30" s="37"/>
      <c r="D30" s="37"/>
      <c r="E30" s="37"/>
      <c r="F30" s="37"/>
      <c r="G30" s="37"/>
      <c r="H30" s="37"/>
      <c r="I30" s="37"/>
      <c r="J30" s="37"/>
      <c r="K30" s="37"/>
      <c r="L30" s="38"/>
      <c r="M30" s="37"/>
      <c r="N30" s="37"/>
      <c r="O30" s="39"/>
      <c r="P30" s="61" t="str">
        <f t="shared" si="0"/>
        <v/>
      </c>
      <c r="Q30" s="61" t="str">
        <f t="shared" si="1"/>
        <v/>
      </c>
      <c r="R30" s="61" t="str">
        <f t="shared" si="2"/>
        <v/>
      </c>
      <c r="S30" s="61" t="str">
        <f t="shared" si="3"/>
        <v/>
      </c>
      <c r="T30" s="61" t="str">
        <f t="shared" si="4"/>
        <v/>
      </c>
      <c r="U30" s="61" t="str">
        <f t="shared" si="5"/>
        <v/>
      </c>
      <c r="V30" s="61" t="str">
        <f t="shared" si="6"/>
        <v/>
      </c>
      <c r="W30" s="61" t="str">
        <f t="shared" si="7"/>
        <v/>
      </c>
      <c r="X30" s="61" t="str">
        <f t="shared" si="8"/>
        <v/>
      </c>
      <c r="Y30" s="61" t="str">
        <f t="shared" si="9"/>
        <v/>
      </c>
      <c r="Z30" s="61" t="str">
        <f t="shared" si="10"/>
        <v/>
      </c>
      <c r="AA30" s="61" t="str">
        <f t="shared" si="11"/>
        <v/>
      </c>
      <c r="AB30" s="61" t="str">
        <f t="shared" si="12"/>
        <v/>
      </c>
      <c r="AC30" s="61" t="str">
        <f t="shared" si="13"/>
        <v/>
      </c>
      <c r="AD30" s="61" t="str">
        <f t="shared" si="14"/>
        <v/>
      </c>
    </row>
    <row r="31" spans="1:30" x14ac:dyDescent="0.25">
      <c r="A31" s="40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2"/>
      <c r="M31" s="41"/>
      <c r="N31" s="41"/>
      <c r="O31" s="43"/>
      <c r="P31" s="61" t="str">
        <f t="shared" si="0"/>
        <v/>
      </c>
      <c r="Q31" s="61" t="str">
        <f t="shared" si="1"/>
        <v/>
      </c>
      <c r="R31" s="61" t="str">
        <f t="shared" si="2"/>
        <v/>
      </c>
      <c r="S31" s="61" t="str">
        <f t="shared" si="3"/>
        <v/>
      </c>
      <c r="T31" s="61" t="str">
        <f t="shared" si="4"/>
        <v/>
      </c>
      <c r="U31" s="61" t="str">
        <f t="shared" si="5"/>
        <v/>
      </c>
      <c r="V31" s="61" t="str">
        <f t="shared" si="6"/>
        <v/>
      </c>
      <c r="W31" s="61" t="str">
        <f t="shared" si="7"/>
        <v/>
      </c>
      <c r="X31" s="61" t="str">
        <f t="shared" si="8"/>
        <v/>
      </c>
      <c r="Y31" s="61" t="str">
        <f t="shared" si="9"/>
        <v/>
      </c>
      <c r="Z31" s="61" t="str">
        <f t="shared" si="10"/>
        <v/>
      </c>
      <c r="AA31" s="61" t="str">
        <f t="shared" si="11"/>
        <v/>
      </c>
      <c r="AB31" s="61" t="str">
        <f t="shared" si="12"/>
        <v/>
      </c>
      <c r="AC31" s="61" t="str">
        <f t="shared" si="13"/>
        <v/>
      </c>
      <c r="AD31" s="61" t="str">
        <f t="shared" si="14"/>
        <v/>
      </c>
    </row>
    <row r="32" spans="1:30" x14ac:dyDescent="0.25">
      <c r="A32" s="36"/>
      <c r="B32" s="38"/>
      <c r="C32" s="37"/>
      <c r="D32" s="37"/>
      <c r="E32" s="37"/>
      <c r="F32" s="37"/>
      <c r="G32" s="37"/>
      <c r="H32" s="37"/>
      <c r="I32" s="37"/>
      <c r="J32" s="37"/>
      <c r="K32" s="37"/>
      <c r="L32" s="38"/>
      <c r="M32" s="37"/>
      <c r="N32" s="37"/>
      <c r="O32" s="39"/>
      <c r="P32" s="61" t="str">
        <f t="shared" si="0"/>
        <v/>
      </c>
      <c r="Q32" s="61" t="str">
        <f t="shared" si="1"/>
        <v/>
      </c>
      <c r="R32" s="61" t="str">
        <f t="shared" si="2"/>
        <v/>
      </c>
      <c r="S32" s="61" t="str">
        <f t="shared" si="3"/>
        <v/>
      </c>
      <c r="T32" s="61" t="str">
        <f t="shared" si="4"/>
        <v/>
      </c>
      <c r="U32" s="61" t="str">
        <f t="shared" si="5"/>
        <v/>
      </c>
      <c r="V32" s="61" t="str">
        <f t="shared" si="6"/>
        <v/>
      </c>
      <c r="W32" s="61" t="str">
        <f t="shared" si="7"/>
        <v/>
      </c>
      <c r="X32" s="61" t="str">
        <f t="shared" si="8"/>
        <v/>
      </c>
      <c r="Y32" s="61" t="str">
        <f t="shared" si="9"/>
        <v/>
      </c>
      <c r="Z32" s="61" t="str">
        <f t="shared" si="10"/>
        <v/>
      </c>
      <c r="AA32" s="61" t="str">
        <f t="shared" si="11"/>
        <v/>
      </c>
      <c r="AB32" s="61" t="str">
        <f t="shared" si="12"/>
        <v/>
      </c>
      <c r="AC32" s="61" t="str">
        <f t="shared" si="13"/>
        <v/>
      </c>
      <c r="AD32" s="61" t="str">
        <f t="shared" si="14"/>
        <v/>
      </c>
    </row>
    <row r="33" spans="1:30" x14ac:dyDescent="0.25">
      <c r="A33" s="40"/>
      <c r="B33" s="42"/>
      <c r="C33" s="41"/>
      <c r="D33" s="41"/>
      <c r="E33" s="41"/>
      <c r="F33" s="41"/>
      <c r="G33" s="41"/>
      <c r="H33" s="41"/>
      <c r="I33" s="41"/>
      <c r="J33" s="41"/>
      <c r="K33" s="41"/>
      <c r="L33" s="42"/>
      <c r="M33" s="41"/>
      <c r="N33" s="41"/>
      <c r="O33" s="43"/>
      <c r="P33" s="61" t="str">
        <f t="shared" si="0"/>
        <v/>
      </c>
      <c r="Q33" s="61" t="str">
        <f t="shared" si="1"/>
        <v/>
      </c>
      <c r="R33" s="61" t="str">
        <f t="shared" si="2"/>
        <v/>
      </c>
      <c r="S33" s="61" t="str">
        <f t="shared" si="3"/>
        <v/>
      </c>
      <c r="T33" s="61" t="str">
        <f t="shared" si="4"/>
        <v/>
      </c>
      <c r="U33" s="61" t="str">
        <f t="shared" si="5"/>
        <v/>
      </c>
      <c r="V33" s="61" t="str">
        <f t="shared" si="6"/>
        <v/>
      </c>
      <c r="W33" s="61" t="str">
        <f t="shared" si="7"/>
        <v/>
      </c>
      <c r="X33" s="61" t="str">
        <f t="shared" si="8"/>
        <v/>
      </c>
      <c r="Y33" s="61" t="str">
        <f t="shared" si="9"/>
        <v/>
      </c>
      <c r="Z33" s="61" t="str">
        <f t="shared" si="10"/>
        <v/>
      </c>
      <c r="AA33" s="61" t="str">
        <f t="shared" si="11"/>
        <v/>
      </c>
      <c r="AB33" s="61" t="str">
        <f t="shared" si="12"/>
        <v/>
      </c>
      <c r="AC33" s="61" t="str">
        <f t="shared" si="13"/>
        <v/>
      </c>
      <c r="AD33" s="61" t="str">
        <f t="shared" si="14"/>
        <v/>
      </c>
    </row>
    <row r="34" spans="1:30" x14ac:dyDescent="0.25">
      <c r="A34" s="36"/>
      <c r="B34" s="38"/>
      <c r="C34" s="37"/>
      <c r="D34" s="37"/>
      <c r="E34" s="37"/>
      <c r="F34" s="37"/>
      <c r="G34" s="37"/>
      <c r="H34" s="37"/>
      <c r="I34" s="37"/>
      <c r="J34" s="37"/>
      <c r="K34" s="37"/>
      <c r="L34" s="38"/>
      <c r="M34" s="37"/>
      <c r="N34" s="37"/>
      <c r="O34" s="39"/>
      <c r="P34" s="61" t="str">
        <f t="shared" si="0"/>
        <v/>
      </c>
      <c r="Q34" s="61" t="str">
        <f t="shared" si="1"/>
        <v/>
      </c>
      <c r="R34" s="61" t="str">
        <f t="shared" si="2"/>
        <v/>
      </c>
      <c r="S34" s="61" t="str">
        <f t="shared" si="3"/>
        <v/>
      </c>
      <c r="T34" s="61" t="str">
        <f t="shared" si="4"/>
        <v/>
      </c>
      <c r="U34" s="61" t="str">
        <f t="shared" si="5"/>
        <v/>
      </c>
      <c r="V34" s="61" t="str">
        <f t="shared" si="6"/>
        <v/>
      </c>
      <c r="W34" s="61" t="str">
        <f t="shared" si="7"/>
        <v/>
      </c>
      <c r="X34" s="61" t="str">
        <f t="shared" si="8"/>
        <v/>
      </c>
      <c r="Y34" s="61" t="str">
        <f t="shared" si="9"/>
        <v/>
      </c>
      <c r="Z34" s="61" t="str">
        <f t="shared" si="10"/>
        <v/>
      </c>
      <c r="AA34" s="61" t="str">
        <f t="shared" si="11"/>
        <v/>
      </c>
      <c r="AB34" s="61" t="str">
        <f t="shared" si="12"/>
        <v/>
      </c>
      <c r="AC34" s="61" t="str">
        <f t="shared" si="13"/>
        <v/>
      </c>
      <c r="AD34" s="61" t="str">
        <f t="shared" si="14"/>
        <v/>
      </c>
    </row>
    <row r="35" spans="1:30" x14ac:dyDescent="0.25">
      <c r="A35" s="40"/>
      <c r="B35" s="42"/>
      <c r="C35" s="41"/>
      <c r="D35" s="41"/>
      <c r="E35" s="41"/>
      <c r="F35" s="41"/>
      <c r="G35" s="41"/>
      <c r="H35" s="41"/>
      <c r="I35" s="41"/>
      <c r="J35" s="41"/>
      <c r="K35" s="41"/>
      <c r="L35" s="42"/>
      <c r="M35" s="41"/>
      <c r="N35" s="41"/>
      <c r="O35" s="43"/>
      <c r="P35" s="61" t="str">
        <f t="shared" si="0"/>
        <v/>
      </c>
      <c r="Q35" s="61" t="str">
        <f t="shared" si="1"/>
        <v/>
      </c>
      <c r="R35" s="61" t="str">
        <f t="shared" si="2"/>
        <v/>
      </c>
      <c r="S35" s="61" t="str">
        <f t="shared" si="3"/>
        <v/>
      </c>
      <c r="T35" s="61" t="str">
        <f t="shared" si="4"/>
        <v/>
      </c>
      <c r="U35" s="61" t="str">
        <f t="shared" si="5"/>
        <v/>
      </c>
      <c r="V35" s="61" t="str">
        <f t="shared" si="6"/>
        <v/>
      </c>
      <c r="W35" s="61" t="str">
        <f t="shared" si="7"/>
        <v/>
      </c>
      <c r="X35" s="61" t="str">
        <f t="shared" si="8"/>
        <v/>
      </c>
      <c r="Y35" s="61" t="str">
        <f t="shared" si="9"/>
        <v/>
      </c>
      <c r="Z35" s="61" t="str">
        <f t="shared" si="10"/>
        <v/>
      </c>
      <c r="AA35" s="61" t="str">
        <f t="shared" si="11"/>
        <v/>
      </c>
      <c r="AB35" s="61" t="str">
        <f t="shared" si="12"/>
        <v/>
      </c>
      <c r="AC35" s="61" t="str">
        <f t="shared" si="13"/>
        <v/>
      </c>
      <c r="AD35" s="61" t="str">
        <f t="shared" si="14"/>
        <v/>
      </c>
    </row>
    <row r="36" spans="1:30" x14ac:dyDescent="0.25">
      <c r="A36" s="36"/>
      <c r="B36" s="38"/>
      <c r="C36" s="37"/>
      <c r="D36" s="37"/>
      <c r="E36" s="37"/>
      <c r="F36" s="37"/>
      <c r="G36" s="37"/>
      <c r="H36" s="37"/>
      <c r="I36" s="37"/>
      <c r="J36" s="37"/>
      <c r="K36" s="37"/>
      <c r="L36" s="38"/>
      <c r="M36" s="37"/>
      <c r="N36" s="37"/>
      <c r="O36" s="39"/>
      <c r="P36" s="61" t="str">
        <f t="shared" si="0"/>
        <v/>
      </c>
      <c r="Q36" s="61" t="str">
        <f t="shared" si="1"/>
        <v/>
      </c>
      <c r="R36" s="61" t="str">
        <f t="shared" si="2"/>
        <v/>
      </c>
      <c r="S36" s="61" t="str">
        <f t="shared" si="3"/>
        <v/>
      </c>
      <c r="T36" s="61" t="str">
        <f t="shared" si="4"/>
        <v/>
      </c>
      <c r="U36" s="61" t="str">
        <f t="shared" si="5"/>
        <v/>
      </c>
      <c r="V36" s="61" t="str">
        <f t="shared" si="6"/>
        <v/>
      </c>
      <c r="W36" s="61" t="str">
        <f t="shared" si="7"/>
        <v/>
      </c>
      <c r="X36" s="61" t="str">
        <f t="shared" si="8"/>
        <v/>
      </c>
      <c r="Y36" s="61" t="str">
        <f t="shared" si="9"/>
        <v/>
      </c>
      <c r="Z36" s="61" t="str">
        <f t="shared" si="10"/>
        <v/>
      </c>
      <c r="AA36" s="61" t="str">
        <f t="shared" si="11"/>
        <v/>
      </c>
      <c r="AB36" s="61" t="str">
        <f t="shared" si="12"/>
        <v/>
      </c>
      <c r="AC36" s="61" t="str">
        <f t="shared" si="13"/>
        <v/>
      </c>
      <c r="AD36" s="61" t="str">
        <f t="shared" si="14"/>
        <v/>
      </c>
    </row>
    <row r="37" spans="1:30" x14ac:dyDescent="0.25">
      <c r="A37" s="40"/>
      <c r="B37" s="42"/>
      <c r="C37" s="41"/>
      <c r="D37" s="41"/>
      <c r="E37" s="41"/>
      <c r="F37" s="41"/>
      <c r="G37" s="41"/>
      <c r="H37" s="41"/>
      <c r="I37" s="41"/>
      <c r="J37" s="41"/>
      <c r="K37" s="41"/>
      <c r="L37" s="42"/>
      <c r="M37" s="41"/>
      <c r="N37" s="41"/>
      <c r="O37" s="43"/>
      <c r="P37" s="61" t="str">
        <f t="shared" ref="P37:P68" si="15">IF(D37="","",IFERROR(_xlfn.TRANSLATE(D37,,"ja"),""))</f>
        <v/>
      </c>
      <c r="Q37" s="61" t="str">
        <f t="shared" ref="Q37:Q68" si="16">IF(D37="","",IFERROR(_xlfn.TRANSLATE(D37,,"zh-Hans"),""))</f>
        <v/>
      </c>
      <c r="R37" s="61" t="str">
        <f t="shared" ref="R37:R68" si="17">IF(D37="","",IFERROR(_xlfn.TRANSLATE(D37,,"vi"),""))</f>
        <v/>
      </c>
      <c r="S37" s="61" t="str">
        <f t="shared" ref="S37:S68" si="18">IF(E37="","",IFERROR(_xlfn.TRANSLATE(E37,,"ja"),""))</f>
        <v/>
      </c>
      <c r="T37" s="61" t="str">
        <f t="shared" ref="T37:T68" si="19">IF(E37="","",IFERROR(_xlfn.TRANSLATE(E37,,"zh-Hans"),""))</f>
        <v/>
      </c>
      <c r="U37" s="61" t="str">
        <f t="shared" ref="U37:U68" si="20">IF(E37="","",IFERROR(_xlfn.TRANSLATE(E37,,"vi"),""))</f>
        <v/>
      </c>
      <c r="V37" s="61" t="str">
        <f t="shared" ref="V37:V68" si="21">IF(F37="","",IFERROR(_xlfn.TRANSLATE(F37,,"ja"),""))</f>
        <v/>
      </c>
      <c r="W37" s="61" t="str">
        <f t="shared" ref="W37:W68" si="22">IF(F37="","",IFERROR(_xlfn.TRANSLATE(F37,,"zh-Hans"),""))</f>
        <v/>
      </c>
      <c r="X37" s="61" t="str">
        <f t="shared" ref="X37:X68" si="23">IF(F37="","",IFERROR(_xlfn.TRANSLATE(F37,,"vi"),""))</f>
        <v/>
      </c>
      <c r="Y37" s="61" t="str">
        <f t="shared" ref="Y37:Y68" si="24">IF(J37="","",IFERROR(_xlfn.TRANSLATE(J37,,"ja"),""))</f>
        <v/>
      </c>
      <c r="Z37" s="61" t="str">
        <f t="shared" ref="Z37:Z68" si="25">IF(J37="","",IFERROR(_xlfn.TRANSLATE(J37,,"zh-Hans"),""))</f>
        <v/>
      </c>
      <c r="AA37" s="61" t="str">
        <f t="shared" ref="AA37:AA68" si="26">IF(J37="","",IFERROR(_xlfn.TRANSLATE(J37,,"vi"),""))</f>
        <v/>
      </c>
      <c r="AB37" s="61" t="str">
        <f t="shared" ref="AB37:AB68" si="27">IF(O37="","",IFERROR(_xlfn.TRANSLATE(O37,,"ja"),""))</f>
        <v/>
      </c>
      <c r="AC37" s="61" t="str">
        <f t="shared" ref="AC37:AC68" si="28">IF(O37="","",IFERROR(_xlfn.TRANSLATE(O37,,"zh-Hans"),""))</f>
        <v/>
      </c>
      <c r="AD37" s="61" t="str">
        <f t="shared" ref="AD37:AD68" si="29">IF(O37="","",IFERROR(_xlfn.TRANSLATE(O37,,"vi"),""))</f>
        <v/>
      </c>
    </row>
    <row r="38" spans="1:30" x14ac:dyDescent="0.25">
      <c r="A38" s="36"/>
      <c r="B38" s="38"/>
      <c r="C38" s="37"/>
      <c r="D38" s="37"/>
      <c r="E38" s="37"/>
      <c r="F38" s="37"/>
      <c r="G38" s="37"/>
      <c r="H38" s="37"/>
      <c r="I38" s="37"/>
      <c r="J38" s="37"/>
      <c r="K38" s="37"/>
      <c r="L38" s="38"/>
      <c r="M38" s="37"/>
      <c r="N38" s="37"/>
      <c r="O38" s="39"/>
      <c r="P38" s="61" t="str">
        <f t="shared" si="15"/>
        <v/>
      </c>
      <c r="Q38" s="61" t="str">
        <f t="shared" si="16"/>
        <v/>
      </c>
      <c r="R38" s="61" t="str">
        <f t="shared" si="17"/>
        <v/>
      </c>
      <c r="S38" s="61" t="str">
        <f t="shared" si="18"/>
        <v/>
      </c>
      <c r="T38" s="61" t="str">
        <f t="shared" si="19"/>
        <v/>
      </c>
      <c r="U38" s="61" t="str">
        <f t="shared" si="20"/>
        <v/>
      </c>
      <c r="V38" s="61" t="str">
        <f t="shared" si="21"/>
        <v/>
      </c>
      <c r="W38" s="61" t="str">
        <f t="shared" si="22"/>
        <v/>
      </c>
      <c r="X38" s="61" t="str">
        <f t="shared" si="23"/>
        <v/>
      </c>
      <c r="Y38" s="61" t="str">
        <f t="shared" si="24"/>
        <v/>
      </c>
      <c r="Z38" s="61" t="str">
        <f t="shared" si="25"/>
        <v/>
      </c>
      <c r="AA38" s="61" t="str">
        <f t="shared" si="26"/>
        <v/>
      </c>
      <c r="AB38" s="61" t="str">
        <f t="shared" si="27"/>
        <v/>
      </c>
      <c r="AC38" s="61" t="str">
        <f t="shared" si="28"/>
        <v/>
      </c>
      <c r="AD38" s="61" t="str">
        <f t="shared" si="29"/>
        <v/>
      </c>
    </row>
    <row r="39" spans="1:30" x14ac:dyDescent="0.25">
      <c r="A39" s="40"/>
      <c r="B39" s="42"/>
      <c r="C39" s="41"/>
      <c r="D39" s="41"/>
      <c r="E39" s="41"/>
      <c r="F39" s="41"/>
      <c r="G39" s="41"/>
      <c r="H39" s="41"/>
      <c r="I39" s="41"/>
      <c r="J39" s="41"/>
      <c r="K39" s="41"/>
      <c r="L39" s="42"/>
      <c r="M39" s="41"/>
      <c r="N39" s="41"/>
      <c r="O39" s="43"/>
      <c r="P39" s="61" t="str">
        <f t="shared" si="15"/>
        <v/>
      </c>
      <c r="Q39" s="61" t="str">
        <f t="shared" si="16"/>
        <v/>
      </c>
      <c r="R39" s="61" t="str">
        <f t="shared" si="17"/>
        <v/>
      </c>
      <c r="S39" s="61" t="str">
        <f t="shared" si="18"/>
        <v/>
      </c>
      <c r="T39" s="61" t="str">
        <f t="shared" si="19"/>
        <v/>
      </c>
      <c r="U39" s="61" t="str">
        <f t="shared" si="20"/>
        <v/>
      </c>
      <c r="V39" s="61" t="str">
        <f t="shared" si="21"/>
        <v/>
      </c>
      <c r="W39" s="61" t="str">
        <f t="shared" si="22"/>
        <v/>
      </c>
      <c r="X39" s="61" t="str">
        <f t="shared" si="23"/>
        <v/>
      </c>
      <c r="Y39" s="61" t="str">
        <f t="shared" si="24"/>
        <v/>
      </c>
      <c r="Z39" s="61" t="str">
        <f t="shared" si="25"/>
        <v/>
      </c>
      <c r="AA39" s="61" t="str">
        <f t="shared" si="26"/>
        <v/>
      </c>
      <c r="AB39" s="61" t="str">
        <f t="shared" si="27"/>
        <v/>
      </c>
      <c r="AC39" s="61" t="str">
        <f t="shared" si="28"/>
        <v/>
      </c>
      <c r="AD39" s="61" t="str">
        <f t="shared" si="29"/>
        <v/>
      </c>
    </row>
    <row r="40" spans="1:30" x14ac:dyDescent="0.25">
      <c r="A40" s="36"/>
      <c r="B40" s="38"/>
      <c r="C40" s="37"/>
      <c r="D40" s="37"/>
      <c r="E40" s="37"/>
      <c r="F40" s="37"/>
      <c r="G40" s="37"/>
      <c r="H40" s="37"/>
      <c r="I40" s="37"/>
      <c r="J40" s="37"/>
      <c r="K40" s="37"/>
      <c r="L40" s="38"/>
      <c r="M40" s="37"/>
      <c r="N40" s="37"/>
      <c r="O40" s="39"/>
      <c r="P40" s="61" t="str">
        <f t="shared" si="15"/>
        <v/>
      </c>
      <c r="Q40" s="61" t="str">
        <f t="shared" si="16"/>
        <v/>
      </c>
      <c r="R40" s="61" t="str">
        <f t="shared" si="17"/>
        <v/>
      </c>
      <c r="S40" s="61" t="str">
        <f t="shared" si="18"/>
        <v/>
      </c>
      <c r="T40" s="61" t="str">
        <f t="shared" si="19"/>
        <v/>
      </c>
      <c r="U40" s="61" t="str">
        <f t="shared" si="20"/>
        <v/>
      </c>
      <c r="V40" s="61" t="str">
        <f t="shared" si="21"/>
        <v/>
      </c>
      <c r="W40" s="61" t="str">
        <f t="shared" si="22"/>
        <v/>
      </c>
      <c r="X40" s="61" t="str">
        <f t="shared" si="23"/>
        <v/>
      </c>
      <c r="Y40" s="61" t="str">
        <f t="shared" si="24"/>
        <v/>
      </c>
      <c r="Z40" s="61" t="str">
        <f t="shared" si="25"/>
        <v/>
      </c>
      <c r="AA40" s="61" t="str">
        <f t="shared" si="26"/>
        <v/>
      </c>
      <c r="AB40" s="61" t="str">
        <f t="shared" si="27"/>
        <v/>
      </c>
      <c r="AC40" s="61" t="str">
        <f t="shared" si="28"/>
        <v/>
      </c>
      <c r="AD40" s="61" t="str">
        <f t="shared" si="29"/>
        <v/>
      </c>
    </row>
    <row r="41" spans="1:30" x14ac:dyDescent="0.25">
      <c r="A41" s="40"/>
      <c r="B41" s="42"/>
      <c r="C41" s="41"/>
      <c r="D41" s="41"/>
      <c r="E41" s="41"/>
      <c r="F41" s="41"/>
      <c r="G41" s="41"/>
      <c r="H41" s="41"/>
      <c r="I41" s="41"/>
      <c r="J41" s="41"/>
      <c r="K41" s="41"/>
      <c r="L41" s="42"/>
      <c r="M41" s="41"/>
      <c r="N41" s="41"/>
      <c r="O41" s="43"/>
      <c r="P41" s="61" t="str">
        <f t="shared" si="15"/>
        <v/>
      </c>
      <c r="Q41" s="61" t="str">
        <f t="shared" si="16"/>
        <v/>
      </c>
      <c r="R41" s="61" t="str">
        <f t="shared" si="17"/>
        <v/>
      </c>
      <c r="S41" s="61" t="str">
        <f t="shared" si="18"/>
        <v/>
      </c>
      <c r="T41" s="61" t="str">
        <f t="shared" si="19"/>
        <v/>
      </c>
      <c r="U41" s="61" t="str">
        <f t="shared" si="20"/>
        <v/>
      </c>
      <c r="V41" s="61" t="str">
        <f t="shared" si="21"/>
        <v/>
      </c>
      <c r="W41" s="61" t="str">
        <f t="shared" si="22"/>
        <v/>
      </c>
      <c r="X41" s="61" t="str">
        <f t="shared" si="23"/>
        <v/>
      </c>
      <c r="Y41" s="61" t="str">
        <f t="shared" si="24"/>
        <v/>
      </c>
      <c r="Z41" s="61" t="str">
        <f t="shared" si="25"/>
        <v/>
      </c>
      <c r="AA41" s="61" t="str">
        <f t="shared" si="26"/>
        <v/>
      </c>
      <c r="AB41" s="61" t="str">
        <f t="shared" si="27"/>
        <v/>
      </c>
      <c r="AC41" s="61" t="str">
        <f t="shared" si="28"/>
        <v/>
      </c>
      <c r="AD41" s="61" t="str">
        <f t="shared" si="29"/>
        <v/>
      </c>
    </row>
    <row r="42" spans="1:30" x14ac:dyDescent="0.25">
      <c r="A42" s="36"/>
      <c r="B42" s="38"/>
      <c r="C42" s="37"/>
      <c r="D42" s="37"/>
      <c r="E42" s="37"/>
      <c r="F42" s="37"/>
      <c r="G42" s="37"/>
      <c r="H42" s="37"/>
      <c r="I42" s="37"/>
      <c r="J42" s="37"/>
      <c r="K42" s="37"/>
      <c r="L42" s="38"/>
      <c r="M42" s="37"/>
      <c r="N42" s="37"/>
      <c r="O42" s="39"/>
      <c r="P42" s="61" t="str">
        <f t="shared" si="15"/>
        <v/>
      </c>
      <c r="Q42" s="61" t="str">
        <f t="shared" si="16"/>
        <v/>
      </c>
      <c r="R42" s="61" t="str">
        <f t="shared" si="17"/>
        <v/>
      </c>
      <c r="S42" s="61" t="str">
        <f t="shared" si="18"/>
        <v/>
      </c>
      <c r="T42" s="61" t="str">
        <f t="shared" si="19"/>
        <v/>
      </c>
      <c r="U42" s="61" t="str">
        <f t="shared" si="20"/>
        <v/>
      </c>
      <c r="V42" s="61" t="str">
        <f t="shared" si="21"/>
        <v/>
      </c>
      <c r="W42" s="61" t="str">
        <f t="shared" si="22"/>
        <v/>
      </c>
      <c r="X42" s="61" t="str">
        <f t="shared" si="23"/>
        <v/>
      </c>
      <c r="Y42" s="61" t="str">
        <f t="shared" si="24"/>
        <v/>
      </c>
      <c r="Z42" s="61" t="str">
        <f t="shared" si="25"/>
        <v/>
      </c>
      <c r="AA42" s="61" t="str">
        <f t="shared" si="26"/>
        <v/>
      </c>
      <c r="AB42" s="61" t="str">
        <f t="shared" si="27"/>
        <v/>
      </c>
      <c r="AC42" s="61" t="str">
        <f t="shared" si="28"/>
        <v/>
      </c>
      <c r="AD42" s="61" t="str">
        <f t="shared" si="29"/>
        <v/>
      </c>
    </row>
    <row r="43" spans="1:30" x14ac:dyDescent="0.25">
      <c r="A43" s="40"/>
      <c r="B43" s="42"/>
      <c r="C43" s="41"/>
      <c r="D43" s="41"/>
      <c r="E43" s="41"/>
      <c r="F43" s="41"/>
      <c r="G43" s="41"/>
      <c r="H43" s="41"/>
      <c r="I43" s="41"/>
      <c r="J43" s="41"/>
      <c r="K43" s="41"/>
      <c r="L43" s="42"/>
      <c r="M43" s="41"/>
      <c r="N43" s="41"/>
      <c r="O43" s="43"/>
      <c r="P43" s="61" t="str">
        <f t="shared" si="15"/>
        <v/>
      </c>
      <c r="Q43" s="61" t="str">
        <f t="shared" si="16"/>
        <v/>
      </c>
      <c r="R43" s="61" t="str">
        <f t="shared" si="17"/>
        <v/>
      </c>
      <c r="S43" s="61" t="str">
        <f t="shared" si="18"/>
        <v/>
      </c>
      <c r="T43" s="61" t="str">
        <f t="shared" si="19"/>
        <v/>
      </c>
      <c r="U43" s="61" t="str">
        <f t="shared" si="20"/>
        <v/>
      </c>
      <c r="V43" s="61" t="str">
        <f t="shared" si="21"/>
        <v/>
      </c>
      <c r="W43" s="61" t="str">
        <f t="shared" si="22"/>
        <v/>
      </c>
      <c r="X43" s="61" t="str">
        <f t="shared" si="23"/>
        <v/>
      </c>
      <c r="Y43" s="61" t="str">
        <f t="shared" si="24"/>
        <v/>
      </c>
      <c r="Z43" s="61" t="str">
        <f t="shared" si="25"/>
        <v/>
      </c>
      <c r="AA43" s="61" t="str">
        <f t="shared" si="26"/>
        <v/>
      </c>
      <c r="AB43" s="61" t="str">
        <f t="shared" si="27"/>
        <v/>
      </c>
      <c r="AC43" s="61" t="str">
        <f t="shared" si="28"/>
        <v/>
      </c>
      <c r="AD43" s="61" t="str">
        <f t="shared" si="29"/>
        <v/>
      </c>
    </row>
    <row r="44" spans="1:30" x14ac:dyDescent="0.25">
      <c r="A44" s="36"/>
      <c r="B44" s="38"/>
      <c r="C44" s="37"/>
      <c r="D44" s="37"/>
      <c r="E44" s="37"/>
      <c r="F44" s="37"/>
      <c r="G44" s="37"/>
      <c r="H44" s="37"/>
      <c r="I44" s="37"/>
      <c r="J44" s="37"/>
      <c r="K44" s="37"/>
      <c r="L44" s="38"/>
      <c r="M44" s="37"/>
      <c r="N44" s="37"/>
      <c r="O44" s="39"/>
      <c r="P44" s="61" t="str">
        <f t="shared" si="15"/>
        <v/>
      </c>
      <c r="Q44" s="61" t="str">
        <f t="shared" si="16"/>
        <v/>
      </c>
      <c r="R44" s="61" t="str">
        <f t="shared" si="17"/>
        <v/>
      </c>
      <c r="S44" s="61" t="str">
        <f t="shared" si="18"/>
        <v/>
      </c>
      <c r="T44" s="61" t="str">
        <f t="shared" si="19"/>
        <v/>
      </c>
      <c r="U44" s="61" t="str">
        <f t="shared" si="20"/>
        <v/>
      </c>
      <c r="V44" s="61" t="str">
        <f t="shared" si="21"/>
        <v/>
      </c>
      <c r="W44" s="61" t="str">
        <f t="shared" si="22"/>
        <v/>
      </c>
      <c r="X44" s="61" t="str">
        <f t="shared" si="23"/>
        <v/>
      </c>
      <c r="Y44" s="61" t="str">
        <f t="shared" si="24"/>
        <v/>
      </c>
      <c r="Z44" s="61" t="str">
        <f t="shared" si="25"/>
        <v/>
      </c>
      <c r="AA44" s="61" t="str">
        <f t="shared" si="26"/>
        <v/>
      </c>
      <c r="AB44" s="61" t="str">
        <f t="shared" si="27"/>
        <v/>
      </c>
      <c r="AC44" s="61" t="str">
        <f t="shared" si="28"/>
        <v/>
      </c>
      <c r="AD44" s="61" t="str">
        <f t="shared" si="29"/>
        <v/>
      </c>
    </row>
    <row r="45" spans="1:30" x14ac:dyDescent="0.25">
      <c r="A45" s="40"/>
      <c r="B45" s="42"/>
      <c r="C45" s="41"/>
      <c r="D45" s="41"/>
      <c r="E45" s="41"/>
      <c r="F45" s="41"/>
      <c r="G45" s="41"/>
      <c r="H45" s="41"/>
      <c r="I45" s="41"/>
      <c r="J45" s="41"/>
      <c r="K45" s="41"/>
      <c r="L45" s="42"/>
      <c r="M45" s="41"/>
      <c r="N45" s="41"/>
      <c r="O45" s="43"/>
      <c r="P45" s="61" t="str">
        <f t="shared" si="15"/>
        <v/>
      </c>
      <c r="Q45" s="61" t="str">
        <f t="shared" si="16"/>
        <v/>
      </c>
      <c r="R45" s="61" t="str">
        <f t="shared" si="17"/>
        <v/>
      </c>
      <c r="S45" s="61" t="str">
        <f t="shared" si="18"/>
        <v/>
      </c>
      <c r="T45" s="61" t="str">
        <f t="shared" si="19"/>
        <v/>
      </c>
      <c r="U45" s="61" t="str">
        <f t="shared" si="20"/>
        <v/>
      </c>
      <c r="V45" s="61" t="str">
        <f t="shared" si="21"/>
        <v/>
      </c>
      <c r="W45" s="61" t="str">
        <f t="shared" si="22"/>
        <v/>
      </c>
      <c r="X45" s="61" t="str">
        <f t="shared" si="23"/>
        <v/>
      </c>
      <c r="Y45" s="61" t="str">
        <f t="shared" si="24"/>
        <v/>
      </c>
      <c r="Z45" s="61" t="str">
        <f t="shared" si="25"/>
        <v/>
      </c>
      <c r="AA45" s="61" t="str">
        <f t="shared" si="26"/>
        <v/>
      </c>
      <c r="AB45" s="61" t="str">
        <f t="shared" si="27"/>
        <v/>
      </c>
      <c r="AC45" s="61" t="str">
        <f t="shared" si="28"/>
        <v/>
      </c>
      <c r="AD45" s="61" t="str">
        <f t="shared" si="29"/>
        <v/>
      </c>
    </row>
    <row r="46" spans="1:30" x14ac:dyDescent="0.25">
      <c r="A46" s="36"/>
      <c r="B46" s="38"/>
      <c r="C46" s="37"/>
      <c r="D46" s="37"/>
      <c r="E46" s="37"/>
      <c r="F46" s="37"/>
      <c r="G46" s="37"/>
      <c r="H46" s="37"/>
      <c r="I46" s="37"/>
      <c r="J46" s="37"/>
      <c r="K46" s="37"/>
      <c r="L46" s="38"/>
      <c r="M46" s="37"/>
      <c r="N46" s="37"/>
      <c r="O46" s="39"/>
      <c r="P46" s="61" t="str">
        <f t="shared" si="15"/>
        <v/>
      </c>
      <c r="Q46" s="61" t="str">
        <f t="shared" si="16"/>
        <v/>
      </c>
      <c r="R46" s="61" t="str">
        <f t="shared" si="17"/>
        <v/>
      </c>
      <c r="S46" s="61" t="str">
        <f t="shared" si="18"/>
        <v/>
      </c>
      <c r="T46" s="61" t="str">
        <f t="shared" si="19"/>
        <v/>
      </c>
      <c r="U46" s="61" t="str">
        <f t="shared" si="20"/>
        <v/>
      </c>
      <c r="V46" s="61" t="str">
        <f t="shared" si="21"/>
        <v/>
      </c>
      <c r="W46" s="61" t="str">
        <f t="shared" si="22"/>
        <v/>
      </c>
      <c r="X46" s="61" t="str">
        <f t="shared" si="23"/>
        <v/>
      </c>
      <c r="Y46" s="61" t="str">
        <f t="shared" si="24"/>
        <v/>
      </c>
      <c r="Z46" s="61" t="str">
        <f t="shared" si="25"/>
        <v/>
      </c>
      <c r="AA46" s="61" t="str">
        <f t="shared" si="26"/>
        <v/>
      </c>
      <c r="AB46" s="61" t="str">
        <f t="shared" si="27"/>
        <v/>
      </c>
      <c r="AC46" s="61" t="str">
        <f t="shared" si="28"/>
        <v/>
      </c>
      <c r="AD46" s="61" t="str">
        <f t="shared" si="29"/>
        <v/>
      </c>
    </row>
    <row r="47" spans="1:30" x14ac:dyDescent="0.25">
      <c r="A47" s="40"/>
      <c r="B47" s="42"/>
      <c r="C47" s="41"/>
      <c r="D47" s="41"/>
      <c r="E47" s="41"/>
      <c r="F47" s="41"/>
      <c r="G47" s="41"/>
      <c r="H47" s="41"/>
      <c r="I47" s="41"/>
      <c r="J47" s="41"/>
      <c r="K47" s="41"/>
      <c r="L47" s="42"/>
      <c r="M47" s="41"/>
      <c r="N47" s="41"/>
      <c r="O47" s="43"/>
      <c r="P47" s="61" t="str">
        <f t="shared" si="15"/>
        <v/>
      </c>
      <c r="Q47" s="61" t="str">
        <f t="shared" si="16"/>
        <v/>
      </c>
      <c r="R47" s="61" t="str">
        <f t="shared" si="17"/>
        <v/>
      </c>
      <c r="S47" s="61" t="str">
        <f t="shared" si="18"/>
        <v/>
      </c>
      <c r="T47" s="61" t="str">
        <f t="shared" si="19"/>
        <v/>
      </c>
      <c r="U47" s="61" t="str">
        <f t="shared" si="20"/>
        <v/>
      </c>
      <c r="V47" s="61" t="str">
        <f t="shared" si="21"/>
        <v/>
      </c>
      <c r="W47" s="61" t="str">
        <f t="shared" si="22"/>
        <v/>
      </c>
      <c r="X47" s="61" t="str">
        <f t="shared" si="23"/>
        <v/>
      </c>
      <c r="Y47" s="61" t="str">
        <f t="shared" si="24"/>
        <v/>
      </c>
      <c r="Z47" s="61" t="str">
        <f t="shared" si="25"/>
        <v/>
      </c>
      <c r="AA47" s="61" t="str">
        <f t="shared" si="26"/>
        <v/>
      </c>
      <c r="AB47" s="61" t="str">
        <f t="shared" si="27"/>
        <v/>
      </c>
      <c r="AC47" s="61" t="str">
        <f t="shared" si="28"/>
        <v/>
      </c>
      <c r="AD47" s="61" t="str">
        <f t="shared" si="29"/>
        <v/>
      </c>
    </row>
    <row r="48" spans="1:30" x14ac:dyDescent="0.25">
      <c r="A48" s="36"/>
      <c r="B48" s="38"/>
      <c r="C48" s="37"/>
      <c r="D48" s="37"/>
      <c r="E48" s="37"/>
      <c r="F48" s="37"/>
      <c r="G48" s="37"/>
      <c r="H48" s="37"/>
      <c r="I48" s="37"/>
      <c r="J48" s="37"/>
      <c r="K48" s="37"/>
      <c r="L48" s="38"/>
      <c r="M48" s="37"/>
      <c r="N48" s="37"/>
      <c r="O48" s="39"/>
      <c r="P48" s="61" t="str">
        <f t="shared" si="15"/>
        <v/>
      </c>
      <c r="Q48" s="61" t="str">
        <f t="shared" si="16"/>
        <v/>
      </c>
      <c r="R48" s="61" t="str">
        <f t="shared" si="17"/>
        <v/>
      </c>
      <c r="S48" s="61" t="str">
        <f t="shared" si="18"/>
        <v/>
      </c>
      <c r="T48" s="61" t="str">
        <f t="shared" si="19"/>
        <v/>
      </c>
      <c r="U48" s="61" t="str">
        <f t="shared" si="20"/>
        <v/>
      </c>
      <c r="V48" s="61" t="str">
        <f t="shared" si="21"/>
        <v/>
      </c>
      <c r="W48" s="61" t="str">
        <f t="shared" si="22"/>
        <v/>
      </c>
      <c r="X48" s="61" t="str">
        <f t="shared" si="23"/>
        <v/>
      </c>
      <c r="Y48" s="61" t="str">
        <f t="shared" si="24"/>
        <v/>
      </c>
      <c r="Z48" s="61" t="str">
        <f t="shared" si="25"/>
        <v/>
      </c>
      <c r="AA48" s="61" t="str">
        <f t="shared" si="26"/>
        <v/>
      </c>
      <c r="AB48" s="61" t="str">
        <f t="shared" si="27"/>
        <v/>
      </c>
      <c r="AC48" s="61" t="str">
        <f t="shared" si="28"/>
        <v/>
      </c>
      <c r="AD48" s="61" t="str">
        <f t="shared" si="29"/>
        <v/>
      </c>
    </row>
    <row r="49" spans="1:30" x14ac:dyDescent="0.25">
      <c r="A49" s="40"/>
      <c r="B49" s="42"/>
      <c r="C49" s="41"/>
      <c r="D49" s="41"/>
      <c r="E49" s="41"/>
      <c r="F49" s="41"/>
      <c r="G49" s="41"/>
      <c r="H49" s="41"/>
      <c r="I49" s="41"/>
      <c r="J49" s="41"/>
      <c r="K49" s="41"/>
      <c r="L49" s="42"/>
      <c r="M49" s="41"/>
      <c r="N49" s="41"/>
      <c r="O49" s="43"/>
      <c r="P49" s="61" t="str">
        <f t="shared" si="15"/>
        <v/>
      </c>
      <c r="Q49" s="61" t="str">
        <f t="shared" si="16"/>
        <v/>
      </c>
      <c r="R49" s="61" t="str">
        <f t="shared" si="17"/>
        <v/>
      </c>
      <c r="S49" s="61" t="str">
        <f t="shared" si="18"/>
        <v/>
      </c>
      <c r="T49" s="61" t="str">
        <f t="shared" si="19"/>
        <v/>
      </c>
      <c r="U49" s="61" t="str">
        <f t="shared" si="20"/>
        <v/>
      </c>
      <c r="V49" s="61" t="str">
        <f t="shared" si="21"/>
        <v/>
      </c>
      <c r="W49" s="61" t="str">
        <f t="shared" si="22"/>
        <v/>
      </c>
      <c r="X49" s="61" t="str">
        <f t="shared" si="23"/>
        <v/>
      </c>
      <c r="Y49" s="61" t="str">
        <f t="shared" si="24"/>
        <v/>
      </c>
      <c r="Z49" s="61" t="str">
        <f t="shared" si="25"/>
        <v/>
      </c>
      <c r="AA49" s="61" t="str">
        <f t="shared" si="26"/>
        <v/>
      </c>
      <c r="AB49" s="61" t="str">
        <f t="shared" si="27"/>
        <v/>
      </c>
      <c r="AC49" s="61" t="str">
        <f t="shared" si="28"/>
        <v/>
      </c>
      <c r="AD49" s="61" t="str">
        <f t="shared" si="29"/>
        <v/>
      </c>
    </row>
    <row r="50" spans="1:30" x14ac:dyDescent="0.25">
      <c r="A50" s="36"/>
      <c r="B50" s="38"/>
      <c r="C50" s="37"/>
      <c r="D50" s="37"/>
      <c r="E50" s="37"/>
      <c r="F50" s="37"/>
      <c r="G50" s="37"/>
      <c r="H50" s="37"/>
      <c r="I50" s="37"/>
      <c r="J50" s="37"/>
      <c r="K50" s="37"/>
      <c r="L50" s="38"/>
      <c r="M50" s="37"/>
      <c r="N50" s="37"/>
      <c r="O50" s="39"/>
      <c r="P50" s="61" t="str">
        <f t="shared" si="15"/>
        <v/>
      </c>
      <c r="Q50" s="61" t="str">
        <f t="shared" si="16"/>
        <v/>
      </c>
      <c r="R50" s="61" t="str">
        <f t="shared" si="17"/>
        <v/>
      </c>
      <c r="S50" s="61" t="str">
        <f t="shared" si="18"/>
        <v/>
      </c>
      <c r="T50" s="61" t="str">
        <f t="shared" si="19"/>
        <v/>
      </c>
      <c r="U50" s="61" t="str">
        <f t="shared" si="20"/>
        <v/>
      </c>
      <c r="V50" s="61" t="str">
        <f t="shared" si="21"/>
        <v/>
      </c>
      <c r="W50" s="61" t="str">
        <f t="shared" si="22"/>
        <v/>
      </c>
      <c r="X50" s="61" t="str">
        <f t="shared" si="23"/>
        <v/>
      </c>
      <c r="Y50" s="61" t="str">
        <f t="shared" si="24"/>
        <v/>
      </c>
      <c r="Z50" s="61" t="str">
        <f t="shared" si="25"/>
        <v/>
      </c>
      <c r="AA50" s="61" t="str">
        <f t="shared" si="26"/>
        <v/>
      </c>
      <c r="AB50" s="61" t="str">
        <f t="shared" si="27"/>
        <v/>
      </c>
      <c r="AC50" s="61" t="str">
        <f t="shared" si="28"/>
        <v/>
      </c>
      <c r="AD50" s="61" t="str">
        <f t="shared" si="29"/>
        <v/>
      </c>
    </row>
    <row r="51" spans="1:30" x14ac:dyDescent="0.25">
      <c r="A51" s="40"/>
      <c r="B51" s="42"/>
      <c r="C51" s="41"/>
      <c r="D51" s="41"/>
      <c r="E51" s="41"/>
      <c r="F51" s="41"/>
      <c r="G51" s="41"/>
      <c r="H51" s="41"/>
      <c r="I51" s="41"/>
      <c r="J51" s="41"/>
      <c r="K51" s="41"/>
      <c r="L51" s="42"/>
      <c r="M51" s="41"/>
      <c r="N51" s="41"/>
      <c r="O51" s="43"/>
      <c r="P51" s="61" t="str">
        <f t="shared" si="15"/>
        <v/>
      </c>
      <c r="Q51" s="61" t="str">
        <f t="shared" si="16"/>
        <v/>
      </c>
      <c r="R51" s="61" t="str">
        <f t="shared" si="17"/>
        <v/>
      </c>
      <c r="S51" s="61" t="str">
        <f t="shared" si="18"/>
        <v/>
      </c>
      <c r="T51" s="61" t="str">
        <f t="shared" si="19"/>
        <v/>
      </c>
      <c r="U51" s="61" t="str">
        <f t="shared" si="20"/>
        <v/>
      </c>
      <c r="V51" s="61" t="str">
        <f t="shared" si="21"/>
        <v/>
      </c>
      <c r="W51" s="61" t="str">
        <f t="shared" si="22"/>
        <v/>
      </c>
      <c r="X51" s="61" t="str">
        <f t="shared" si="23"/>
        <v/>
      </c>
      <c r="Y51" s="61" t="str">
        <f t="shared" si="24"/>
        <v/>
      </c>
      <c r="Z51" s="61" t="str">
        <f t="shared" si="25"/>
        <v/>
      </c>
      <c r="AA51" s="61" t="str">
        <f t="shared" si="26"/>
        <v/>
      </c>
      <c r="AB51" s="61" t="str">
        <f t="shared" si="27"/>
        <v/>
      </c>
      <c r="AC51" s="61" t="str">
        <f t="shared" si="28"/>
        <v/>
      </c>
      <c r="AD51" s="61" t="str">
        <f t="shared" si="29"/>
        <v/>
      </c>
    </row>
    <row r="52" spans="1:30" x14ac:dyDescent="0.25">
      <c r="A52" s="36"/>
      <c r="B52" s="38"/>
      <c r="C52" s="37"/>
      <c r="D52" s="37"/>
      <c r="E52" s="37"/>
      <c r="F52" s="37"/>
      <c r="G52" s="37"/>
      <c r="H52" s="37"/>
      <c r="I52" s="37"/>
      <c r="J52" s="37"/>
      <c r="K52" s="37"/>
      <c r="L52" s="38"/>
      <c r="M52" s="37"/>
      <c r="N52" s="37"/>
      <c r="O52" s="39"/>
      <c r="P52" s="61" t="str">
        <f t="shared" si="15"/>
        <v/>
      </c>
      <c r="Q52" s="61" t="str">
        <f t="shared" si="16"/>
        <v/>
      </c>
      <c r="R52" s="61" t="str">
        <f t="shared" si="17"/>
        <v/>
      </c>
      <c r="S52" s="61" t="str">
        <f t="shared" si="18"/>
        <v/>
      </c>
      <c r="T52" s="61" t="str">
        <f t="shared" si="19"/>
        <v/>
      </c>
      <c r="U52" s="61" t="str">
        <f t="shared" si="20"/>
        <v/>
      </c>
      <c r="V52" s="61" t="str">
        <f t="shared" si="21"/>
        <v/>
      </c>
      <c r="W52" s="61" t="str">
        <f t="shared" si="22"/>
        <v/>
      </c>
      <c r="X52" s="61" t="str">
        <f t="shared" si="23"/>
        <v/>
      </c>
      <c r="Y52" s="61" t="str">
        <f t="shared" si="24"/>
        <v/>
      </c>
      <c r="Z52" s="61" t="str">
        <f t="shared" si="25"/>
        <v/>
      </c>
      <c r="AA52" s="61" t="str">
        <f t="shared" si="26"/>
        <v/>
      </c>
      <c r="AB52" s="61" t="str">
        <f t="shared" si="27"/>
        <v/>
      </c>
      <c r="AC52" s="61" t="str">
        <f t="shared" si="28"/>
        <v/>
      </c>
      <c r="AD52" s="61" t="str">
        <f t="shared" si="29"/>
        <v/>
      </c>
    </row>
    <row r="53" spans="1:30" x14ac:dyDescent="0.25">
      <c r="A53" s="40"/>
      <c r="B53" s="42"/>
      <c r="C53" s="41"/>
      <c r="D53" s="41"/>
      <c r="E53" s="41"/>
      <c r="F53" s="41"/>
      <c r="G53" s="41"/>
      <c r="H53" s="41"/>
      <c r="I53" s="41"/>
      <c r="J53" s="41"/>
      <c r="K53" s="41"/>
      <c r="L53" s="42"/>
      <c r="M53" s="41"/>
      <c r="N53" s="41"/>
      <c r="O53" s="43"/>
      <c r="P53" s="61" t="str">
        <f t="shared" si="15"/>
        <v/>
      </c>
      <c r="Q53" s="61" t="str">
        <f t="shared" si="16"/>
        <v/>
      </c>
      <c r="R53" s="61" t="str">
        <f t="shared" si="17"/>
        <v/>
      </c>
      <c r="S53" s="61" t="str">
        <f t="shared" si="18"/>
        <v/>
      </c>
      <c r="T53" s="61" t="str">
        <f t="shared" si="19"/>
        <v/>
      </c>
      <c r="U53" s="61" t="str">
        <f t="shared" si="20"/>
        <v/>
      </c>
      <c r="V53" s="61" t="str">
        <f t="shared" si="21"/>
        <v/>
      </c>
      <c r="W53" s="61" t="str">
        <f t="shared" si="22"/>
        <v/>
      </c>
      <c r="X53" s="61" t="str">
        <f t="shared" si="23"/>
        <v/>
      </c>
      <c r="Y53" s="61" t="str">
        <f t="shared" si="24"/>
        <v/>
      </c>
      <c r="Z53" s="61" t="str">
        <f t="shared" si="25"/>
        <v/>
      </c>
      <c r="AA53" s="61" t="str">
        <f t="shared" si="26"/>
        <v/>
      </c>
      <c r="AB53" s="61" t="str">
        <f t="shared" si="27"/>
        <v/>
      </c>
      <c r="AC53" s="61" t="str">
        <f t="shared" si="28"/>
        <v/>
      </c>
      <c r="AD53" s="61" t="str">
        <f t="shared" si="29"/>
        <v/>
      </c>
    </row>
    <row r="54" spans="1:30" x14ac:dyDescent="0.25">
      <c r="A54" s="36"/>
      <c r="B54" s="38"/>
      <c r="C54" s="37"/>
      <c r="D54" s="37"/>
      <c r="E54" s="37"/>
      <c r="F54" s="37"/>
      <c r="G54" s="37"/>
      <c r="H54" s="37"/>
      <c r="I54" s="37"/>
      <c r="J54" s="37"/>
      <c r="K54" s="37"/>
      <c r="L54" s="38"/>
      <c r="M54" s="37"/>
      <c r="N54" s="37"/>
      <c r="O54" s="39"/>
      <c r="P54" s="61" t="str">
        <f t="shared" si="15"/>
        <v/>
      </c>
      <c r="Q54" s="61" t="str">
        <f t="shared" si="16"/>
        <v/>
      </c>
      <c r="R54" s="61" t="str">
        <f t="shared" si="17"/>
        <v/>
      </c>
      <c r="S54" s="61" t="str">
        <f t="shared" si="18"/>
        <v/>
      </c>
      <c r="T54" s="61" t="str">
        <f t="shared" si="19"/>
        <v/>
      </c>
      <c r="U54" s="61" t="str">
        <f t="shared" si="20"/>
        <v/>
      </c>
      <c r="V54" s="61" t="str">
        <f t="shared" si="21"/>
        <v/>
      </c>
      <c r="W54" s="61" t="str">
        <f t="shared" si="22"/>
        <v/>
      </c>
      <c r="X54" s="61" t="str">
        <f t="shared" si="23"/>
        <v/>
      </c>
      <c r="Y54" s="61" t="str">
        <f t="shared" si="24"/>
        <v/>
      </c>
      <c r="Z54" s="61" t="str">
        <f t="shared" si="25"/>
        <v/>
      </c>
      <c r="AA54" s="61" t="str">
        <f t="shared" si="26"/>
        <v/>
      </c>
      <c r="AB54" s="61" t="str">
        <f t="shared" si="27"/>
        <v/>
      </c>
      <c r="AC54" s="61" t="str">
        <f t="shared" si="28"/>
        <v/>
      </c>
      <c r="AD54" s="61" t="str">
        <f t="shared" si="29"/>
        <v/>
      </c>
    </row>
    <row r="55" spans="1:30" x14ac:dyDescent="0.25">
      <c r="A55" s="40"/>
      <c r="B55" s="42"/>
      <c r="C55" s="41"/>
      <c r="D55" s="41"/>
      <c r="E55" s="41"/>
      <c r="F55" s="41"/>
      <c r="G55" s="41"/>
      <c r="H55" s="41"/>
      <c r="I55" s="41"/>
      <c r="J55" s="41"/>
      <c r="K55" s="41"/>
      <c r="L55" s="42"/>
      <c r="M55" s="41"/>
      <c r="N55" s="41"/>
      <c r="O55" s="43"/>
      <c r="P55" s="61" t="str">
        <f t="shared" si="15"/>
        <v/>
      </c>
      <c r="Q55" s="61" t="str">
        <f t="shared" si="16"/>
        <v/>
      </c>
      <c r="R55" s="61" t="str">
        <f t="shared" si="17"/>
        <v/>
      </c>
      <c r="S55" s="61" t="str">
        <f t="shared" si="18"/>
        <v/>
      </c>
      <c r="T55" s="61" t="str">
        <f t="shared" si="19"/>
        <v/>
      </c>
      <c r="U55" s="61" t="str">
        <f t="shared" si="20"/>
        <v/>
      </c>
      <c r="V55" s="61" t="str">
        <f t="shared" si="21"/>
        <v/>
      </c>
      <c r="W55" s="61" t="str">
        <f t="shared" si="22"/>
        <v/>
      </c>
      <c r="X55" s="61" t="str">
        <f t="shared" si="23"/>
        <v/>
      </c>
      <c r="Y55" s="61" t="str">
        <f t="shared" si="24"/>
        <v/>
      </c>
      <c r="Z55" s="61" t="str">
        <f t="shared" si="25"/>
        <v/>
      </c>
      <c r="AA55" s="61" t="str">
        <f t="shared" si="26"/>
        <v/>
      </c>
      <c r="AB55" s="61" t="str">
        <f t="shared" si="27"/>
        <v/>
      </c>
      <c r="AC55" s="61" t="str">
        <f t="shared" si="28"/>
        <v/>
      </c>
      <c r="AD55" s="61" t="str">
        <f t="shared" si="29"/>
        <v/>
      </c>
    </row>
    <row r="56" spans="1:30" x14ac:dyDescent="0.25">
      <c r="A56" s="36"/>
      <c r="B56" s="38"/>
      <c r="C56" s="37"/>
      <c r="D56" s="37"/>
      <c r="E56" s="37"/>
      <c r="F56" s="37"/>
      <c r="G56" s="37"/>
      <c r="H56" s="37"/>
      <c r="I56" s="37"/>
      <c r="J56" s="37"/>
      <c r="K56" s="37"/>
      <c r="L56" s="38"/>
      <c r="M56" s="37"/>
      <c r="N56" s="37"/>
      <c r="O56" s="39"/>
      <c r="P56" s="61" t="str">
        <f t="shared" si="15"/>
        <v/>
      </c>
      <c r="Q56" s="61" t="str">
        <f t="shared" si="16"/>
        <v/>
      </c>
      <c r="R56" s="61" t="str">
        <f t="shared" si="17"/>
        <v/>
      </c>
      <c r="S56" s="61" t="str">
        <f t="shared" si="18"/>
        <v/>
      </c>
      <c r="T56" s="61" t="str">
        <f t="shared" si="19"/>
        <v/>
      </c>
      <c r="U56" s="61" t="str">
        <f t="shared" si="20"/>
        <v/>
      </c>
      <c r="V56" s="61" t="str">
        <f t="shared" si="21"/>
        <v/>
      </c>
      <c r="W56" s="61" t="str">
        <f t="shared" si="22"/>
        <v/>
      </c>
      <c r="X56" s="61" t="str">
        <f t="shared" si="23"/>
        <v/>
      </c>
      <c r="Y56" s="61" t="str">
        <f t="shared" si="24"/>
        <v/>
      </c>
      <c r="Z56" s="61" t="str">
        <f t="shared" si="25"/>
        <v/>
      </c>
      <c r="AA56" s="61" t="str">
        <f t="shared" si="26"/>
        <v/>
      </c>
      <c r="AB56" s="61" t="str">
        <f t="shared" si="27"/>
        <v/>
      </c>
      <c r="AC56" s="61" t="str">
        <f t="shared" si="28"/>
        <v/>
      </c>
      <c r="AD56" s="61" t="str">
        <f t="shared" si="29"/>
        <v/>
      </c>
    </row>
    <row r="57" spans="1:30" x14ac:dyDescent="0.25">
      <c r="A57" s="40"/>
      <c r="B57" s="42"/>
      <c r="C57" s="41"/>
      <c r="D57" s="41"/>
      <c r="E57" s="41"/>
      <c r="F57" s="41"/>
      <c r="G57" s="41"/>
      <c r="H57" s="41"/>
      <c r="I57" s="41"/>
      <c r="J57" s="41"/>
      <c r="K57" s="41"/>
      <c r="L57" s="42"/>
      <c r="M57" s="41"/>
      <c r="N57" s="41"/>
      <c r="O57" s="43"/>
      <c r="P57" s="61" t="str">
        <f t="shared" si="15"/>
        <v/>
      </c>
      <c r="Q57" s="61" t="str">
        <f t="shared" si="16"/>
        <v/>
      </c>
      <c r="R57" s="61" t="str">
        <f t="shared" si="17"/>
        <v/>
      </c>
      <c r="S57" s="61" t="str">
        <f t="shared" si="18"/>
        <v/>
      </c>
      <c r="T57" s="61" t="str">
        <f t="shared" si="19"/>
        <v/>
      </c>
      <c r="U57" s="61" t="str">
        <f t="shared" si="20"/>
        <v/>
      </c>
      <c r="V57" s="61" t="str">
        <f t="shared" si="21"/>
        <v/>
      </c>
      <c r="W57" s="61" t="str">
        <f t="shared" si="22"/>
        <v/>
      </c>
      <c r="X57" s="61" t="str">
        <f t="shared" si="23"/>
        <v/>
      </c>
      <c r="Y57" s="61" t="str">
        <f t="shared" si="24"/>
        <v/>
      </c>
      <c r="Z57" s="61" t="str">
        <f t="shared" si="25"/>
        <v/>
      </c>
      <c r="AA57" s="61" t="str">
        <f t="shared" si="26"/>
        <v/>
      </c>
      <c r="AB57" s="61" t="str">
        <f t="shared" si="27"/>
        <v/>
      </c>
      <c r="AC57" s="61" t="str">
        <f t="shared" si="28"/>
        <v/>
      </c>
      <c r="AD57" s="61" t="str">
        <f t="shared" si="29"/>
        <v/>
      </c>
    </row>
    <row r="58" spans="1:30" x14ac:dyDescent="0.25">
      <c r="A58" s="36"/>
      <c r="B58" s="38"/>
      <c r="C58" s="37"/>
      <c r="D58" s="37"/>
      <c r="E58" s="37"/>
      <c r="F58" s="37"/>
      <c r="G58" s="37"/>
      <c r="H58" s="37"/>
      <c r="I58" s="37"/>
      <c r="J58" s="37"/>
      <c r="K58" s="37"/>
      <c r="L58" s="38"/>
      <c r="M58" s="37"/>
      <c r="N58" s="37"/>
      <c r="O58" s="39"/>
      <c r="P58" s="61" t="str">
        <f t="shared" si="15"/>
        <v/>
      </c>
      <c r="Q58" s="61" t="str">
        <f t="shared" si="16"/>
        <v/>
      </c>
      <c r="R58" s="61" t="str">
        <f t="shared" si="17"/>
        <v/>
      </c>
      <c r="S58" s="61" t="str">
        <f t="shared" si="18"/>
        <v/>
      </c>
      <c r="T58" s="61" t="str">
        <f t="shared" si="19"/>
        <v/>
      </c>
      <c r="U58" s="61" t="str">
        <f t="shared" si="20"/>
        <v/>
      </c>
      <c r="V58" s="61" t="str">
        <f t="shared" si="21"/>
        <v/>
      </c>
      <c r="W58" s="61" t="str">
        <f t="shared" si="22"/>
        <v/>
      </c>
      <c r="X58" s="61" t="str">
        <f t="shared" si="23"/>
        <v/>
      </c>
      <c r="Y58" s="61" t="str">
        <f t="shared" si="24"/>
        <v/>
      </c>
      <c r="Z58" s="61" t="str">
        <f t="shared" si="25"/>
        <v/>
      </c>
      <c r="AA58" s="61" t="str">
        <f t="shared" si="26"/>
        <v/>
      </c>
      <c r="AB58" s="61" t="str">
        <f t="shared" si="27"/>
        <v/>
      </c>
      <c r="AC58" s="61" t="str">
        <f t="shared" si="28"/>
        <v/>
      </c>
      <c r="AD58" s="61" t="str">
        <f t="shared" si="29"/>
        <v/>
      </c>
    </row>
    <row r="59" spans="1:30" x14ac:dyDescent="0.25">
      <c r="A59" s="40"/>
      <c r="B59" s="42"/>
      <c r="C59" s="41"/>
      <c r="D59" s="41"/>
      <c r="E59" s="41"/>
      <c r="F59" s="41"/>
      <c r="G59" s="41"/>
      <c r="H59" s="41"/>
      <c r="I59" s="41"/>
      <c r="J59" s="41"/>
      <c r="K59" s="41"/>
      <c r="L59" s="42"/>
      <c r="M59" s="41"/>
      <c r="N59" s="41"/>
      <c r="O59" s="43"/>
      <c r="P59" s="61" t="str">
        <f t="shared" si="15"/>
        <v/>
      </c>
      <c r="Q59" s="61" t="str">
        <f t="shared" si="16"/>
        <v/>
      </c>
      <c r="R59" s="61" t="str">
        <f t="shared" si="17"/>
        <v/>
      </c>
      <c r="S59" s="61" t="str">
        <f t="shared" si="18"/>
        <v/>
      </c>
      <c r="T59" s="61" t="str">
        <f t="shared" si="19"/>
        <v/>
      </c>
      <c r="U59" s="61" t="str">
        <f t="shared" si="20"/>
        <v/>
      </c>
      <c r="V59" s="61" t="str">
        <f t="shared" si="21"/>
        <v/>
      </c>
      <c r="W59" s="61" t="str">
        <f t="shared" si="22"/>
        <v/>
      </c>
      <c r="X59" s="61" t="str">
        <f t="shared" si="23"/>
        <v/>
      </c>
      <c r="Y59" s="61" t="str">
        <f t="shared" si="24"/>
        <v/>
      </c>
      <c r="Z59" s="61" t="str">
        <f t="shared" si="25"/>
        <v/>
      </c>
      <c r="AA59" s="61" t="str">
        <f t="shared" si="26"/>
        <v/>
      </c>
      <c r="AB59" s="61" t="str">
        <f t="shared" si="27"/>
        <v/>
      </c>
      <c r="AC59" s="61" t="str">
        <f t="shared" si="28"/>
        <v/>
      </c>
      <c r="AD59" s="61" t="str">
        <f t="shared" si="29"/>
        <v/>
      </c>
    </row>
    <row r="60" spans="1:30" x14ac:dyDescent="0.25">
      <c r="A60" s="36"/>
      <c r="B60" s="38"/>
      <c r="C60" s="37"/>
      <c r="D60" s="37"/>
      <c r="E60" s="37"/>
      <c r="F60" s="37"/>
      <c r="G60" s="37"/>
      <c r="H60" s="37"/>
      <c r="I60" s="37"/>
      <c r="J60" s="37"/>
      <c r="K60" s="37"/>
      <c r="L60" s="38"/>
      <c r="M60" s="37"/>
      <c r="N60" s="37"/>
      <c r="O60" s="39"/>
      <c r="P60" s="61" t="str">
        <f t="shared" si="15"/>
        <v/>
      </c>
      <c r="Q60" s="61" t="str">
        <f t="shared" si="16"/>
        <v/>
      </c>
      <c r="R60" s="61" t="str">
        <f t="shared" si="17"/>
        <v/>
      </c>
      <c r="S60" s="61" t="str">
        <f t="shared" si="18"/>
        <v/>
      </c>
      <c r="T60" s="61" t="str">
        <f t="shared" si="19"/>
        <v/>
      </c>
      <c r="U60" s="61" t="str">
        <f t="shared" si="20"/>
        <v/>
      </c>
      <c r="V60" s="61" t="str">
        <f t="shared" si="21"/>
        <v/>
      </c>
      <c r="W60" s="61" t="str">
        <f t="shared" si="22"/>
        <v/>
      </c>
      <c r="X60" s="61" t="str">
        <f t="shared" si="23"/>
        <v/>
      </c>
      <c r="Y60" s="61" t="str">
        <f t="shared" si="24"/>
        <v/>
      </c>
      <c r="Z60" s="61" t="str">
        <f t="shared" si="25"/>
        <v/>
      </c>
      <c r="AA60" s="61" t="str">
        <f t="shared" si="26"/>
        <v/>
      </c>
      <c r="AB60" s="61" t="str">
        <f t="shared" si="27"/>
        <v/>
      </c>
      <c r="AC60" s="61" t="str">
        <f t="shared" si="28"/>
        <v/>
      </c>
      <c r="AD60" s="61" t="str">
        <f t="shared" si="29"/>
        <v/>
      </c>
    </row>
    <row r="61" spans="1:30" x14ac:dyDescent="0.25">
      <c r="A61" s="40"/>
      <c r="B61" s="42"/>
      <c r="C61" s="41"/>
      <c r="D61" s="41"/>
      <c r="E61" s="41"/>
      <c r="F61" s="41"/>
      <c r="G61" s="41"/>
      <c r="H61" s="41"/>
      <c r="I61" s="41"/>
      <c r="J61" s="41"/>
      <c r="K61" s="41"/>
      <c r="L61" s="42"/>
      <c r="M61" s="41"/>
      <c r="N61" s="41"/>
      <c r="O61" s="43"/>
      <c r="P61" s="61" t="str">
        <f t="shared" si="15"/>
        <v/>
      </c>
      <c r="Q61" s="61" t="str">
        <f t="shared" si="16"/>
        <v/>
      </c>
      <c r="R61" s="61" t="str">
        <f t="shared" si="17"/>
        <v/>
      </c>
      <c r="S61" s="61" t="str">
        <f t="shared" si="18"/>
        <v/>
      </c>
      <c r="T61" s="61" t="str">
        <f t="shared" si="19"/>
        <v/>
      </c>
      <c r="U61" s="61" t="str">
        <f t="shared" si="20"/>
        <v/>
      </c>
      <c r="V61" s="61" t="str">
        <f t="shared" si="21"/>
        <v/>
      </c>
      <c r="W61" s="61" t="str">
        <f t="shared" si="22"/>
        <v/>
      </c>
      <c r="X61" s="61" t="str">
        <f t="shared" si="23"/>
        <v/>
      </c>
      <c r="Y61" s="61" t="str">
        <f t="shared" si="24"/>
        <v/>
      </c>
      <c r="Z61" s="61" t="str">
        <f t="shared" si="25"/>
        <v/>
      </c>
      <c r="AA61" s="61" t="str">
        <f t="shared" si="26"/>
        <v/>
      </c>
      <c r="AB61" s="61" t="str">
        <f t="shared" si="27"/>
        <v/>
      </c>
      <c r="AC61" s="61" t="str">
        <f t="shared" si="28"/>
        <v/>
      </c>
      <c r="AD61" s="61" t="str">
        <f t="shared" si="29"/>
        <v/>
      </c>
    </row>
    <row r="62" spans="1:30" x14ac:dyDescent="0.25">
      <c r="A62" s="36"/>
      <c r="B62" s="38"/>
      <c r="C62" s="37"/>
      <c r="D62" s="37"/>
      <c r="E62" s="37"/>
      <c r="F62" s="37"/>
      <c r="G62" s="37"/>
      <c r="H62" s="37"/>
      <c r="I62" s="37"/>
      <c r="J62" s="37"/>
      <c r="K62" s="37"/>
      <c r="L62" s="38"/>
      <c r="M62" s="37"/>
      <c r="N62" s="37"/>
      <c r="O62" s="39"/>
      <c r="P62" s="61" t="str">
        <f t="shared" si="15"/>
        <v/>
      </c>
      <c r="Q62" s="61" t="str">
        <f t="shared" si="16"/>
        <v/>
      </c>
      <c r="R62" s="61" t="str">
        <f t="shared" si="17"/>
        <v/>
      </c>
      <c r="S62" s="61" t="str">
        <f t="shared" si="18"/>
        <v/>
      </c>
      <c r="T62" s="61" t="str">
        <f t="shared" si="19"/>
        <v/>
      </c>
      <c r="U62" s="61" t="str">
        <f t="shared" si="20"/>
        <v/>
      </c>
      <c r="V62" s="61" t="str">
        <f t="shared" si="21"/>
        <v/>
      </c>
      <c r="W62" s="61" t="str">
        <f t="shared" si="22"/>
        <v/>
      </c>
      <c r="X62" s="61" t="str">
        <f t="shared" si="23"/>
        <v/>
      </c>
      <c r="Y62" s="61" t="str">
        <f t="shared" si="24"/>
        <v/>
      </c>
      <c r="Z62" s="61" t="str">
        <f t="shared" si="25"/>
        <v/>
      </c>
      <c r="AA62" s="61" t="str">
        <f t="shared" si="26"/>
        <v/>
      </c>
      <c r="AB62" s="61" t="str">
        <f t="shared" si="27"/>
        <v/>
      </c>
      <c r="AC62" s="61" t="str">
        <f t="shared" si="28"/>
        <v/>
      </c>
      <c r="AD62" s="61" t="str">
        <f t="shared" si="29"/>
        <v/>
      </c>
    </row>
    <row r="63" spans="1:30" x14ac:dyDescent="0.25">
      <c r="A63" s="40"/>
      <c r="B63" s="42"/>
      <c r="C63" s="41"/>
      <c r="D63" s="41"/>
      <c r="E63" s="41"/>
      <c r="F63" s="41"/>
      <c r="G63" s="41"/>
      <c r="H63" s="41"/>
      <c r="I63" s="41"/>
      <c r="J63" s="41"/>
      <c r="K63" s="41"/>
      <c r="L63" s="42"/>
      <c r="M63" s="41"/>
      <c r="N63" s="41"/>
      <c r="O63" s="43"/>
      <c r="P63" s="61" t="str">
        <f t="shared" si="15"/>
        <v/>
      </c>
      <c r="Q63" s="61" t="str">
        <f t="shared" si="16"/>
        <v/>
      </c>
      <c r="R63" s="61" t="str">
        <f t="shared" si="17"/>
        <v/>
      </c>
      <c r="S63" s="61" t="str">
        <f t="shared" si="18"/>
        <v/>
      </c>
      <c r="T63" s="61" t="str">
        <f t="shared" si="19"/>
        <v/>
      </c>
      <c r="U63" s="61" t="str">
        <f t="shared" si="20"/>
        <v/>
      </c>
      <c r="V63" s="61" t="str">
        <f t="shared" si="21"/>
        <v/>
      </c>
      <c r="W63" s="61" t="str">
        <f t="shared" si="22"/>
        <v/>
      </c>
      <c r="X63" s="61" t="str">
        <f t="shared" si="23"/>
        <v/>
      </c>
      <c r="Y63" s="61" t="str">
        <f t="shared" si="24"/>
        <v/>
      </c>
      <c r="Z63" s="61" t="str">
        <f t="shared" si="25"/>
        <v/>
      </c>
      <c r="AA63" s="61" t="str">
        <f t="shared" si="26"/>
        <v/>
      </c>
      <c r="AB63" s="61" t="str">
        <f t="shared" si="27"/>
        <v/>
      </c>
      <c r="AC63" s="61" t="str">
        <f t="shared" si="28"/>
        <v/>
      </c>
      <c r="AD63" s="61" t="str">
        <f t="shared" si="29"/>
        <v/>
      </c>
    </row>
    <row r="64" spans="1:30" x14ac:dyDescent="0.25">
      <c r="A64" s="36"/>
      <c r="B64" s="38"/>
      <c r="C64" s="37"/>
      <c r="D64" s="37"/>
      <c r="E64" s="37"/>
      <c r="F64" s="37"/>
      <c r="G64" s="37"/>
      <c r="H64" s="37"/>
      <c r="I64" s="37"/>
      <c r="J64" s="37"/>
      <c r="K64" s="37"/>
      <c r="L64" s="38"/>
      <c r="M64" s="37"/>
      <c r="N64" s="37"/>
      <c r="O64" s="39"/>
      <c r="P64" s="61" t="str">
        <f t="shared" si="15"/>
        <v/>
      </c>
      <c r="Q64" s="61" t="str">
        <f t="shared" si="16"/>
        <v/>
      </c>
      <c r="R64" s="61" t="str">
        <f t="shared" si="17"/>
        <v/>
      </c>
      <c r="S64" s="61" t="str">
        <f t="shared" si="18"/>
        <v/>
      </c>
      <c r="T64" s="61" t="str">
        <f t="shared" si="19"/>
        <v/>
      </c>
      <c r="U64" s="61" t="str">
        <f t="shared" si="20"/>
        <v/>
      </c>
      <c r="V64" s="61" t="str">
        <f t="shared" si="21"/>
        <v/>
      </c>
      <c r="W64" s="61" t="str">
        <f t="shared" si="22"/>
        <v/>
      </c>
      <c r="X64" s="61" t="str">
        <f t="shared" si="23"/>
        <v/>
      </c>
      <c r="Y64" s="61" t="str">
        <f t="shared" si="24"/>
        <v/>
      </c>
      <c r="Z64" s="61" t="str">
        <f t="shared" si="25"/>
        <v/>
      </c>
      <c r="AA64" s="61" t="str">
        <f t="shared" si="26"/>
        <v/>
      </c>
      <c r="AB64" s="61" t="str">
        <f t="shared" si="27"/>
        <v/>
      </c>
      <c r="AC64" s="61" t="str">
        <f t="shared" si="28"/>
        <v/>
      </c>
      <c r="AD64" s="61" t="str">
        <f t="shared" si="29"/>
        <v/>
      </c>
    </row>
    <row r="65" spans="1:30" x14ac:dyDescent="0.25">
      <c r="A65" s="40"/>
      <c r="B65" s="42"/>
      <c r="C65" s="41"/>
      <c r="D65" s="41"/>
      <c r="E65" s="41"/>
      <c r="F65" s="41"/>
      <c r="G65" s="41"/>
      <c r="H65" s="41"/>
      <c r="I65" s="41"/>
      <c r="J65" s="41"/>
      <c r="K65" s="41"/>
      <c r="L65" s="42"/>
      <c r="M65" s="41"/>
      <c r="N65" s="41"/>
      <c r="O65" s="43"/>
      <c r="P65" s="61" t="str">
        <f t="shared" si="15"/>
        <v/>
      </c>
      <c r="Q65" s="61" t="str">
        <f t="shared" si="16"/>
        <v/>
      </c>
      <c r="R65" s="61" t="str">
        <f t="shared" si="17"/>
        <v/>
      </c>
      <c r="S65" s="61" t="str">
        <f t="shared" si="18"/>
        <v/>
      </c>
      <c r="T65" s="61" t="str">
        <f t="shared" si="19"/>
        <v/>
      </c>
      <c r="U65" s="61" t="str">
        <f t="shared" si="20"/>
        <v/>
      </c>
      <c r="V65" s="61" t="str">
        <f t="shared" si="21"/>
        <v/>
      </c>
      <c r="W65" s="61" t="str">
        <f t="shared" si="22"/>
        <v/>
      </c>
      <c r="X65" s="61" t="str">
        <f t="shared" si="23"/>
        <v/>
      </c>
      <c r="Y65" s="61" t="str">
        <f t="shared" si="24"/>
        <v/>
      </c>
      <c r="Z65" s="61" t="str">
        <f t="shared" si="25"/>
        <v/>
      </c>
      <c r="AA65" s="61" t="str">
        <f t="shared" si="26"/>
        <v/>
      </c>
      <c r="AB65" s="61" t="str">
        <f t="shared" si="27"/>
        <v/>
      </c>
      <c r="AC65" s="61" t="str">
        <f t="shared" si="28"/>
        <v/>
      </c>
      <c r="AD65" s="61" t="str">
        <f t="shared" si="29"/>
        <v/>
      </c>
    </row>
    <row r="66" spans="1:30" x14ac:dyDescent="0.25">
      <c r="A66" s="36"/>
      <c r="B66" s="38"/>
      <c r="C66" s="37"/>
      <c r="D66" s="37"/>
      <c r="E66" s="37"/>
      <c r="F66" s="37"/>
      <c r="G66" s="37"/>
      <c r="H66" s="37"/>
      <c r="I66" s="37"/>
      <c r="J66" s="37"/>
      <c r="K66" s="37"/>
      <c r="L66" s="38"/>
      <c r="M66" s="37"/>
      <c r="N66" s="37"/>
      <c r="O66" s="39"/>
      <c r="P66" s="61" t="str">
        <f t="shared" si="15"/>
        <v/>
      </c>
      <c r="Q66" s="61" t="str">
        <f t="shared" si="16"/>
        <v/>
      </c>
      <c r="R66" s="61" t="str">
        <f t="shared" si="17"/>
        <v/>
      </c>
      <c r="S66" s="61" t="str">
        <f t="shared" si="18"/>
        <v/>
      </c>
      <c r="T66" s="61" t="str">
        <f t="shared" si="19"/>
        <v/>
      </c>
      <c r="U66" s="61" t="str">
        <f t="shared" si="20"/>
        <v/>
      </c>
      <c r="V66" s="61" t="str">
        <f t="shared" si="21"/>
        <v/>
      </c>
      <c r="W66" s="61" t="str">
        <f t="shared" si="22"/>
        <v/>
      </c>
      <c r="X66" s="61" t="str">
        <f t="shared" si="23"/>
        <v/>
      </c>
      <c r="Y66" s="61" t="str">
        <f t="shared" si="24"/>
        <v/>
      </c>
      <c r="Z66" s="61" t="str">
        <f t="shared" si="25"/>
        <v/>
      </c>
      <c r="AA66" s="61" t="str">
        <f t="shared" si="26"/>
        <v/>
      </c>
      <c r="AB66" s="61" t="str">
        <f t="shared" si="27"/>
        <v/>
      </c>
      <c r="AC66" s="61" t="str">
        <f t="shared" si="28"/>
        <v/>
      </c>
      <c r="AD66" s="61" t="str">
        <f t="shared" si="29"/>
        <v/>
      </c>
    </row>
    <row r="67" spans="1:30" x14ac:dyDescent="0.25">
      <c r="A67" s="40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2"/>
      <c r="M67" s="41"/>
      <c r="N67" s="41"/>
      <c r="O67" s="43"/>
      <c r="P67" s="61" t="str">
        <f t="shared" si="15"/>
        <v/>
      </c>
      <c r="Q67" s="61" t="str">
        <f t="shared" si="16"/>
        <v/>
      </c>
      <c r="R67" s="61" t="str">
        <f t="shared" si="17"/>
        <v/>
      </c>
      <c r="S67" s="61" t="str">
        <f t="shared" si="18"/>
        <v/>
      </c>
      <c r="T67" s="61" t="str">
        <f t="shared" si="19"/>
        <v/>
      </c>
      <c r="U67" s="61" t="str">
        <f t="shared" si="20"/>
        <v/>
      </c>
      <c r="V67" s="61" t="str">
        <f t="shared" si="21"/>
        <v/>
      </c>
      <c r="W67" s="61" t="str">
        <f t="shared" si="22"/>
        <v/>
      </c>
      <c r="X67" s="61" t="str">
        <f t="shared" si="23"/>
        <v/>
      </c>
      <c r="Y67" s="61" t="str">
        <f t="shared" si="24"/>
        <v/>
      </c>
      <c r="Z67" s="61" t="str">
        <f t="shared" si="25"/>
        <v/>
      </c>
      <c r="AA67" s="61" t="str">
        <f t="shared" si="26"/>
        <v/>
      </c>
      <c r="AB67" s="61" t="str">
        <f t="shared" si="27"/>
        <v/>
      </c>
      <c r="AC67" s="61" t="str">
        <f t="shared" si="28"/>
        <v/>
      </c>
      <c r="AD67" s="61" t="str">
        <f t="shared" si="29"/>
        <v/>
      </c>
    </row>
    <row r="68" spans="1:30" x14ac:dyDescent="0.25">
      <c r="A68" s="36"/>
      <c r="B68" s="38"/>
      <c r="C68" s="37"/>
      <c r="D68" s="37"/>
      <c r="E68" s="37"/>
      <c r="F68" s="37"/>
      <c r="G68" s="37"/>
      <c r="H68" s="37"/>
      <c r="I68" s="37"/>
      <c r="J68" s="37"/>
      <c r="K68" s="37"/>
      <c r="L68" s="38"/>
      <c r="M68" s="37"/>
      <c r="N68" s="37"/>
      <c r="O68" s="39"/>
      <c r="P68" s="61" t="str">
        <f t="shared" si="15"/>
        <v/>
      </c>
      <c r="Q68" s="61" t="str">
        <f t="shared" si="16"/>
        <v/>
      </c>
      <c r="R68" s="61" t="str">
        <f t="shared" si="17"/>
        <v/>
      </c>
      <c r="S68" s="61" t="str">
        <f t="shared" si="18"/>
        <v/>
      </c>
      <c r="T68" s="61" t="str">
        <f t="shared" si="19"/>
        <v/>
      </c>
      <c r="U68" s="61" t="str">
        <f t="shared" si="20"/>
        <v/>
      </c>
      <c r="V68" s="61" t="str">
        <f t="shared" si="21"/>
        <v/>
      </c>
      <c r="W68" s="61" t="str">
        <f t="shared" si="22"/>
        <v/>
      </c>
      <c r="X68" s="61" t="str">
        <f t="shared" si="23"/>
        <v/>
      </c>
      <c r="Y68" s="61" t="str">
        <f t="shared" si="24"/>
        <v/>
      </c>
      <c r="Z68" s="61" t="str">
        <f t="shared" si="25"/>
        <v/>
      </c>
      <c r="AA68" s="61" t="str">
        <f t="shared" si="26"/>
        <v/>
      </c>
      <c r="AB68" s="61" t="str">
        <f t="shared" si="27"/>
        <v/>
      </c>
      <c r="AC68" s="61" t="str">
        <f t="shared" si="28"/>
        <v/>
      </c>
      <c r="AD68" s="61" t="str">
        <f t="shared" si="29"/>
        <v/>
      </c>
    </row>
    <row r="69" spans="1:30" x14ac:dyDescent="0.25">
      <c r="A69" s="40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2"/>
      <c r="M69" s="41"/>
      <c r="N69" s="41"/>
      <c r="O69" s="43"/>
      <c r="P69" s="61" t="str">
        <f t="shared" ref="P69:P100" si="30">IF(D69="","",IFERROR(_xlfn.TRANSLATE(D69,,"ja"),""))</f>
        <v/>
      </c>
      <c r="Q69" s="61" t="str">
        <f t="shared" ref="Q69:Q100" si="31">IF(D69="","",IFERROR(_xlfn.TRANSLATE(D69,,"zh-Hans"),""))</f>
        <v/>
      </c>
      <c r="R69" s="61" t="str">
        <f t="shared" ref="R69:R100" si="32">IF(D69="","",IFERROR(_xlfn.TRANSLATE(D69,,"vi"),""))</f>
        <v/>
      </c>
      <c r="S69" s="61" t="str">
        <f t="shared" ref="S69:S100" si="33">IF(E69="","",IFERROR(_xlfn.TRANSLATE(E69,,"ja"),""))</f>
        <v/>
      </c>
      <c r="T69" s="61" t="str">
        <f t="shared" ref="T69:T100" si="34">IF(E69="","",IFERROR(_xlfn.TRANSLATE(E69,,"zh-Hans"),""))</f>
        <v/>
      </c>
      <c r="U69" s="61" t="str">
        <f t="shared" ref="U69:U100" si="35">IF(E69="","",IFERROR(_xlfn.TRANSLATE(E69,,"vi"),""))</f>
        <v/>
      </c>
      <c r="V69" s="61" t="str">
        <f t="shared" ref="V69:V100" si="36">IF(F69="","",IFERROR(_xlfn.TRANSLATE(F69,,"ja"),""))</f>
        <v/>
      </c>
      <c r="W69" s="61" t="str">
        <f t="shared" ref="W69:W100" si="37">IF(F69="","",IFERROR(_xlfn.TRANSLATE(F69,,"zh-Hans"),""))</f>
        <v/>
      </c>
      <c r="X69" s="61" t="str">
        <f t="shared" ref="X69:X100" si="38">IF(F69="","",IFERROR(_xlfn.TRANSLATE(F69,,"vi"),""))</f>
        <v/>
      </c>
      <c r="Y69" s="61" t="str">
        <f t="shared" ref="Y69:Y100" si="39">IF(J69="","",IFERROR(_xlfn.TRANSLATE(J69,,"ja"),""))</f>
        <v/>
      </c>
      <c r="Z69" s="61" t="str">
        <f t="shared" ref="Z69:Z100" si="40">IF(J69="","",IFERROR(_xlfn.TRANSLATE(J69,,"zh-Hans"),""))</f>
        <v/>
      </c>
      <c r="AA69" s="61" t="str">
        <f t="shared" ref="AA69:AA100" si="41">IF(J69="","",IFERROR(_xlfn.TRANSLATE(J69,,"vi"),""))</f>
        <v/>
      </c>
      <c r="AB69" s="61" t="str">
        <f t="shared" ref="AB69:AB100" si="42">IF(O69="","",IFERROR(_xlfn.TRANSLATE(O69,,"ja"),""))</f>
        <v/>
      </c>
      <c r="AC69" s="61" t="str">
        <f t="shared" ref="AC69:AC100" si="43">IF(O69="","",IFERROR(_xlfn.TRANSLATE(O69,,"zh-Hans"),""))</f>
        <v/>
      </c>
      <c r="AD69" s="61" t="str">
        <f t="shared" ref="AD69:AD100" si="44">IF(O69="","",IFERROR(_xlfn.TRANSLATE(O69,,"vi"),""))</f>
        <v/>
      </c>
    </row>
    <row r="70" spans="1:30" x14ac:dyDescent="0.25">
      <c r="A70" s="36"/>
      <c r="B70" s="38"/>
      <c r="C70" s="37"/>
      <c r="D70" s="37"/>
      <c r="E70" s="37"/>
      <c r="F70" s="37"/>
      <c r="G70" s="37"/>
      <c r="H70" s="37"/>
      <c r="I70" s="37"/>
      <c r="J70" s="37"/>
      <c r="K70" s="37"/>
      <c r="L70" s="38"/>
      <c r="M70" s="37"/>
      <c r="N70" s="37"/>
      <c r="O70" s="39"/>
      <c r="P70" s="61" t="str">
        <f t="shared" si="30"/>
        <v/>
      </c>
      <c r="Q70" s="61" t="str">
        <f t="shared" si="31"/>
        <v/>
      </c>
      <c r="R70" s="61" t="str">
        <f t="shared" si="32"/>
        <v/>
      </c>
      <c r="S70" s="61" t="str">
        <f t="shared" si="33"/>
        <v/>
      </c>
      <c r="T70" s="61" t="str">
        <f t="shared" si="34"/>
        <v/>
      </c>
      <c r="U70" s="61" t="str">
        <f t="shared" si="35"/>
        <v/>
      </c>
      <c r="V70" s="61" t="str">
        <f t="shared" si="36"/>
        <v/>
      </c>
      <c r="W70" s="61" t="str">
        <f t="shared" si="37"/>
        <v/>
      </c>
      <c r="X70" s="61" t="str">
        <f t="shared" si="38"/>
        <v/>
      </c>
      <c r="Y70" s="61" t="str">
        <f t="shared" si="39"/>
        <v/>
      </c>
      <c r="Z70" s="61" t="str">
        <f t="shared" si="40"/>
        <v/>
      </c>
      <c r="AA70" s="61" t="str">
        <f t="shared" si="41"/>
        <v/>
      </c>
      <c r="AB70" s="61" t="str">
        <f t="shared" si="42"/>
        <v/>
      </c>
      <c r="AC70" s="61" t="str">
        <f t="shared" si="43"/>
        <v/>
      </c>
      <c r="AD70" s="61" t="str">
        <f t="shared" si="44"/>
        <v/>
      </c>
    </row>
    <row r="71" spans="1:30" x14ac:dyDescent="0.25">
      <c r="A71" s="40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2"/>
      <c r="M71" s="41"/>
      <c r="N71" s="41"/>
      <c r="O71" s="43"/>
      <c r="P71" s="61" t="str">
        <f t="shared" si="30"/>
        <v/>
      </c>
      <c r="Q71" s="61" t="str">
        <f t="shared" si="31"/>
        <v/>
      </c>
      <c r="R71" s="61" t="str">
        <f t="shared" si="32"/>
        <v/>
      </c>
      <c r="S71" s="61" t="str">
        <f t="shared" si="33"/>
        <v/>
      </c>
      <c r="T71" s="61" t="str">
        <f t="shared" si="34"/>
        <v/>
      </c>
      <c r="U71" s="61" t="str">
        <f t="shared" si="35"/>
        <v/>
      </c>
      <c r="V71" s="61" t="str">
        <f t="shared" si="36"/>
        <v/>
      </c>
      <c r="W71" s="61" t="str">
        <f t="shared" si="37"/>
        <v/>
      </c>
      <c r="X71" s="61" t="str">
        <f t="shared" si="38"/>
        <v/>
      </c>
      <c r="Y71" s="61" t="str">
        <f t="shared" si="39"/>
        <v/>
      </c>
      <c r="Z71" s="61" t="str">
        <f t="shared" si="40"/>
        <v/>
      </c>
      <c r="AA71" s="61" t="str">
        <f t="shared" si="41"/>
        <v/>
      </c>
      <c r="AB71" s="61" t="str">
        <f t="shared" si="42"/>
        <v/>
      </c>
      <c r="AC71" s="61" t="str">
        <f t="shared" si="43"/>
        <v/>
      </c>
      <c r="AD71" s="61" t="str">
        <f t="shared" si="44"/>
        <v/>
      </c>
    </row>
    <row r="72" spans="1:30" x14ac:dyDescent="0.25">
      <c r="A72" s="36"/>
      <c r="B72" s="38"/>
      <c r="C72" s="37"/>
      <c r="D72" s="37"/>
      <c r="E72" s="37"/>
      <c r="F72" s="37"/>
      <c r="G72" s="37"/>
      <c r="H72" s="37"/>
      <c r="I72" s="37"/>
      <c r="J72" s="37"/>
      <c r="K72" s="37"/>
      <c r="L72" s="38"/>
      <c r="M72" s="37"/>
      <c r="N72" s="37"/>
      <c r="O72" s="39"/>
      <c r="P72" s="61" t="str">
        <f t="shared" si="30"/>
        <v/>
      </c>
      <c r="Q72" s="61" t="str">
        <f t="shared" si="31"/>
        <v/>
      </c>
      <c r="R72" s="61" t="str">
        <f t="shared" si="32"/>
        <v/>
      </c>
      <c r="S72" s="61" t="str">
        <f t="shared" si="33"/>
        <v/>
      </c>
      <c r="T72" s="61" t="str">
        <f t="shared" si="34"/>
        <v/>
      </c>
      <c r="U72" s="61" t="str">
        <f t="shared" si="35"/>
        <v/>
      </c>
      <c r="V72" s="61" t="str">
        <f t="shared" si="36"/>
        <v/>
      </c>
      <c r="W72" s="61" t="str">
        <f t="shared" si="37"/>
        <v/>
      </c>
      <c r="X72" s="61" t="str">
        <f t="shared" si="38"/>
        <v/>
      </c>
      <c r="Y72" s="61" t="str">
        <f t="shared" si="39"/>
        <v/>
      </c>
      <c r="Z72" s="61" t="str">
        <f t="shared" si="40"/>
        <v/>
      </c>
      <c r="AA72" s="61" t="str">
        <f t="shared" si="41"/>
        <v/>
      </c>
      <c r="AB72" s="61" t="str">
        <f t="shared" si="42"/>
        <v/>
      </c>
      <c r="AC72" s="61" t="str">
        <f t="shared" si="43"/>
        <v/>
      </c>
      <c r="AD72" s="61" t="str">
        <f t="shared" si="44"/>
        <v/>
      </c>
    </row>
    <row r="73" spans="1:30" x14ac:dyDescent="0.25">
      <c r="A73" s="40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2"/>
      <c r="M73" s="41"/>
      <c r="N73" s="41"/>
      <c r="O73" s="43"/>
      <c r="P73" s="61" t="str">
        <f t="shared" si="30"/>
        <v/>
      </c>
      <c r="Q73" s="61" t="str">
        <f t="shared" si="31"/>
        <v/>
      </c>
      <c r="R73" s="61" t="str">
        <f t="shared" si="32"/>
        <v/>
      </c>
      <c r="S73" s="61" t="str">
        <f t="shared" si="33"/>
        <v/>
      </c>
      <c r="T73" s="61" t="str">
        <f t="shared" si="34"/>
        <v/>
      </c>
      <c r="U73" s="61" t="str">
        <f t="shared" si="35"/>
        <v/>
      </c>
      <c r="V73" s="61" t="str">
        <f t="shared" si="36"/>
        <v/>
      </c>
      <c r="W73" s="61" t="str">
        <f t="shared" si="37"/>
        <v/>
      </c>
      <c r="X73" s="61" t="str">
        <f t="shared" si="38"/>
        <v/>
      </c>
      <c r="Y73" s="61" t="str">
        <f t="shared" si="39"/>
        <v/>
      </c>
      <c r="Z73" s="61" t="str">
        <f t="shared" si="40"/>
        <v/>
      </c>
      <c r="AA73" s="61" t="str">
        <f t="shared" si="41"/>
        <v/>
      </c>
      <c r="AB73" s="61" t="str">
        <f t="shared" si="42"/>
        <v/>
      </c>
      <c r="AC73" s="61" t="str">
        <f t="shared" si="43"/>
        <v/>
      </c>
      <c r="AD73" s="61" t="str">
        <f t="shared" si="44"/>
        <v/>
      </c>
    </row>
    <row r="74" spans="1:30" x14ac:dyDescent="0.25">
      <c r="A74" s="36"/>
      <c r="B74" s="38"/>
      <c r="C74" s="37"/>
      <c r="D74" s="37"/>
      <c r="E74" s="37"/>
      <c r="F74" s="37"/>
      <c r="G74" s="37"/>
      <c r="H74" s="37"/>
      <c r="I74" s="37"/>
      <c r="J74" s="37"/>
      <c r="K74" s="37"/>
      <c r="L74" s="38"/>
      <c r="M74" s="37"/>
      <c r="N74" s="37"/>
      <c r="O74" s="39"/>
      <c r="P74" s="61" t="str">
        <f t="shared" si="30"/>
        <v/>
      </c>
      <c r="Q74" s="61" t="str">
        <f t="shared" si="31"/>
        <v/>
      </c>
      <c r="R74" s="61" t="str">
        <f t="shared" si="32"/>
        <v/>
      </c>
      <c r="S74" s="61" t="str">
        <f t="shared" si="33"/>
        <v/>
      </c>
      <c r="T74" s="61" t="str">
        <f t="shared" si="34"/>
        <v/>
      </c>
      <c r="U74" s="61" t="str">
        <f t="shared" si="35"/>
        <v/>
      </c>
      <c r="V74" s="61" t="str">
        <f t="shared" si="36"/>
        <v/>
      </c>
      <c r="W74" s="61" t="str">
        <f t="shared" si="37"/>
        <v/>
      </c>
      <c r="X74" s="61" t="str">
        <f t="shared" si="38"/>
        <v/>
      </c>
      <c r="Y74" s="61" t="str">
        <f t="shared" si="39"/>
        <v/>
      </c>
      <c r="Z74" s="61" t="str">
        <f t="shared" si="40"/>
        <v/>
      </c>
      <c r="AA74" s="61" t="str">
        <f t="shared" si="41"/>
        <v/>
      </c>
      <c r="AB74" s="61" t="str">
        <f t="shared" si="42"/>
        <v/>
      </c>
      <c r="AC74" s="61" t="str">
        <f t="shared" si="43"/>
        <v/>
      </c>
      <c r="AD74" s="61" t="str">
        <f t="shared" si="44"/>
        <v/>
      </c>
    </row>
    <row r="75" spans="1:30" x14ac:dyDescent="0.25">
      <c r="A75" s="40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2"/>
      <c r="M75" s="41"/>
      <c r="N75" s="41"/>
      <c r="O75" s="43"/>
      <c r="P75" s="61" t="str">
        <f t="shared" si="30"/>
        <v/>
      </c>
      <c r="Q75" s="61" t="str">
        <f t="shared" si="31"/>
        <v/>
      </c>
      <c r="R75" s="61" t="str">
        <f t="shared" si="32"/>
        <v/>
      </c>
      <c r="S75" s="61" t="str">
        <f t="shared" si="33"/>
        <v/>
      </c>
      <c r="T75" s="61" t="str">
        <f t="shared" si="34"/>
        <v/>
      </c>
      <c r="U75" s="61" t="str">
        <f t="shared" si="35"/>
        <v/>
      </c>
      <c r="V75" s="61" t="str">
        <f t="shared" si="36"/>
        <v/>
      </c>
      <c r="W75" s="61" t="str">
        <f t="shared" si="37"/>
        <v/>
      </c>
      <c r="X75" s="61" t="str">
        <f t="shared" si="38"/>
        <v/>
      </c>
      <c r="Y75" s="61" t="str">
        <f t="shared" si="39"/>
        <v/>
      </c>
      <c r="Z75" s="61" t="str">
        <f t="shared" si="40"/>
        <v/>
      </c>
      <c r="AA75" s="61" t="str">
        <f t="shared" si="41"/>
        <v/>
      </c>
      <c r="AB75" s="61" t="str">
        <f t="shared" si="42"/>
        <v/>
      </c>
      <c r="AC75" s="61" t="str">
        <f t="shared" si="43"/>
        <v/>
      </c>
      <c r="AD75" s="61" t="str">
        <f t="shared" si="44"/>
        <v/>
      </c>
    </row>
    <row r="76" spans="1:30" x14ac:dyDescent="0.25">
      <c r="A76" s="36"/>
      <c r="B76" s="38"/>
      <c r="C76" s="37"/>
      <c r="D76" s="37"/>
      <c r="E76" s="37"/>
      <c r="F76" s="37"/>
      <c r="G76" s="37"/>
      <c r="H76" s="37"/>
      <c r="I76" s="37"/>
      <c r="J76" s="37"/>
      <c r="K76" s="37"/>
      <c r="L76" s="38"/>
      <c r="M76" s="37"/>
      <c r="N76" s="37"/>
      <c r="O76" s="39"/>
      <c r="P76" s="61" t="str">
        <f t="shared" si="30"/>
        <v/>
      </c>
      <c r="Q76" s="61" t="str">
        <f t="shared" si="31"/>
        <v/>
      </c>
      <c r="R76" s="61" t="str">
        <f t="shared" si="32"/>
        <v/>
      </c>
      <c r="S76" s="61" t="str">
        <f t="shared" si="33"/>
        <v/>
      </c>
      <c r="T76" s="61" t="str">
        <f t="shared" si="34"/>
        <v/>
      </c>
      <c r="U76" s="61" t="str">
        <f t="shared" si="35"/>
        <v/>
      </c>
      <c r="V76" s="61" t="str">
        <f t="shared" si="36"/>
        <v/>
      </c>
      <c r="W76" s="61" t="str">
        <f t="shared" si="37"/>
        <v/>
      </c>
      <c r="X76" s="61" t="str">
        <f t="shared" si="38"/>
        <v/>
      </c>
      <c r="Y76" s="61" t="str">
        <f t="shared" si="39"/>
        <v/>
      </c>
      <c r="Z76" s="61" t="str">
        <f t="shared" si="40"/>
        <v/>
      </c>
      <c r="AA76" s="61" t="str">
        <f t="shared" si="41"/>
        <v/>
      </c>
      <c r="AB76" s="61" t="str">
        <f t="shared" si="42"/>
        <v/>
      </c>
      <c r="AC76" s="61" t="str">
        <f t="shared" si="43"/>
        <v/>
      </c>
      <c r="AD76" s="61" t="str">
        <f t="shared" si="44"/>
        <v/>
      </c>
    </row>
    <row r="77" spans="1:30" x14ac:dyDescent="0.25">
      <c r="A77" s="40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2"/>
      <c r="M77" s="41"/>
      <c r="N77" s="41"/>
      <c r="O77" s="43"/>
      <c r="P77" s="61" t="str">
        <f t="shared" si="30"/>
        <v/>
      </c>
      <c r="Q77" s="61" t="str">
        <f t="shared" si="31"/>
        <v/>
      </c>
      <c r="R77" s="61" t="str">
        <f t="shared" si="32"/>
        <v/>
      </c>
      <c r="S77" s="61" t="str">
        <f t="shared" si="33"/>
        <v/>
      </c>
      <c r="T77" s="61" t="str">
        <f t="shared" si="34"/>
        <v/>
      </c>
      <c r="U77" s="61" t="str">
        <f t="shared" si="35"/>
        <v/>
      </c>
      <c r="V77" s="61" t="str">
        <f t="shared" si="36"/>
        <v/>
      </c>
      <c r="W77" s="61" t="str">
        <f t="shared" si="37"/>
        <v/>
      </c>
      <c r="X77" s="61" t="str">
        <f t="shared" si="38"/>
        <v/>
      </c>
      <c r="Y77" s="61" t="str">
        <f t="shared" si="39"/>
        <v/>
      </c>
      <c r="Z77" s="61" t="str">
        <f t="shared" si="40"/>
        <v/>
      </c>
      <c r="AA77" s="61" t="str">
        <f t="shared" si="41"/>
        <v/>
      </c>
      <c r="AB77" s="61" t="str">
        <f t="shared" si="42"/>
        <v/>
      </c>
      <c r="AC77" s="61" t="str">
        <f t="shared" si="43"/>
        <v/>
      </c>
      <c r="AD77" s="61" t="str">
        <f t="shared" si="44"/>
        <v/>
      </c>
    </row>
    <row r="78" spans="1:30" x14ac:dyDescent="0.25">
      <c r="A78" s="36"/>
      <c r="B78" s="38"/>
      <c r="C78" s="37"/>
      <c r="D78" s="37"/>
      <c r="E78" s="37"/>
      <c r="F78" s="37"/>
      <c r="G78" s="37"/>
      <c r="H78" s="37"/>
      <c r="I78" s="37"/>
      <c r="J78" s="37"/>
      <c r="K78" s="37"/>
      <c r="L78" s="38"/>
      <c r="M78" s="37"/>
      <c r="N78" s="37"/>
      <c r="O78" s="39"/>
      <c r="P78" s="61" t="str">
        <f t="shared" si="30"/>
        <v/>
      </c>
      <c r="Q78" s="61" t="str">
        <f t="shared" si="31"/>
        <v/>
      </c>
      <c r="R78" s="61" t="str">
        <f t="shared" si="32"/>
        <v/>
      </c>
      <c r="S78" s="61" t="str">
        <f t="shared" si="33"/>
        <v/>
      </c>
      <c r="T78" s="61" t="str">
        <f t="shared" si="34"/>
        <v/>
      </c>
      <c r="U78" s="61" t="str">
        <f t="shared" si="35"/>
        <v/>
      </c>
      <c r="V78" s="61" t="str">
        <f t="shared" si="36"/>
        <v/>
      </c>
      <c r="W78" s="61" t="str">
        <f t="shared" si="37"/>
        <v/>
      </c>
      <c r="X78" s="61" t="str">
        <f t="shared" si="38"/>
        <v/>
      </c>
      <c r="Y78" s="61" t="str">
        <f t="shared" si="39"/>
        <v/>
      </c>
      <c r="Z78" s="61" t="str">
        <f t="shared" si="40"/>
        <v/>
      </c>
      <c r="AA78" s="61" t="str">
        <f t="shared" si="41"/>
        <v/>
      </c>
      <c r="AB78" s="61" t="str">
        <f t="shared" si="42"/>
        <v/>
      </c>
      <c r="AC78" s="61" t="str">
        <f t="shared" si="43"/>
        <v/>
      </c>
      <c r="AD78" s="61" t="str">
        <f t="shared" si="44"/>
        <v/>
      </c>
    </row>
    <row r="79" spans="1:30" x14ac:dyDescent="0.25">
      <c r="A79" s="40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2"/>
      <c r="M79" s="41"/>
      <c r="N79" s="41"/>
      <c r="O79" s="43"/>
      <c r="P79" s="61" t="str">
        <f t="shared" si="30"/>
        <v/>
      </c>
      <c r="Q79" s="61" t="str">
        <f t="shared" si="31"/>
        <v/>
      </c>
      <c r="R79" s="61" t="str">
        <f t="shared" si="32"/>
        <v/>
      </c>
      <c r="S79" s="61" t="str">
        <f t="shared" si="33"/>
        <v/>
      </c>
      <c r="T79" s="61" t="str">
        <f t="shared" si="34"/>
        <v/>
      </c>
      <c r="U79" s="61" t="str">
        <f t="shared" si="35"/>
        <v/>
      </c>
      <c r="V79" s="61" t="str">
        <f t="shared" si="36"/>
        <v/>
      </c>
      <c r="W79" s="61" t="str">
        <f t="shared" si="37"/>
        <v/>
      </c>
      <c r="X79" s="61" t="str">
        <f t="shared" si="38"/>
        <v/>
      </c>
      <c r="Y79" s="61" t="str">
        <f t="shared" si="39"/>
        <v/>
      </c>
      <c r="Z79" s="61" t="str">
        <f t="shared" si="40"/>
        <v/>
      </c>
      <c r="AA79" s="61" t="str">
        <f t="shared" si="41"/>
        <v/>
      </c>
      <c r="AB79" s="61" t="str">
        <f t="shared" si="42"/>
        <v/>
      </c>
      <c r="AC79" s="61" t="str">
        <f t="shared" si="43"/>
        <v/>
      </c>
      <c r="AD79" s="61" t="str">
        <f t="shared" si="44"/>
        <v/>
      </c>
    </row>
    <row r="80" spans="1:30" x14ac:dyDescent="0.25">
      <c r="A80" s="36"/>
      <c r="B80" s="38"/>
      <c r="C80" s="37"/>
      <c r="D80" s="37"/>
      <c r="E80" s="37"/>
      <c r="F80" s="37"/>
      <c r="G80" s="37"/>
      <c r="H80" s="37"/>
      <c r="I80" s="37"/>
      <c r="J80" s="37"/>
      <c r="K80" s="37"/>
      <c r="L80" s="38"/>
      <c r="M80" s="37"/>
      <c r="N80" s="37"/>
      <c r="O80" s="39"/>
      <c r="P80" s="61" t="str">
        <f t="shared" si="30"/>
        <v/>
      </c>
      <c r="Q80" s="61" t="str">
        <f t="shared" si="31"/>
        <v/>
      </c>
      <c r="R80" s="61" t="str">
        <f t="shared" si="32"/>
        <v/>
      </c>
      <c r="S80" s="61" t="str">
        <f t="shared" si="33"/>
        <v/>
      </c>
      <c r="T80" s="61" t="str">
        <f t="shared" si="34"/>
        <v/>
      </c>
      <c r="U80" s="61" t="str">
        <f t="shared" si="35"/>
        <v/>
      </c>
      <c r="V80" s="61" t="str">
        <f t="shared" si="36"/>
        <v/>
      </c>
      <c r="W80" s="61" t="str">
        <f t="shared" si="37"/>
        <v/>
      </c>
      <c r="X80" s="61" t="str">
        <f t="shared" si="38"/>
        <v/>
      </c>
      <c r="Y80" s="61" t="str">
        <f t="shared" si="39"/>
        <v/>
      </c>
      <c r="Z80" s="61" t="str">
        <f t="shared" si="40"/>
        <v/>
      </c>
      <c r="AA80" s="61" t="str">
        <f t="shared" si="41"/>
        <v/>
      </c>
      <c r="AB80" s="61" t="str">
        <f t="shared" si="42"/>
        <v/>
      </c>
      <c r="AC80" s="61" t="str">
        <f t="shared" si="43"/>
        <v/>
      </c>
      <c r="AD80" s="61" t="str">
        <f t="shared" si="44"/>
        <v/>
      </c>
    </row>
    <row r="81" spans="1:30" x14ac:dyDescent="0.25">
      <c r="A81" s="40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2"/>
      <c r="M81" s="41"/>
      <c r="N81" s="41"/>
      <c r="O81" s="43"/>
      <c r="P81" s="61" t="str">
        <f t="shared" si="30"/>
        <v/>
      </c>
      <c r="Q81" s="61" t="str">
        <f t="shared" si="31"/>
        <v/>
      </c>
      <c r="R81" s="61" t="str">
        <f t="shared" si="32"/>
        <v/>
      </c>
      <c r="S81" s="61" t="str">
        <f t="shared" si="33"/>
        <v/>
      </c>
      <c r="T81" s="61" t="str">
        <f t="shared" si="34"/>
        <v/>
      </c>
      <c r="U81" s="61" t="str">
        <f t="shared" si="35"/>
        <v/>
      </c>
      <c r="V81" s="61" t="str">
        <f t="shared" si="36"/>
        <v/>
      </c>
      <c r="W81" s="61" t="str">
        <f t="shared" si="37"/>
        <v/>
      </c>
      <c r="X81" s="61" t="str">
        <f t="shared" si="38"/>
        <v/>
      </c>
      <c r="Y81" s="61" t="str">
        <f t="shared" si="39"/>
        <v/>
      </c>
      <c r="Z81" s="61" t="str">
        <f t="shared" si="40"/>
        <v/>
      </c>
      <c r="AA81" s="61" t="str">
        <f t="shared" si="41"/>
        <v/>
      </c>
      <c r="AB81" s="61" t="str">
        <f t="shared" si="42"/>
        <v/>
      </c>
      <c r="AC81" s="61" t="str">
        <f t="shared" si="43"/>
        <v/>
      </c>
      <c r="AD81" s="61" t="str">
        <f t="shared" si="44"/>
        <v/>
      </c>
    </row>
    <row r="82" spans="1:30" x14ac:dyDescent="0.25">
      <c r="A82" s="36"/>
      <c r="B82" s="38"/>
      <c r="C82" s="37"/>
      <c r="D82" s="37"/>
      <c r="E82" s="37"/>
      <c r="F82" s="37"/>
      <c r="G82" s="37"/>
      <c r="H82" s="37"/>
      <c r="I82" s="37"/>
      <c r="J82" s="37"/>
      <c r="K82" s="37"/>
      <c r="L82" s="38"/>
      <c r="M82" s="37"/>
      <c r="N82" s="37"/>
      <c r="O82" s="39"/>
      <c r="P82" s="61" t="str">
        <f t="shared" si="30"/>
        <v/>
      </c>
      <c r="Q82" s="61" t="str">
        <f t="shared" si="31"/>
        <v/>
      </c>
      <c r="R82" s="61" t="str">
        <f t="shared" si="32"/>
        <v/>
      </c>
      <c r="S82" s="61" t="str">
        <f t="shared" si="33"/>
        <v/>
      </c>
      <c r="T82" s="61" t="str">
        <f t="shared" si="34"/>
        <v/>
      </c>
      <c r="U82" s="61" t="str">
        <f t="shared" si="35"/>
        <v/>
      </c>
      <c r="V82" s="61" t="str">
        <f t="shared" si="36"/>
        <v/>
      </c>
      <c r="W82" s="61" t="str">
        <f t="shared" si="37"/>
        <v/>
      </c>
      <c r="X82" s="61" t="str">
        <f t="shared" si="38"/>
        <v/>
      </c>
      <c r="Y82" s="61" t="str">
        <f t="shared" si="39"/>
        <v/>
      </c>
      <c r="Z82" s="61" t="str">
        <f t="shared" si="40"/>
        <v/>
      </c>
      <c r="AA82" s="61" t="str">
        <f t="shared" si="41"/>
        <v/>
      </c>
      <c r="AB82" s="61" t="str">
        <f t="shared" si="42"/>
        <v/>
      </c>
      <c r="AC82" s="61" t="str">
        <f t="shared" si="43"/>
        <v/>
      </c>
      <c r="AD82" s="61" t="str">
        <f t="shared" si="44"/>
        <v/>
      </c>
    </row>
    <row r="83" spans="1:30" x14ac:dyDescent="0.25">
      <c r="A83" s="40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2"/>
      <c r="M83" s="41"/>
      <c r="N83" s="41"/>
      <c r="O83" s="43"/>
      <c r="P83" s="61" t="str">
        <f t="shared" si="30"/>
        <v/>
      </c>
      <c r="Q83" s="61" t="str">
        <f t="shared" si="31"/>
        <v/>
      </c>
      <c r="R83" s="61" t="str">
        <f t="shared" si="32"/>
        <v/>
      </c>
      <c r="S83" s="61" t="str">
        <f t="shared" si="33"/>
        <v/>
      </c>
      <c r="T83" s="61" t="str">
        <f t="shared" si="34"/>
        <v/>
      </c>
      <c r="U83" s="61" t="str">
        <f t="shared" si="35"/>
        <v/>
      </c>
      <c r="V83" s="61" t="str">
        <f t="shared" si="36"/>
        <v/>
      </c>
      <c r="W83" s="61" t="str">
        <f t="shared" si="37"/>
        <v/>
      </c>
      <c r="X83" s="61" t="str">
        <f t="shared" si="38"/>
        <v/>
      </c>
      <c r="Y83" s="61" t="str">
        <f t="shared" si="39"/>
        <v/>
      </c>
      <c r="Z83" s="61" t="str">
        <f t="shared" si="40"/>
        <v/>
      </c>
      <c r="AA83" s="61" t="str">
        <f t="shared" si="41"/>
        <v/>
      </c>
      <c r="AB83" s="61" t="str">
        <f t="shared" si="42"/>
        <v/>
      </c>
      <c r="AC83" s="61" t="str">
        <f t="shared" si="43"/>
        <v/>
      </c>
      <c r="AD83" s="61" t="str">
        <f t="shared" si="44"/>
        <v/>
      </c>
    </row>
    <row r="84" spans="1:30" x14ac:dyDescent="0.25">
      <c r="A84" s="36"/>
      <c r="B84" s="38"/>
      <c r="C84" s="37"/>
      <c r="D84" s="37"/>
      <c r="E84" s="37"/>
      <c r="F84" s="37"/>
      <c r="G84" s="37"/>
      <c r="H84" s="37"/>
      <c r="I84" s="37"/>
      <c r="J84" s="37"/>
      <c r="K84" s="37"/>
      <c r="L84" s="38"/>
      <c r="M84" s="37"/>
      <c r="N84" s="37"/>
      <c r="O84" s="39"/>
      <c r="P84" s="61" t="str">
        <f t="shared" si="30"/>
        <v/>
      </c>
      <c r="Q84" s="61" t="str">
        <f t="shared" si="31"/>
        <v/>
      </c>
      <c r="R84" s="61" t="str">
        <f t="shared" si="32"/>
        <v/>
      </c>
      <c r="S84" s="61" t="str">
        <f t="shared" si="33"/>
        <v/>
      </c>
      <c r="T84" s="61" t="str">
        <f t="shared" si="34"/>
        <v/>
      </c>
      <c r="U84" s="61" t="str">
        <f t="shared" si="35"/>
        <v/>
      </c>
      <c r="V84" s="61" t="str">
        <f t="shared" si="36"/>
        <v/>
      </c>
      <c r="W84" s="61" t="str">
        <f t="shared" si="37"/>
        <v/>
      </c>
      <c r="X84" s="61" t="str">
        <f t="shared" si="38"/>
        <v/>
      </c>
      <c r="Y84" s="61" t="str">
        <f t="shared" si="39"/>
        <v/>
      </c>
      <c r="Z84" s="61" t="str">
        <f t="shared" si="40"/>
        <v/>
      </c>
      <c r="AA84" s="61" t="str">
        <f t="shared" si="41"/>
        <v/>
      </c>
      <c r="AB84" s="61" t="str">
        <f t="shared" si="42"/>
        <v/>
      </c>
      <c r="AC84" s="61" t="str">
        <f t="shared" si="43"/>
        <v/>
      </c>
      <c r="AD84" s="61" t="str">
        <f t="shared" si="44"/>
        <v/>
      </c>
    </row>
    <row r="85" spans="1:30" x14ac:dyDescent="0.25">
      <c r="A85" s="40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2"/>
      <c r="M85" s="41"/>
      <c r="N85" s="41"/>
      <c r="O85" s="43"/>
      <c r="P85" s="61" t="str">
        <f t="shared" si="30"/>
        <v/>
      </c>
      <c r="Q85" s="61" t="str">
        <f t="shared" si="31"/>
        <v/>
      </c>
      <c r="R85" s="61" t="str">
        <f t="shared" si="32"/>
        <v/>
      </c>
      <c r="S85" s="61" t="str">
        <f t="shared" si="33"/>
        <v/>
      </c>
      <c r="T85" s="61" t="str">
        <f t="shared" si="34"/>
        <v/>
      </c>
      <c r="U85" s="61" t="str">
        <f t="shared" si="35"/>
        <v/>
      </c>
      <c r="V85" s="61" t="str">
        <f t="shared" si="36"/>
        <v/>
      </c>
      <c r="W85" s="61" t="str">
        <f t="shared" si="37"/>
        <v/>
      </c>
      <c r="X85" s="61" t="str">
        <f t="shared" si="38"/>
        <v/>
      </c>
      <c r="Y85" s="61" t="str">
        <f t="shared" si="39"/>
        <v/>
      </c>
      <c r="Z85" s="61" t="str">
        <f t="shared" si="40"/>
        <v/>
      </c>
      <c r="AA85" s="61" t="str">
        <f t="shared" si="41"/>
        <v/>
      </c>
      <c r="AB85" s="61" t="str">
        <f t="shared" si="42"/>
        <v/>
      </c>
      <c r="AC85" s="61" t="str">
        <f t="shared" si="43"/>
        <v/>
      </c>
      <c r="AD85" s="61" t="str">
        <f t="shared" si="44"/>
        <v/>
      </c>
    </row>
    <row r="86" spans="1:30" x14ac:dyDescent="0.25">
      <c r="A86" s="36"/>
      <c r="B86" s="38"/>
      <c r="C86" s="37"/>
      <c r="D86" s="37"/>
      <c r="E86" s="37"/>
      <c r="F86" s="37"/>
      <c r="G86" s="37"/>
      <c r="H86" s="37"/>
      <c r="I86" s="37"/>
      <c r="J86" s="37"/>
      <c r="K86" s="37"/>
      <c r="L86" s="38"/>
      <c r="M86" s="37"/>
      <c r="N86" s="37"/>
      <c r="O86" s="39"/>
      <c r="P86" s="61" t="str">
        <f t="shared" si="30"/>
        <v/>
      </c>
      <c r="Q86" s="61" t="str">
        <f t="shared" si="31"/>
        <v/>
      </c>
      <c r="R86" s="61" t="str">
        <f t="shared" si="32"/>
        <v/>
      </c>
      <c r="S86" s="61" t="str">
        <f t="shared" si="33"/>
        <v/>
      </c>
      <c r="T86" s="61" t="str">
        <f t="shared" si="34"/>
        <v/>
      </c>
      <c r="U86" s="61" t="str">
        <f t="shared" si="35"/>
        <v/>
      </c>
      <c r="V86" s="61" t="str">
        <f t="shared" si="36"/>
        <v/>
      </c>
      <c r="W86" s="61" t="str">
        <f t="shared" si="37"/>
        <v/>
      </c>
      <c r="X86" s="61" t="str">
        <f t="shared" si="38"/>
        <v/>
      </c>
      <c r="Y86" s="61" t="str">
        <f t="shared" si="39"/>
        <v/>
      </c>
      <c r="Z86" s="61" t="str">
        <f t="shared" si="40"/>
        <v/>
      </c>
      <c r="AA86" s="61" t="str">
        <f t="shared" si="41"/>
        <v/>
      </c>
      <c r="AB86" s="61" t="str">
        <f t="shared" si="42"/>
        <v/>
      </c>
      <c r="AC86" s="61" t="str">
        <f t="shared" si="43"/>
        <v/>
      </c>
      <c r="AD86" s="61" t="str">
        <f t="shared" si="44"/>
        <v/>
      </c>
    </row>
    <row r="87" spans="1:30" x14ac:dyDescent="0.25">
      <c r="A87" s="40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2"/>
      <c r="M87" s="41"/>
      <c r="N87" s="41"/>
      <c r="O87" s="43"/>
      <c r="P87" s="61" t="str">
        <f t="shared" si="30"/>
        <v/>
      </c>
      <c r="Q87" s="61" t="str">
        <f t="shared" si="31"/>
        <v/>
      </c>
      <c r="R87" s="61" t="str">
        <f t="shared" si="32"/>
        <v/>
      </c>
      <c r="S87" s="61" t="str">
        <f t="shared" si="33"/>
        <v/>
      </c>
      <c r="T87" s="61" t="str">
        <f t="shared" si="34"/>
        <v/>
      </c>
      <c r="U87" s="61" t="str">
        <f t="shared" si="35"/>
        <v/>
      </c>
      <c r="V87" s="61" t="str">
        <f t="shared" si="36"/>
        <v/>
      </c>
      <c r="W87" s="61" t="str">
        <f t="shared" si="37"/>
        <v/>
      </c>
      <c r="X87" s="61" t="str">
        <f t="shared" si="38"/>
        <v/>
      </c>
      <c r="Y87" s="61" t="str">
        <f t="shared" si="39"/>
        <v/>
      </c>
      <c r="Z87" s="61" t="str">
        <f t="shared" si="40"/>
        <v/>
      </c>
      <c r="AA87" s="61" t="str">
        <f t="shared" si="41"/>
        <v/>
      </c>
      <c r="AB87" s="61" t="str">
        <f t="shared" si="42"/>
        <v/>
      </c>
      <c r="AC87" s="61" t="str">
        <f t="shared" si="43"/>
        <v/>
      </c>
      <c r="AD87" s="61" t="str">
        <f t="shared" si="44"/>
        <v/>
      </c>
    </row>
    <row r="88" spans="1:30" x14ac:dyDescent="0.25">
      <c r="A88" s="36"/>
      <c r="B88" s="38"/>
      <c r="C88" s="37"/>
      <c r="D88" s="37"/>
      <c r="E88" s="37"/>
      <c r="F88" s="37"/>
      <c r="G88" s="37"/>
      <c r="H88" s="37"/>
      <c r="I88" s="37"/>
      <c r="J88" s="37"/>
      <c r="K88" s="37"/>
      <c r="L88" s="38"/>
      <c r="M88" s="37"/>
      <c r="N88" s="37"/>
      <c r="O88" s="39"/>
      <c r="P88" s="61" t="str">
        <f t="shared" si="30"/>
        <v/>
      </c>
      <c r="Q88" s="61" t="str">
        <f t="shared" si="31"/>
        <v/>
      </c>
      <c r="R88" s="61" t="str">
        <f t="shared" si="32"/>
        <v/>
      </c>
      <c r="S88" s="61" t="str">
        <f t="shared" si="33"/>
        <v/>
      </c>
      <c r="T88" s="61" t="str">
        <f t="shared" si="34"/>
        <v/>
      </c>
      <c r="U88" s="61" t="str">
        <f t="shared" si="35"/>
        <v/>
      </c>
      <c r="V88" s="61" t="str">
        <f t="shared" si="36"/>
        <v/>
      </c>
      <c r="W88" s="61" t="str">
        <f t="shared" si="37"/>
        <v/>
      </c>
      <c r="X88" s="61" t="str">
        <f t="shared" si="38"/>
        <v/>
      </c>
      <c r="Y88" s="61" t="str">
        <f t="shared" si="39"/>
        <v/>
      </c>
      <c r="Z88" s="61" t="str">
        <f t="shared" si="40"/>
        <v/>
      </c>
      <c r="AA88" s="61" t="str">
        <f t="shared" si="41"/>
        <v/>
      </c>
      <c r="AB88" s="61" t="str">
        <f t="shared" si="42"/>
        <v/>
      </c>
      <c r="AC88" s="61" t="str">
        <f t="shared" si="43"/>
        <v/>
      </c>
      <c r="AD88" s="61" t="str">
        <f t="shared" si="44"/>
        <v/>
      </c>
    </row>
    <row r="89" spans="1:30" x14ac:dyDescent="0.25">
      <c r="A89" s="40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2"/>
      <c r="M89" s="41"/>
      <c r="N89" s="41"/>
      <c r="O89" s="43"/>
      <c r="P89" s="61" t="str">
        <f t="shared" si="30"/>
        <v/>
      </c>
      <c r="Q89" s="61" t="str">
        <f t="shared" si="31"/>
        <v/>
      </c>
      <c r="R89" s="61" t="str">
        <f t="shared" si="32"/>
        <v/>
      </c>
      <c r="S89" s="61" t="str">
        <f t="shared" si="33"/>
        <v/>
      </c>
      <c r="T89" s="61" t="str">
        <f t="shared" si="34"/>
        <v/>
      </c>
      <c r="U89" s="61" t="str">
        <f t="shared" si="35"/>
        <v/>
      </c>
      <c r="V89" s="61" t="str">
        <f t="shared" si="36"/>
        <v/>
      </c>
      <c r="W89" s="61" t="str">
        <f t="shared" si="37"/>
        <v/>
      </c>
      <c r="X89" s="61" t="str">
        <f t="shared" si="38"/>
        <v/>
      </c>
      <c r="Y89" s="61" t="str">
        <f t="shared" si="39"/>
        <v/>
      </c>
      <c r="Z89" s="61" t="str">
        <f t="shared" si="40"/>
        <v/>
      </c>
      <c r="AA89" s="61" t="str">
        <f t="shared" si="41"/>
        <v/>
      </c>
      <c r="AB89" s="61" t="str">
        <f t="shared" si="42"/>
        <v/>
      </c>
      <c r="AC89" s="61" t="str">
        <f t="shared" si="43"/>
        <v/>
      </c>
      <c r="AD89" s="61" t="str">
        <f t="shared" si="44"/>
        <v/>
      </c>
    </row>
    <row r="90" spans="1:30" x14ac:dyDescent="0.25">
      <c r="A90" s="36"/>
      <c r="B90" s="38"/>
      <c r="C90" s="37"/>
      <c r="D90" s="37"/>
      <c r="E90" s="37"/>
      <c r="F90" s="37"/>
      <c r="G90" s="37"/>
      <c r="H90" s="37"/>
      <c r="I90" s="37"/>
      <c r="J90" s="37"/>
      <c r="K90" s="37"/>
      <c r="L90" s="38"/>
      <c r="M90" s="37"/>
      <c r="N90" s="37"/>
      <c r="O90" s="39"/>
      <c r="P90" s="61" t="str">
        <f t="shared" si="30"/>
        <v/>
      </c>
      <c r="Q90" s="61" t="str">
        <f t="shared" si="31"/>
        <v/>
      </c>
      <c r="R90" s="61" t="str">
        <f t="shared" si="32"/>
        <v/>
      </c>
      <c r="S90" s="61" t="str">
        <f t="shared" si="33"/>
        <v/>
      </c>
      <c r="T90" s="61" t="str">
        <f t="shared" si="34"/>
        <v/>
      </c>
      <c r="U90" s="61" t="str">
        <f t="shared" si="35"/>
        <v/>
      </c>
      <c r="V90" s="61" t="str">
        <f t="shared" si="36"/>
        <v/>
      </c>
      <c r="W90" s="61" t="str">
        <f t="shared" si="37"/>
        <v/>
      </c>
      <c r="X90" s="61" t="str">
        <f t="shared" si="38"/>
        <v/>
      </c>
      <c r="Y90" s="61" t="str">
        <f t="shared" si="39"/>
        <v/>
      </c>
      <c r="Z90" s="61" t="str">
        <f t="shared" si="40"/>
        <v/>
      </c>
      <c r="AA90" s="61" t="str">
        <f t="shared" si="41"/>
        <v/>
      </c>
      <c r="AB90" s="61" t="str">
        <f t="shared" si="42"/>
        <v/>
      </c>
      <c r="AC90" s="61" t="str">
        <f t="shared" si="43"/>
        <v/>
      </c>
      <c r="AD90" s="61" t="str">
        <f t="shared" si="44"/>
        <v/>
      </c>
    </row>
    <row r="91" spans="1:30" x14ac:dyDescent="0.25">
      <c r="A91" s="40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2"/>
      <c r="M91" s="41"/>
      <c r="N91" s="41"/>
      <c r="O91" s="43"/>
      <c r="P91" s="61" t="str">
        <f t="shared" si="30"/>
        <v/>
      </c>
      <c r="Q91" s="61" t="str">
        <f t="shared" si="31"/>
        <v/>
      </c>
      <c r="R91" s="61" t="str">
        <f t="shared" si="32"/>
        <v/>
      </c>
      <c r="S91" s="61" t="str">
        <f t="shared" si="33"/>
        <v/>
      </c>
      <c r="T91" s="61" t="str">
        <f t="shared" si="34"/>
        <v/>
      </c>
      <c r="U91" s="61" t="str">
        <f t="shared" si="35"/>
        <v/>
      </c>
      <c r="V91" s="61" t="str">
        <f t="shared" si="36"/>
        <v/>
      </c>
      <c r="W91" s="61" t="str">
        <f t="shared" si="37"/>
        <v/>
      </c>
      <c r="X91" s="61" t="str">
        <f t="shared" si="38"/>
        <v/>
      </c>
      <c r="Y91" s="61" t="str">
        <f t="shared" si="39"/>
        <v/>
      </c>
      <c r="Z91" s="61" t="str">
        <f t="shared" si="40"/>
        <v/>
      </c>
      <c r="AA91" s="61" t="str">
        <f t="shared" si="41"/>
        <v/>
      </c>
      <c r="AB91" s="61" t="str">
        <f t="shared" si="42"/>
        <v/>
      </c>
      <c r="AC91" s="61" t="str">
        <f t="shared" si="43"/>
        <v/>
      </c>
      <c r="AD91" s="61" t="str">
        <f t="shared" si="44"/>
        <v/>
      </c>
    </row>
    <row r="92" spans="1:30" x14ac:dyDescent="0.25">
      <c r="A92" s="36"/>
      <c r="B92" s="38"/>
      <c r="C92" s="37"/>
      <c r="D92" s="37"/>
      <c r="E92" s="37"/>
      <c r="F92" s="37"/>
      <c r="G92" s="37"/>
      <c r="H92" s="37"/>
      <c r="I92" s="37"/>
      <c r="J92" s="37"/>
      <c r="K92" s="37"/>
      <c r="L92" s="38"/>
      <c r="M92" s="37"/>
      <c r="N92" s="37"/>
      <c r="O92" s="39"/>
      <c r="P92" s="61" t="str">
        <f t="shared" si="30"/>
        <v/>
      </c>
      <c r="Q92" s="61" t="str">
        <f t="shared" si="31"/>
        <v/>
      </c>
      <c r="R92" s="61" t="str">
        <f t="shared" si="32"/>
        <v/>
      </c>
      <c r="S92" s="61" t="str">
        <f t="shared" si="33"/>
        <v/>
      </c>
      <c r="T92" s="61" t="str">
        <f t="shared" si="34"/>
        <v/>
      </c>
      <c r="U92" s="61" t="str">
        <f t="shared" si="35"/>
        <v/>
      </c>
      <c r="V92" s="61" t="str">
        <f t="shared" si="36"/>
        <v/>
      </c>
      <c r="W92" s="61" t="str">
        <f t="shared" si="37"/>
        <v/>
      </c>
      <c r="X92" s="61" t="str">
        <f t="shared" si="38"/>
        <v/>
      </c>
      <c r="Y92" s="61" t="str">
        <f t="shared" si="39"/>
        <v/>
      </c>
      <c r="Z92" s="61" t="str">
        <f t="shared" si="40"/>
        <v/>
      </c>
      <c r="AA92" s="61" t="str">
        <f t="shared" si="41"/>
        <v/>
      </c>
      <c r="AB92" s="61" t="str">
        <f t="shared" si="42"/>
        <v/>
      </c>
      <c r="AC92" s="61" t="str">
        <f t="shared" si="43"/>
        <v/>
      </c>
      <c r="AD92" s="61" t="str">
        <f t="shared" si="44"/>
        <v/>
      </c>
    </row>
    <row r="93" spans="1:30" x14ac:dyDescent="0.25">
      <c r="A93" s="40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2"/>
      <c r="M93" s="41"/>
      <c r="N93" s="41"/>
      <c r="O93" s="43"/>
      <c r="P93" s="61" t="str">
        <f t="shared" si="30"/>
        <v/>
      </c>
      <c r="Q93" s="61" t="str">
        <f t="shared" si="31"/>
        <v/>
      </c>
      <c r="R93" s="61" t="str">
        <f t="shared" si="32"/>
        <v/>
      </c>
      <c r="S93" s="61" t="str">
        <f t="shared" si="33"/>
        <v/>
      </c>
      <c r="T93" s="61" t="str">
        <f t="shared" si="34"/>
        <v/>
      </c>
      <c r="U93" s="61" t="str">
        <f t="shared" si="35"/>
        <v/>
      </c>
      <c r="V93" s="61" t="str">
        <f t="shared" si="36"/>
        <v/>
      </c>
      <c r="W93" s="61" t="str">
        <f t="shared" si="37"/>
        <v/>
      </c>
      <c r="X93" s="61" t="str">
        <f t="shared" si="38"/>
        <v/>
      </c>
      <c r="Y93" s="61" t="str">
        <f t="shared" si="39"/>
        <v/>
      </c>
      <c r="Z93" s="61" t="str">
        <f t="shared" si="40"/>
        <v/>
      </c>
      <c r="AA93" s="61" t="str">
        <f t="shared" si="41"/>
        <v/>
      </c>
      <c r="AB93" s="61" t="str">
        <f t="shared" si="42"/>
        <v/>
      </c>
      <c r="AC93" s="61" t="str">
        <f t="shared" si="43"/>
        <v/>
      </c>
      <c r="AD93" s="61" t="str">
        <f t="shared" si="44"/>
        <v/>
      </c>
    </row>
    <row r="94" spans="1:30" x14ac:dyDescent="0.25">
      <c r="A94" s="36"/>
      <c r="B94" s="38"/>
      <c r="C94" s="37"/>
      <c r="D94" s="37"/>
      <c r="E94" s="37"/>
      <c r="F94" s="37"/>
      <c r="G94" s="37"/>
      <c r="H94" s="37"/>
      <c r="I94" s="37"/>
      <c r="J94" s="37"/>
      <c r="K94" s="37"/>
      <c r="L94" s="38"/>
      <c r="M94" s="37"/>
      <c r="N94" s="37"/>
      <c r="O94" s="39"/>
      <c r="P94" s="61" t="str">
        <f t="shared" si="30"/>
        <v/>
      </c>
      <c r="Q94" s="61" t="str">
        <f t="shared" si="31"/>
        <v/>
      </c>
      <c r="R94" s="61" t="str">
        <f t="shared" si="32"/>
        <v/>
      </c>
      <c r="S94" s="61" t="str">
        <f t="shared" si="33"/>
        <v/>
      </c>
      <c r="T94" s="61" t="str">
        <f t="shared" si="34"/>
        <v/>
      </c>
      <c r="U94" s="61" t="str">
        <f t="shared" si="35"/>
        <v/>
      </c>
      <c r="V94" s="61" t="str">
        <f t="shared" si="36"/>
        <v/>
      </c>
      <c r="W94" s="61" t="str">
        <f t="shared" si="37"/>
        <v/>
      </c>
      <c r="X94" s="61" t="str">
        <f t="shared" si="38"/>
        <v/>
      </c>
      <c r="Y94" s="61" t="str">
        <f t="shared" si="39"/>
        <v/>
      </c>
      <c r="Z94" s="61" t="str">
        <f t="shared" si="40"/>
        <v/>
      </c>
      <c r="AA94" s="61" t="str">
        <f t="shared" si="41"/>
        <v/>
      </c>
      <c r="AB94" s="61" t="str">
        <f t="shared" si="42"/>
        <v/>
      </c>
      <c r="AC94" s="61" t="str">
        <f t="shared" si="43"/>
        <v/>
      </c>
      <c r="AD94" s="61" t="str">
        <f t="shared" si="44"/>
        <v/>
      </c>
    </row>
    <row r="95" spans="1:30" x14ac:dyDescent="0.25">
      <c r="A95" s="40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2"/>
      <c r="M95" s="41"/>
      <c r="N95" s="41"/>
      <c r="O95" s="43"/>
      <c r="P95" s="61" t="str">
        <f t="shared" si="30"/>
        <v/>
      </c>
      <c r="Q95" s="61" t="str">
        <f t="shared" si="31"/>
        <v/>
      </c>
      <c r="R95" s="61" t="str">
        <f t="shared" si="32"/>
        <v/>
      </c>
      <c r="S95" s="61" t="str">
        <f t="shared" si="33"/>
        <v/>
      </c>
      <c r="T95" s="61" t="str">
        <f t="shared" si="34"/>
        <v/>
      </c>
      <c r="U95" s="61" t="str">
        <f t="shared" si="35"/>
        <v/>
      </c>
      <c r="V95" s="61" t="str">
        <f t="shared" si="36"/>
        <v/>
      </c>
      <c r="W95" s="61" t="str">
        <f t="shared" si="37"/>
        <v/>
      </c>
      <c r="X95" s="61" t="str">
        <f t="shared" si="38"/>
        <v/>
      </c>
      <c r="Y95" s="61" t="str">
        <f t="shared" si="39"/>
        <v/>
      </c>
      <c r="Z95" s="61" t="str">
        <f t="shared" si="40"/>
        <v/>
      </c>
      <c r="AA95" s="61" t="str">
        <f t="shared" si="41"/>
        <v/>
      </c>
      <c r="AB95" s="61" t="str">
        <f t="shared" si="42"/>
        <v/>
      </c>
      <c r="AC95" s="61" t="str">
        <f t="shared" si="43"/>
        <v/>
      </c>
      <c r="AD95" s="61" t="str">
        <f t="shared" si="44"/>
        <v/>
      </c>
    </row>
    <row r="96" spans="1:30" x14ac:dyDescent="0.25">
      <c r="A96" s="36"/>
      <c r="B96" s="38"/>
      <c r="C96" s="37"/>
      <c r="D96" s="37"/>
      <c r="E96" s="37"/>
      <c r="F96" s="37"/>
      <c r="G96" s="37"/>
      <c r="H96" s="37"/>
      <c r="I96" s="37"/>
      <c r="J96" s="37"/>
      <c r="K96" s="37"/>
      <c r="L96" s="38"/>
      <c r="M96" s="37"/>
      <c r="N96" s="37"/>
      <c r="O96" s="39"/>
      <c r="P96" s="61" t="str">
        <f t="shared" si="30"/>
        <v/>
      </c>
      <c r="Q96" s="61" t="str">
        <f t="shared" si="31"/>
        <v/>
      </c>
      <c r="R96" s="61" t="str">
        <f t="shared" si="32"/>
        <v/>
      </c>
      <c r="S96" s="61" t="str">
        <f t="shared" si="33"/>
        <v/>
      </c>
      <c r="T96" s="61" t="str">
        <f t="shared" si="34"/>
        <v/>
      </c>
      <c r="U96" s="61" t="str">
        <f t="shared" si="35"/>
        <v/>
      </c>
      <c r="V96" s="61" t="str">
        <f t="shared" si="36"/>
        <v/>
      </c>
      <c r="W96" s="61" t="str">
        <f t="shared" si="37"/>
        <v/>
      </c>
      <c r="X96" s="61" t="str">
        <f t="shared" si="38"/>
        <v/>
      </c>
      <c r="Y96" s="61" t="str">
        <f t="shared" si="39"/>
        <v/>
      </c>
      <c r="Z96" s="61" t="str">
        <f t="shared" si="40"/>
        <v/>
      </c>
      <c r="AA96" s="61" t="str">
        <f t="shared" si="41"/>
        <v/>
      </c>
      <c r="AB96" s="61" t="str">
        <f t="shared" si="42"/>
        <v/>
      </c>
      <c r="AC96" s="61" t="str">
        <f t="shared" si="43"/>
        <v/>
      </c>
      <c r="AD96" s="61" t="str">
        <f t="shared" si="44"/>
        <v/>
      </c>
    </row>
    <row r="97" spans="1:30" x14ac:dyDescent="0.25">
      <c r="A97" s="40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2"/>
      <c r="M97" s="41"/>
      <c r="N97" s="41"/>
      <c r="O97" s="43"/>
      <c r="P97" s="61" t="str">
        <f t="shared" si="30"/>
        <v/>
      </c>
      <c r="Q97" s="61" t="str">
        <f t="shared" si="31"/>
        <v/>
      </c>
      <c r="R97" s="61" t="str">
        <f t="shared" si="32"/>
        <v/>
      </c>
      <c r="S97" s="61" t="str">
        <f t="shared" si="33"/>
        <v/>
      </c>
      <c r="T97" s="61" t="str">
        <f t="shared" si="34"/>
        <v/>
      </c>
      <c r="U97" s="61" t="str">
        <f t="shared" si="35"/>
        <v/>
      </c>
      <c r="V97" s="61" t="str">
        <f t="shared" si="36"/>
        <v/>
      </c>
      <c r="W97" s="61" t="str">
        <f t="shared" si="37"/>
        <v/>
      </c>
      <c r="X97" s="61" t="str">
        <f t="shared" si="38"/>
        <v/>
      </c>
      <c r="Y97" s="61" t="str">
        <f t="shared" si="39"/>
        <v/>
      </c>
      <c r="Z97" s="61" t="str">
        <f t="shared" si="40"/>
        <v/>
      </c>
      <c r="AA97" s="61" t="str">
        <f t="shared" si="41"/>
        <v/>
      </c>
      <c r="AB97" s="61" t="str">
        <f t="shared" si="42"/>
        <v/>
      </c>
      <c r="AC97" s="61" t="str">
        <f t="shared" si="43"/>
        <v/>
      </c>
      <c r="AD97" s="61" t="str">
        <f t="shared" si="44"/>
        <v/>
      </c>
    </row>
    <row r="98" spans="1:30" x14ac:dyDescent="0.25">
      <c r="A98" s="36"/>
      <c r="B98" s="38"/>
      <c r="C98" s="37"/>
      <c r="D98" s="37"/>
      <c r="E98" s="37"/>
      <c r="F98" s="37"/>
      <c r="G98" s="37"/>
      <c r="H98" s="37"/>
      <c r="I98" s="37"/>
      <c r="J98" s="37"/>
      <c r="K98" s="37"/>
      <c r="L98" s="38"/>
      <c r="M98" s="37"/>
      <c r="N98" s="37"/>
      <c r="O98" s="39"/>
      <c r="P98" s="61" t="str">
        <f t="shared" si="30"/>
        <v/>
      </c>
      <c r="Q98" s="61" t="str">
        <f t="shared" si="31"/>
        <v/>
      </c>
      <c r="R98" s="61" t="str">
        <f t="shared" si="32"/>
        <v/>
      </c>
      <c r="S98" s="61" t="str">
        <f t="shared" si="33"/>
        <v/>
      </c>
      <c r="T98" s="61" t="str">
        <f t="shared" si="34"/>
        <v/>
      </c>
      <c r="U98" s="61" t="str">
        <f t="shared" si="35"/>
        <v/>
      </c>
      <c r="V98" s="61" t="str">
        <f t="shared" si="36"/>
        <v/>
      </c>
      <c r="W98" s="61" t="str">
        <f t="shared" si="37"/>
        <v/>
      </c>
      <c r="X98" s="61" t="str">
        <f t="shared" si="38"/>
        <v/>
      </c>
      <c r="Y98" s="61" t="str">
        <f t="shared" si="39"/>
        <v/>
      </c>
      <c r="Z98" s="61" t="str">
        <f t="shared" si="40"/>
        <v/>
      </c>
      <c r="AA98" s="61" t="str">
        <f t="shared" si="41"/>
        <v/>
      </c>
      <c r="AB98" s="61" t="str">
        <f t="shared" si="42"/>
        <v/>
      </c>
      <c r="AC98" s="61" t="str">
        <f t="shared" si="43"/>
        <v/>
      </c>
      <c r="AD98" s="61" t="str">
        <f t="shared" si="44"/>
        <v/>
      </c>
    </row>
    <row r="99" spans="1:30" x14ac:dyDescent="0.25">
      <c r="A99" s="40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2"/>
      <c r="M99" s="41"/>
      <c r="N99" s="41"/>
      <c r="O99" s="43"/>
      <c r="P99" s="61" t="str">
        <f t="shared" si="30"/>
        <v/>
      </c>
      <c r="Q99" s="61" t="str">
        <f t="shared" si="31"/>
        <v/>
      </c>
      <c r="R99" s="61" t="str">
        <f t="shared" si="32"/>
        <v/>
      </c>
      <c r="S99" s="61" t="str">
        <f t="shared" si="33"/>
        <v/>
      </c>
      <c r="T99" s="61" t="str">
        <f t="shared" si="34"/>
        <v/>
      </c>
      <c r="U99" s="61" t="str">
        <f t="shared" si="35"/>
        <v/>
      </c>
      <c r="V99" s="61" t="str">
        <f t="shared" si="36"/>
        <v/>
      </c>
      <c r="W99" s="61" t="str">
        <f t="shared" si="37"/>
        <v/>
      </c>
      <c r="X99" s="61" t="str">
        <f t="shared" si="38"/>
        <v/>
      </c>
      <c r="Y99" s="61" t="str">
        <f t="shared" si="39"/>
        <v/>
      </c>
      <c r="Z99" s="61" t="str">
        <f t="shared" si="40"/>
        <v/>
      </c>
      <c r="AA99" s="61" t="str">
        <f t="shared" si="41"/>
        <v/>
      </c>
      <c r="AB99" s="61" t="str">
        <f t="shared" si="42"/>
        <v/>
      </c>
      <c r="AC99" s="61" t="str">
        <f t="shared" si="43"/>
        <v/>
      </c>
      <c r="AD99" s="61" t="str">
        <f t="shared" si="44"/>
        <v/>
      </c>
    </row>
    <row r="100" spans="1:30" x14ac:dyDescent="0.25">
      <c r="A100" s="36"/>
      <c r="B100" s="38"/>
      <c r="C100" s="37"/>
      <c r="D100" s="37"/>
      <c r="E100" s="37"/>
      <c r="F100" s="37"/>
      <c r="G100" s="37"/>
      <c r="H100" s="37"/>
      <c r="I100" s="37"/>
      <c r="J100" s="37"/>
      <c r="K100" s="37"/>
      <c r="L100" s="38"/>
      <c r="M100" s="37"/>
      <c r="N100" s="37"/>
      <c r="O100" s="39"/>
      <c r="P100" s="61" t="str">
        <f t="shared" si="30"/>
        <v/>
      </c>
      <c r="Q100" s="61" t="str">
        <f t="shared" si="31"/>
        <v/>
      </c>
      <c r="R100" s="61" t="str">
        <f t="shared" si="32"/>
        <v/>
      </c>
      <c r="S100" s="61" t="str">
        <f t="shared" si="33"/>
        <v/>
      </c>
      <c r="T100" s="61" t="str">
        <f t="shared" si="34"/>
        <v/>
      </c>
      <c r="U100" s="61" t="str">
        <f t="shared" si="35"/>
        <v/>
      </c>
      <c r="V100" s="61" t="str">
        <f t="shared" si="36"/>
        <v/>
      </c>
      <c r="W100" s="61" t="str">
        <f t="shared" si="37"/>
        <v/>
      </c>
      <c r="X100" s="61" t="str">
        <f t="shared" si="38"/>
        <v/>
      </c>
      <c r="Y100" s="61" t="str">
        <f t="shared" si="39"/>
        <v/>
      </c>
      <c r="Z100" s="61" t="str">
        <f t="shared" si="40"/>
        <v/>
      </c>
      <c r="AA100" s="61" t="str">
        <f t="shared" si="41"/>
        <v/>
      </c>
      <c r="AB100" s="61" t="str">
        <f t="shared" si="42"/>
        <v/>
      </c>
      <c r="AC100" s="61" t="str">
        <f t="shared" si="43"/>
        <v/>
      </c>
      <c r="AD100" s="61" t="str">
        <f t="shared" si="44"/>
        <v/>
      </c>
    </row>
    <row r="101" spans="1:30" x14ac:dyDescent="0.25">
      <c r="A101" s="40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2"/>
      <c r="M101" s="41"/>
      <c r="N101" s="41"/>
      <c r="O101" s="43"/>
      <c r="P101" s="61" t="str">
        <f t="shared" ref="P101:P132" si="45">IF(D101="","",IFERROR(_xlfn.TRANSLATE(D101,,"ja"),""))</f>
        <v/>
      </c>
      <c r="Q101" s="61" t="str">
        <f t="shared" ref="Q101:Q132" si="46">IF(D101="","",IFERROR(_xlfn.TRANSLATE(D101,,"zh-Hans"),""))</f>
        <v/>
      </c>
      <c r="R101" s="61" t="str">
        <f t="shared" ref="R101:R132" si="47">IF(D101="","",IFERROR(_xlfn.TRANSLATE(D101,,"vi"),""))</f>
        <v/>
      </c>
      <c r="S101" s="61" t="str">
        <f t="shared" ref="S101:S132" si="48">IF(E101="","",IFERROR(_xlfn.TRANSLATE(E101,,"ja"),""))</f>
        <v/>
      </c>
      <c r="T101" s="61" t="str">
        <f t="shared" ref="T101:T132" si="49">IF(E101="","",IFERROR(_xlfn.TRANSLATE(E101,,"zh-Hans"),""))</f>
        <v/>
      </c>
      <c r="U101" s="61" t="str">
        <f t="shared" ref="U101:U132" si="50">IF(E101="","",IFERROR(_xlfn.TRANSLATE(E101,,"vi"),""))</f>
        <v/>
      </c>
      <c r="V101" s="61" t="str">
        <f t="shared" ref="V101:V132" si="51">IF(F101="","",IFERROR(_xlfn.TRANSLATE(F101,,"ja"),""))</f>
        <v/>
      </c>
      <c r="W101" s="61" t="str">
        <f t="shared" ref="W101:W124" si="52">IF(F101="","",IFERROR(_xlfn.TRANSLATE(F101,,"zh-Hans"),""))</f>
        <v/>
      </c>
      <c r="X101" s="61" t="str">
        <f t="shared" ref="X101:X132" si="53">IF(F101="","",IFERROR(_xlfn.TRANSLATE(F101,,"vi"),""))</f>
        <v/>
      </c>
      <c r="Y101" s="61" t="str">
        <f t="shared" ref="Y101:Y132" si="54">IF(J101="","",IFERROR(_xlfn.TRANSLATE(J101,,"ja"),""))</f>
        <v/>
      </c>
      <c r="Z101" s="61" t="str">
        <f t="shared" ref="Z101:Z132" si="55">IF(J101="","",IFERROR(_xlfn.TRANSLATE(J101,,"zh-Hans"),""))</f>
        <v/>
      </c>
      <c r="AA101" s="61" t="str">
        <f t="shared" ref="AA101:AA132" si="56">IF(J101="","",IFERROR(_xlfn.TRANSLATE(J101,,"vi"),""))</f>
        <v/>
      </c>
      <c r="AB101" s="61" t="str">
        <f t="shared" ref="AB101:AB132" si="57">IF(O101="","",IFERROR(_xlfn.TRANSLATE(O101,,"ja"),""))</f>
        <v/>
      </c>
      <c r="AC101" s="61" t="str">
        <f t="shared" ref="AC101:AC132" si="58">IF(O101="","",IFERROR(_xlfn.TRANSLATE(O101,,"zh-Hans"),""))</f>
        <v/>
      </c>
      <c r="AD101" s="61" t="str">
        <f t="shared" ref="AD101:AD132" si="59">IF(O101="","",IFERROR(_xlfn.TRANSLATE(O101,,"vi"),""))</f>
        <v/>
      </c>
    </row>
    <row r="102" spans="1:30" x14ac:dyDescent="0.25">
      <c r="A102" s="36"/>
      <c r="B102" s="38"/>
      <c r="C102" s="37"/>
      <c r="D102" s="37"/>
      <c r="E102" s="37"/>
      <c r="F102" s="37"/>
      <c r="G102" s="37"/>
      <c r="H102" s="37"/>
      <c r="I102" s="37"/>
      <c r="J102" s="37"/>
      <c r="K102" s="37"/>
      <c r="L102" s="38"/>
      <c r="M102" s="37"/>
      <c r="N102" s="37"/>
      <c r="O102" s="39"/>
      <c r="P102" s="61" t="str">
        <f t="shared" si="45"/>
        <v/>
      </c>
      <c r="Q102" s="61" t="str">
        <f t="shared" si="46"/>
        <v/>
      </c>
      <c r="R102" s="61" t="str">
        <f t="shared" si="47"/>
        <v/>
      </c>
      <c r="S102" s="61" t="str">
        <f t="shared" si="48"/>
        <v/>
      </c>
      <c r="T102" s="61" t="str">
        <f t="shared" si="49"/>
        <v/>
      </c>
      <c r="U102" s="61" t="str">
        <f t="shared" si="50"/>
        <v/>
      </c>
      <c r="V102" s="61" t="str">
        <f t="shared" si="51"/>
        <v/>
      </c>
      <c r="W102" s="61" t="str">
        <f t="shared" si="52"/>
        <v/>
      </c>
      <c r="X102" s="61" t="str">
        <f t="shared" si="53"/>
        <v/>
      </c>
      <c r="Y102" s="61" t="str">
        <f t="shared" si="54"/>
        <v/>
      </c>
      <c r="Z102" s="61" t="str">
        <f t="shared" si="55"/>
        <v/>
      </c>
      <c r="AA102" s="61" t="str">
        <f t="shared" si="56"/>
        <v/>
      </c>
      <c r="AB102" s="61" t="str">
        <f t="shared" si="57"/>
        <v/>
      </c>
      <c r="AC102" s="61" t="str">
        <f t="shared" si="58"/>
        <v/>
      </c>
      <c r="AD102" s="61" t="str">
        <f t="shared" si="59"/>
        <v/>
      </c>
    </row>
    <row r="103" spans="1:30" x14ac:dyDescent="0.25">
      <c r="A103" s="40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2"/>
      <c r="M103" s="41"/>
      <c r="N103" s="41"/>
      <c r="O103" s="43"/>
      <c r="P103" s="61" t="str">
        <f t="shared" si="45"/>
        <v/>
      </c>
      <c r="Q103" s="61" t="str">
        <f t="shared" si="46"/>
        <v/>
      </c>
      <c r="R103" s="61" t="str">
        <f t="shared" si="47"/>
        <v/>
      </c>
      <c r="S103" s="61" t="str">
        <f t="shared" si="48"/>
        <v/>
      </c>
      <c r="T103" s="61" t="str">
        <f t="shared" si="49"/>
        <v/>
      </c>
      <c r="U103" s="61" t="str">
        <f t="shared" si="50"/>
        <v/>
      </c>
      <c r="V103" s="61" t="str">
        <f t="shared" si="51"/>
        <v/>
      </c>
      <c r="W103" s="61" t="str">
        <f t="shared" si="52"/>
        <v/>
      </c>
      <c r="X103" s="61" t="str">
        <f t="shared" si="53"/>
        <v/>
      </c>
      <c r="Y103" s="61" t="str">
        <f t="shared" si="54"/>
        <v/>
      </c>
      <c r="Z103" s="61" t="str">
        <f t="shared" si="55"/>
        <v/>
      </c>
      <c r="AA103" s="61" t="str">
        <f t="shared" si="56"/>
        <v/>
      </c>
      <c r="AB103" s="61" t="str">
        <f t="shared" si="57"/>
        <v/>
      </c>
      <c r="AC103" s="61" t="str">
        <f t="shared" si="58"/>
        <v/>
      </c>
      <c r="AD103" s="61" t="str">
        <f t="shared" si="59"/>
        <v/>
      </c>
    </row>
    <row r="104" spans="1:30" x14ac:dyDescent="0.25">
      <c r="A104" s="36"/>
      <c r="B104" s="38"/>
      <c r="C104" s="37"/>
      <c r="D104" s="37"/>
      <c r="E104" s="37"/>
      <c r="F104" s="37"/>
      <c r="G104" s="37"/>
      <c r="H104" s="37"/>
      <c r="I104" s="37"/>
      <c r="J104" s="37"/>
      <c r="K104" s="37"/>
      <c r="L104" s="38"/>
      <c r="M104" s="37"/>
      <c r="N104" s="37"/>
      <c r="O104" s="39"/>
      <c r="P104" s="61" t="str">
        <f t="shared" si="45"/>
        <v/>
      </c>
      <c r="Q104" s="61" t="str">
        <f t="shared" si="46"/>
        <v/>
      </c>
      <c r="R104" s="61" t="str">
        <f t="shared" si="47"/>
        <v/>
      </c>
      <c r="S104" s="61" t="str">
        <f t="shared" si="48"/>
        <v/>
      </c>
      <c r="T104" s="61" t="str">
        <f t="shared" si="49"/>
        <v/>
      </c>
      <c r="U104" s="61" t="str">
        <f t="shared" si="50"/>
        <v/>
      </c>
      <c r="V104" s="61" t="str">
        <f t="shared" si="51"/>
        <v/>
      </c>
      <c r="W104" s="61" t="str">
        <f t="shared" si="52"/>
        <v/>
      </c>
      <c r="X104" s="61" t="str">
        <f t="shared" si="53"/>
        <v/>
      </c>
      <c r="Y104" s="61" t="str">
        <f t="shared" si="54"/>
        <v/>
      </c>
      <c r="Z104" s="61" t="str">
        <f t="shared" si="55"/>
        <v/>
      </c>
      <c r="AA104" s="61" t="str">
        <f t="shared" si="56"/>
        <v/>
      </c>
      <c r="AB104" s="61" t="str">
        <f t="shared" si="57"/>
        <v/>
      </c>
      <c r="AC104" s="61" t="str">
        <f t="shared" si="58"/>
        <v/>
      </c>
      <c r="AD104" s="61" t="str">
        <f t="shared" si="59"/>
        <v/>
      </c>
    </row>
    <row r="105" spans="1:30" x14ac:dyDescent="0.25">
      <c r="A105" s="40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2"/>
      <c r="M105" s="41"/>
      <c r="N105" s="41"/>
      <c r="O105" s="43"/>
      <c r="P105" s="61" t="str">
        <f t="shared" si="45"/>
        <v/>
      </c>
      <c r="Q105" s="61" t="str">
        <f t="shared" si="46"/>
        <v/>
      </c>
      <c r="R105" s="61" t="str">
        <f t="shared" si="47"/>
        <v/>
      </c>
      <c r="S105" s="61" t="str">
        <f t="shared" si="48"/>
        <v/>
      </c>
      <c r="T105" s="61" t="str">
        <f t="shared" si="49"/>
        <v/>
      </c>
      <c r="U105" s="61" t="str">
        <f t="shared" si="50"/>
        <v/>
      </c>
      <c r="V105" s="61" t="str">
        <f t="shared" si="51"/>
        <v/>
      </c>
      <c r="W105" s="61" t="str">
        <f t="shared" si="52"/>
        <v/>
      </c>
      <c r="X105" s="61" t="str">
        <f t="shared" si="53"/>
        <v/>
      </c>
      <c r="Y105" s="61" t="str">
        <f t="shared" si="54"/>
        <v/>
      </c>
      <c r="Z105" s="61" t="str">
        <f t="shared" si="55"/>
        <v/>
      </c>
      <c r="AA105" s="61" t="str">
        <f t="shared" si="56"/>
        <v/>
      </c>
      <c r="AB105" s="61" t="str">
        <f t="shared" si="57"/>
        <v/>
      </c>
      <c r="AC105" s="61" t="str">
        <f t="shared" si="58"/>
        <v/>
      </c>
      <c r="AD105" s="61" t="str">
        <f t="shared" si="59"/>
        <v/>
      </c>
    </row>
    <row r="106" spans="1:30" x14ac:dyDescent="0.25">
      <c r="A106" s="36"/>
      <c r="B106" s="38"/>
      <c r="C106" s="37"/>
      <c r="D106" s="37"/>
      <c r="E106" s="37"/>
      <c r="F106" s="37"/>
      <c r="G106" s="37"/>
      <c r="H106" s="37"/>
      <c r="I106" s="37"/>
      <c r="J106" s="37"/>
      <c r="K106" s="37"/>
      <c r="L106" s="38"/>
      <c r="M106" s="37"/>
      <c r="N106" s="37"/>
      <c r="O106" s="39"/>
      <c r="P106" s="61" t="str">
        <f t="shared" si="45"/>
        <v/>
      </c>
      <c r="Q106" s="61" t="str">
        <f t="shared" si="46"/>
        <v/>
      </c>
      <c r="R106" s="61" t="str">
        <f t="shared" si="47"/>
        <v/>
      </c>
      <c r="S106" s="61" t="str">
        <f t="shared" si="48"/>
        <v/>
      </c>
      <c r="T106" s="61" t="str">
        <f t="shared" si="49"/>
        <v/>
      </c>
      <c r="U106" s="61" t="str">
        <f t="shared" si="50"/>
        <v/>
      </c>
      <c r="V106" s="61" t="str">
        <f t="shared" si="51"/>
        <v/>
      </c>
      <c r="W106" s="61" t="str">
        <f t="shared" si="52"/>
        <v/>
      </c>
      <c r="X106" s="61" t="str">
        <f t="shared" si="53"/>
        <v/>
      </c>
      <c r="Y106" s="61" t="str">
        <f t="shared" si="54"/>
        <v/>
      </c>
      <c r="Z106" s="61" t="str">
        <f t="shared" si="55"/>
        <v/>
      </c>
      <c r="AA106" s="61" t="str">
        <f t="shared" si="56"/>
        <v/>
      </c>
      <c r="AB106" s="61" t="str">
        <f t="shared" si="57"/>
        <v/>
      </c>
      <c r="AC106" s="61" t="str">
        <f t="shared" si="58"/>
        <v/>
      </c>
      <c r="AD106" s="61" t="str">
        <f t="shared" si="59"/>
        <v/>
      </c>
    </row>
    <row r="107" spans="1:30" x14ac:dyDescent="0.25">
      <c r="A107" s="40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2"/>
      <c r="M107" s="41"/>
      <c r="N107" s="41"/>
      <c r="O107" s="43"/>
      <c r="P107" s="61" t="str">
        <f t="shared" si="45"/>
        <v/>
      </c>
      <c r="Q107" s="61" t="str">
        <f t="shared" si="46"/>
        <v/>
      </c>
      <c r="R107" s="61" t="str">
        <f t="shared" si="47"/>
        <v/>
      </c>
      <c r="S107" s="61" t="str">
        <f t="shared" si="48"/>
        <v/>
      </c>
      <c r="T107" s="61" t="str">
        <f t="shared" si="49"/>
        <v/>
      </c>
      <c r="U107" s="61" t="str">
        <f t="shared" si="50"/>
        <v/>
      </c>
      <c r="V107" s="61" t="str">
        <f t="shared" si="51"/>
        <v/>
      </c>
      <c r="W107" s="61" t="str">
        <f t="shared" si="52"/>
        <v/>
      </c>
      <c r="X107" s="61" t="str">
        <f t="shared" si="53"/>
        <v/>
      </c>
      <c r="Y107" s="61" t="str">
        <f t="shared" si="54"/>
        <v/>
      </c>
      <c r="Z107" s="61" t="str">
        <f t="shared" si="55"/>
        <v/>
      </c>
      <c r="AA107" s="61" t="str">
        <f t="shared" si="56"/>
        <v/>
      </c>
      <c r="AB107" s="61" t="str">
        <f t="shared" si="57"/>
        <v/>
      </c>
      <c r="AC107" s="61" t="str">
        <f t="shared" si="58"/>
        <v/>
      </c>
      <c r="AD107" s="61" t="str">
        <f t="shared" si="59"/>
        <v/>
      </c>
    </row>
    <row r="108" spans="1:30" x14ac:dyDescent="0.25">
      <c r="A108" s="36"/>
      <c r="B108" s="38"/>
      <c r="C108" s="37"/>
      <c r="D108" s="37"/>
      <c r="E108" s="37"/>
      <c r="F108" s="37"/>
      <c r="G108" s="37"/>
      <c r="H108" s="37"/>
      <c r="I108" s="37"/>
      <c r="J108" s="37"/>
      <c r="K108" s="37"/>
      <c r="L108" s="38"/>
      <c r="M108" s="37"/>
      <c r="N108" s="37"/>
      <c r="O108" s="39"/>
      <c r="P108" s="61" t="str">
        <f t="shared" si="45"/>
        <v/>
      </c>
      <c r="Q108" s="61" t="str">
        <f t="shared" si="46"/>
        <v/>
      </c>
      <c r="R108" s="61" t="str">
        <f t="shared" si="47"/>
        <v/>
      </c>
      <c r="S108" s="61" t="str">
        <f t="shared" si="48"/>
        <v/>
      </c>
      <c r="T108" s="61" t="str">
        <f t="shared" si="49"/>
        <v/>
      </c>
      <c r="U108" s="61" t="str">
        <f t="shared" si="50"/>
        <v/>
      </c>
      <c r="V108" s="61" t="str">
        <f t="shared" si="51"/>
        <v/>
      </c>
      <c r="W108" s="61" t="str">
        <f t="shared" si="52"/>
        <v/>
      </c>
      <c r="X108" s="61" t="str">
        <f t="shared" si="53"/>
        <v/>
      </c>
      <c r="Y108" s="61" t="str">
        <f t="shared" si="54"/>
        <v/>
      </c>
      <c r="Z108" s="61" t="str">
        <f t="shared" si="55"/>
        <v/>
      </c>
      <c r="AA108" s="61" t="str">
        <f t="shared" si="56"/>
        <v/>
      </c>
      <c r="AB108" s="61" t="str">
        <f t="shared" si="57"/>
        <v/>
      </c>
      <c r="AC108" s="61" t="str">
        <f t="shared" si="58"/>
        <v/>
      </c>
      <c r="AD108" s="61" t="str">
        <f t="shared" si="59"/>
        <v/>
      </c>
    </row>
    <row r="109" spans="1:30" x14ac:dyDescent="0.25">
      <c r="A109" s="40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2"/>
      <c r="M109" s="41"/>
      <c r="N109" s="41"/>
      <c r="O109" s="43"/>
      <c r="P109" s="61" t="str">
        <f t="shared" si="45"/>
        <v/>
      </c>
      <c r="Q109" s="61" t="str">
        <f t="shared" si="46"/>
        <v/>
      </c>
      <c r="R109" s="61" t="str">
        <f t="shared" si="47"/>
        <v/>
      </c>
      <c r="S109" s="61" t="str">
        <f t="shared" si="48"/>
        <v/>
      </c>
      <c r="T109" s="61" t="str">
        <f t="shared" si="49"/>
        <v/>
      </c>
      <c r="U109" s="61" t="str">
        <f t="shared" si="50"/>
        <v/>
      </c>
      <c r="V109" s="61" t="str">
        <f t="shared" si="51"/>
        <v/>
      </c>
      <c r="W109" s="61" t="str">
        <f t="shared" si="52"/>
        <v/>
      </c>
      <c r="X109" s="61" t="str">
        <f t="shared" si="53"/>
        <v/>
      </c>
      <c r="Y109" s="61" t="str">
        <f t="shared" si="54"/>
        <v/>
      </c>
      <c r="Z109" s="61" t="str">
        <f t="shared" si="55"/>
        <v/>
      </c>
      <c r="AA109" s="61" t="str">
        <f t="shared" si="56"/>
        <v/>
      </c>
      <c r="AB109" s="61" t="str">
        <f t="shared" si="57"/>
        <v/>
      </c>
      <c r="AC109" s="61" t="str">
        <f t="shared" si="58"/>
        <v/>
      </c>
      <c r="AD109" s="61" t="str">
        <f t="shared" si="59"/>
        <v/>
      </c>
    </row>
    <row r="110" spans="1:30" x14ac:dyDescent="0.25">
      <c r="A110" s="36"/>
      <c r="B110" s="38"/>
      <c r="C110" s="37"/>
      <c r="D110" s="37"/>
      <c r="E110" s="37"/>
      <c r="F110" s="37"/>
      <c r="G110" s="37"/>
      <c r="H110" s="37"/>
      <c r="I110" s="37"/>
      <c r="J110" s="37"/>
      <c r="K110" s="37"/>
      <c r="L110" s="38"/>
      <c r="M110" s="37"/>
      <c r="N110" s="37"/>
      <c r="O110" s="39"/>
      <c r="P110" s="61" t="str">
        <f t="shared" si="45"/>
        <v/>
      </c>
      <c r="Q110" s="61" t="str">
        <f t="shared" si="46"/>
        <v/>
      </c>
      <c r="R110" s="61" t="str">
        <f t="shared" si="47"/>
        <v/>
      </c>
      <c r="S110" s="61" t="str">
        <f t="shared" si="48"/>
        <v/>
      </c>
      <c r="T110" s="61" t="str">
        <f t="shared" si="49"/>
        <v/>
      </c>
      <c r="U110" s="61" t="str">
        <f t="shared" si="50"/>
        <v/>
      </c>
      <c r="V110" s="61" t="str">
        <f t="shared" si="51"/>
        <v/>
      </c>
      <c r="W110" s="61" t="str">
        <f t="shared" si="52"/>
        <v/>
      </c>
      <c r="X110" s="61" t="str">
        <f t="shared" si="53"/>
        <v/>
      </c>
      <c r="Y110" s="61" t="str">
        <f t="shared" si="54"/>
        <v/>
      </c>
      <c r="Z110" s="61" t="str">
        <f t="shared" si="55"/>
        <v/>
      </c>
      <c r="AA110" s="61" t="str">
        <f t="shared" si="56"/>
        <v/>
      </c>
      <c r="AB110" s="61" t="str">
        <f t="shared" si="57"/>
        <v/>
      </c>
      <c r="AC110" s="61" t="str">
        <f t="shared" si="58"/>
        <v/>
      </c>
      <c r="AD110" s="61" t="str">
        <f t="shared" si="59"/>
        <v/>
      </c>
    </row>
    <row r="111" spans="1:30" x14ac:dyDescent="0.25">
      <c r="A111" s="40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2"/>
      <c r="M111" s="41"/>
      <c r="N111" s="41"/>
      <c r="O111" s="43"/>
      <c r="P111" s="61" t="str">
        <f t="shared" si="45"/>
        <v/>
      </c>
      <c r="Q111" s="61" t="str">
        <f t="shared" si="46"/>
        <v/>
      </c>
      <c r="R111" s="61" t="str">
        <f t="shared" si="47"/>
        <v/>
      </c>
      <c r="S111" s="61" t="str">
        <f t="shared" si="48"/>
        <v/>
      </c>
      <c r="T111" s="61" t="str">
        <f t="shared" si="49"/>
        <v/>
      </c>
      <c r="U111" s="61" t="str">
        <f t="shared" si="50"/>
        <v/>
      </c>
      <c r="V111" s="61" t="str">
        <f t="shared" si="51"/>
        <v/>
      </c>
      <c r="W111" s="61" t="str">
        <f t="shared" si="52"/>
        <v/>
      </c>
      <c r="X111" s="61" t="str">
        <f t="shared" si="53"/>
        <v/>
      </c>
      <c r="Y111" s="61" t="str">
        <f t="shared" si="54"/>
        <v/>
      </c>
      <c r="Z111" s="61" t="str">
        <f t="shared" si="55"/>
        <v/>
      </c>
      <c r="AA111" s="61" t="str">
        <f t="shared" si="56"/>
        <v/>
      </c>
      <c r="AB111" s="61" t="str">
        <f t="shared" si="57"/>
        <v/>
      </c>
      <c r="AC111" s="61" t="str">
        <f t="shared" si="58"/>
        <v/>
      </c>
      <c r="AD111" s="61" t="str">
        <f t="shared" si="59"/>
        <v/>
      </c>
    </row>
    <row r="112" spans="1:30" x14ac:dyDescent="0.25">
      <c r="A112" s="36"/>
      <c r="B112" s="38"/>
      <c r="C112" s="37"/>
      <c r="D112" s="37"/>
      <c r="E112" s="37"/>
      <c r="F112" s="37"/>
      <c r="G112" s="37"/>
      <c r="H112" s="37"/>
      <c r="I112" s="37"/>
      <c r="J112" s="37"/>
      <c r="K112" s="37"/>
      <c r="L112" s="38"/>
      <c r="M112" s="37"/>
      <c r="N112" s="37"/>
      <c r="O112" s="39"/>
      <c r="P112" s="61" t="str">
        <f t="shared" si="45"/>
        <v/>
      </c>
      <c r="Q112" s="61" t="str">
        <f t="shared" si="46"/>
        <v/>
      </c>
      <c r="R112" s="61" t="str">
        <f t="shared" si="47"/>
        <v/>
      </c>
      <c r="S112" s="61" t="str">
        <f t="shared" si="48"/>
        <v/>
      </c>
      <c r="T112" s="61" t="str">
        <f t="shared" si="49"/>
        <v/>
      </c>
      <c r="U112" s="61" t="str">
        <f t="shared" si="50"/>
        <v/>
      </c>
      <c r="V112" s="61" t="str">
        <f t="shared" si="51"/>
        <v/>
      </c>
      <c r="W112" s="61" t="str">
        <f t="shared" si="52"/>
        <v/>
      </c>
      <c r="X112" s="61" t="str">
        <f t="shared" si="53"/>
        <v/>
      </c>
      <c r="Y112" s="61" t="str">
        <f t="shared" si="54"/>
        <v/>
      </c>
      <c r="Z112" s="61" t="str">
        <f t="shared" si="55"/>
        <v/>
      </c>
      <c r="AA112" s="61" t="str">
        <f t="shared" si="56"/>
        <v/>
      </c>
      <c r="AB112" s="61" t="str">
        <f t="shared" si="57"/>
        <v/>
      </c>
      <c r="AC112" s="61" t="str">
        <f t="shared" si="58"/>
        <v/>
      </c>
      <c r="AD112" s="61" t="str">
        <f t="shared" si="59"/>
        <v/>
      </c>
    </row>
    <row r="113" spans="1:30" x14ac:dyDescent="0.25">
      <c r="A113" s="40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2"/>
      <c r="M113" s="41"/>
      <c r="N113" s="41"/>
      <c r="O113" s="43"/>
      <c r="P113" s="61" t="str">
        <f t="shared" si="45"/>
        <v/>
      </c>
      <c r="Q113" s="61" t="str">
        <f t="shared" si="46"/>
        <v/>
      </c>
      <c r="R113" s="61" t="str">
        <f t="shared" si="47"/>
        <v/>
      </c>
      <c r="S113" s="61" t="str">
        <f t="shared" si="48"/>
        <v/>
      </c>
      <c r="T113" s="61" t="str">
        <f t="shared" si="49"/>
        <v/>
      </c>
      <c r="U113" s="61" t="str">
        <f t="shared" si="50"/>
        <v/>
      </c>
      <c r="V113" s="61" t="str">
        <f t="shared" si="51"/>
        <v/>
      </c>
      <c r="W113" s="61" t="str">
        <f t="shared" si="52"/>
        <v/>
      </c>
      <c r="X113" s="61" t="str">
        <f t="shared" si="53"/>
        <v/>
      </c>
      <c r="Y113" s="61" t="str">
        <f t="shared" si="54"/>
        <v/>
      </c>
      <c r="Z113" s="61" t="str">
        <f t="shared" si="55"/>
        <v/>
      </c>
      <c r="AA113" s="61" t="str">
        <f t="shared" si="56"/>
        <v/>
      </c>
      <c r="AB113" s="61" t="str">
        <f t="shared" si="57"/>
        <v/>
      </c>
      <c r="AC113" s="61" t="str">
        <f t="shared" si="58"/>
        <v/>
      </c>
      <c r="AD113" s="61" t="str">
        <f t="shared" si="59"/>
        <v/>
      </c>
    </row>
    <row r="114" spans="1:30" x14ac:dyDescent="0.25">
      <c r="A114" s="36"/>
      <c r="B114" s="38"/>
      <c r="C114" s="37"/>
      <c r="D114" s="37"/>
      <c r="E114" s="37"/>
      <c r="F114" s="37"/>
      <c r="G114" s="37"/>
      <c r="H114" s="37"/>
      <c r="I114" s="37"/>
      <c r="J114" s="37"/>
      <c r="K114" s="37"/>
      <c r="L114" s="38"/>
      <c r="M114" s="37"/>
      <c r="N114" s="37"/>
      <c r="O114" s="39"/>
      <c r="P114" s="61" t="str">
        <f t="shared" si="45"/>
        <v/>
      </c>
      <c r="Q114" s="61" t="str">
        <f t="shared" si="46"/>
        <v/>
      </c>
      <c r="R114" s="61" t="str">
        <f t="shared" si="47"/>
        <v/>
      </c>
      <c r="S114" s="61" t="str">
        <f t="shared" si="48"/>
        <v/>
      </c>
      <c r="T114" s="61" t="str">
        <f t="shared" si="49"/>
        <v/>
      </c>
      <c r="U114" s="61" t="str">
        <f t="shared" si="50"/>
        <v/>
      </c>
      <c r="V114" s="61" t="str">
        <f t="shared" si="51"/>
        <v/>
      </c>
      <c r="W114" s="61" t="str">
        <f t="shared" si="52"/>
        <v/>
      </c>
      <c r="X114" s="61" t="str">
        <f t="shared" si="53"/>
        <v/>
      </c>
      <c r="Y114" s="61" t="str">
        <f t="shared" si="54"/>
        <v/>
      </c>
      <c r="Z114" s="61" t="str">
        <f t="shared" si="55"/>
        <v/>
      </c>
      <c r="AA114" s="61" t="str">
        <f t="shared" si="56"/>
        <v/>
      </c>
      <c r="AB114" s="61" t="str">
        <f t="shared" si="57"/>
        <v/>
      </c>
      <c r="AC114" s="61" t="str">
        <f t="shared" si="58"/>
        <v/>
      </c>
      <c r="AD114" s="61" t="str">
        <f t="shared" si="59"/>
        <v/>
      </c>
    </row>
    <row r="115" spans="1:30" x14ac:dyDescent="0.25">
      <c r="A115" s="40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2"/>
      <c r="M115" s="41"/>
      <c r="N115" s="41"/>
      <c r="O115" s="43"/>
      <c r="P115" s="61" t="str">
        <f t="shared" si="45"/>
        <v/>
      </c>
      <c r="Q115" s="61" t="str">
        <f t="shared" si="46"/>
        <v/>
      </c>
      <c r="R115" s="61" t="str">
        <f t="shared" si="47"/>
        <v/>
      </c>
      <c r="S115" s="61" t="str">
        <f t="shared" si="48"/>
        <v/>
      </c>
      <c r="T115" s="61" t="str">
        <f t="shared" si="49"/>
        <v/>
      </c>
      <c r="U115" s="61" t="str">
        <f t="shared" si="50"/>
        <v/>
      </c>
      <c r="V115" s="61" t="str">
        <f t="shared" si="51"/>
        <v/>
      </c>
      <c r="W115" s="61" t="str">
        <f t="shared" si="52"/>
        <v/>
      </c>
      <c r="X115" s="61" t="str">
        <f t="shared" si="53"/>
        <v/>
      </c>
      <c r="Y115" s="61" t="str">
        <f t="shared" si="54"/>
        <v/>
      </c>
      <c r="Z115" s="61" t="str">
        <f t="shared" si="55"/>
        <v/>
      </c>
      <c r="AA115" s="61" t="str">
        <f t="shared" si="56"/>
        <v/>
      </c>
      <c r="AB115" s="61" t="str">
        <f t="shared" si="57"/>
        <v/>
      </c>
      <c r="AC115" s="61" t="str">
        <f t="shared" si="58"/>
        <v/>
      </c>
      <c r="AD115" s="61" t="str">
        <f t="shared" si="59"/>
        <v/>
      </c>
    </row>
    <row r="116" spans="1:30" x14ac:dyDescent="0.25">
      <c r="A116" s="36"/>
      <c r="B116" s="38"/>
      <c r="C116" s="37"/>
      <c r="D116" s="37"/>
      <c r="E116" s="37"/>
      <c r="F116" s="37"/>
      <c r="G116" s="37"/>
      <c r="H116" s="37"/>
      <c r="I116" s="37"/>
      <c r="J116" s="37"/>
      <c r="K116" s="37"/>
      <c r="L116" s="38"/>
      <c r="M116" s="37"/>
      <c r="N116" s="37"/>
      <c r="O116" s="39"/>
      <c r="P116" s="61" t="str">
        <f t="shared" si="45"/>
        <v/>
      </c>
      <c r="Q116" s="61" t="str">
        <f t="shared" si="46"/>
        <v/>
      </c>
      <c r="R116" s="61" t="str">
        <f t="shared" si="47"/>
        <v/>
      </c>
      <c r="S116" s="61" t="str">
        <f t="shared" si="48"/>
        <v/>
      </c>
      <c r="T116" s="61" t="str">
        <f t="shared" si="49"/>
        <v/>
      </c>
      <c r="U116" s="61" t="str">
        <f t="shared" si="50"/>
        <v/>
      </c>
      <c r="V116" s="61" t="str">
        <f t="shared" si="51"/>
        <v/>
      </c>
      <c r="W116" s="61" t="str">
        <f t="shared" si="52"/>
        <v/>
      </c>
      <c r="X116" s="61" t="str">
        <f t="shared" si="53"/>
        <v/>
      </c>
      <c r="Y116" s="61" t="str">
        <f t="shared" si="54"/>
        <v/>
      </c>
      <c r="Z116" s="61" t="str">
        <f t="shared" si="55"/>
        <v/>
      </c>
      <c r="AA116" s="61" t="str">
        <f t="shared" si="56"/>
        <v/>
      </c>
      <c r="AB116" s="61" t="str">
        <f t="shared" si="57"/>
        <v/>
      </c>
      <c r="AC116" s="61" t="str">
        <f t="shared" si="58"/>
        <v/>
      </c>
      <c r="AD116" s="61" t="str">
        <f t="shared" si="59"/>
        <v/>
      </c>
    </row>
    <row r="117" spans="1:30" x14ac:dyDescent="0.25">
      <c r="A117" s="40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2"/>
      <c r="M117" s="41"/>
      <c r="N117" s="41"/>
      <c r="O117" s="43"/>
      <c r="P117" s="61" t="str">
        <f t="shared" si="45"/>
        <v/>
      </c>
      <c r="Q117" s="61" t="str">
        <f t="shared" si="46"/>
        <v/>
      </c>
      <c r="R117" s="61" t="str">
        <f t="shared" si="47"/>
        <v/>
      </c>
      <c r="S117" s="61" t="str">
        <f t="shared" si="48"/>
        <v/>
      </c>
      <c r="T117" s="61" t="str">
        <f t="shared" si="49"/>
        <v/>
      </c>
      <c r="U117" s="61" t="str">
        <f t="shared" si="50"/>
        <v/>
      </c>
      <c r="V117" s="61" t="str">
        <f t="shared" si="51"/>
        <v/>
      </c>
      <c r="W117" s="61" t="str">
        <f t="shared" si="52"/>
        <v/>
      </c>
      <c r="X117" s="61" t="str">
        <f t="shared" si="53"/>
        <v/>
      </c>
      <c r="Y117" s="61" t="str">
        <f t="shared" si="54"/>
        <v/>
      </c>
      <c r="Z117" s="61" t="str">
        <f t="shared" si="55"/>
        <v/>
      </c>
      <c r="AA117" s="61" t="str">
        <f t="shared" si="56"/>
        <v/>
      </c>
      <c r="AB117" s="61" t="str">
        <f t="shared" si="57"/>
        <v/>
      </c>
      <c r="AC117" s="61" t="str">
        <f t="shared" si="58"/>
        <v/>
      </c>
      <c r="AD117" s="61" t="str">
        <f t="shared" si="59"/>
        <v/>
      </c>
    </row>
    <row r="118" spans="1:30" x14ac:dyDescent="0.25">
      <c r="A118" s="36"/>
      <c r="B118" s="38"/>
      <c r="C118" s="37"/>
      <c r="D118" s="37"/>
      <c r="E118" s="37"/>
      <c r="F118" s="37"/>
      <c r="G118" s="37"/>
      <c r="H118" s="37"/>
      <c r="I118" s="37"/>
      <c r="J118" s="37"/>
      <c r="K118" s="37"/>
      <c r="L118" s="38"/>
      <c r="M118" s="37"/>
      <c r="N118" s="37"/>
      <c r="O118" s="39"/>
      <c r="P118" s="61" t="str">
        <f t="shared" si="45"/>
        <v/>
      </c>
      <c r="Q118" s="61" t="str">
        <f t="shared" si="46"/>
        <v/>
      </c>
      <c r="R118" s="61" t="str">
        <f t="shared" si="47"/>
        <v/>
      </c>
      <c r="S118" s="61" t="str">
        <f t="shared" si="48"/>
        <v/>
      </c>
      <c r="T118" s="61" t="str">
        <f t="shared" si="49"/>
        <v/>
      </c>
      <c r="U118" s="61" t="str">
        <f t="shared" si="50"/>
        <v/>
      </c>
      <c r="V118" s="61" t="str">
        <f t="shared" si="51"/>
        <v/>
      </c>
      <c r="W118" s="61" t="str">
        <f t="shared" si="52"/>
        <v/>
      </c>
      <c r="X118" s="61" t="str">
        <f t="shared" si="53"/>
        <v/>
      </c>
      <c r="Y118" s="61" t="str">
        <f t="shared" si="54"/>
        <v/>
      </c>
      <c r="Z118" s="61" t="str">
        <f t="shared" si="55"/>
        <v/>
      </c>
      <c r="AA118" s="61" t="str">
        <f t="shared" si="56"/>
        <v/>
      </c>
      <c r="AB118" s="61" t="str">
        <f t="shared" si="57"/>
        <v/>
      </c>
      <c r="AC118" s="61" t="str">
        <f t="shared" si="58"/>
        <v/>
      </c>
      <c r="AD118" s="61" t="str">
        <f t="shared" si="59"/>
        <v/>
      </c>
    </row>
    <row r="119" spans="1:30" x14ac:dyDescent="0.25">
      <c r="A119" s="40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2"/>
      <c r="M119" s="41"/>
      <c r="N119" s="41"/>
      <c r="O119" s="43"/>
      <c r="P119" s="61" t="str">
        <f t="shared" si="45"/>
        <v/>
      </c>
      <c r="Q119" s="61" t="str">
        <f t="shared" si="46"/>
        <v/>
      </c>
      <c r="R119" s="61" t="str">
        <f t="shared" si="47"/>
        <v/>
      </c>
      <c r="S119" s="61" t="str">
        <f t="shared" si="48"/>
        <v/>
      </c>
      <c r="T119" s="61" t="str">
        <f t="shared" si="49"/>
        <v/>
      </c>
      <c r="U119" s="61" t="str">
        <f t="shared" si="50"/>
        <v/>
      </c>
      <c r="V119" s="61" t="str">
        <f t="shared" si="51"/>
        <v/>
      </c>
      <c r="W119" s="61" t="str">
        <f t="shared" si="52"/>
        <v/>
      </c>
      <c r="X119" s="61" t="str">
        <f t="shared" si="53"/>
        <v/>
      </c>
      <c r="Y119" s="61" t="str">
        <f t="shared" si="54"/>
        <v/>
      </c>
      <c r="Z119" s="61" t="str">
        <f t="shared" si="55"/>
        <v/>
      </c>
      <c r="AA119" s="61" t="str">
        <f t="shared" si="56"/>
        <v/>
      </c>
      <c r="AB119" s="61" t="str">
        <f t="shared" si="57"/>
        <v/>
      </c>
      <c r="AC119" s="61" t="str">
        <f t="shared" si="58"/>
        <v/>
      </c>
      <c r="AD119" s="61" t="str">
        <f t="shared" si="59"/>
        <v/>
      </c>
    </row>
    <row r="120" spans="1:30" x14ac:dyDescent="0.25">
      <c r="A120" s="36"/>
      <c r="B120" s="38"/>
      <c r="C120" s="37"/>
      <c r="D120" s="37"/>
      <c r="E120" s="37"/>
      <c r="F120" s="37"/>
      <c r="G120" s="37"/>
      <c r="H120" s="37"/>
      <c r="I120" s="37"/>
      <c r="J120" s="37"/>
      <c r="K120" s="37"/>
      <c r="L120" s="38"/>
      <c r="M120" s="37"/>
      <c r="N120" s="37"/>
      <c r="O120" s="39"/>
      <c r="P120" s="61" t="str">
        <f t="shared" si="45"/>
        <v/>
      </c>
      <c r="Q120" s="61" t="str">
        <f t="shared" si="46"/>
        <v/>
      </c>
      <c r="R120" s="61" t="str">
        <f t="shared" si="47"/>
        <v/>
      </c>
      <c r="S120" s="61" t="str">
        <f t="shared" si="48"/>
        <v/>
      </c>
      <c r="T120" s="61" t="str">
        <f t="shared" si="49"/>
        <v/>
      </c>
      <c r="U120" s="61" t="str">
        <f t="shared" si="50"/>
        <v/>
      </c>
      <c r="V120" s="61" t="str">
        <f t="shared" si="51"/>
        <v/>
      </c>
      <c r="W120" s="61" t="str">
        <f t="shared" si="52"/>
        <v/>
      </c>
      <c r="X120" s="61" t="str">
        <f t="shared" si="53"/>
        <v/>
      </c>
      <c r="Y120" s="61" t="str">
        <f t="shared" si="54"/>
        <v/>
      </c>
      <c r="Z120" s="61" t="str">
        <f t="shared" si="55"/>
        <v/>
      </c>
      <c r="AA120" s="61" t="str">
        <f t="shared" si="56"/>
        <v/>
      </c>
      <c r="AB120" s="61" t="str">
        <f t="shared" si="57"/>
        <v/>
      </c>
      <c r="AC120" s="61" t="str">
        <f t="shared" si="58"/>
        <v/>
      </c>
      <c r="AD120" s="61" t="str">
        <f t="shared" si="59"/>
        <v/>
      </c>
    </row>
    <row r="121" spans="1:30" x14ac:dyDescent="0.25">
      <c r="A121" s="40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2"/>
      <c r="M121" s="41"/>
      <c r="N121" s="41"/>
      <c r="O121" s="43"/>
      <c r="P121" s="61" t="str">
        <f t="shared" si="45"/>
        <v/>
      </c>
      <c r="Q121" s="61" t="str">
        <f t="shared" si="46"/>
        <v/>
      </c>
      <c r="R121" s="61" t="str">
        <f t="shared" si="47"/>
        <v/>
      </c>
      <c r="S121" s="61" t="str">
        <f t="shared" si="48"/>
        <v/>
      </c>
      <c r="T121" s="61" t="str">
        <f t="shared" si="49"/>
        <v/>
      </c>
      <c r="U121" s="61" t="str">
        <f t="shared" si="50"/>
        <v/>
      </c>
      <c r="V121" s="61" t="str">
        <f t="shared" si="51"/>
        <v/>
      </c>
      <c r="W121" s="61" t="str">
        <f t="shared" si="52"/>
        <v/>
      </c>
      <c r="X121" s="61" t="str">
        <f t="shared" si="53"/>
        <v/>
      </c>
      <c r="Y121" s="61" t="str">
        <f t="shared" si="54"/>
        <v/>
      </c>
      <c r="Z121" s="61" t="str">
        <f t="shared" si="55"/>
        <v/>
      </c>
      <c r="AA121" s="61" t="str">
        <f t="shared" si="56"/>
        <v/>
      </c>
      <c r="AB121" s="61" t="str">
        <f t="shared" si="57"/>
        <v/>
      </c>
      <c r="AC121" s="61" t="str">
        <f t="shared" si="58"/>
        <v/>
      </c>
      <c r="AD121" s="61" t="str">
        <f t="shared" si="59"/>
        <v/>
      </c>
    </row>
    <row r="122" spans="1:30" x14ac:dyDescent="0.25">
      <c r="A122" s="36"/>
      <c r="B122" s="38"/>
      <c r="C122" s="37"/>
      <c r="D122" s="37"/>
      <c r="E122" s="37"/>
      <c r="F122" s="37"/>
      <c r="G122" s="37"/>
      <c r="H122" s="37"/>
      <c r="I122" s="37"/>
      <c r="J122" s="37"/>
      <c r="K122" s="37"/>
      <c r="L122" s="38"/>
      <c r="M122" s="37"/>
      <c r="N122" s="37"/>
      <c r="O122" s="39"/>
      <c r="P122" s="61" t="str">
        <f t="shared" si="45"/>
        <v/>
      </c>
      <c r="Q122" s="61" t="str">
        <f t="shared" si="46"/>
        <v/>
      </c>
      <c r="R122" s="61" t="str">
        <f t="shared" si="47"/>
        <v/>
      </c>
      <c r="S122" s="61" t="str">
        <f t="shared" si="48"/>
        <v/>
      </c>
      <c r="T122" s="61" t="str">
        <f t="shared" si="49"/>
        <v/>
      </c>
      <c r="U122" s="61" t="str">
        <f t="shared" si="50"/>
        <v/>
      </c>
      <c r="V122" s="61" t="str">
        <f t="shared" si="51"/>
        <v/>
      </c>
      <c r="W122" s="61" t="str">
        <f t="shared" si="52"/>
        <v/>
      </c>
      <c r="X122" s="61" t="str">
        <f t="shared" si="53"/>
        <v/>
      </c>
      <c r="Y122" s="61" t="str">
        <f t="shared" si="54"/>
        <v/>
      </c>
      <c r="Z122" s="61" t="str">
        <f t="shared" si="55"/>
        <v/>
      </c>
      <c r="AA122" s="61" t="str">
        <f t="shared" si="56"/>
        <v/>
      </c>
      <c r="AB122" s="61" t="str">
        <f t="shared" si="57"/>
        <v/>
      </c>
      <c r="AC122" s="61" t="str">
        <f t="shared" si="58"/>
        <v/>
      </c>
      <c r="AD122" s="61" t="str">
        <f t="shared" si="59"/>
        <v/>
      </c>
    </row>
    <row r="123" spans="1:30" x14ac:dyDescent="0.25">
      <c r="A123" s="40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2"/>
      <c r="M123" s="41"/>
      <c r="N123" s="41"/>
      <c r="O123" s="43"/>
      <c r="P123" s="61" t="str">
        <f t="shared" si="45"/>
        <v/>
      </c>
      <c r="Q123" s="61" t="str">
        <f t="shared" si="46"/>
        <v/>
      </c>
      <c r="R123" s="61" t="str">
        <f t="shared" si="47"/>
        <v/>
      </c>
      <c r="S123" s="61" t="str">
        <f t="shared" si="48"/>
        <v/>
      </c>
      <c r="T123" s="61" t="str">
        <f t="shared" si="49"/>
        <v/>
      </c>
      <c r="U123" s="61" t="str">
        <f t="shared" si="50"/>
        <v/>
      </c>
      <c r="V123" s="61" t="str">
        <f t="shared" si="51"/>
        <v/>
      </c>
      <c r="W123" s="61" t="str">
        <f t="shared" si="52"/>
        <v/>
      </c>
      <c r="X123" s="61" t="str">
        <f t="shared" si="53"/>
        <v/>
      </c>
      <c r="Y123" s="61" t="str">
        <f t="shared" si="54"/>
        <v/>
      </c>
      <c r="Z123" s="61" t="str">
        <f t="shared" si="55"/>
        <v/>
      </c>
      <c r="AA123" s="61" t="str">
        <f t="shared" si="56"/>
        <v/>
      </c>
      <c r="AB123" s="61" t="str">
        <f t="shared" si="57"/>
        <v/>
      </c>
      <c r="AC123" s="61" t="str">
        <f t="shared" si="58"/>
        <v/>
      </c>
      <c r="AD123" s="61" t="str">
        <f t="shared" si="59"/>
        <v/>
      </c>
    </row>
    <row r="124" spans="1:30" x14ac:dyDescent="0.25">
      <c r="A124" s="36"/>
      <c r="B124" s="38"/>
      <c r="C124" s="37"/>
      <c r="D124" s="37"/>
      <c r="E124" s="37"/>
      <c r="F124" s="37"/>
      <c r="G124" s="37"/>
      <c r="H124" s="37"/>
      <c r="I124" s="37"/>
      <c r="J124" s="37"/>
      <c r="K124" s="37"/>
      <c r="L124" s="38"/>
      <c r="M124" s="37"/>
      <c r="N124" s="37"/>
      <c r="O124" s="39"/>
      <c r="P124" s="61" t="str">
        <f t="shared" si="45"/>
        <v/>
      </c>
      <c r="Q124" s="61" t="str">
        <f t="shared" si="46"/>
        <v/>
      </c>
      <c r="R124" s="61" t="str">
        <f t="shared" si="47"/>
        <v/>
      </c>
      <c r="S124" s="61" t="str">
        <f t="shared" si="48"/>
        <v/>
      </c>
      <c r="T124" s="61" t="str">
        <f t="shared" si="49"/>
        <v/>
      </c>
      <c r="U124" s="61" t="str">
        <f t="shared" si="50"/>
        <v/>
      </c>
      <c r="V124" s="61" t="str">
        <f t="shared" si="51"/>
        <v/>
      </c>
      <c r="W124" s="61" t="str">
        <f t="shared" si="52"/>
        <v/>
      </c>
      <c r="X124" s="61" t="str">
        <f t="shared" si="53"/>
        <v/>
      </c>
      <c r="Y124" s="61" t="str">
        <f t="shared" si="54"/>
        <v/>
      </c>
      <c r="Z124" s="61" t="str">
        <f t="shared" si="55"/>
        <v/>
      </c>
      <c r="AA124" s="61" t="str">
        <f t="shared" si="56"/>
        <v/>
      </c>
      <c r="AB124" s="61" t="str">
        <f t="shared" si="57"/>
        <v/>
      </c>
      <c r="AC124" s="61" t="str">
        <f t="shared" si="58"/>
        <v/>
      </c>
      <c r="AD124" s="61" t="str">
        <f t="shared" si="59"/>
        <v/>
      </c>
    </row>
    <row r="125" spans="1:30" x14ac:dyDescent="0.25">
      <c r="A125" s="40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2"/>
      <c r="M125" s="41"/>
      <c r="N125" s="41"/>
      <c r="O125" s="43"/>
      <c r="P125" s="61" t="str">
        <f t="shared" si="45"/>
        <v/>
      </c>
      <c r="Q125" s="61" t="str">
        <f t="shared" si="46"/>
        <v/>
      </c>
      <c r="R125" s="61" t="str">
        <f t="shared" si="47"/>
        <v/>
      </c>
      <c r="S125" s="61" t="str">
        <f t="shared" si="48"/>
        <v/>
      </c>
      <c r="T125" s="61" t="str">
        <f t="shared" si="49"/>
        <v/>
      </c>
      <c r="U125" s="61" t="str">
        <f t="shared" si="50"/>
        <v/>
      </c>
      <c r="V125" s="61" t="str">
        <f t="shared" si="51"/>
        <v/>
      </c>
      <c r="W125" s="61"/>
      <c r="X125" s="61" t="str">
        <f t="shared" si="53"/>
        <v/>
      </c>
      <c r="Y125" s="61" t="str">
        <f t="shared" si="54"/>
        <v/>
      </c>
      <c r="Z125" s="61" t="str">
        <f t="shared" si="55"/>
        <v/>
      </c>
      <c r="AA125" s="61" t="str">
        <f t="shared" si="56"/>
        <v/>
      </c>
      <c r="AB125" s="61" t="str">
        <f t="shared" si="57"/>
        <v/>
      </c>
      <c r="AC125" s="61" t="str">
        <f t="shared" si="58"/>
        <v/>
      </c>
      <c r="AD125" s="61" t="str">
        <f t="shared" si="59"/>
        <v/>
      </c>
    </row>
    <row r="126" spans="1:30" x14ac:dyDescent="0.25">
      <c r="A126" s="36"/>
      <c r="B126" s="38"/>
      <c r="C126" s="37"/>
      <c r="D126" s="37"/>
      <c r="E126" s="37"/>
      <c r="F126" s="37"/>
      <c r="G126" s="37"/>
      <c r="H126" s="37"/>
      <c r="I126" s="37"/>
      <c r="J126" s="37"/>
      <c r="K126" s="37"/>
      <c r="L126" s="38"/>
      <c r="M126" s="37"/>
      <c r="N126" s="37"/>
      <c r="O126" s="39"/>
      <c r="P126" s="61" t="str">
        <f t="shared" si="45"/>
        <v/>
      </c>
      <c r="Q126" s="61" t="str">
        <f t="shared" si="46"/>
        <v/>
      </c>
      <c r="R126" s="61" t="str">
        <f t="shared" si="47"/>
        <v/>
      </c>
      <c r="S126" s="61" t="str">
        <f t="shared" si="48"/>
        <v/>
      </c>
      <c r="T126" s="61" t="str">
        <f t="shared" si="49"/>
        <v/>
      </c>
      <c r="U126" s="61" t="str">
        <f t="shared" si="50"/>
        <v/>
      </c>
      <c r="V126" s="61" t="str">
        <f t="shared" si="51"/>
        <v/>
      </c>
      <c r="W126" s="61"/>
      <c r="X126" s="61" t="str">
        <f t="shared" si="53"/>
        <v/>
      </c>
      <c r="Y126" s="61" t="str">
        <f t="shared" si="54"/>
        <v/>
      </c>
      <c r="Z126" s="61" t="str">
        <f t="shared" si="55"/>
        <v/>
      </c>
      <c r="AA126" s="61" t="str">
        <f t="shared" si="56"/>
        <v/>
      </c>
      <c r="AB126" s="61" t="str">
        <f t="shared" si="57"/>
        <v/>
      </c>
      <c r="AC126" s="61" t="str">
        <f t="shared" si="58"/>
        <v/>
      </c>
      <c r="AD126" s="61" t="str">
        <f t="shared" si="59"/>
        <v/>
      </c>
    </row>
    <row r="127" spans="1:30" x14ac:dyDescent="0.25">
      <c r="A127" s="40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2"/>
      <c r="M127" s="41"/>
      <c r="N127" s="41"/>
      <c r="O127" s="43"/>
      <c r="P127" s="61" t="str">
        <f t="shared" si="45"/>
        <v/>
      </c>
      <c r="Q127" s="61" t="str">
        <f t="shared" si="46"/>
        <v/>
      </c>
      <c r="R127" s="61" t="str">
        <f t="shared" si="47"/>
        <v/>
      </c>
      <c r="S127" s="61" t="str">
        <f t="shared" si="48"/>
        <v/>
      </c>
      <c r="T127" s="61" t="str">
        <f t="shared" si="49"/>
        <v/>
      </c>
      <c r="U127" s="61" t="str">
        <f t="shared" si="50"/>
        <v/>
      </c>
      <c r="V127" s="61" t="str">
        <f t="shared" si="51"/>
        <v/>
      </c>
      <c r="W127" s="61"/>
      <c r="X127" s="61" t="str">
        <f t="shared" si="53"/>
        <v/>
      </c>
      <c r="Y127" s="61" t="str">
        <f t="shared" si="54"/>
        <v/>
      </c>
      <c r="Z127" s="61" t="str">
        <f t="shared" si="55"/>
        <v/>
      </c>
      <c r="AA127" s="61" t="str">
        <f t="shared" si="56"/>
        <v/>
      </c>
      <c r="AB127" s="61" t="str">
        <f t="shared" si="57"/>
        <v/>
      </c>
      <c r="AC127" s="61" t="str">
        <f t="shared" si="58"/>
        <v/>
      </c>
      <c r="AD127" s="61" t="str">
        <f t="shared" si="59"/>
        <v/>
      </c>
    </row>
    <row r="128" spans="1:30" x14ac:dyDescent="0.25">
      <c r="A128" s="36"/>
      <c r="B128" s="38"/>
      <c r="C128" s="37"/>
      <c r="D128" s="37"/>
      <c r="E128" s="37"/>
      <c r="F128" s="37"/>
      <c r="G128" s="37"/>
      <c r="H128" s="37"/>
      <c r="I128" s="37"/>
      <c r="J128" s="37"/>
      <c r="K128" s="37"/>
      <c r="L128" s="38"/>
      <c r="M128" s="37"/>
      <c r="N128" s="37"/>
      <c r="O128" s="39"/>
      <c r="P128" s="61" t="str">
        <f t="shared" si="45"/>
        <v/>
      </c>
      <c r="Q128" s="61" t="str">
        <f t="shared" si="46"/>
        <v/>
      </c>
      <c r="R128" s="61" t="str">
        <f t="shared" si="47"/>
        <v/>
      </c>
      <c r="S128" s="61" t="str">
        <f t="shared" si="48"/>
        <v/>
      </c>
      <c r="T128" s="61" t="str">
        <f t="shared" si="49"/>
        <v/>
      </c>
      <c r="U128" s="61" t="str">
        <f t="shared" si="50"/>
        <v/>
      </c>
      <c r="V128" s="61" t="str">
        <f t="shared" si="51"/>
        <v/>
      </c>
      <c r="W128" s="61"/>
      <c r="X128" s="61" t="str">
        <f t="shared" si="53"/>
        <v/>
      </c>
      <c r="Y128" s="61" t="str">
        <f t="shared" si="54"/>
        <v/>
      </c>
      <c r="Z128" s="61" t="str">
        <f t="shared" si="55"/>
        <v/>
      </c>
      <c r="AA128" s="61" t="str">
        <f t="shared" si="56"/>
        <v/>
      </c>
      <c r="AB128" s="61" t="str">
        <f t="shared" si="57"/>
        <v/>
      </c>
      <c r="AC128" s="61" t="str">
        <f t="shared" si="58"/>
        <v/>
      </c>
      <c r="AD128" s="61" t="str">
        <f t="shared" si="59"/>
        <v/>
      </c>
    </row>
    <row r="129" spans="1:30" x14ac:dyDescent="0.25">
      <c r="A129" s="40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2"/>
      <c r="M129" s="41"/>
      <c r="N129" s="41"/>
      <c r="O129" s="43"/>
      <c r="P129" s="61" t="str">
        <f t="shared" si="45"/>
        <v/>
      </c>
      <c r="Q129" s="61" t="str">
        <f t="shared" si="46"/>
        <v/>
      </c>
      <c r="R129" s="61" t="str">
        <f t="shared" si="47"/>
        <v/>
      </c>
      <c r="S129" s="61" t="str">
        <f t="shared" si="48"/>
        <v/>
      </c>
      <c r="T129" s="61" t="str">
        <f t="shared" si="49"/>
        <v/>
      </c>
      <c r="U129" s="61" t="str">
        <f t="shared" si="50"/>
        <v/>
      </c>
      <c r="V129" s="61" t="str">
        <f t="shared" si="51"/>
        <v/>
      </c>
      <c r="W129" s="61"/>
      <c r="X129" s="61" t="str">
        <f t="shared" si="53"/>
        <v/>
      </c>
      <c r="Y129" s="61" t="str">
        <f t="shared" si="54"/>
        <v/>
      </c>
      <c r="Z129" s="61" t="str">
        <f t="shared" si="55"/>
        <v/>
      </c>
      <c r="AA129" s="61" t="str">
        <f t="shared" si="56"/>
        <v/>
      </c>
      <c r="AB129" s="61" t="str">
        <f t="shared" si="57"/>
        <v/>
      </c>
      <c r="AC129" s="61" t="str">
        <f t="shared" si="58"/>
        <v/>
      </c>
      <c r="AD129" s="61" t="str">
        <f t="shared" si="59"/>
        <v/>
      </c>
    </row>
    <row r="130" spans="1:30" x14ac:dyDescent="0.25">
      <c r="A130" s="36"/>
      <c r="B130" s="38"/>
      <c r="C130" s="37"/>
      <c r="D130" s="37"/>
      <c r="E130" s="37"/>
      <c r="F130" s="37"/>
      <c r="G130" s="37"/>
      <c r="H130" s="37"/>
      <c r="I130" s="37"/>
      <c r="J130" s="37"/>
      <c r="K130" s="37"/>
      <c r="L130" s="38"/>
      <c r="M130" s="37"/>
      <c r="N130" s="37"/>
      <c r="O130" s="39"/>
      <c r="P130" s="61" t="str">
        <f t="shared" si="45"/>
        <v/>
      </c>
      <c r="Q130" s="61" t="str">
        <f t="shared" si="46"/>
        <v/>
      </c>
      <c r="R130" s="61" t="str">
        <f t="shared" si="47"/>
        <v/>
      </c>
      <c r="S130" s="61" t="str">
        <f t="shared" si="48"/>
        <v/>
      </c>
      <c r="T130" s="61" t="str">
        <f t="shared" si="49"/>
        <v/>
      </c>
      <c r="U130" s="61" t="str">
        <f t="shared" si="50"/>
        <v/>
      </c>
      <c r="V130" s="61" t="str">
        <f t="shared" si="51"/>
        <v/>
      </c>
      <c r="W130" s="61"/>
      <c r="X130" s="61" t="str">
        <f t="shared" si="53"/>
        <v/>
      </c>
      <c r="Y130" s="61" t="str">
        <f t="shared" si="54"/>
        <v/>
      </c>
      <c r="Z130" s="61" t="str">
        <f t="shared" si="55"/>
        <v/>
      </c>
      <c r="AA130" s="61" t="str">
        <f t="shared" si="56"/>
        <v/>
      </c>
      <c r="AB130" s="61" t="str">
        <f t="shared" si="57"/>
        <v/>
      </c>
      <c r="AC130" s="61" t="str">
        <f t="shared" si="58"/>
        <v/>
      </c>
      <c r="AD130" s="61" t="str">
        <f t="shared" si="59"/>
        <v/>
      </c>
    </row>
    <row r="131" spans="1:30" x14ac:dyDescent="0.25">
      <c r="A131" s="40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2"/>
      <c r="M131" s="41"/>
      <c r="N131" s="41"/>
      <c r="O131" s="43"/>
      <c r="P131" s="61" t="str">
        <f t="shared" si="45"/>
        <v/>
      </c>
      <c r="Q131" s="61" t="str">
        <f t="shared" si="46"/>
        <v/>
      </c>
      <c r="R131" s="61" t="str">
        <f t="shared" si="47"/>
        <v/>
      </c>
      <c r="S131" s="61" t="str">
        <f t="shared" si="48"/>
        <v/>
      </c>
      <c r="T131" s="61" t="str">
        <f t="shared" si="49"/>
        <v/>
      </c>
      <c r="U131" s="61" t="str">
        <f t="shared" si="50"/>
        <v/>
      </c>
      <c r="V131" s="61" t="str">
        <f t="shared" si="51"/>
        <v/>
      </c>
      <c r="W131" s="61"/>
      <c r="X131" s="61" t="str">
        <f t="shared" si="53"/>
        <v/>
      </c>
      <c r="Y131" s="61" t="str">
        <f t="shared" si="54"/>
        <v/>
      </c>
      <c r="Z131" s="61" t="str">
        <f t="shared" si="55"/>
        <v/>
      </c>
      <c r="AA131" s="61" t="str">
        <f t="shared" si="56"/>
        <v/>
      </c>
      <c r="AB131" s="61" t="str">
        <f t="shared" si="57"/>
        <v/>
      </c>
      <c r="AC131" s="61" t="str">
        <f t="shared" si="58"/>
        <v/>
      </c>
      <c r="AD131" s="61" t="str">
        <f t="shared" si="59"/>
        <v/>
      </c>
    </row>
    <row r="132" spans="1:30" x14ac:dyDescent="0.25">
      <c r="A132" s="36"/>
      <c r="B132" s="38"/>
      <c r="C132" s="37"/>
      <c r="D132" s="37"/>
      <c r="E132" s="37"/>
      <c r="F132" s="37"/>
      <c r="G132" s="37"/>
      <c r="H132" s="37"/>
      <c r="I132" s="37"/>
      <c r="J132" s="37"/>
      <c r="K132" s="37"/>
      <c r="L132" s="38"/>
      <c r="M132" s="37"/>
      <c r="N132" s="37"/>
      <c r="O132" s="39"/>
      <c r="P132" s="61" t="str">
        <f t="shared" si="45"/>
        <v/>
      </c>
      <c r="Q132" s="61" t="str">
        <f t="shared" si="46"/>
        <v/>
      </c>
      <c r="R132" s="61" t="str">
        <f t="shared" si="47"/>
        <v/>
      </c>
      <c r="S132" s="61" t="str">
        <f t="shared" si="48"/>
        <v/>
      </c>
      <c r="T132" s="61" t="str">
        <f t="shared" si="49"/>
        <v/>
      </c>
      <c r="U132" s="61" t="str">
        <f t="shared" si="50"/>
        <v/>
      </c>
      <c r="V132" s="61" t="str">
        <f t="shared" si="51"/>
        <v/>
      </c>
      <c r="W132" s="61"/>
      <c r="X132" s="61" t="str">
        <f t="shared" si="53"/>
        <v/>
      </c>
      <c r="Y132" s="61" t="str">
        <f t="shared" si="54"/>
        <v/>
      </c>
      <c r="Z132" s="61" t="str">
        <f t="shared" si="55"/>
        <v/>
      </c>
      <c r="AA132" s="61" t="str">
        <f t="shared" si="56"/>
        <v/>
      </c>
      <c r="AB132" s="61" t="str">
        <f t="shared" si="57"/>
        <v/>
      </c>
      <c r="AC132" s="61" t="str">
        <f t="shared" si="58"/>
        <v/>
      </c>
      <c r="AD132" s="61" t="str">
        <f t="shared" si="59"/>
        <v/>
      </c>
    </row>
    <row r="133" spans="1:30" x14ac:dyDescent="0.25">
      <c r="A133" s="40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2"/>
      <c r="M133" s="41"/>
      <c r="N133" s="41"/>
      <c r="O133" s="43"/>
      <c r="P133" s="61" t="str">
        <f t="shared" ref="P133:P164" si="60">IF(D133="","",IFERROR(_xlfn.TRANSLATE(D133,,"ja"),""))</f>
        <v/>
      </c>
      <c r="Q133" s="61" t="str">
        <f t="shared" ref="Q133:Q164" si="61">IF(D133="","",IFERROR(_xlfn.TRANSLATE(D133,,"zh-Hans"),""))</f>
        <v/>
      </c>
      <c r="R133" s="61" t="str">
        <f t="shared" ref="R133:R164" si="62">IF(D133="","",IFERROR(_xlfn.TRANSLATE(D133,,"vi"),""))</f>
        <v/>
      </c>
      <c r="S133" s="61" t="str">
        <f t="shared" ref="S133:S164" si="63">IF(E133="","",IFERROR(_xlfn.TRANSLATE(E133,,"ja"),""))</f>
        <v/>
      </c>
      <c r="T133" s="61" t="str">
        <f t="shared" ref="T133:T164" si="64">IF(E133="","",IFERROR(_xlfn.TRANSLATE(E133,,"zh-Hans"),""))</f>
        <v/>
      </c>
      <c r="U133" s="61" t="str">
        <f t="shared" ref="U133:U164" si="65">IF(E133="","",IFERROR(_xlfn.TRANSLATE(E133,,"vi"),""))</f>
        <v/>
      </c>
      <c r="V133" s="61" t="str">
        <f t="shared" ref="V133:V164" si="66">IF(F133="","",IFERROR(_xlfn.TRANSLATE(F133,,"ja"),""))</f>
        <v/>
      </c>
      <c r="W133" s="61"/>
      <c r="X133" s="61" t="str">
        <f t="shared" ref="X133:X164" si="67">IF(F133="","",IFERROR(_xlfn.TRANSLATE(F133,,"vi"),""))</f>
        <v/>
      </c>
      <c r="Y133" s="61" t="str">
        <f t="shared" ref="Y133:Y164" si="68">IF(J133="","",IFERROR(_xlfn.TRANSLATE(J133,,"ja"),""))</f>
        <v/>
      </c>
      <c r="Z133" s="61" t="str">
        <f t="shared" ref="Z133:Z164" si="69">IF(J133="","",IFERROR(_xlfn.TRANSLATE(J133,,"zh-Hans"),""))</f>
        <v/>
      </c>
      <c r="AA133" s="61" t="str">
        <f t="shared" ref="AA133:AA164" si="70">IF(J133="","",IFERROR(_xlfn.TRANSLATE(J133,,"vi"),""))</f>
        <v/>
      </c>
      <c r="AB133" s="61" t="str">
        <f t="shared" ref="AB133:AB164" si="71">IF(O133="","",IFERROR(_xlfn.TRANSLATE(O133,,"ja"),""))</f>
        <v/>
      </c>
      <c r="AC133" s="61" t="str">
        <f t="shared" ref="AC133:AC164" si="72">IF(O133="","",IFERROR(_xlfn.TRANSLATE(O133,,"zh-Hans"),""))</f>
        <v/>
      </c>
      <c r="AD133" s="61" t="str">
        <f t="shared" ref="AD133:AD164" si="73">IF(O133="","",IFERROR(_xlfn.TRANSLATE(O133,,"vi"),""))</f>
        <v/>
      </c>
    </row>
    <row r="134" spans="1:30" x14ac:dyDescent="0.25">
      <c r="A134" s="36"/>
      <c r="B134" s="38"/>
      <c r="C134" s="37"/>
      <c r="D134" s="37"/>
      <c r="E134" s="37"/>
      <c r="F134" s="37"/>
      <c r="G134" s="37"/>
      <c r="H134" s="37"/>
      <c r="I134" s="37"/>
      <c r="J134" s="37"/>
      <c r="K134" s="37"/>
      <c r="L134" s="38"/>
      <c r="M134" s="37"/>
      <c r="N134" s="37"/>
      <c r="O134" s="39"/>
      <c r="P134" s="61" t="str">
        <f t="shared" si="60"/>
        <v/>
      </c>
      <c r="Q134" s="61" t="str">
        <f t="shared" si="61"/>
        <v/>
      </c>
      <c r="R134" s="61" t="str">
        <f t="shared" si="62"/>
        <v/>
      </c>
      <c r="S134" s="61" t="str">
        <f t="shared" si="63"/>
        <v/>
      </c>
      <c r="T134" s="61" t="str">
        <f t="shared" si="64"/>
        <v/>
      </c>
      <c r="U134" s="61" t="str">
        <f t="shared" si="65"/>
        <v/>
      </c>
      <c r="V134" s="61" t="str">
        <f t="shared" si="66"/>
        <v/>
      </c>
      <c r="W134" s="61"/>
      <c r="X134" s="61" t="str">
        <f t="shared" si="67"/>
        <v/>
      </c>
      <c r="Y134" s="61" t="str">
        <f t="shared" si="68"/>
        <v/>
      </c>
      <c r="Z134" s="61" t="str">
        <f t="shared" si="69"/>
        <v/>
      </c>
      <c r="AA134" s="61" t="str">
        <f t="shared" si="70"/>
        <v/>
      </c>
      <c r="AB134" s="61" t="str">
        <f t="shared" si="71"/>
        <v/>
      </c>
      <c r="AC134" s="61" t="str">
        <f t="shared" si="72"/>
        <v/>
      </c>
      <c r="AD134" s="61" t="str">
        <f t="shared" si="73"/>
        <v/>
      </c>
    </row>
    <row r="135" spans="1:30" x14ac:dyDescent="0.25">
      <c r="A135" s="40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2"/>
      <c r="M135" s="41"/>
      <c r="N135" s="41"/>
      <c r="O135" s="43"/>
      <c r="P135" s="61" t="str">
        <f t="shared" si="60"/>
        <v/>
      </c>
      <c r="Q135" s="61" t="str">
        <f t="shared" si="61"/>
        <v/>
      </c>
      <c r="R135" s="61" t="str">
        <f t="shared" si="62"/>
        <v/>
      </c>
      <c r="S135" s="61" t="str">
        <f t="shared" si="63"/>
        <v/>
      </c>
      <c r="T135" s="61" t="str">
        <f t="shared" si="64"/>
        <v/>
      </c>
      <c r="U135" s="61" t="str">
        <f t="shared" si="65"/>
        <v/>
      </c>
      <c r="V135" s="61" t="str">
        <f t="shared" si="66"/>
        <v/>
      </c>
      <c r="W135" s="61"/>
      <c r="X135" s="61" t="str">
        <f t="shared" si="67"/>
        <v/>
      </c>
      <c r="Y135" s="61" t="str">
        <f t="shared" si="68"/>
        <v/>
      </c>
      <c r="Z135" s="61" t="str">
        <f t="shared" si="69"/>
        <v/>
      </c>
      <c r="AA135" s="61" t="str">
        <f t="shared" si="70"/>
        <v/>
      </c>
      <c r="AB135" s="61" t="str">
        <f t="shared" si="71"/>
        <v/>
      </c>
      <c r="AC135" s="61" t="str">
        <f t="shared" si="72"/>
        <v/>
      </c>
      <c r="AD135" s="61" t="str">
        <f t="shared" si="73"/>
        <v/>
      </c>
    </row>
    <row r="136" spans="1:30" x14ac:dyDescent="0.25">
      <c r="A136" s="36"/>
      <c r="B136" s="38"/>
      <c r="C136" s="37"/>
      <c r="D136" s="37"/>
      <c r="E136" s="37"/>
      <c r="F136" s="37"/>
      <c r="G136" s="37"/>
      <c r="H136" s="37"/>
      <c r="I136" s="37"/>
      <c r="J136" s="37"/>
      <c r="K136" s="37"/>
      <c r="L136" s="38"/>
      <c r="M136" s="37"/>
      <c r="N136" s="37"/>
      <c r="O136" s="39"/>
      <c r="P136" s="61" t="str">
        <f t="shared" si="60"/>
        <v/>
      </c>
      <c r="Q136" s="61" t="str">
        <f t="shared" si="61"/>
        <v/>
      </c>
      <c r="R136" s="61" t="str">
        <f t="shared" si="62"/>
        <v/>
      </c>
      <c r="S136" s="61" t="str">
        <f t="shared" si="63"/>
        <v/>
      </c>
      <c r="T136" s="61" t="str">
        <f t="shared" si="64"/>
        <v/>
      </c>
      <c r="U136" s="61" t="str">
        <f t="shared" si="65"/>
        <v/>
      </c>
      <c r="V136" s="61" t="str">
        <f t="shared" si="66"/>
        <v/>
      </c>
      <c r="W136" s="61"/>
      <c r="X136" s="61" t="str">
        <f t="shared" si="67"/>
        <v/>
      </c>
      <c r="Y136" s="61" t="str">
        <f t="shared" si="68"/>
        <v/>
      </c>
      <c r="Z136" s="61" t="str">
        <f t="shared" si="69"/>
        <v/>
      </c>
      <c r="AA136" s="61" t="str">
        <f t="shared" si="70"/>
        <v/>
      </c>
      <c r="AB136" s="61" t="str">
        <f t="shared" si="71"/>
        <v/>
      </c>
      <c r="AC136" s="61" t="str">
        <f t="shared" si="72"/>
        <v/>
      </c>
      <c r="AD136" s="61" t="str">
        <f t="shared" si="73"/>
        <v/>
      </c>
    </row>
    <row r="137" spans="1:30" x14ac:dyDescent="0.25">
      <c r="A137" s="40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2"/>
      <c r="M137" s="41"/>
      <c r="N137" s="41"/>
      <c r="O137" s="43"/>
      <c r="P137" s="61" t="str">
        <f t="shared" si="60"/>
        <v/>
      </c>
      <c r="Q137" s="61" t="str">
        <f t="shared" si="61"/>
        <v/>
      </c>
      <c r="R137" s="61" t="str">
        <f t="shared" si="62"/>
        <v/>
      </c>
      <c r="S137" s="61" t="str">
        <f t="shared" si="63"/>
        <v/>
      </c>
      <c r="T137" s="61" t="str">
        <f t="shared" si="64"/>
        <v/>
      </c>
      <c r="U137" s="61" t="str">
        <f t="shared" si="65"/>
        <v/>
      </c>
      <c r="V137" s="61" t="str">
        <f t="shared" si="66"/>
        <v/>
      </c>
      <c r="W137" s="61"/>
      <c r="X137" s="61" t="str">
        <f t="shared" si="67"/>
        <v/>
      </c>
      <c r="Y137" s="61" t="str">
        <f t="shared" si="68"/>
        <v/>
      </c>
      <c r="Z137" s="61" t="str">
        <f t="shared" si="69"/>
        <v/>
      </c>
      <c r="AA137" s="61" t="str">
        <f t="shared" si="70"/>
        <v/>
      </c>
      <c r="AB137" s="61" t="str">
        <f t="shared" si="71"/>
        <v/>
      </c>
      <c r="AC137" s="61" t="str">
        <f t="shared" si="72"/>
        <v/>
      </c>
      <c r="AD137" s="61" t="str">
        <f t="shared" si="73"/>
        <v/>
      </c>
    </row>
    <row r="138" spans="1:30" x14ac:dyDescent="0.25">
      <c r="A138" s="36"/>
      <c r="B138" s="38"/>
      <c r="C138" s="37"/>
      <c r="D138" s="37"/>
      <c r="E138" s="37"/>
      <c r="F138" s="37"/>
      <c r="G138" s="37"/>
      <c r="H138" s="37"/>
      <c r="I138" s="37"/>
      <c r="J138" s="37"/>
      <c r="K138" s="37"/>
      <c r="L138" s="38"/>
      <c r="M138" s="37"/>
      <c r="N138" s="37"/>
      <c r="O138" s="39"/>
      <c r="P138" s="61" t="str">
        <f t="shared" si="60"/>
        <v/>
      </c>
      <c r="Q138" s="61" t="str">
        <f t="shared" si="61"/>
        <v/>
      </c>
      <c r="R138" s="61" t="str">
        <f t="shared" si="62"/>
        <v/>
      </c>
      <c r="S138" s="61" t="str">
        <f t="shared" si="63"/>
        <v/>
      </c>
      <c r="T138" s="61" t="str">
        <f t="shared" si="64"/>
        <v/>
      </c>
      <c r="U138" s="61" t="str">
        <f t="shared" si="65"/>
        <v/>
      </c>
      <c r="V138" s="61" t="str">
        <f t="shared" si="66"/>
        <v/>
      </c>
      <c r="W138" s="61"/>
      <c r="X138" s="61" t="str">
        <f t="shared" si="67"/>
        <v/>
      </c>
      <c r="Y138" s="61" t="str">
        <f t="shared" si="68"/>
        <v/>
      </c>
      <c r="Z138" s="61" t="str">
        <f t="shared" si="69"/>
        <v/>
      </c>
      <c r="AA138" s="61" t="str">
        <f t="shared" si="70"/>
        <v/>
      </c>
      <c r="AB138" s="61" t="str">
        <f t="shared" si="71"/>
        <v/>
      </c>
      <c r="AC138" s="61" t="str">
        <f t="shared" si="72"/>
        <v/>
      </c>
      <c r="AD138" s="61" t="str">
        <f t="shared" si="73"/>
        <v/>
      </c>
    </row>
    <row r="139" spans="1:30" x14ac:dyDescent="0.25">
      <c r="A139" s="40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2"/>
      <c r="M139" s="41"/>
      <c r="N139" s="41"/>
      <c r="O139" s="43"/>
      <c r="P139" s="61" t="str">
        <f t="shared" si="60"/>
        <v/>
      </c>
      <c r="Q139" s="61" t="str">
        <f t="shared" si="61"/>
        <v/>
      </c>
      <c r="R139" s="61" t="str">
        <f t="shared" si="62"/>
        <v/>
      </c>
      <c r="S139" s="61" t="str">
        <f t="shared" si="63"/>
        <v/>
      </c>
      <c r="T139" s="61" t="str">
        <f t="shared" si="64"/>
        <v/>
      </c>
      <c r="U139" s="61" t="str">
        <f t="shared" si="65"/>
        <v/>
      </c>
      <c r="V139" s="61" t="str">
        <f t="shared" si="66"/>
        <v/>
      </c>
      <c r="W139" s="61"/>
      <c r="X139" s="61" t="str">
        <f t="shared" si="67"/>
        <v/>
      </c>
      <c r="Y139" s="61" t="str">
        <f t="shared" si="68"/>
        <v/>
      </c>
      <c r="Z139" s="61" t="str">
        <f t="shared" si="69"/>
        <v/>
      </c>
      <c r="AA139" s="61" t="str">
        <f t="shared" si="70"/>
        <v/>
      </c>
      <c r="AB139" s="61" t="str">
        <f t="shared" si="71"/>
        <v/>
      </c>
      <c r="AC139" s="61" t="str">
        <f t="shared" si="72"/>
        <v/>
      </c>
      <c r="AD139" s="61" t="str">
        <f t="shared" si="73"/>
        <v/>
      </c>
    </row>
    <row r="140" spans="1:30" x14ac:dyDescent="0.25">
      <c r="A140" s="36"/>
      <c r="B140" s="38"/>
      <c r="C140" s="37"/>
      <c r="D140" s="37"/>
      <c r="E140" s="37"/>
      <c r="F140" s="37"/>
      <c r="G140" s="37"/>
      <c r="H140" s="37"/>
      <c r="I140" s="37"/>
      <c r="J140" s="37"/>
      <c r="K140" s="37"/>
      <c r="L140" s="38"/>
      <c r="M140" s="37"/>
      <c r="N140" s="37"/>
      <c r="O140" s="39"/>
      <c r="P140" s="61" t="str">
        <f t="shared" si="60"/>
        <v/>
      </c>
      <c r="Q140" s="61" t="str">
        <f t="shared" si="61"/>
        <v/>
      </c>
      <c r="R140" s="61" t="str">
        <f t="shared" si="62"/>
        <v/>
      </c>
      <c r="S140" s="61" t="str">
        <f t="shared" si="63"/>
        <v/>
      </c>
      <c r="T140" s="61" t="str">
        <f t="shared" si="64"/>
        <v/>
      </c>
      <c r="U140" s="61" t="str">
        <f t="shared" si="65"/>
        <v/>
      </c>
      <c r="V140" s="61" t="str">
        <f t="shared" si="66"/>
        <v/>
      </c>
      <c r="W140" s="61"/>
      <c r="X140" s="61" t="str">
        <f t="shared" si="67"/>
        <v/>
      </c>
      <c r="Y140" s="61" t="str">
        <f t="shared" si="68"/>
        <v/>
      </c>
      <c r="Z140" s="61" t="str">
        <f t="shared" si="69"/>
        <v/>
      </c>
      <c r="AA140" s="61" t="str">
        <f t="shared" si="70"/>
        <v/>
      </c>
      <c r="AB140" s="61" t="str">
        <f t="shared" si="71"/>
        <v/>
      </c>
      <c r="AC140" s="61" t="str">
        <f t="shared" si="72"/>
        <v/>
      </c>
      <c r="AD140" s="61" t="str">
        <f t="shared" si="73"/>
        <v/>
      </c>
    </row>
    <row r="141" spans="1:30" x14ac:dyDescent="0.25">
      <c r="A141" s="40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2"/>
      <c r="M141" s="41"/>
      <c r="N141" s="41"/>
      <c r="O141" s="43"/>
      <c r="P141" s="61" t="str">
        <f t="shared" si="60"/>
        <v/>
      </c>
      <c r="Q141" s="61" t="str">
        <f t="shared" si="61"/>
        <v/>
      </c>
      <c r="R141" s="61" t="str">
        <f t="shared" si="62"/>
        <v/>
      </c>
      <c r="S141" s="61" t="str">
        <f t="shared" si="63"/>
        <v/>
      </c>
      <c r="T141" s="61" t="str">
        <f t="shared" si="64"/>
        <v/>
      </c>
      <c r="U141" s="61" t="str">
        <f t="shared" si="65"/>
        <v/>
      </c>
      <c r="V141" s="61" t="str">
        <f t="shared" si="66"/>
        <v/>
      </c>
      <c r="W141" s="61"/>
      <c r="X141" s="61" t="str">
        <f t="shared" si="67"/>
        <v/>
      </c>
      <c r="Y141" s="61" t="str">
        <f t="shared" si="68"/>
        <v/>
      </c>
      <c r="Z141" s="61" t="str">
        <f t="shared" si="69"/>
        <v/>
      </c>
      <c r="AA141" s="61" t="str">
        <f t="shared" si="70"/>
        <v/>
      </c>
      <c r="AB141" s="61" t="str">
        <f t="shared" si="71"/>
        <v/>
      </c>
      <c r="AC141" s="61" t="str">
        <f t="shared" si="72"/>
        <v/>
      </c>
      <c r="AD141" s="61" t="str">
        <f t="shared" si="73"/>
        <v/>
      </c>
    </row>
    <row r="142" spans="1:30" x14ac:dyDescent="0.25">
      <c r="A142" s="36"/>
      <c r="B142" s="38"/>
      <c r="C142" s="37"/>
      <c r="D142" s="37"/>
      <c r="E142" s="37"/>
      <c r="F142" s="37"/>
      <c r="G142" s="37"/>
      <c r="H142" s="37"/>
      <c r="I142" s="37"/>
      <c r="J142" s="37"/>
      <c r="K142" s="37"/>
      <c r="L142" s="38"/>
      <c r="M142" s="37"/>
      <c r="N142" s="37"/>
      <c r="O142" s="39"/>
      <c r="P142" s="61" t="str">
        <f t="shared" si="60"/>
        <v/>
      </c>
      <c r="Q142" s="61" t="str">
        <f t="shared" si="61"/>
        <v/>
      </c>
      <c r="R142" s="61" t="str">
        <f t="shared" si="62"/>
        <v/>
      </c>
      <c r="S142" s="61" t="str">
        <f t="shared" si="63"/>
        <v/>
      </c>
      <c r="T142" s="61" t="str">
        <f t="shared" si="64"/>
        <v/>
      </c>
      <c r="U142" s="61" t="str">
        <f t="shared" si="65"/>
        <v/>
      </c>
      <c r="V142" s="61" t="str">
        <f t="shared" si="66"/>
        <v/>
      </c>
      <c r="W142" s="61"/>
      <c r="X142" s="61" t="str">
        <f t="shared" si="67"/>
        <v/>
      </c>
      <c r="Y142" s="61" t="str">
        <f t="shared" si="68"/>
        <v/>
      </c>
      <c r="Z142" s="61" t="str">
        <f t="shared" si="69"/>
        <v/>
      </c>
      <c r="AA142" s="61" t="str">
        <f t="shared" si="70"/>
        <v/>
      </c>
      <c r="AB142" s="61" t="str">
        <f t="shared" si="71"/>
        <v/>
      </c>
      <c r="AC142" s="61" t="str">
        <f t="shared" si="72"/>
        <v/>
      </c>
      <c r="AD142" s="61" t="str">
        <f t="shared" si="73"/>
        <v/>
      </c>
    </row>
    <row r="143" spans="1:30" x14ac:dyDescent="0.25">
      <c r="A143" s="40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2"/>
      <c r="M143" s="41"/>
      <c r="N143" s="41"/>
      <c r="O143" s="43"/>
      <c r="P143" s="61" t="str">
        <f t="shared" si="60"/>
        <v/>
      </c>
      <c r="Q143" s="61" t="str">
        <f t="shared" si="61"/>
        <v/>
      </c>
      <c r="R143" s="61" t="str">
        <f t="shared" si="62"/>
        <v/>
      </c>
      <c r="S143" s="61" t="str">
        <f t="shared" si="63"/>
        <v/>
      </c>
      <c r="T143" s="61" t="str">
        <f t="shared" si="64"/>
        <v/>
      </c>
      <c r="U143" s="61" t="str">
        <f t="shared" si="65"/>
        <v/>
      </c>
      <c r="V143" s="61" t="str">
        <f t="shared" si="66"/>
        <v/>
      </c>
      <c r="W143" s="61"/>
      <c r="X143" s="61" t="str">
        <f t="shared" si="67"/>
        <v/>
      </c>
      <c r="Y143" s="61" t="str">
        <f t="shared" si="68"/>
        <v/>
      </c>
      <c r="Z143" s="61" t="str">
        <f t="shared" si="69"/>
        <v/>
      </c>
      <c r="AA143" s="61" t="str">
        <f t="shared" si="70"/>
        <v/>
      </c>
      <c r="AB143" s="61" t="str">
        <f t="shared" si="71"/>
        <v/>
      </c>
      <c r="AC143" s="61" t="str">
        <f t="shared" si="72"/>
        <v/>
      </c>
      <c r="AD143" s="61" t="str">
        <f t="shared" si="73"/>
        <v/>
      </c>
    </row>
    <row r="144" spans="1:30" x14ac:dyDescent="0.25">
      <c r="A144" s="36"/>
      <c r="B144" s="38"/>
      <c r="C144" s="37"/>
      <c r="D144" s="37"/>
      <c r="E144" s="37"/>
      <c r="F144" s="37"/>
      <c r="G144" s="37"/>
      <c r="H144" s="37"/>
      <c r="I144" s="37"/>
      <c r="J144" s="37"/>
      <c r="K144" s="37"/>
      <c r="L144" s="38"/>
      <c r="M144" s="37"/>
      <c r="N144" s="37"/>
      <c r="O144" s="39"/>
      <c r="P144" s="61" t="str">
        <f t="shared" si="60"/>
        <v/>
      </c>
      <c r="Q144" s="61" t="str">
        <f t="shared" si="61"/>
        <v/>
      </c>
      <c r="R144" s="61" t="str">
        <f t="shared" si="62"/>
        <v/>
      </c>
      <c r="S144" s="61" t="str">
        <f t="shared" si="63"/>
        <v/>
      </c>
      <c r="T144" s="61" t="str">
        <f t="shared" si="64"/>
        <v/>
      </c>
      <c r="U144" s="61" t="str">
        <f t="shared" si="65"/>
        <v/>
      </c>
      <c r="V144" s="61" t="str">
        <f t="shared" si="66"/>
        <v/>
      </c>
      <c r="W144" s="61"/>
      <c r="X144" s="61" t="str">
        <f t="shared" si="67"/>
        <v/>
      </c>
      <c r="Y144" s="61" t="str">
        <f t="shared" si="68"/>
        <v/>
      </c>
      <c r="Z144" s="61" t="str">
        <f t="shared" si="69"/>
        <v/>
      </c>
      <c r="AA144" s="61" t="str">
        <f t="shared" si="70"/>
        <v/>
      </c>
      <c r="AB144" s="61" t="str">
        <f t="shared" si="71"/>
        <v/>
      </c>
      <c r="AC144" s="61" t="str">
        <f t="shared" si="72"/>
        <v/>
      </c>
      <c r="AD144" s="61" t="str">
        <f t="shared" si="73"/>
        <v/>
      </c>
    </row>
    <row r="145" spans="1:30" x14ac:dyDescent="0.25">
      <c r="A145" s="40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2"/>
      <c r="M145" s="41"/>
      <c r="N145" s="41"/>
      <c r="O145" s="43"/>
      <c r="P145" s="61" t="str">
        <f t="shared" si="60"/>
        <v/>
      </c>
      <c r="Q145" s="61" t="str">
        <f t="shared" si="61"/>
        <v/>
      </c>
      <c r="R145" s="61" t="str">
        <f t="shared" si="62"/>
        <v/>
      </c>
      <c r="S145" s="61" t="str">
        <f t="shared" si="63"/>
        <v/>
      </c>
      <c r="T145" s="61" t="str">
        <f t="shared" si="64"/>
        <v/>
      </c>
      <c r="U145" s="61" t="str">
        <f t="shared" si="65"/>
        <v/>
      </c>
      <c r="V145" s="61" t="str">
        <f t="shared" si="66"/>
        <v/>
      </c>
      <c r="W145" s="61"/>
      <c r="X145" s="61" t="str">
        <f t="shared" si="67"/>
        <v/>
      </c>
      <c r="Y145" s="61" t="str">
        <f t="shared" si="68"/>
        <v/>
      </c>
      <c r="Z145" s="61" t="str">
        <f t="shared" si="69"/>
        <v/>
      </c>
      <c r="AA145" s="61" t="str">
        <f t="shared" si="70"/>
        <v/>
      </c>
      <c r="AB145" s="61" t="str">
        <f t="shared" si="71"/>
        <v/>
      </c>
      <c r="AC145" s="61" t="str">
        <f t="shared" si="72"/>
        <v/>
      </c>
      <c r="AD145" s="61" t="str">
        <f t="shared" si="73"/>
        <v/>
      </c>
    </row>
    <row r="146" spans="1:30" x14ac:dyDescent="0.25">
      <c r="A146" s="36"/>
      <c r="B146" s="38"/>
      <c r="C146" s="37"/>
      <c r="D146" s="37"/>
      <c r="E146" s="37"/>
      <c r="F146" s="37"/>
      <c r="G146" s="37"/>
      <c r="H146" s="37"/>
      <c r="I146" s="37"/>
      <c r="J146" s="37"/>
      <c r="K146" s="37"/>
      <c r="L146" s="38"/>
      <c r="M146" s="37"/>
      <c r="N146" s="37"/>
      <c r="O146" s="39"/>
      <c r="P146" s="61" t="str">
        <f t="shared" si="60"/>
        <v/>
      </c>
      <c r="Q146" s="61" t="str">
        <f t="shared" si="61"/>
        <v/>
      </c>
      <c r="R146" s="61" t="str">
        <f t="shared" si="62"/>
        <v/>
      </c>
      <c r="S146" s="61" t="str">
        <f t="shared" si="63"/>
        <v/>
      </c>
      <c r="T146" s="61" t="str">
        <f t="shared" si="64"/>
        <v/>
      </c>
      <c r="U146" s="61" t="str">
        <f t="shared" si="65"/>
        <v/>
      </c>
      <c r="V146" s="61" t="str">
        <f t="shared" si="66"/>
        <v/>
      </c>
      <c r="W146" s="61"/>
      <c r="X146" s="61" t="str">
        <f t="shared" si="67"/>
        <v/>
      </c>
      <c r="Y146" s="61" t="str">
        <f t="shared" si="68"/>
        <v/>
      </c>
      <c r="Z146" s="61" t="str">
        <f t="shared" si="69"/>
        <v/>
      </c>
      <c r="AA146" s="61" t="str">
        <f t="shared" si="70"/>
        <v/>
      </c>
      <c r="AB146" s="61" t="str">
        <f t="shared" si="71"/>
        <v/>
      </c>
      <c r="AC146" s="61" t="str">
        <f t="shared" si="72"/>
        <v/>
      </c>
      <c r="AD146" s="61" t="str">
        <f t="shared" si="73"/>
        <v/>
      </c>
    </row>
    <row r="147" spans="1:30" x14ac:dyDescent="0.25">
      <c r="A147" s="40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2"/>
      <c r="M147" s="41"/>
      <c r="N147" s="41"/>
      <c r="O147" s="43"/>
      <c r="P147" s="61" t="str">
        <f t="shared" si="60"/>
        <v/>
      </c>
      <c r="Q147" s="61" t="str">
        <f t="shared" si="61"/>
        <v/>
      </c>
      <c r="R147" s="61" t="str">
        <f t="shared" si="62"/>
        <v/>
      </c>
      <c r="S147" s="61" t="str">
        <f t="shared" si="63"/>
        <v/>
      </c>
      <c r="T147" s="61" t="str">
        <f t="shared" si="64"/>
        <v/>
      </c>
      <c r="U147" s="61" t="str">
        <f t="shared" si="65"/>
        <v/>
      </c>
      <c r="V147" s="61" t="str">
        <f t="shared" si="66"/>
        <v/>
      </c>
      <c r="W147" s="61"/>
      <c r="X147" s="61" t="str">
        <f t="shared" si="67"/>
        <v/>
      </c>
      <c r="Y147" s="61" t="str">
        <f t="shared" si="68"/>
        <v/>
      </c>
      <c r="Z147" s="61" t="str">
        <f t="shared" si="69"/>
        <v/>
      </c>
      <c r="AA147" s="61" t="str">
        <f t="shared" si="70"/>
        <v/>
      </c>
      <c r="AB147" s="61" t="str">
        <f t="shared" si="71"/>
        <v/>
      </c>
      <c r="AC147" s="61" t="str">
        <f t="shared" si="72"/>
        <v/>
      </c>
      <c r="AD147" s="61" t="str">
        <f t="shared" si="73"/>
        <v/>
      </c>
    </row>
    <row r="148" spans="1:30" x14ac:dyDescent="0.25">
      <c r="A148" s="36"/>
      <c r="B148" s="38"/>
      <c r="C148" s="37"/>
      <c r="D148" s="37"/>
      <c r="E148" s="37"/>
      <c r="F148" s="37"/>
      <c r="G148" s="37"/>
      <c r="H148" s="37"/>
      <c r="I148" s="37"/>
      <c r="J148" s="37"/>
      <c r="K148" s="37"/>
      <c r="L148" s="38"/>
      <c r="M148" s="37"/>
      <c r="N148" s="37"/>
      <c r="O148" s="39"/>
      <c r="P148" s="61" t="str">
        <f t="shared" si="60"/>
        <v/>
      </c>
      <c r="Q148" s="61" t="str">
        <f t="shared" si="61"/>
        <v/>
      </c>
      <c r="R148" s="61" t="str">
        <f t="shared" si="62"/>
        <v/>
      </c>
      <c r="S148" s="61" t="str">
        <f t="shared" si="63"/>
        <v/>
      </c>
      <c r="T148" s="61" t="str">
        <f t="shared" si="64"/>
        <v/>
      </c>
      <c r="U148" s="61" t="str">
        <f t="shared" si="65"/>
        <v/>
      </c>
      <c r="V148" s="61" t="str">
        <f t="shared" si="66"/>
        <v/>
      </c>
      <c r="W148" s="61"/>
      <c r="X148" s="61" t="str">
        <f t="shared" si="67"/>
        <v/>
      </c>
      <c r="Y148" s="61" t="str">
        <f t="shared" si="68"/>
        <v/>
      </c>
      <c r="Z148" s="61" t="str">
        <f t="shared" si="69"/>
        <v/>
      </c>
      <c r="AA148" s="61" t="str">
        <f t="shared" si="70"/>
        <v/>
      </c>
      <c r="AB148" s="61" t="str">
        <f t="shared" si="71"/>
        <v/>
      </c>
      <c r="AC148" s="61" t="str">
        <f t="shared" si="72"/>
        <v/>
      </c>
      <c r="AD148" s="61" t="str">
        <f t="shared" si="73"/>
        <v/>
      </c>
    </row>
    <row r="149" spans="1:30" x14ac:dyDescent="0.25">
      <c r="A149" s="40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2"/>
      <c r="M149" s="41"/>
      <c r="N149" s="41"/>
      <c r="O149" s="43"/>
      <c r="P149" s="61" t="str">
        <f t="shared" si="60"/>
        <v/>
      </c>
      <c r="Q149" s="61" t="str">
        <f t="shared" si="61"/>
        <v/>
      </c>
      <c r="R149" s="61" t="str">
        <f t="shared" si="62"/>
        <v/>
      </c>
      <c r="S149" s="61" t="str">
        <f t="shared" si="63"/>
        <v/>
      </c>
      <c r="T149" s="61" t="str">
        <f t="shared" si="64"/>
        <v/>
      </c>
      <c r="U149" s="61" t="str">
        <f t="shared" si="65"/>
        <v/>
      </c>
      <c r="V149" s="61" t="str">
        <f t="shared" si="66"/>
        <v/>
      </c>
      <c r="W149" s="61"/>
      <c r="X149" s="61" t="str">
        <f t="shared" si="67"/>
        <v/>
      </c>
      <c r="Y149" s="61" t="str">
        <f t="shared" si="68"/>
        <v/>
      </c>
      <c r="Z149" s="61" t="str">
        <f t="shared" si="69"/>
        <v/>
      </c>
      <c r="AA149" s="61" t="str">
        <f t="shared" si="70"/>
        <v/>
      </c>
      <c r="AB149" s="61" t="str">
        <f t="shared" si="71"/>
        <v/>
      </c>
      <c r="AC149" s="61" t="str">
        <f t="shared" si="72"/>
        <v/>
      </c>
      <c r="AD149" s="61" t="str">
        <f t="shared" si="73"/>
        <v/>
      </c>
    </row>
    <row r="150" spans="1:30" x14ac:dyDescent="0.25">
      <c r="A150" s="36"/>
      <c r="B150" s="38"/>
      <c r="C150" s="37"/>
      <c r="D150" s="37"/>
      <c r="E150" s="37"/>
      <c r="F150" s="37"/>
      <c r="G150" s="37"/>
      <c r="H150" s="37"/>
      <c r="I150" s="37"/>
      <c r="J150" s="37"/>
      <c r="K150" s="37"/>
      <c r="L150" s="38"/>
      <c r="M150" s="37"/>
      <c r="N150" s="37"/>
      <c r="O150" s="39"/>
      <c r="P150" s="61" t="str">
        <f t="shared" si="60"/>
        <v/>
      </c>
      <c r="Q150" s="61" t="str">
        <f t="shared" si="61"/>
        <v/>
      </c>
      <c r="R150" s="61" t="str">
        <f t="shared" si="62"/>
        <v/>
      </c>
      <c r="S150" s="61" t="str">
        <f t="shared" si="63"/>
        <v/>
      </c>
      <c r="T150" s="61" t="str">
        <f t="shared" si="64"/>
        <v/>
      </c>
      <c r="U150" s="61" t="str">
        <f t="shared" si="65"/>
        <v/>
      </c>
      <c r="V150" s="61" t="str">
        <f t="shared" si="66"/>
        <v/>
      </c>
      <c r="W150" s="61"/>
      <c r="X150" s="61" t="str">
        <f t="shared" si="67"/>
        <v/>
      </c>
      <c r="Y150" s="61" t="str">
        <f t="shared" si="68"/>
        <v/>
      </c>
      <c r="Z150" s="61" t="str">
        <f t="shared" si="69"/>
        <v/>
      </c>
      <c r="AA150" s="61" t="str">
        <f t="shared" si="70"/>
        <v/>
      </c>
      <c r="AB150" s="61" t="str">
        <f t="shared" si="71"/>
        <v/>
      </c>
      <c r="AC150" s="61" t="str">
        <f t="shared" si="72"/>
        <v/>
      </c>
      <c r="AD150" s="61" t="str">
        <f t="shared" si="73"/>
        <v/>
      </c>
    </row>
    <row r="151" spans="1:30" x14ac:dyDescent="0.25">
      <c r="A151" s="40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2"/>
      <c r="M151" s="41"/>
      <c r="N151" s="41"/>
      <c r="O151" s="43"/>
      <c r="P151" s="61" t="str">
        <f t="shared" si="60"/>
        <v/>
      </c>
      <c r="Q151" s="61" t="str">
        <f t="shared" si="61"/>
        <v/>
      </c>
      <c r="R151" s="61" t="str">
        <f t="shared" si="62"/>
        <v/>
      </c>
      <c r="S151" s="61" t="str">
        <f t="shared" si="63"/>
        <v/>
      </c>
      <c r="T151" s="61" t="str">
        <f t="shared" si="64"/>
        <v/>
      </c>
      <c r="U151" s="61" t="str">
        <f t="shared" si="65"/>
        <v/>
      </c>
      <c r="V151" s="61" t="str">
        <f t="shared" si="66"/>
        <v/>
      </c>
      <c r="W151" s="61"/>
      <c r="X151" s="61" t="str">
        <f t="shared" si="67"/>
        <v/>
      </c>
      <c r="Y151" s="61" t="str">
        <f t="shared" si="68"/>
        <v/>
      </c>
      <c r="Z151" s="61" t="str">
        <f t="shared" si="69"/>
        <v/>
      </c>
      <c r="AA151" s="61" t="str">
        <f t="shared" si="70"/>
        <v/>
      </c>
      <c r="AB151" s="61" t="str">
        <f t="shared" si="71"/>
        <v/>
      </c>
      <c r="AC151" s="61" t="str">
        <f t="shared" si="72"/>
        <v/>
      </c>
      <c r="AD151" s="61" t="str">
        <f t="shared" si="73"/>
        <v/>
      </c>
    </row>
    <row r="152" spans="1:30" x14ac:dyDescent="0.25">
      <c r="A152" s="36"/>
      <c r="B152" s="38"/>
      <c r="C152" s="37"/>
      <c r="D152" s="37"/>
      <c r="E152" s="37"/>
      <c r="F152" s="37"/>
      <c r="G152" s="37"/>
      <c r="H152" s="37"/>
      <c r="I152" s="37"/>
      <c r="J152" s="37"/>
      <c r="K152" s="37"/>
      <c r="L152" s="38"/>
      <c r="M152" s="37"/>
      <c r="N152" s="37"/>
      <c r="O152" s="39"/>
      <c r="P152" s="61" t="str">
        <f t="shared" si="60"/>
        <v/>
      </c>
      <c r="Q152" s="61" t="str">
        <f t="shared" si="61"/>
        <v/>
      </c>
      <c r="R152" s="61" t="str">
        <f t="shared" si="62"/>
        <v/>
      </c>
      <c r="S152" s="61" t="str">
        <f t="shared" si="63"/>
        <v/>
      </c>
      <c r="T152" s="61" t="str">
        <f t="shared" si="64"/>
        <v/>
      </c>
      <c r="U152" s="61" t="str">
        <f t="shared" si="65"/>
        <v/>
      </c>
      <c r="V152" s="61" t="str">
        <f t="shared" si="66"/>
        <v/>
      </c>
      <c r="W152" s="61"/>
      <c r="X152" s="61" t="str">
        <f t="shared" si="67"/>
        <v/>
      </c>
      <c r="Y152" s="61" t="str">
        <f t="shared" si="68"/>
        <v/>
      </c>
      <c r="Z152" s="61" t="str">
        <f t="shared" si="69"/>
        <v/>
      </c>
      <c r="AA152" s="61" t="str">
        <f t="shared" si="70"/>
        <v/>
      </c>
      <c r="AB152" s="61" t="str">
        <f t="shared" si="71"/>
        <v/>
      </c>
      <c r="AC152" s="61" t="str">
        <f t="shared" si="72"/>
        <v/>
      </c>
      <c r="AD152" s="61" t="str">
        <f t="shared" si="73"/>
        <v/>
      </c>
    </row>
    <row r="153" spans="1:30" x14ac:dyDescent="0.25">
      <c r="A153" s="40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2"/>
      <c r="M153" s="41"/>
      <c r="N153" s="41"/>
      <c r="O153" s="43"/>
      <c r="P153" s="61" t="str">
        <f t="shared" si="60"/>
        <v/>
      </c>
      <c r="Q153" s="61" t="str">
        <f t="shared" si="61"/>
        <v/>
      </c>
      <c r="R153" s="61" t="str">
        <f t="shared" si="62"/>
        <v/>
      </c>
      <c r="S153" s="61" t="str">
        <f t="shared" si="63"/>
        <v/>
      </c>
      <c r="T153" s="61" t="str">
        <f t="shared" si="64"/>
        <v/>
      </c>
      <c r="U153" s="61" t="str">
        <f t="shared" si="65"/>
        <v/>
      </c>
      <c r="V153" s="61" t="str">
        <f t="shared" si="66"/>
        <v/>
      </c>
      <c r="W153" s="61"/>
      <c r="X153" s="61" t="str">
        <f t="shared" si="67"/>
        <v/>
      </c>
      <c r="Y153" s="61" t="str">
        <f t="shared" si="68"/>
        <v/>
      </c>
      <c r="Z153" s="61" t="str">
        <f t="shared" si="69"/>
        <v/>
      </c>
      <c r="AA153" s="61" t="str">
        <f t="shared" si="70"/>
        <v/>
      </c>
      <c r="AB153" s="61" t="str">
        <f t="shared" si="71"/>
        <v/>
      </c>
      <c r="AC153" s="61" t="str">
        <f t="shared" si="72"/>
        <v/>
      </c>
      <c r="AD153" s="61" t="str">
        <f t="shared" si="73"/>
        <v/>
      </c>
    </row>
    <row r="154" spans="1:30" x14ac:dyDescent="0.25">
      <c r="A154" s="36"/>
      <c r="B154" s="38"/>
      <c r="C154" s="37"/>
      <c r="D154" s="37"/>
      <c r="E154" s="37"/>
      <c r="F154" s="37"/>
      <c r="G154" s="37"/>
      <c r="H154" s="37"/>
      <c r="I154" s="37"/>
      <c r="J154" s="37"/>
      <c r="K154" s="37"/>
      <c r="L154" s="38"/>
      <c r="M154" s="37"/>
      <c r="N154" s="37"/>
      <c r="O154" s="39"/>
      <c r="P154" s="61" t="str">
        <f t="shared" si="60"/>
        <v/>
      </c>
      <c r="Q154" s="61" t="str">
        <f t="shared" si="61"/>
        <v/>
      </c>
      <c r="R154" s="61" t="str">
        <f t="shared" si="62"/>
        <v/>
      </c>
      <c r="S154" s="61" t="str">
        <f t="shared" si="63"/>
        <v/>
      </c>
      <c r="T154" s="61" t="str">
        <f t="shared" si="64"/>
        <v/>
      </c>
      <c r="U154" s="61" t="str">
        <f t="shared" si="65"/>
        <v/>
      </c>
      <c r="V154" s="61" t="str">
        <f t="shared" si="66"/>
        <v/>
      </c>
      <c r="W154" s="61"/>
      <c r="X154" s="61" t="str">
        <f t="shared" si="67"/>
        <v/>
      </c>
      <c r="Y154" s="61" t="str">
        <f t="shared" si="68"/>
        <v/>
      </c>
      <c r="Z154" s="61" t="str">
        <f t="shared" si="69"/>
        <v/>
      </c>
      <c r="AA154" s="61" t="str">
        <f t="shared" si="70"/>
        <v/>
      </c>
      <c r="AB154" s="61" t="str">
        <f t="shared" si="71"/>
        <v/>
      </c>
      <c r="AC154" s="61" t="str">
        <f t="shared" si="72"/>
        <v/>
      </c>
      <c r="AD154" s="61" t="str">
        <f t="shared" si="73"/>
        <v/>
      </c>
    </row>
    <row r="155" spans="1:30" x14ac:dyDescent="0.25">
      <c r="A155" s="40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2"/>
      <c r="M155" s="41"/>
      <c r="N155" s="41"/>
      <c r="O155" s="43"/>
      <c r="P155" s="61" t="str">
        <f t="shared" si="60"/>
        <v/>
      </c>
      <c r="Q155" s="61" t="str">
        <f t="shared" si="61"/>
        <v/>
      </c>
      <c r="R155" s="61" t="str">
        <f t="shared" si="62"/>
        <v/>
      </c>
      <c r="S155" s="61" t="str">
        <f t="shared" si="63"/>
        <v/>
      </c>
      <c r="T155" s="61" t="str">
        <f t="shared" si="64"/>
        <v/>
      </c>
      <c r="U155" s="61" t="str">
        <f t="shared" si="65"/>
        <v/>
      </c>
      <c r="V155" s="61" t="str">
        <f t="shared" si="66"/>
        <v/>
      </c>
      <c r="W155" s="61"/>
      <c r="X155" s="61" t="str">
        <f t="shared" si="67"/>
        <v/>
      </c>
      <c r="Y155" s="61" t="str">
        <f t="shared" si="68"/>
        <v/>
      </c>
      <c r="Z155" s="61" t="str">
        <f t="shared" si="69"/>
        <v/>
      </c>
      <c r="AA155" s="61" t="str">
        <f t="shared" si="70"/>
        <v/>
      </c>
      <c r="AB155" s="61" t="str">
        <f t="shared" si="71"/>
        <v/>
      </c>
      <c r="AC155" s="61" t="str">
        <f t="shared" si="72"/>
        <v/>
      </c>
      <c r="AD155" s="61" t="str">
        <f t="shared" si="73"/>
        <v/>
      </c>
    </row>
    <row r="156" spans="1:30" x14ac:dyDescent="0.25">
      <c r="A156" s="36"/>
      <c r="B156" s="38"/>
      <c r="C156" s="37"/>
      <c r="D156" s="37"/>
      <c r="E156" s="37"/>
      <c r="F156" s="37"/>
      <c r="G156" s="37"/>
      <c r="H156" s="37"/>
      <c r="I156" s="37"/>
      <c r="J156" s="37"/>
      <c r="K156" s="37"/>
      <c r="L156" s="38"/>
      <c r="M156" s="37"/>
      <c r="N156" s="37"/>
      <c r="O156" s="39"/>
      <c r="P156" s="61" t="str">
        <f t="shared" si="60"/>
        <v/>
      </c>
      <c r="Q156" s="61" t="str">
        <f t="shared" si="61"/>
        <v/>
      </c>
      <c r="R156" s="61" t="str">
        <f t="shared" si="62"/>
        <v/>
      </c>
      <c r="S156" s="61" t="str">
        <f t="shared" si="63"/>
        <v/>
      </c>
      <c r="T156" s="61" t="str">
        <f t="shared" si="64"/>
        <v/>
      </c>
      <c r="U156" s="61" t="str">
        <f t="shared" si="65"/>
        <v/>
      </c>
      <c r="V156" s="61" t="str">
        <f t="shared" si="66"/>
        <v/>
      </c>
      <c r="W156" s="61"/>
      <c r="X156" s="61" t="str">
        <f t="shared" si="67"/>
        <v/>
      </c>
      <c r="Y156" s="61" t="str">
        <f t="shared" si="68"/>
        <v/>
      </c>
      <c r="Z156" s="61" t="str">
        <f t="shared" si="69"/>
        <v/>
      </c>
      <c r="AA156" s="61" t="str">
        <f t="shared" si="70"/>
        <v/>
      </c>
      <c r="AB156" s="61" t="str">
        <f t="shared" si="71"/>
        <v/>
      </c>
      <c r="AC156" s="61" t="str">
        <f t="shared" si="72"/>
        <v/>
      </c>
      <c r="AD156" s="61" t="str">
        <f t="shared" si="73"/>
        <v/>
      </c>
    </row>
    <row r="157" spans="1:30" x14ac:dyDescent="0.25">
      <c r="A157" s="40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2"/>
      <c r="M157" s="41"/>
      <c r="N157" s="41"/>
      <c r="O157" s="43"/>
      <c r="P157" s="61" t="str">
        <f t="shared" si="60"/>
        <v/>
      </c>
      <c r="Q157" s="61" t="str">
        <f t="shared" si="61"/>
        <v/>
      </c>
      <c r="R157" s="61" t="str">
        <f t="shared" si="62"/>
        <v/>
      </c>
      <c r="S157" s="61" t="str">
        <f t="shared" si="63"/>
        <v/>
      </c>
      <c r="T157" s="61" t="str">
        <f t="shared" si="64"/>
        <v/>
      </c>
      <c r="U157" s="61" t="str">
        <f t="shared" si="65"/>
        <v/>
      </c>
      <c r="V157" s="61" t="str">
        <f t="shared" si="66"/>
        <v/>
      </c>
      <c r="W157" s="61"/>
      <c r="X157" s="61" t="str">
        <f t="shared" si="67"/>
        <v/>
      </c>
      <c r="Y157" s="61" t="str">
        <f t="shared" si="68"/>
        <v/>
      </c>
      <c r="Z157" s="61" t="str">
        <f t="shared" si="69"/>
        <v/>
      </c>
      <c r="AA157" s="61" t="str">
        <f t="shared" si="70"/>
        <v/>
      </c>
      <c r="AB157" s="61" t="str">
        <f t="shared" si="71"/>
        <v/>
      </c>
      <c r="AC157" s="61" t="str">
        <f t="shared" si="72"/>
        <v/>
      </c>
      <c r="AD157" s="61" t="str">
        <f t="shared" si="73"/>
        <v/>
      </c>
    </row>
    <row r="158" spans="1:30" x14ac:dyDescent="0.25">
      <c r="A158" s="36"/>
      <c r="B158" s="38"/>
      <c r="C158" s="37"/>
      <c r="D158" s="37"/>
      <c r="E158" s="37"/>
      <c r="F158" s="37"/>
      <c r="G158" s="37"/>
      <c r="H158" s="37"/>
      <c r="I158" s="37"/>
      <c r="J158" s="37"/>
      <c r="K158" s="37"/>
      <c r="L158" s="38"/>
      <c r="M158" s="37"/>
      <c r="N158" s="37"/>
      <c r="O158" s="39"/>
      <c r="P158" s="61" t="str">
        <f t="shared" si="60"/>
        <v/>
      </c>
      <c r="Q158" s="61" t="str">
        <f t="shared" si="61"/>
        <v/>
      </c>
      <c r="R158" s="61" t="str">
        <f t="shared" si="62"/>
        <v/>
      </c>
      <c r="S158" s="61" t="str">
        <f t="shared" si="63"/>
        <v/>
      </c>
      <c r="T158" s="61" t="str">
        <f t="shared" si="64"/>
        <v/>
      </c>
      <c r="U158" s="61" t="str">
        <f t="shared" si="65"/>
        <v/>
      </c>
      <c r="V158" s="61" t="str">
        <f t="shared" si="66"/>
        <v/>
      </c>
      <c r="W158" s="61"/>
      <c r="X158" s="61" t="str">
        <f t="shared" si="67"/>
        <v/>
      </c>
      <c r="Y158" s="61" t="str">
        <f t="shared" si="68"/>
        <v/>
      </c>
      <c r="Z158" s="61" t="str">
        <f t="shared" si="69"/>
        <v/>
      </c>
      <c r="AA158" s="61" t="str">
        <f t="shared" si="70"/>
        <v/>
      </c>
      <c r="AB158" s="61" t="str">
        <f t="shared" si="71"/>
        <v/>
      </c>
      <c r="AC158" s="61" t="str">
        <f t="shared" si="72"/>
        <v/>
      </c>
      <c r="AD158" s="61" t="str">
        <f t="shared" si="73"/>
        <v/>
      </c>
    </row>
    <row r="159" spans="1:30" x14ac:dyDescent="0.25">
      <c r="A159" s="40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2"/>
      <c r="M159" s="41"/>
      <c r="N159" s="41"/>
      <c r="O159" s="43"/>
      <c r="P159" s="61" t="str">
        <f t="shared" si="60"/>
        <v/>
      </c>
      <c r="Q159" s="61" t="str">
        <f t="shared" si="61"/>
        <v/>
      </c>
      <c r="R159" s="61" t="str">
        <f t="shared" si="62"/>
        <v/>
      </c>
      <c r="S159" s="61" t="str">
        <f t="shared" si="63"/>
        <v/>
      </c>
      <c r="T159" s="61" t="str">
        <f t="shared" si="64"/>
        <v/>
      </c>
      <c r="U159" s="61" t="str">
        <f t="shared" si="65"/>
        <v/>
      </c>
      <c r="V159" s="61" t="str">
        <f t="shared" si="66"/>
        <v/>
      </c>
      <c r="W159" s="61"/>
      <c r="X159" s="61" t="str">
        <f t="shared" si="67"/>
        <v/>
      </c>
      <c r="Y159" s="61" t="str">
        <f t="shared" si="68"/>
        <v/>
      </c>
      <c r="Z159" s="61" t="str">
        <f t="shared" si="69"/>
        <v/>
      </c>
      <c r="AA159" s="61" t="str">
        <f t="shared" si="70"/>
        <v/>
      </c>
      <c r="AB159" s="61" t="str">
        <f t="shared" si="71"/>
        <v/>
      </c>
      <c r="AC159" s="61" t="str">
        <f t="shared" si="72"/>
        <v/>
      </c>
      <c r="AD159" s="61" t="str">
        <f t="shared" si="73"/>
        <v/>
      </c>
    </row>
    <row r="160" spans="1:30" x14ac:dyDescent="0.25">
      <c r="A160" s="36"/>
      <c r="B160" s="38"/>
      <c r="C160" s="37"/>
      <c r="D160" s="37"/>
      <c r="E160" s="37"/>
      <c r="F160" s="37"/>
      <c r="G160" s="37"/>
      <c r="H160" s="37"/>
      <c r="I160" s="37"/>
      <c r="J160" s="37"/>
      <c r="K160" s="37"/>
      <c r="L160" s="38"/>
      <c r="M160" s="37"/>
      <c r="N160" s="37"/>
      <c r="O160" s="39"/>
      <c r="P160" s="61" t="str">
        <f t="shared" si="60"/>
        <v/>
      </c>
      <c r="Q160" s="61" t="str">
        <f t="shared" si="61"/>
        <v/>
      </c>
      <c r="R160" s="61" t="str">
        <f t="shared" si="62"/>
        <v/>
      </c>
      <c r="S160" s="61" t="str">
        <f t="shared" si="63"/>
        <v/>
      </c>
      <c r="T160" s="61" t="str">
        <f t="shared" si="64"/>
        <v/>
      </c>
      <c r="U160" s="61" t="str">
        <f t="shared" si="65"/>
        <v/>
      </c>
      <c r="V160" s="61" t="str">
        <f t="shared" si="66"/>
        <v/>
      </c>
      <c r="W160" s="61"/>
      <c r="X160" s="61" t="str">
        <f t="shared" si="67"/>
        <v/>
      </c>
      <c r="Y160" s="61" t="str">
        <f t="shared" si="68"/>
        <v/>
      </c>
      <c r="Z160" s="61" t="str">
        <f t="shared" si="69"/>
        <v/>
      </c>
      <c r="AA160" s="61" t="str">
        <f t="shared" si="70"/>
        <v/>
      </c>
      <c r="AB160" s="61" t="str">
        <f t="shared" si="71"/>
        <v/>
      </c>
      <c r="AC160" s="61" t="str">
        <f t="shared" si="72"/>
        <v/>
      </c>
      <c r="AD160" s="61" t="str">
        <f t="shared" si="73"/>
        <v/>
      </c>
    </row>
    <row r="161" spans="1:30" x14ac:dyDescent="0.25">
      <c r="A161" s="40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2"/>
      <c r="M161" s="41"/>
      <c r="N161" s="41"/>
      <c r="O161" s="43"/>
      <c r="P161" s="61" t="str">
        <f t="shared" si="60"/>
        <v/>
      </c>
      <c r="Q161" s="61" t="str">
        <f t="shared" si="61"/>
        <v/>
      </c>
      <c r="R161" s="61" t="str">
        <f t="shared" si="62"/>
        <v/>
      </c>
      <c r="S161" s="61" t="str">
        <f t="shared" si="63"/>
        <v/>
      </c>
      <c r="T161" s="61" t="str">
        <f t="shared" si="64"/>
        <v/>
      </c>
      <c r="U161" s="61" t="str">
        <f t="shared" si="65"/>
        <v/>
      </c>
      <c r="V161" s="61" t="str">
        <f t="shared" si="66"/>
        <v/>
      </c>
      <c r="W161" s="61"/>
      <c r="X161" s="61" t="str">
        <f t="shared" si="67"/>
        <v/>
      </c>
      <c r="Y161" s="61" t="str">
        <f t="shared" si="68"/>
        <v/>
      </c>
      <c r="Z161" s="61" t="str">
        <f t="shared" si="69"/>
        <v/>
      </c>
      <c r="AA161" s="61" t="str">
        <f t="shared" si="70"/>
        <v/>
      </c>
      <c r="AB161" s="61" t="str">
        <f t="shared" si="71"/>
        <v/>
      </c>
      <c r="AC161" s="61" t="str">
        <f t="shared" si="72"/>
        <v/>
      </c>
      <c r="AD161" s="61" t="str">
        <f t="shared" si="73"/>
        <v/>
      </c>
    </row>
    <row r="162" spans="1:30" x14ac:dyDescent="0.25">
      <c r="A162" s="36"/>
      <c r="B162" s="38"/>
      <c r="C162" s="37"/>
      <c r="D162" s="37"/>
      <c r="E162" s="37"/>
      <c r="F162" s="37"/>
      <c r="G162" s="37"/>
      <c r="H162" s="37"/>
      <c r="I162" s="37"/>
      <c r="J162" s="37"/>
      <c r="K162" s="37"/>
      <c r="L162" s="38"/>
      <c r="M162" s="37"/>
      <c r="N162" s="37"/>
      <c r="O162" s="39"/>
      <c r="P162" s="61" t="str">
        <f t="shared" si="60"/>
        <v/>
      </c>
      <c r="Q162" s="61" t="str">
        <f t="shared" si="61"/>
        <v/>
      </c>
      <c r="R162" s="61" t="str">
        <f t="shared" si="62"/>
        <v/>
      </c>
      <c r="S162" s="61" t="str">
        <f t="shared" si="63"/>
        <v/>
      </c>
      <c r="T162" s="61" t="str">
        <f t="shared" si="64"/>
        <v/>
      </c>
      <c r="U162" s="61" t="str">
        <f t="shared" si="65"/>
        <v/>
      </c>
      <c r="V162" s="61" t="str">
        <f t="shared" si="66"/>
        <v/>
      </c>
      <c r="W162" s="61"/>
      <c r="X162" s="61" t="str">
        <f t="shared" si="67"/>
        <v/>
      </c>
      <c r="Y162" s="61" t="str">
        <f t="shared" si="68"/>
        <v/>
      </c>
      <c r="Z162" s="61" t="str">
        <f t="shared" si="69"/>
        <v/>
      </c>
      <c r="AA162" s="61" t="str">
        <f t="shared" si="70"/>
        <v/>
      </c>
      <c r="AB162" s="61" t="str">
        <f t="shared" si="71"/>
        <v/>
      </c>
      <c r="AC162" s="61" t="str">
        <f t="shared" si="72"/>
        <v/>
      </c>
      <c r="AD162" s="61" t="str">
        <f t="shared" si="73"/>
        <v/>
      </c>
    </row>
    <row r="163" spans="1:30" x14ac:dyDescent="0.25">
      <c r="A163" s="40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2"/>
      <c r="M163" s="41"/>
      <c r="N163" s="41"/>
      <c r="O163" s="43"/>
      <c r="P163" s="61" t="str">
        <f t="shared" si="60"/>
        <v/>
      </c>
      <c r="Q163" s="61" t="str">
        <f t="shared" si="61"/>
        <v/>
      </c>
      <c r="R163" s="61" t="str">
        <f t="shared" si="62"/>
        <v/>
      </c>
      <c r="S163" s="61" t="str">
        <f t="shared" si="63"/>
        <v/>
      </c>
      <c r="T163" s="61" t="str">
        <f t="shared" si="64"/>
        <v/>
      </c>
      <c r="U163" s="61" t="str">
        <f t="shared" si="65"/>
        <v/>
      </c>
      <c r="V163" s="61" t="str">
        <f t="shared" si="66"/>
        <v/>
      </c>
      <c r="W163" s="61"/>
      <c r="X163" s="61" t="str">
        <f t="shared" si="67"/>
        <v/>
      </c>
      <c r="Y163" s="61" t="str">
        <f t="shared" si="68"/>
        <v/>
      </c>
      <c r="Z163" s="61" t="str">
        <f t="shared" si="69"/>
        <v/>
      </c>
      <c r="AA163" s="61" t="str">
        <f t="shared" si="70"/>
        <v/>
      </c>
      <c r="AB163" s="61" t="str">
        <f t="shared" si="71"/>
        <v/>
      </c>
      <c r="AC163" s="61" t="str">
        <f t="shared" si="72"/>
        <v/>
      </c>
      <c r="AD163" s="61" t="str">
        <f t="shared" si="73"/>
        <v/>
      </c>
    </row>
    <row r="164" spans="1:30" x14ac:dyDescent="0.25">
      <c r="A164" s="36"/>
      <c r="B164" s="38"/>
      <c r="C164" s="37"/>
      <c r="D164" s="37"/>
      <c r="E164" s="37"/>
      <c r="F164" s="37"/>
      <c r="G164" s="37"/>
      <c r="H164" s="37"/>
      <c r="I164" s="37"/>
      <c r="J164" s="37"/>
      <c r="K164" s="37"/>
      <c r="L164" s="38"/>
      <c r="M164" s="37"/>
      <c r="N164" s="37"/>
      <c r="O164" s="39"/>
      <c r="P164" s="61" t="str">
        <f t="shared" si="60"/>
        <v/>
      </c>
      <c r="Q164" s="61" t="str">
        <f t="shared" si="61"/>
        <v/>
      </c>
      <c r="R164" s="61" t="str">
        <f t="shared" si="62"/>
        <v/>
      </c>
      <c r="S164" s="61" t="str">
        <f t="shared" si="63"/>
        <v/>
      </c>
      <c r="T164" s="61" t="str">
        <f t="shared" si="64"/>
        <v/>
      </c>
      <c r="U164" s="61" t="str">
        <f t="shared" si="65"/>
        <v/>
      </c>
      <c r="V164" s="61" t="str">
        <f t="shared" si="66"/>
        <v/>
      </c>
      <c r="W164" s="61"/>
      <c r="X164" s="61" t="str">
        <f t="shared" si="67"/>
        <v/>
      </c>
      <c r="Y164" s="61" t="str">
        <f t="shared" si="68"/>
        <v/>
      </c>
      <c r="Z164" s="61" t="str">
        <f t="shared" si="69"/>
        <v/>
      </c>
      <c r="AA164" s="61" t="str">
        <f t="shared" si="70"/>
        <v/>
      </c>
      <c r="AB164" s="61" t="str">
        <f t="shared" si="71"/>
        <v/>
      </c>
      <c r="AC164" s="61" t="str">
        <f t="shared" si="72"/>
        <v/>
      </c>
      <c r="AD164" s="61" t="str">
        <f t="shared" si="73"/>
        <v/>
      </c>
    </row>
    <row r="165" spans="1:30" x14ac:dyDescent="0.25">
      <c r="A165" s="40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2"/>
      <c r="M165" s="41"/>
      <c r="N165" s="41"/>
      <c r="O165" s="43"/>
      <c r="P165" s="61" t="str">
        <f t="shared" ref="P165:P196" si="74">IF(D165="","",IFERROR(_xlfn.TRANSLATE(D165,,"ja"),""))</f>
        <v/>
      </c>
      <c r="Q165" s="61" t="str">
        <f t="shared" ref="Q165:Q196" si="75">IF(D165="","",IFERROR(_xlfn.TRANSLATE(D165,,"zh-Hans"),""))</f>
        <v/>
      </c>
      <c r="R165" s="61" t="str">
        <f t="shared" ref="R165:R196" si="76">IF(D165="","",IFERROR(_xlfn.TRANSLATE(D165,,"vi"),""))</f>
        <v/>
      </c>
      <c r="S165" s="61" t="str">
        <f t="shared" ref="S165:S196" si="77">IF(E165="","",IFERROR(_xlfn.TRANSLATE(E165,,"ja"),""))</f>
        <v/>
      </c>
      <c r="T165" s="61" t="str">
        <f t="shared" ref="T165:T196" si="78">IF(E165="","",IFERROR(_xlfn.TRANSLATE(E165,,"zh-Hans"),""))</f>
        <v/>
      </c>
      <c r="U165" s="61" t="str">
        <f t="shared" ref="U165:U196" si="79">IF(E165="","",IFERROR(_xlfn.TRANSLATE(E165,,"vi"),""))</f>
        <v/>
      </c>
      <c r="V165" s="61" t="str">
        <f t="shared" ref="V165:V196" si="80">IF(F165="","",IFERROR(_xlfn.TRANSLATE(F165,,"ja"),""))</f>
        <v/>
      </c>
      <c r="W165" s="61"/>
      <c r="X165" s="61" t="str">
        <f t="shared" ref="X165:X196" si="81">IF(F165="","",IFERROR(_xlfn.TRANSLATE(F165,,"vi"),""))</f>
        <v/>
      </c>
      <c r="Y165" s="61" t="str">
        <f t="shared" ref="Y165:Y196" si="82">IF(J165="","",IFERROR(_xlfn.TRANSLATE(J165,,"ja"),""))</f>
        <v/>
      </c>
      <c r="Z165" s="61" t="str">
        <f t="shared" ref="Z165:Z196" si="83">IF(J165="","",IFERROR(_xlfn.TRANSLATE(J165,,"zh-Hans"),""))</f>
        <v/>
      </c>
      <c r="AA165" s="61" t="str">
        <f t="shared" ref="AA165:AA196" si="84">IF(J165="","",IFERROR(_xlfn.TRANSLATE(J165,,"vi"),""))</f>
        <v/>
      </c>
      <c r="AB165" s="61" t="str">
        <f t="shared" ref="AB165:AB196" si="85">IF(O165="","",IFERROR(_xlfn.TRANSLATE(O165,,"ja"),""))</f>
        <v/>
      </c>
      <c r="AC165" s="61" t="str">
        <f t="shared" ref="AC165:AC196" si="86">IF(O165="","",IFERROR(_xlfn.TRANSLATE(O165,,"zh-Hans"),""))</f>
        <v/>
      </c>
      <c r="AD165" s="61" t="str">
        <f t="shared" ref="AD165:AD196" si="87">IF(O165="","",IFERROR(_xlfn.TRANSLATE(O165,,"vi"),""))</f>
        <v/>
      </c>
    </row>
    <row r="166" spans="1:30" x14ac:dyDescent="0.25">
      <c r="A166" s="36"/>
      <c r="B166" s="38"/>
      <c r="C166" s="37"/>
      <c r="D166" s="37"/>
      <c r="E166" s="37"/>
      <c r="F166" s="37"/>
      <c r="G166" s="37"/>
      <c r="H166" s="37"/>
      <c r="I166" s="37"/>
      <c r="J166" s="37"/>
      <c r="K166" s="37"/>
      <c r="L166" s="38"/>
      <c r="M166" s="37"/>
      <c r="N166" s="37"/>
      <c r="O166" s="39"/>
      <c r="P166" s="61" t="str">
        <f t="shared" si="74"/>
        <v/>
      </c>
      <c r="Q166" s="61" t="str">
        <f t="shared" si="75"/>
        <v/>
      </c>
      <c r="R166" s="61" t="str">
        <f t="shared" si="76"/>
        <v/>
      </c>
      <c r="S166" s="61" t="str">
        <f t="shared" si="77"/>
        <v/>
      </c>
      <c r="T166" s="61" t="str">
        <f t="shared" si="78"/>
        <v/>
      </c>
      <c r="U166" s="61" t="str">
        <f t="shared" si="79"/>
        <v/>
      </c>
      <c r="V166" s="61" t="str">
        <f t="shared" si="80"/>
        <v/>
      </c>
      <c r="W166" s="61"/>
      <c r="X166" s="61" t="str">
        <f t="shared" si="81"/>
        <v/>
      </c>
      <c r="Y166" s="61" t="str">
        <f t="shared" si="82"/>
        <v/>
      </c>
      <c r="Z166" s="61" t="str">
        <f t="shared" si="83"/>
        <v/>
      </c>
      <c r="AA166" s="61" t="str">
        <f t="shared" si="84"/>
        <v/>
      </c>
      <c r="AB166" s="61" t="str">
        <f t="shared" si="85"/>
        <v/>
      </c>
      <c r="AC166" s="61" t="str">
        <f t="shared" si="86"/>
        <v/>
      </c>
      <c r="AD166" s="61" t="str">
        <f t="shared" si="87"/>
        <v/>
      </c>
    </row>
    <row r="167" spans="1:30" x14ac:dyDescent="0.25">
      <c r="A167" s="40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2"/>
      <c r="M167" s="41"/>
      <c r="N167" s="41"/>
      <c r="O167" s="43"/>
      <c r="P167" s="61" t="str">
        <f t="shared" si="74"/>
        <v/>
      </c>
      <c r="Q167" s="61" t="str">
        <f t="shared" si="75"/>
        <v/>
      </c>
      <c r="R167" s="61" t="str">
        <f t="shared" si="76"/>
        <v/>
      </c>
      <c r="S167" s="61" t="str">
        <f t="shared" si="77"/>
        <v/>
      </c>
      <c r="T167" s="61" t="str">
        <f t="shared" si="78"/>
        <v/>
      </c>
      <c r="U167" s="61" t="str">
        <f t="shared" si="79"/>
        <v/>
      </c>
      <c r="V167" s="61" t="str">
        <f t="shared" si="80"/>
        <v/>
      </c>
      <c r="W167" s="61"/>
      <c r="X167" s="61" t="str">
        <f t="shared" si="81"/>
        <v/>
      </c>
      <c r="Y167" s="61" t="str">
        <f t="shared" si="82"/>
        <v/>
      </c>
      <c r="Z167" s="61" t="str">
        <f t="shared" si="83"/>
        <v/>
      </c>
      <c r="AA167" s="61" t="str">
        <f t="shared" si="84"/>
        <v/>
      </c>
      <c r="AB167" s="61" t="str">
        <f t="shared" si="85"/>
        <v/>
      </c>
      <c r="AC167" s="61" t="str">
        <f t="shared" si="86"/>
        <v/>
      </c>
      <c r="AD167" s="61" t="str">
        <f t="shared" si="87"/>
        <v/>
      </c>
    </row>
    <row r="168" spans="1:30" x14ac:dyDescent="0.25">
      <c r="A168" s="36"/>
      <c r="B168" s="38"/>
      <c r="C168" s="37"/>
      <c r="D168" s="37"/>
      <c r="E168" s="37"/>
      <c r="F168" s="37"/>
      <c r="G168" s="37"/>
      <c r="H168" s="37"/>
      <c r="I168" s="37"/>
      <c r="J168" s="37"/>
      <c r="K168" s="37"/>
      <c r="L168" s="38"/>
      <c r="M168" s="37"/>
      <c r="N168" s="37"/>
      <c r="O168" s="39"/>
      <c r="P168" s="61" t="str">
        <f t="shared" si="74"/>
        <v/>
      </c>
      <c r="Q168" s="61" t="str">
        <f t="shared" si="75"/>
        <v/>
      </c>
      <c r="R168" s="61" t="str">
        <f t="shared" si="76"/>
        <v/>
      </c>
      <c r="S168" s="61" t="str">
        <f t="shared" si="77"/>
        <v/>
      </c>
      <c r="T168" s="61" t="str">
        <f t="shared" si="78"/>
        <v/>
      </c>
      <c r="U168" s="61" t="str">
        <f t="shared" si="79"/>
        <v/>
      </c>
      <c r="V168" s="61" t="str">
        <f t="shared" si="80"/>
        <v/>
      </c>
      <c r="W168" s="61"/>
      <c r="X168" s="61" t="str">
        <f t="shared" si="81"/>
        <v/>
      </c>
      <c r="Y168" s="61" t="str">
        <f t="shared" si="82"/>
        <v/>
      </c>
      <c r="Z168" s="61" t="str">
        <f t="shared" si="83"/>
        <v/>
      </c>
      <c r="AA168" s="61" t="str">
        <f t="shared" si="84"/>
        <v/>
      </c>
      <c r="AB168" s="61" t="str">
        <f t="shared" si="85"/>
        <v/>
      </c>
      <c r="AC168" s="61" t="str">
        <f t="shared" si="86"/>
        <v/>
      </c>
      <c r="AD168" s="61" t="str">
        <f t="shared" si="87"/>
        <v/>
      </c>
    </row>
    <row r="169" spans="1:30" x14ac:dyDescent="0.25">
      <c r="A169" s="40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2"/>
      <c r="M169" s="41"/>
      <c r="N169" s="41"/>
      <c r="O169" s="43"/>
      <c r="P169" s="61" t="str">
        <f t="shared" si="74"/>
        <v/>
      </c>
      <c r="Q169" s="61" t="str">
        <f t="shared" si="75"/>
        <v/>
      </c>
      <c r="R169" s="61" t="str">
        <f t="shared" si="76"/>
        <v/>
      </c>
      <c r="S169" s="61" t="str">
        <f t="shared" si="77"/>
        <v/>
      </c>
      <c r="T169" s="61" t="str">
        <f t="shared" si="78"/>
        <v/>
      </c>
      <c r="U169" s="61" t="str">
        <f t="shared" si="79"/>
        <v/>
      </c>
      <c r="V169" s="61" t="str">
        <f t="shared" si="80"/>
        <v/>
      </c>
      <c r="W169" s="61"/>
      <c r="X169" s="61" t="str">
        <f t="shared" si="81"/>
        <v/>
      </c>
      <c r="Y169" s="61" t="str">
        <f t="shared" si="82"/>
        <v/>
      </c>
      <c r="Z169" s="61" t="str">
        <f t="shared" si="83"/>
        <v/>
      </c>
      <c r="AA169" s="61" t="str">
        <f t="shared" si="84"/>
        <v/>
      </c>
      <c r="AB169" s="61" t="str">
        <f t="shared" si="85"/>
        <v/>
      </c>
      <c r="AC169" s="61" t="str">
        <f t="shared" si="86"/>
        <v/>
      </c>
      <c r="AD169" s="61" t="str">
        <f t="shared" si="87"/>
        <v/>
      </c>
    </row>
    <row r="170" spans="1:30" x14ac:dyDescent="0.25">
      <c r="A170" s="36"/>
      <c r="B170" s="38"/>
      <c r="C170" s="37"/>
      <c r="D170" s="37"/>
      <c r="E170" s="37"/>
      <c r="F170" s="37"/>
      <c r="G170" s="37"/>
      <c r="H170" s="37"/>
      <c r="I170" s="37"/>
      <c r="J170" s="37"/>
      <c r="K170" s="37"/>
      <c r="L170" s="38"/>
      <c r="M170" s="37"/>
      <c r="N170" s="37"/>
      <c r="O170" s="39"/>
      <c r="P170" s="61" t="str">
        <f t="shared" si="74"/>
        <v/>
      </c>
      <c r="Q170" s="61" t="str">
        <f t="shared" si="75"/>
        <v/>
      </c>
      <c r="R170" s="61" t="str">
        <f t="shared" si="76"/>
        <v/>
      </c>
      <c r="S170" s="61" t="str">
        <f t="shared" si="77"/>
        <v/>
      </c>
      <c r="T170" s="61" t="str">
        <f t="shared" si="78"/>
        <v/>
      </c>
      <c r="U170" s="61" t="str">
        <f t="shared" si="79"/>
        <v/>
      </c>
      <c r="V170" s="61" t="str">
        <f t="shared" si="80"/>
        <v/>
      </c>
      <c r="W170" s="61"/>
      <c r="X170" s="61" t="str">
        <f t="shared" si="81"/>
        <v/>
      </c>
      <c r="Y170" s="61" t="str">
        <f t="shared" si="82"/>
        <v/>
      </c>
      <c r="Z170" s="61" t="str">
        <f t="shared" si="83"/>
        <v/>
      </c>
      <c r="AA170" s="61" t="str">
        <f t="shared" si="84"/>
        <v/>
      </c>
      <c r="AB170" s="61" t="str">
        <f t="shared" si="85"/>
        <v/>
      </c>
      <c r="AC170" s="61" t="str">
        <f t="shared" si="86"/>
        <v/>
      </c>
      <c r="AD170" s="61" t="str">
        <f t="shared" si="87"/>
        <v/>
      </c>
    </row>
    <row r="171" spans="1:30" x14ac:dyDescent="0.25">
      <c r="A171" s="40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2"/>
      <c r="M171" s="41"/>
      <c r="N171" s="41"/>
      <c r="O171" s="43"/>
      <c r="P171" s="61" t="str">
        <f t="shared" si="74"/>
        <v/>
      </c>
      <c r="Q171" s="61" t="str">
        <f t="shared" si="75"/>
        <v/>
      </c>
      <c r="R171" s="61" t="str">
        <f t="shared" si="76"/>
        <v/>
      </c>
      <c r="S171" s="61" t="str">
        <f t="shared" si="77"/>
        <v/>
      </c>
      <c r="T171" s="61" t="str">
        <f t="shared" si="78"/>
        <v/>
      </c>
      <c r="U171" s="61" t="str">
        <f t="shared" si="79"/>
        <v/>
      </c>
      <c r="V171" s="61" t="str">
        <f t="shared" si="80"/>
        <v/>
      </c>
      <c r="W171" s="61"/>
      <c r="X171" s="61" t="str">
        <f t="shared" si="81"/>
        <v/>
      </c>
      <c r="Y171" s="61" t="str">
        <f t="shared" si="82"/>
        <v/>
      </c>
      <c r="Z171" s="61" t="str">
        <f t="shared" si="83"/>
        <v/>
      </c>
      <c r="AA171" s="61" t="str">
        <f t="shared" si="84"/>
        <v/>
      </c>
      <c r="AB171" s="61" t="str">
        <f t="shared" si="85"/>
        <v/>
      </c>
      <c r="AC171" s="61" t="str">
        <f t="shared" si="86"/>
        <v/>
      </c>
      <c r="AD171" s="61" t="str">
        <f t="shared" si="87"/>
        <v/>
      </c>
    </row>
    <row r="172" spans="1:30" x14ac:dyDescent="0.25">
      <c r="A172" s="36"/>
      <c r="B172" s="38"/>
      <c r="C172" s="37"/>
      <c r="D172" s="37"/>
      <c r="E172" s="37"/>
      <c r="F172" s="37"/>
      <c r="G172" s="37"/>
      <c r="H172" s="37"/>
      <c r="I172" s="37"/>
      <c r="J172" s="37"/>
      <c r="K172" s="37"/>
      <c r="L172" s="38"/>
      <c r="M172" s="37"/>
      <c r="N172" s="37"/>
      <c r="O172" s="39"/>
      <c r="P172" s="61" t="str">
        <f t="shared" si="74"/>
        <v/>
      </c>
      <c r="Q172" s="61" t="str">
        <f t="shared" si="75"/>
        <v/>
      </c>
      <c r="R172" s="61" t="str">
        <f t="shared" si="76"/>
        <v/>
      </c>
      <c r="S172" s="61" t="str">
        <f t="shared" si="77"/>
        <v/>
      </c>
      <c r="T172" s="61" t="str">
        <f t="shared" si="78"/>
        <v/>
      </c>
      <c r="U172" s="61" t="str">
        <f t="shared" si="79"/>
        <v/>
      </c>
      <c r="V172" s="61" t="str">
        <f t="shared" si="80"/>
        <v/>
      </c>
      <c r="W172" s="61"/>
      <c r="X172" s="61" t="str">
        <f t="shared" si="81"/>
        <v/>
      </c>
      <c r="Y172" s="61" t="str">
        <f t="shared" si="82"/>
        <v/>
      </c>
      <c r="Z172" s="61" t="str">
        <f t="shared" si="83"/>
        <v/>
      </c>
      <c r="AA172" s="61" t="str">
        <f t="shared" si="84"/>
        <v/>
      </c>
      <c r="AB172" s="61" t="str">
        <f t="shared" si="85"/>
        <v/>
      </c>
      <c r="AC172" s="61" t="str">
        <f t="shared" si="86"/>
        <v/>
      </c>
      <c r="AD172" s="61" t="str">
        <f t="shared" si="87"/>
        <v/>
      </c>
    </row>
    <row r="173" spans="1:30" x14ac:dyDescent="0.25">
      <c r="A173" s="40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2"/>
      <c r="M173" s="41"/>
      <c r="N173" s="41"/>
      <c r="O173" s="43"/>
      <c r="P173" s="61" t="str">
        <f t="shared" si="74"/>
        <v/>
      </c>
      <c r="Q173" s="61" t="str">
        <f t="shared" si="75"/>
        <v/>
      </c>
      <c r="R173" s="61" t="str">
        <f t="shared" si="76"/>
        <v/>
      </c>
      <c r="S173" s="61" t="str">
        <f t="shared" si="77"/>
        <v/>
      </c>
      <c r="T173" s="61" t="str">
        <f t="shared" si="78"/>
        <v/>
      </c>
      <c r="U173" s="61" t="str">
        <f t="shared" si="79"/>
        <v/>
      </c>
      <c r="V173" s="61" t="str">
        <f t="shared" si="80"/>
        <v/>
      </c>
      <c r="W173" s="61"/>
      <c r="X173" s="61" t="str">
        <f t="shared" si="81"/>
        <v/>
      </c>
      <c r="Y173" s="61" t="str">
        <f t="shared" si="82"/>
        <v/>
      </c>
      <c r="Z173" s="61" t="str">
        <f t="shared" si="83"/>
        <v/>
      </c>
      <c r="AA173" s="61" t="str">
        <f t="shared" si="84"/>
        <v/>
      </c>
      <c r="AB173" s="61" t="str">
        <f t="shared" si="85"/>
        <v/>
      </c>
      <c r="AC173" s="61" t="str">
        <f t="shared" si="86"/>
        <v/>
      </c>
      <c r="AD173" s="61" t="str">
        <f t="shared" si="87"/>
        <v/>
      </c>
    </row>
    <row r="174" spans="1:30" x14ac:dyDescent="0.25">
      <c r="A174" s="36"/>
      <c r="B174" s="38"/>
      <c r="C174" s="37"/>
      <c r="D174" s="37"/>
      <c r="E174" s="37"/>
      <c r="F174" s="37"/>
      <c r="G174" s="37"/>
      <c r="H174" s="37"/>
      <c r="I174" s="37"/>
      <c r="J174" s="37"/>
      <c r="K174" s="37"/>
      <c r="L174" s="38"/>
      <c r="M174" s="37"/>
      <c r="N174" s="37"/>
      <c r="O174" s="39"/>
      <c r="P174" s="61" t="str">
        <f t="shared" si="74"/>
        <v/>
      </c>
      <c r="Q174" s="61" t="str">
        <f t="shared" si="75"/>
        <v/>
      </c>
      <c r="R174" s="61" t="str">
        <f t="shared" si="76"/>
        <v/>
      </c>
      <c r="S174" s="61" t="str">
        <f t="shared" si="77"/>
        <v/>
      </c>
      <c r="T174" s="61" t="str">
        <f t="shared" si="78"/>
        <v/>
      </c>
      <c r="U174" s="61" t="str">
        <f t="shared" si="79"/>
        <v/>
      </c>
      <c r="V174" s="61" t="str">
        <f t="shared" si="80"/>
        <v/>
      </c>
      <c r="W174" s="61"/>
      <c r="X174" s="61" t="str">
        <f t="shared" si="81"/>
        <v/>
      </c>
      <c r="Y174" s="61" t="str">
        <f t="shared" si="82"/>
        <v/>
      </c>
      <c r="Z174" s="61" t="str">
        <f t="shared" si="83"/>
        <v/>
      </c>
      <c r="AA174" s="61" t="str">
        <f t="shared" si="84"/>
        <v/>
      </c>
      <c r="AB174" s="61" t="str">
        <f t="shared" si="85"/>
        <v/>
      </c>
      <c r="AC174" s="61" t="str">
        <f t="shared" si="86"/>
        <v/>
      </c>
      <c r="AD174" s="61" t="str">
        <f t="shared" si="87"/>
        <v/>
      </c>
    </row>
    <row r="175" spans="1:30" x14ac:dyDescent="0.25">
      <c r="A175" s="40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2"/>
      <c r="M175" s="41"/>
      <c r="N175" s="41"/>
      <c r="O175" s="43"/>
      <c r="P175" s="61" t="str">
        <f t="shared" si="74"/>
        <v/>
      </c>
      <c r="Q175" s="61" t="str">
        <f t="shared" si="75"/>
        <v/>
      </c>
      <c r="R175" s="61" t="str">
        <f t="shared" si="76"/>
        <v/>
      </c>
      <c r="S175" s="61" t="str">
        <f t="shared" si="77"/>
        <v/>
      </c>
      <c r="T175" s="61" t="str">
        <f t="shared" si="78"/>
        <v/>
      </c>
      <c r="U175" s="61" t="str">
        <f t="shared" si="79"/>
        <v/>
      </c>
      <c r="V175" s="61" t="str">
        <f t="shared" si="80"/>
        <v/>
      </c>
      <c r="W175" s="61"/>
      <c r="X175" s="61" t="str">
        <f t="shared" si="81"/>
        <v/>
      </c>
      <c r="Y175" s="61" t="str">
        <f t="shared" si="82"/>
        <v/>
      </c>
      <c r="Z175" s="61" t="str">
        <f t="shared" si="83"/>
        <v/>
      </c>
      <c r="AA175" s="61" t="str">
        <f t="shared" si="84"/>
        <v/>
      </c>
      <c r="AB175" s="61" t="str">
        <f t="shared" si="85"/>
        <v/>
      </c>
      <c r="AC175" s="61" t="str">
        <f t="shared" si="86"/>
        <v/>
      </c>
      <c r="AD175" s="61" t="str">
        <f t="shared" si="87"/>
        <v/>
      </c>
    </row>
    <row r="176" spans="1:30" x14ac:dyDescent="0.25">
      <c r="A176" s="36"/>
      <c r="B176" s="38"/>
      <c r="C176" s="37"/>
      <c r="D176" s="37"/>
      <c r="E176" s="37"/>
      <c r="F176" s="37"/>
      <c r="G176" s="37"/>
      <c r="H176" s="37"/>
      <c r="I176" s="37"/>
      <c r="J176" s="37"/>
      <c r="K176" s="37"/>
      <c r="L176" s="38"/>
      <c r="M176" s="37"/>
      <c r="N176" s="37"/>
      <c r="O176" s="39"/>
      <c r="P176" s="61" t="str">
        <f t="shared" si="74"/>
        <v/>
      </c>
      <c r="Q176" s="61" t="str">
        <f t="shared" si="75"/>
        <v/>
      </c>
      <c r="R176" s="61" t="str">
        <f t="shared" si="76"/>
        <v/>
      </c>
      <c r="S176" s="61" t="str">
        <f t="shared" si="77"/>
        <v/>
      </c>
      <c r="T176" s="61" t="str">
        <f t="shared" si="78"/>
        <v/>
      </c>
      <c r="U176" s="61" t="str">
        <f t="shared" si="79"/>
        <v/>
      </c>
      <c r="V176" s="61" t="str">
        <f t="shared" si="80"/>
        <v/>
      </c>
      <c r="W176" s="61"/>
      <c r="X176" s="61" t="str">
        <f t="shared" si="81"/>
        <v/>
      </c>
      <c r="Y176" s="61" t="str">
        <f t="shared" si="82"/>
        <v/>
      </c>
      <c r="Z176" s="61" t="str">
        <f t="shared" si="83"/>
        <v/>
      </c>
      <c r="AA176" s="61" t="str">
        <f t="shared" si="84"/>
        <v/>
      </c>
      <c r="AB176" s="61" t="str">
        <f t="shared" si="85"/>
        <v/>
      </c>
      <c r="AC176" s="61" t="str">
        <f t="shared" si="86"/>
        <v/>
      </c>
      <c r="AD176" s="61" t="str">
        <f t="shared" si="87"/>
        <v/>
      </c>
    </row>
    <row r="177" spans="1:30" x14ac:dyDescent="0.25">
      <c r="A177" s="40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2"/>
      <c r="M177" s="41"/>
      <c r="N177" s="41"/>
      <c r="O177" s="43"/>
      <c r="P177" s="61" t="str">
        <f t="shared" si="74"/>
        <v/>
      </c>
      <c r="Q177" s="61" t="str">
        <f t="shared" si="75"/>
        <v/>
      </c>
      <c r="R177" s="61" t="str">
        <f t="shared" si="76"/>
        <v/>
      </c>
      <c r="S177" s="61" t="str">
        <f t="shared" si="77"/>
        <v/>
      </c>
      <c r="T177" s="61" t="str">
        <f t="shared" si="78"/>
        <v/>
      </c>
      <c r="U177" s="61" t="str">
        <f t="shared" si="79"/>
        <v/>
      </c>
      <c r="V177" s="61" t="str">
        <f t="shared" si="80"/>
        <v/>
      </c>
      <c r="W177" s="61"/>
      <c r="X177" s="61" t="str">
        <f t="shared" si="81"/>
        <v/>
      </c>
      <c r="Y177" s="61" t="str">
        <f t="shared" si="82"/>
        <v/>
      </c>
      <c r="Z177" s="61" t="str">
        <f t="shared" si="83"/>
        <v/>
      </c>
      <c r="AA177" s="61" t="str">
        <f t="shared" si="84"/>
        <v/>
      </c>
      <c r="AB177" s="61" t="str">
        <f t="shared" si="85"/>
        <v/>
      </c>
      <c r="AC177" s="61" t="str">
        <f t="shared" si="86"/>
        <v/>
      </c>
      <c r="AD177" s="61" t="str">
        <f t="shared" si="87"/>
        <v/>
      </c>
    </row>
    <row r="178" spans="1:30" x14ac:dyDescent="0.25">
      <c r="A178" s="36"/>
      <c r="B178" s="38"/>
      <c r="C178" s="37"/>
      <c r="D178" s="37"/>
      <c r="E178" s="37"/>
      <c r="F178" s="37"/>
      <c r="G178" s="37"/>
      <c r="H178" s="37"/>
      <c r="I178" s="37"/>
      <c r="J178" s="37"/>
      <c r="K178" s="37"/>
      <c r="L178" s="38"/>
      <c r="M178" s="37"/>
      <c r="N178" s="37"/>
      <c r="O178" s="39"/>
      <c r="P178" s="61" t="str">
        <f t="shared" si="74"/>
        <v/>
      </c>
      <c r="Q178" s="61" t="str">
        <f t="shared" si="75"/>
        <v/>
      </c>
      <c r="R178" s="61" t="str">
        <f t="shared" si="76"/>
        <v/>
      </c>
      <c r="S178" s="61" t="str">
        <f t="shared" si="77"/>
        <v/>
      </c>
      <c r="T178" s="61" t="str">
        <f t="shared" si="78"/>
        <v/>
      </c>
      <c r="U178" s="61" t="str">
        <f t="shared" si="79"/>
        <v/>
      </c>
      <c r="V178" s="61" t="str">
        <f t="shared" si="80"/>
        <v/>
      </c>
      <c r="W178" s="61"/>
      <c r="X178" s="61" t="str">
        <f t="shared" si="81"/>
        <v/>
      </c>
      <c r="Y178" s="61" t="str">
        <f t="shared" si="82"/>
        <v/>
      </c>
      <c r="Z178" s="61" t="str">
        <f t="shared" si="83"/>
        <v/>
      </c>
      <c r="AA178" s="61" t="str">
        <f t="shared" si="84"/>
        <v/>
      </c>
      <c r="AB178" s="61" t="str">
        <f t="shared" si="85"/>
        <v/>
      </c>
      <c r="AC178" s="61" t="str">
        <f t="shared" si="86"/>
        <v/>
      </c>
      <c r="AD178" s="61" t="str">
        <f t="shared" si="87"/>
        <v/>
      </c>
    </row>
    <row r="179" spans="1:30" x14ac:dyDescent="0.25">
      <c r="A179" s="40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2"/>
      <c r="M179" s="41"/>
      <c r="N179" s="41"/>
      <c r="O179" s="43"/>
      <c r="P179" s="61" t="str">
        <f t="shared" si="74"/>
        <v/>
      </c>
      <c r="Q179" s="61" t="str">
        <f t="shared" si="75"/>
        <v/>
      </c>
      <c r="R179" s="61" t="str">
        <f t="shared" si="76"/>
        <v/>
      </c>
      <c r="S179" s="61" t="str">
        <f t="shared" si="77"/>
        <v/>
      </c>
      <c r="T179" s="61" t="str">
        <f t="shared" si="78"/>
        <v/>
      </c>
      <c r="U179" s="61" t="str">
        <f t="shared" si="79"/>
        <v/>
      </c>
      <c r="V179" s="61" t="str">
        <f t="shared" si="80"/>
        <v/>
      </c>
      <c r="W179" s="61"/>
      <c r="X179" s="61" t="str">
        <f t="shared" si="81"/>
        <v/>
      </c>
      <c r="Y179" s="61" t="str">
        <f t="shared" si="82"/>
        <v/>
      </c>
      <c r="Z179" s="61" t="str">
        <f t="shared" si="83"/>
        <v/>
      </c>
      <c r="AA179" s="61" t="str">
        <f t="shared" si="84"/>
        <v/>
      </c>
      <c r="AB179" s="61" t="str">
        <f t="shared" si="85"/>
        <v/>
      </c>
      <c r="AC179" s="61" t="str">
        <f t="shared" si="86"/>
        <v/>
      </c>
      <c r="AD179" s="61" t="str">
        <f t="shared" si="87"/>
        <v/>
      </c>
    </row>
    <row r="180" spans="1:30" x14ac:dyDescent="0.25">
      <c r="A180" s="36"/>
      <c r="B180" s="38"/>
      <c r="C180" s="37"/>
      <c r="D180" s="37"/>
      <c r="E180" s="37"/>
      <c r="F180" s="37"/>
      <c r="G180" s="37"/>
      <c r="H180" s="37"/>
      <c r="I180" s="37"/>
      <c r="J180" s="37"/>
      <c r="K180" s="37"/>
      <c r="L180" s="38"/>
      <c r="M180" s="37"/>
      <c r="N180" s="37"/>
      <c r="O180" s="39"/>
      <c r="P180" s="61" t="str">
        <f t="shared" si="74"/>
        <v/>
      </c>
      <c r="Q180" s="61" t="str">
        <f t="shared" si="75"/>
        <v/>
      </c>
      <c r="R180" s="61" t="str">
        <f t="shared" si="76"/>
        <v/>
      </c>
      <c r="S180" s="61" t="str">
        <f t="shared" si="77"/>
        <v/>
      </c>
      <c r="T180" s="61" t="str">
        <f t="shared" si="78"/>
        <v/>
      </c>
      <c r="U180" s="61" t="str">
        <f t="shared" si="79"/>
        <v/>
      </c>
      <c r="V180" s="61" t="str">
        <f t="shared" si="80"/>
        <v/>
      </c>
      <c r="W180" s="61"/>
      <c r="X180" s="61" t="str">
        <f t="shared" si="81"/>
        <v/>
      </c>
      <c r="Y180" s="61" t="str">
        <f t="shared" si="82"/>
        <v/>
      </c>
      <c r="Z180" s="61" t="str">
        <f t="shared" si="83"/>
        <v/>
      </c>
      <c r="AA180" s="61" t="str">
        <f t="shared" si="84"/>
        <v/>
      </c>
      <c r="AB180" s="61" t="str">
        <f t="shared" si="85"/>
        <v/>
      </c>
      <c r="AC180" s="61" t="str">
        <f t="shared" si="86"/>
        <v/>
      </c>
      <c r="AD180" s="61" t="str">
        <f t="shared" si="87"/>
        <v/>
      </c>
    </row>
    <row r="181" spans="1:30" x14ac:dyDescent="0.25">
      <c r="A181" s="40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2"/>
      <c r="M181" s="41"/>
      <c r="N181" s="41"/>
      <c r="O181" s="43"/>
      <c r="P181" s="61" t="str">
        <f t="shared" si="74"/>
        <v/>
      </c>
      <c r="Q181" s="61" t="str">
        <f t="shared" si="75"/>
        <v/>
      </c>
      <c r="R181" s="61" t="str">
        <f t="shared" si="76"/>
        <v/>
      </c>
      <c r="S181" s="61" t="str">
        <f t="shared" si="77"/>
        <v/>
      </c>
      <c r="T181" s="61" t="str">
        <f t="shared" si="78"/>
        <v/>
      </c>
      <c r="U181" s="61" t="str">
        <f t="shared" si="79"/>
        <v/>
      </c>
      <c r="V181" s="61" t="str">
        <f t="shared" si="80"/>
        <v/>
      </c>
      <c r="W181" s="61"/>
      <c r="X181" s="61" t="str">
        <f t="shared" si="81"/>
        <v/>
      </c>
      <c r="Y181" s="61" t="str">
        <f t="shared" si="82"/>
        <v/>
      </c>
      <c r="Z181" s="61" t="str">
        <f t="shared" si="83"/>
        <v/>
      </c>
      <c r="AA181" s="61" t="str">
        <f t="shared" si="84"/>
        <v/>
      </c>
      <c r="AB181" s="61" t="str">
        <f t="shared" si="85"/>
        <v/>
      </c>
      <c r="AC181" s="61" t="str">
        <f t="shared" si="86"/>
        <v/>
      </c>
      <c r="AD181" s="61" t="str">
        <f t="shared" si="87"/>
        <v/>
      </c>
    </row>
    <row r="182" spans="1:30" x14ac:dyDescent="0.25">
      <c r="A182" s="36"/>
      <c r="B182" s="38"/>
      <c r="C182" s="37"/>
      <c r="D182" s="37"/>
      <c r="E182" s="37"/>
      <c r="F182" s="37"/>
      <c r="G182" s="37"/>
      <c r="H182" s="37"/>
      <c r="I182" s="37"/>
      <c r="J182" s="37"/>
      <c r="K182" s="37"/>
      <c r="L182" s="38"/>
      <c r="M182" s="37"/>
      <c r="N182" s="37"/>
      <c r="O182" s="39"/>
      <c r="P182" s="61" t="str">
        <f t="shared" si="74"/>
        <v/>
      </c>
      <c r="Q182" s="61" t="str">
        <f t="shared" si="75"/>
        <v/>
      </c>
      <c r="R182" s="61" t="str">
        <f t="shared" si="76"/>
        <v/>
      </c>
      <c r="S182" s="61" t="str">
        <f t="shared" si="77"/>
        <v/>
      </c>
      <c r="T182" s="61" t="str">
        <f t="shared" si="78"/>
        <v/>
      </c>
      <c r="U182" s="61" t="str">
        <f t="shared" si="79"/>
        <v/>
      </c>
      <c r="V182" s="61" t="str">
        <f t="shared" si="80"/>
        <v/>
      </c>
      <c r="W182" s="61"/>
      <c r="X182" s="61" t="str">
        <f t="shared" si="81"/>
        <v/>
      </c>
      <c r="Y182" s="61" t="str">
        <f t="shared" si="82"/>
        <v/>
      </c>
      <c r="Z182" s="61" t="str">
        <f t="shared" si="83"/>
        <v/>
      </c>
      <c r="AA182" s="61" t="str">
        <f t="shared" si="84"/>
        <v/>
      </c>
      <c r="AB182" s="61" t="str">
        <f t="shared" si="85"/>
        <v/>
      </c>
      <c r="AC182" s="61" t="str">
        <f t="shared" si="86"/>
        <v/>
      </c>
      <c r="AD182" s="61" t="str">
        <f t="shared" si="87"/>
        <v/>
      </c>
    </row>
    <row r="183" spans="1:30" x14ac:dyDescent="0.25">
      <c r="A183" s="40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2"/>
      <c r="M183" s="41"/>
      <c r="N183" s="41"/>
      <c r="O183" s="43"/>
      <c r="P183" s="61" t="str">
        <f t="shared" si="74"/>
        <v/>
      </c>
      <c r="Q183" s="61" t="str">
        <f t="shared" si="75"/>
        <v/>
      </c>
      <c r="R183" s="61" t="str">
        <f t="shared" si="76"/>
        <v/>
      </c>
      <c r="S183" s="61" t="str">
        <f t="shared" si="77"/>
        <v/>
      </c>
      <c r="T183" s="61" t="str">
        <f t="shared" si="78"/>
        <v/>
      </c>
      <c r="U183" s="61" t="str">
        <f t="shared" si="79"/>
        <v/>
      </c>
      <c r="V183" s="61" t="str">
        <f t="shared" si="80"/>
        <v/>
      </c>
      <c r="W183" s="61"/>
      <c r="X183" s="61" t="str">
        <f t="shared" si="81"/>
        <v/>
      </c>
      <c r="Y183" s="61" t="str">
        <f t="shared" si="82"/>
        <v/>
      </c>
      <c r="Z183" s="61" t="str">
        <f t="shared" si="83"/>
        <v/>
      </c>
      <c r="AA183" s="61" t="str">
        <f t="shared" si="84"/>
        <v/>
      </c>
      <c r="AB183" s="61" t="str">
        <f t="shared" si="85"/>
        <v/>
      </c>
      <c r="AC183" s="61" t="str">
        <f t="shared" si="86"/>
        <v/>
      </c>
      <c r="AD183" s="61" t="str">
        <f t="shared" si="87"/>
        <v/>
      </c>
    </row>
    <row r="184" spans="1:30" x14ac:dyDescent="0.25">
      <c r="A184" s="36"/>
      <c r="B184" s="38"/>
      <c r="C184" s="37"/>
      <c r="D184" s="37"/>
      <c r="E184" s="37"/>
      <c r="F184" s="37"/>
      <c r="G184" s="37"/>
      <c r="H184" s="37"/>
      <c r="I184" s="37"/>
      <c r="J184" s="37"/>
      <c r="K184" s="37"/>
      <c r="L184" s="38"/>
      <c r="M184" s="37"/>
      <c r="N184" s="37"/>
      <c r="O184" s="39"/>
      <c r="P184" s="61" t="str">
        <f t="shared" si="74"/>
        <v/>
      </c>
      <c r="Q184" s="61" t="str">
        <f t="shared" si="75"/>
        <v/>
      </c>
      <c r="R184" s="61" t="str">
        <f t="shared" si="76"/>
        <v/>
      </c>
      <c r="S184" s="61" t="str">
        <f t="shared" si="77"/>
        <v/>
      </c>
      <c r="T184" s="61" t="str">
        <f t="shared" si="78"/>
        <v/>
      </c>
      <c r="U184" s="61" t="str">
        <f t="shared" si="79"/>
        <v/>
      </c>
      <c r="V184" s="61" t="str">
        <f t="shared" si="80"/>
        <v/>
      </c>
      <c r="W184" s="61"/>
      <c r="X184" s="61" t="str">
        <f t="shared" si="81"/>
        <v/>
      </c>
      <c r="Y184" s="61" t="str">
        <f t="shared" si="82"/>
        <v/>
      </c>
      <c r="Z184" s="61" t="str">
        <f t="shared" si="83"/>
        <v/>
      </c>
      <c r="AA184" s="61" t="str">
        <f t="shared" si="84"/>
        <v/>
      </c>
      <c r="AB184" s="61" t="str">
        <f t="shared" si="85"/>
        <v/>
      </c>
      <c r="AC184" s="61" t="str">
        <f t="shared" si="86"/>
        <v/>
      </c>
      <c r="AD184" s="61" t="str">
        <f t="shared" si="87"/>
        <v/>
      </c>
    </row>
    <row r="185" spans="1:30" x14ac:dyDescent="0.25">
      <c r="A185" s="40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2"/>
      <c r="M185" s="41"/>
      <c r="N185" s="41"/>
      <c r="O185" s="43"/>
      <c r="P185" s="61" t="str">
        <f t="shared" si="74"/>
        <v/>
      </c>
      <c r="Q185" s="61" t="str">
        <f t="shared" si="75"/>
        <v/>
      </c>
      <c r="R185" s="61" t="str">
        <f t="shared" si="76"/>
        <v/>
      </c>
      <c r="S185" s="61" t="str">
        <f t="shared" si="77"/>
        <v/>
      </c>
      <c r="T185" s="61" t="str">
        <f t="shared" si="78"/>
        <v/>
      </c>
      <c r="U185" s="61" t="str">
        <f t="shared" si="79"/>
        <v/>
      </c>
      <c r="V185" s="61" t="str">
        <f t="shared" si="80"/>
        <v/>
      </c>
      <c r="W185" s="61"/>
      <c r="X185" s="61" t="str">
        <f t="shared" si="81"/>
        <v/>
      </c>
      <c r="Y185" s="61" t="str">
        <f t="shared" si="82"/>
        <v/>
      </c>
      <c r="Z185" s="61" t="str">
        <f t="shared" si="83"/>
        <v/>
      </c>
      <c r="AA185" s="61" t="str">
        <f t="shared" si="84"/>
        <v/>
      </c>
      <c r="AB185" s="61" t="str">
        <f t="shared" si="85"/>
        <v/>
      </c>
      <c r="AC185" s="61" t="str">
        <f t="shared" si="86"/>
        <v/>
      </c>
      <c r="AD185" s="61" t="str">
        <f t="shared" si="87"/>
        <v/>
      </c>
    </row>
    <row r="186" spans="1:30" x14ac:dyDescent="0.25">
      <c r="A186" s="36"/>
      <c r="B186" s="38"/>
      <c r="C186" s="37"/>
      <c r="D186" s="37"/>
      <c r="E186" s="37"/>
      <c r="F186" s="37"/>
      <c r="G186" s="37"/>
      <c r="H186" s="37"/>
      <c r="I186" s="37"/>
      <c r="J186" s="37"/>
      <c r="K186" s="37"/>
      <c r="L186" s="38"/>
      <c r="M186" s="37"/>
      <c r="N186" s="37"/>
      <c r="O186" s="39"/>
      <c r="P186" s="61" t="str">
        <f t="shared" si="74"/>
        <v/>
      </c>
      <c r="Q186" s="61" t="str">
        <f t="shared" si="75"/>
        <v/>
      </c>
      <c r="R186" s="61" t="str">
        <f t="shared" si="76"/>
        <v/>
      </c>
      <c r="S186" s="61" t="str">
        <f t="shared" si="77"/>
        <v/>
      </c>
      <c r="T186" s="61" t="str">
        <f t="shared" si="78"/>
        <v/>
      </c>
      <c r="U186" s="61" t="str">
        <f t="shared" si="79"/>
        <v/>
      </c>
      <c r="V186" s="61" t="str">
        <f t="shared" si="80"/>
        <v/>
      </c>
      <c r="W186" s="61"/>
      <c r="X186" s="61" t="str">
        <f t="shared" si="81"/>
        <v/>
      </c>
      <c r="Y186" s="61" t="str">
        <f t="shared" si="82"/>
        <v/>
      </c>
      <c r="Z186" s="61" t="str">
        <f t="shared" si="83"/>
        <v/>
      </c>
      <c r="AA186" s="61" t="str">
        <f t="shared" si="84"/>
        <v/>
      </c>
      <c r="AB186" s="61" t="str">
        <f t="shared" si="85"/>
        <v/>
      </c>
      <c r="AC186" s="61" t="str">
        <f t="shared" si="86"/>
        <v/>
      </c>
      <c r="AD186" s="61" t="str">
        <f t="shared" si="87"/>
        <v/>
      </c>
    </row>
    <row r="187" spans="1:30" x14ac:dyDescent="0.25">
      <c r="A187" s="40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2"/>
      <c r="M187" s="41"/>
      <c r="N187" s="41"/>
      <c r="O187" s="43"/>
      <c r="P187" s="61" t="str">
        <f t="shared" si="74"/>
        <v/>
      </c>
      <c r="Q187" s="61" t="str">
        <f t="shared" si="75"/>
        <v/>
      </c>
      <c r="R187" s="61" t="str">
        <f t="shared" si="76"/>
        <v/>
      </c>
      <c r="S187" s="61" t="str">
        <f t="shared" si="77"/>
        <v/>
      </c>
      <c r="T187" s="61" t="str">
        <f t="shared" si="78"/>
        <v/>
      </c>
      <c r="U187" s="61" t="str">
        <f t="shared" si="79"/>
        <v/>
      </c>
      <c r="V187" s="61" t="str">
        <f t="shared" si="80"/>
        <v/>
      </c>
      <c r="W187" s="61"/>
      <c r="X187" s="61" t="str">
        <f t="shared" si="81"/>
        <v/>
      </c>
      <c r="Y187" s="61" t="str">
        <f t="shared" si="82"/>
        <v/>
      </c>
      <c r="Z187" s="61" t="str">
        <f t="shared" si="83"/>
        <v/>
      </c>
      <c r="AA187" s="61" t="str">
        <f t="shared" si="84"/>
        <v/>
      </c>
      <c r="AB187" s="61" t="str">
        <f t="shared" si="85"/>
        <v/>
      </c>
      <c r="AC187" s="61" t="str">
        <f t="shared" si="86"/>
        <v/>
      </c>
      <c r="AD187" s="61" t="str">
        <f t="shared" si="87"/>
        <v/>
      </c>
    </row>
    <row r="188" spans="1:30" x14ac:dyDescent="0.25">
      <c r="A188" s="36"/>
      <c r="B188" s="38"/>
      <c r="C188" s="37"/>
      <c r="D188" s="37"/>
      <c r="E188" s="37"/>
      <c r="F188" s="37"/>
      <c r="G188" s="37"/>
      <c r="H188" s="37"/>
      <c r="I188" s="37"/>
      <c r="J188" s="37"/>
      <c r="K188" s="37"/>
      <c r="L188" s="38"/>
      <c r="M188" s="37"/>
      <c r="N188" s="37"/>
      <c r="O188" s="39"/>
      <c r="P188" s="61" t="str">
        <f t="shared" si="74"/>
        <v/>
      </c>
      <c r="Q188" s="61" t="str">
        <f t="shared" si="75"/>
        <v/>
      </c>
      <c r="R188" s="61" t="str">
        <f t="shared" si="76"/>
        <v/>
      </c>
      <c r="S188" s="61" t="str">
        <f t="shared" si="77"/>
        <v/>
      </c>
      <c r="T188" s="61" t="str">
        <f t="shared" si="78"/>
        <v/>
      </c>
      <c r="U188" s="61" t="str">
        <f t="shared" si="79"/>
        <v/>
      </c>
      <c r="V188" s="61" t="str">
        <f t="shared" si="80"/>
        <v/>
      </c>
      <c r="W188" s="61"/>
      <c r="X188" s="61" t="str">
        <f t="shared" si="81"/>
        <v/>
      </c>
      <c r="Y188" s="61" t="str">
        <f t="shared" si="82"/>
        <v/>
      </c>
      <c r="Z188" s="61" t="str">
        <f t="shared" si="83"/>
        <v/>
      </c>
      <c r="AA188" s="61" t="str">
        <f t="shared" si="84"/>
        <v/>
      </c>
      <c r="AB188" s="61" t="str">
        <f t="shared" si="85"/>
        <v/>
      </c>
      <c r="AC188" s="61" t="str">
        <f t="shared" si="86"/>
        <v/>
      </c>
      <c r="AD188" s="61" t="str">
        <f t="shared" si="87"/>
        <v/>
      </c>
    </row>
    <row r="189" spans="1:30" x14ac:dyDescent="0.25">
      <c r="A189" s="40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2"/>
      <c r="M189" s="41"/>
      <c r="N189" s="41"/>
      <c r="O189" s="43"/>
      <c r="P189" s="61" t="str">
        <f t="shared" si="74"/>
        <v/>
      </c>
      <c r="Q189" s="61" t="str">
        <f t="shared" si="75"/>
        <v/>
      </c>
      <c r="R189" s="61" t="str">
        <f t="shared" si="76"/>
        <v/>
      </c>
      <c r="S189" s="61" t="str">
        <f t="shared" si="77"/>
        <v/>
      </c>
      <c r="T189" s="61" t="str">
        <f t="shared" si="78"/>
        <v/>
      </c>
      <c r="U189" s="61" t="str">
        <f t="shared" si="79"/>
        <v/>
      </c>
      <c r="V189" s="61" t="str">
        <f t="shared" si="80"/>
        <v/>
      </c>
      <c r="W189" s="61"/>
      <c r="X189" s="61" t="str">
        <f t="shared" si="81"/>
        <v/>
      </c>
      <c r="Y189" s="61" t="str">
        <f t="shared" si="82"/>
        <v/>
      </c>
      <c r="Z189" s="61" t="str">
        <f t="shared" si="83"/>
        <v/>
      </c>
      <c r="AA189" s="61" t="str">
        <f t="shared" si="84"/>
        <v/>
      </c>
      <c r="AB189" s="61" t="str">
        <f t="shared" si="85"/>
        <v/>
      </c>
      <c r="AC189" s="61" t="str">
        <f t="shared" si="86"/>
        <v/>
      </c>
      <c r="AD189" s="61" t="str">
        <f t="shared" si="87"/>
        <v/>
      </c>
    </row>
    <row r="190" spans="1:30" x14ac:dyDescent="0.25">
      <c r="A190" s="36"/>
      <c r="B190" s="38"/>
      <c r="C190" s="37"/>
      <c r="D190" s="37"/>
      <c r="E190" s="37"/>
      <c r="F190" s="37"/>
      <c r="G190" s="37"/>
      <c r="H190" s="37"/>
      <c r="I190" s="37"/>
      <c r="J190" s="37"/>
      <c r="K190" s="37"/>
      <c r="L190" s="38"/>
      <c r="M190" s="37"/>
      <c r="N190" s="37"/>
      <c r="O190" s="39"/>
      <c r="P190" s="61" t="str">
        <f t="shared" si="74"/>
        <v/>
      </c>
      <c r="Q190" s="61" t="str">
        <f t="shared" si="75"/>
        <v/>
      </c>
      <c r="R190" s="61" t="str">
        <f t="shared" si="76"/>
        <v/>
      </c>
      <c r="S190" s="61" t="str">
        <f t="shared" si="77"/>
        <v/>
      </c>
      <c r="T190" s="61" t="str">
        <f t="shared" si="78"/>
        <v/>
      </c>
      <c r="U190" s="61" t="str">
        <f t="shared" si="79"/>
        <v/>
      </c>
      <c r="V190" s="61" t="str">
        <f t="shared" si="80"/>
        <v/>
      </c>
      <c r="W190" s="61"/>
      <c r="X190" s="61" t="str">
        <f t="shared" si="81"/>
        <v/>
      </c>
      <c r="Y190" s="61" t="str">
        <f t="shared" si="82"/>
        <v/>
      </c>
      <c r="Z190" s="61" t="str">
        <f t="shared" si="83"/>
        <v/>
      </c>
      <c r="AA190" s="61" t="str">
        <f t="shared" si="84"/>
        <v/>
      </c>
      <c r="AB190" s="61" t="str">
        <f t="shared" si="85"/>
        <v/>
      </c>
      <c r="AC190" s="61" t="str">
        <f t="shared" si="86"/>
        <v/>
      </c>
      <c r="AD190" s="61" t="str">
        <f t="shared" si="87"/>
        <v/>
      </c>
    </row>
    <row r="191" spans="1:30" x14ac:dyDescent="0.25">
      <c r="A191" s="40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2"/>
      <c r="M191" s="41"/>
      <c r="N191" s="41"/>
      <c r="O191" s="43"/>
      <c r="P191" s="61" t="str">
        <f t="shared" si="74"/>
        <v/>
      </c>
      <c r="Q191" s="61" t="str">
        <f t="shared" si="75"/>
        <v/>
      </c>
      <c r="R191" s="61" t="str">
        <f t="shared" si="76"/>
        <v/>
      </c>
      <c r="S191" s="61" t="str">
        <f t="shared" si="77"/>
        <v/>
      </c>
      <c r="T191" s="61" t="str">
        <f t="shared" si="78"/>
        <v/>
      </c>
      <c r="U191" s="61" t="str">
        <f t="shared" si="79"/>
        <v/>
      </c>
      <c r="V191" s="61" t="str">
        <f t="shared" si="80"/>
        <v/>
      </c>
      <c r="W191" s="61"/>
      <c r="X191" s="61" t="str">
        <f t="shared" si="81"/>
        <v/>
      </c>
      <c r="Y191" s="61" t="str">
        <f t="shared" si="82"/>
        <v/>
      </c>
      <c r="Z191" s="61" t="str">
        <f t="shared" si="83"/>
        <v/>
      </c>
      <c r="AA191" s="61" t="str">
        <f t="shared" si="84"/>
        <v/>
      </c>
      <c r="AB191" s="61" t="str">
        <f t="shared" si="85"/>
        <v/>
      </c>
      <c r="AC191" s="61" t="str">
        <f t="shared" si="86"/>
        <v/>
      </c>
      <c r="AD191" s="61" t="str">
        <f t="shared" si="87"/>
        <v/>
      </c>
    </row>
    <row r="192" spans="1:30" x14ac:dyDescent="0.25">
      <c r="A192" s="36"/>
      <c r="B192" s="38"/>
      <c r="C192" s="37"/>
      <c r="D192" s="37"/>
      <c r="E192" s="37"/>
      <c r="F192" s="37"/>
      <c r="G192" s="37"/>
      <c r="H192" s="37"/>
      <c r="I192" s="37"/>
      <c r="J192" s="37"/>
      <c r="K192" s="37"/>
      <c r="L192" s="38"/>
      <c r="M192" s="37"/>
      <c r="N192" s="37"/>
      <c r="O192" s="39"/>
      <c r="P192" s="61" t="str">
        <f t="shared" si="74"/>
        <v/>
      </c>
      <c r="Q192" s="61" t="str">
        <f t="shared" si="75"/>
        <v/>
      </c>
      <c r="R192" s="61" t="str">
        <f t="shared" si="76"/>
        <v/>
      </c>
      <c r="S192" s="61" t="str">
        <f t="shared" si="77"/>
        <v/>
      </c>
      <c r="T192" s="61" t="str">
        <f t="shared" si="78"/>
        <v/>
      </c>
      <c r="U192" s="61" t="str">
        <f t="shared" si="79"/>
        <v/>
      </c>
      <c r="V192" s="61" t="str">
        <f t="shared" si="80"/>
        <v/>
      </c>
      <c r="W192" s="61"/>
      <c r="X192" s="61" t="str">
        <f t="shared" si="81"/>
        <v/>
      </c>
      <c r="Y192" s="61" t="str">
        <f t="shared" si="82"/>
        <v/>
      </c>
      <c r="Z192" s="61" t="str">
        <f t="shared" si="83"/>
        <v/>
      </c>
      <c r="AA192" s="61" t="str">
        <f t="shared" si="84"/>
        <v/>
      </c>
      <c r="AB192" s="61" t="str">
        <f t="shared" si="85"/>
        <v/>
      </c>
      <c r="AC192" s="61" t="str">
        <f t="shared" si="86"/>
        <v/>
      </c>
      <c r="AD192" s="61" t="str">
        <f t="shared" si="87"/>
        <v/>
      </c>
    </row>
    <row r="193" spans="1:30" x14ac:dyDescent="0.25">
      <c r="A193" s="40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2"/>
      <c r="M193" s="41"/>
      <c r="N193" s="41"/>
      <c r="O193" s="43"/>
      <c r="P193" s="61" t="str">
        <f t="shared" si="74"/>
        <v/>
      </c>
      <c r="Q193" s="61" t="str">
        <f t="shared" si="75"/>
        <v/>
      </c>
      <c r="R193" s="61" t="str">
        <f t="shared" si="76"/>
        <v/>
      </c>
      <c r="S193" s="61" t="str">
        <f t="shared" si="77"/>
        <v/>
      </c>
      <c r="T193" s="61" t="str">
        <f t="shared" si="78"/>
        <v/>
      </c>
      <c r="U193" s="61" t="str">
        <f t="shared" si="79"/>
        <v/>
      </c>
      <c r="V193" s="61" t="str">
        <f t="shared" si="80"/>
        <v/>
      </c>
      <c r="W193" s="61"/>
      <c r="X193" s="61" t="str">
        <f t="shared" si="81"/>
        <v/>
      </c>
      <c r="Y193" s="61" t="str">
        <f t="shared" si="82"/>
        <v/>
      </c>
      <c r="Z193" s="61" t="str">
        <f t="shared" si="83"/>
        <v/>
      </c>
      <c r="AA193" s="61" t="str">
        <f t="shared" si="84"/>
        <v/>
      </c>
      <c r="AB193" s="61" t="str">
        <f t="shared" si="85"/>
        <v/>
      </c>
      <c r="AC193" s="61" t="str">
        <f t="shared" si="86"/>
        <v/>
      </c>
      <c r="AD193" s="61" t="str">
        <f t="shared" si="87"/>
        <v/>
      </c>
    </row>
    <row r="194" spans="1:30" x14ac:dyDescent="0.25">
      <c r="A194" s="36"/>
      <c r="B194" s="38"/>
      <c r="C194" s="37"/>
      <c r="D194" s="37"/>
      <c r="E194" s="37"/>
      <c r="F194" s="37"/>
      <c r="G194" s="37"/>
      <c r="H194" s="37"/>
      <c r="I194" s="37"/>
      <c r="J194" s="37"/>
      <c r="K194" s="37"/>
      <c r="L194" s="38"/>
      <c r="M194" s="37"/>
      <c r="N194" s="37"/>
      <c r="O194" s="39"/>
      <c r="P194" s="61" t="str">
        <f t="shared" si="74"/>
        <v/>
      </c>
      <c r="Q194" s="61" t="str">
        <f t="shared" si="75"/>
        <v/>
      </c>
      <c r="R194" s="61" t="str">
        <f t="shared" si="76"/>
        <v/>
      </c>
      <c r="S194" s="61" t="str">
        <f t="shared" si="77"/>
        <v/>
      </c>
      <c r="T194" s="61" t="str">
        <f t="shared" si="78"/>
        <v/>
      </c>
      <c r="U194" s="61" t="str">
        <f t="shared" si="79"/>
        <v/>
      </c>
      <c r="V194" s="61" t="str">
        <f t="shared" si="80"/>
        <v/>
      </c>
      <c r="W194" s="61"/>
      <c r="X194" s="61" t="str">
        <f t="shared" si="81"/>
        <v/>
      </c>
      <c r="Y194" s="61" t="str">
        <f t="shared" si="82"/>
        <v/>
      </c>
      <c r="Z194" s="61" t="str">
        <f t="shared" si="83"/>
        <v/>
      </c>
      <c r="AA194" s="61" t="str">
        <f t="shared" si="84"/>
        <v/>
      </c>
      <c r="AB194" s="61" t="str">
        <f t="shared" si="85"/>
        <v/>
      </c>
      <c r="AC194" s="61" t="str">
        <f t="shared" si="86"/>
        <v/>
      </c>
      <c r="AD194" s="61" t="str">
        <f t="shared" si="87"/>
        <v/>
      </c>
    </row>
    <row r="195" spans="1:30" x14ac:dyDescent="0.25">
      <c r="A195" s="40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2"/>
      <c r="M195" s="41"/>
      <c r="N195" s="41"/>
      <c r="O195" s="43"/>
      <c r="P195" s="61" t="str">
        <f t="shared" si="74"/>
        <v/>
      </c>
      <c r="Q195" s="61" t="str">
        <f t="shared" si="75"/>
        <v/>
      </c>
      <c r="R195" s="61" t="str">
        <f t="shared" si="76"/>
        <v/>
      </c>
      <c r="S195" s="61" t="str">
        <f t="shared" si="77"/>
        <v/>
      </c>
      <c r="T195" s="61" t="str">
        <f t="shared" si="78"/>
        <v/>
      </c>
      <c r="U195" s="61" t="str">
        <f t="shared" si="79"/>
        <v/>
      </c>
      <c r="V195" s="61" t="str">
        <f t="shared" si="80"/>
        <v/>
      </c>
      <c r="W195" s="61"/>
      <c r="X195" s="61" t="str">
        <f t="shared" si="81"/>
        <v/>
      </c>
      <c r="Y195" s="61" t="str">
        <f t="shared" si="82"/>
        <v/>
      </c>
      <c r="Z195" s="61" t="str">
        <f t="shared" si="83"/>
        <v/>
      </c>
      <c r="AA195" s="61" t="str">
        <f t="shared" si="84"/>
        <v/>
      </c>
      <c r="AB195" s="61" t="str">
        <f t="shared" si="85"/>
        <v/>
      </c>
      <c r="AC195" s="61" t="str">
        <f t="shared" si="86"/>
        <v/>
      </c>
      <c r="AD195" s="61" t="str">
        <f t="shared" si="87"/>
        <v/>
      </c>
    </row>
    <row r="196" spans="1:30" x14ac:dyDescent="0.25">
      <c r="A196" s="36"/>
      <c r="B196" s="38"/>
      <c r="C196" s="37"/>
      <c r="D196" s="37"/>
      <c r="E196" s="37"/>
      <c r="F196" s="37"/>
      <c r="G196" s="37"/>
      <c r="H196" s="37"/>
      <c r="I196" s="37"/>
      <c r="J196" s="37"/>
      <c r="K196" s="37"/>
      <c r="L196" s="38"/>
      <c r="M196" s="37"/>
      <c r="N196" s="37"/>
      <c r="O196" s="39"/>
      <c r="P196" s="61" t="str">
        <f t="shared" si="74"/>
        <v/>
      </c>
      <c r="Q196" s="61" t="str">
        <f t="shared" si="75"/>
        <v/>
      </c>
      <c r="R196" s="61" t="str">
        <f t="shared" si="76"/>
        <v/>
      </c>
      <c r="S196" s="61" t="str">
        <f t="shared" si="77"/>
        <v/>
      </c>
      <c r="T196" s="61" t="str">
        <f t="shared" si="78"/>
        <v/>
      </c>
      <c r="U196" s="61" t="str">
        <f t="shared" si="79"/>
        <v/>
      </c>
      <c r="V196" s="61" t="str">
        <f t="shared" si="80"/>
        <v/>
      </c>
      <c r="W196" s="61"/>
      <c r="X196" s="61" t="str">
        <f t="shared" si="81"/>
        <v/>
      </c>
      <c r="Y196" s="61" t="str">
        <f t="shared" si="82"/>
        <v/>
      </c>
      <c r="Z196" s="61" t="str">
        <f t="shared" si="83"/>
        <v/>
      </c>
      <c r="AA196" s="61" t="str">
        <f t="shared" si="84"/>
        <v/>
      </c>
      <c r="AB196" s="61" t="str">
        <f t="shared" si="85"/>
        <v/>
      </c>
      <c r="AC196" s="61" t="str">
        <f t="shared" si="86"/>
        <v/>
      </c>
      <c r="AD196" s="61" t="str">
        <f t="shared" si="87"/>
        <v/>
      </c>
    </row>
    <row r="197" spans="1:30" x14ac:dyDescent="0.25">
      <c r="A197" s="40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2"/>
      <c r="M197" s="41"/>
      <c r="N197" s="41"/>
      <c r="O197" s="43"/>
      <c r="P197" s="61" t="str">
        <f t="shared" ref="P197:P204" si="88">IF(D197="","",IFERROR(_xlfn.TRANSLATE(D197,,"ja"),""))</f>
        <v/>
      </c>
      <c r="Q197" s="61" t="str">
        <f t="shared" ref="Q197:Q204" si="89">IF(D197="","",IFERROR(_xlfn.TRANSLATE(D197,,"zh-Hans"),""))</f>
        <v/>
      </c>
      <c r="R197" s="61" t="str">
        <f t="shared" ref="R197:R204" si="90">IF(D197="","",IFERROR(_xlfn.TRANSLATE(D197,,"vi"),""))</f>
        <v/>
      </c>
      <c r="S197" s="61" t="str">
        <f t="shared" ref="S197:S204" si="91">IF(E197="","",IFERROR(_xlfn.TRANSLATE(E197,,"ja"),""))</f>
        <v/>
      </c>
      <c r="T197" s="61" t="str">
        <f t="shared" ref="T197:T204" si="92">IF(E197="","",IFERROR(_xlfn.TRANSLATE(E197,,"zh-Hans"),""))</f>
        <v/>
      </c>
      <c r="U197" s="61" t="str">
        <f t="shared" ref="U197:U204" si="93">IF(E197="","",IFERROR(_xlfn.TRANSLATE(E197,,"vi"),""))</f>
        <v/>
      </c>
      <c r="V197" s="61" t="str">
        <f t="shared" ref="V197:V204" si="94">IF(F197="","",IFERROR(_xlfn.TRANSLATE(F197,,"ja"),""))</f>
        <v/>
      </c>
      <c r="W197" s="61"/>
      <c r="X197" s="61" t="str">
        <f t="shared" ref="X197:X204" si="95">IF(F197="","",IFERROR(_xlfn.TRANSLATE(F197,,"vi"),""))</f>
        <v/>
      </c>
      <c r="Y197" s="61" t="str">
        <f t="shared" ref="Y197:Y204" si="96">IF(J197="","",IFERROR(_xlfn.TRANSLATE(J197,,"ja"),""))</f>
        <v/>
      </c>
      <c r="Z197" s="61" t="str">
        <f t="shared" ref="Z197:Z204" si="97">IF(J197="","",IFERROR(_xlfn.TRANSLATE(J197,,"zh-Hans"),""))</f>
        <v/>
      </c>
      <c r="AA197" s="61" t="str">
        <f t="shared" ref="AA197:AA204" si="98">IF(J197="","",IFERROR(_xlfn.TRANSLATE(J197,,"vi"),""))</f>
        <v/>
      </c>
      <c r="AB197" s="61" t="str">
        <f t="shared" ref="AB197:AB204" si="99">IF(O197="","",IFERROR(_xlfn.TRANSLATE(O197,,"ja"),""))</f>
        <v/>
      </c>
      <c r="AC197" s="61" t="str">
        <f t="shared" ref="AC197:AC204" si="100">IF(O197="","",IFERROR(_xlfn.TRANSLATE(O197,,"zh-Hans"),""))</f>
        <v/>
      </c>
      <c r="AD197" s="61" t="str">
        <f t="shared" ref="AD197:AD204" si="101">IF(O197="","",IFERROR(_xlfn.TRANSLATE(O197,,"vi"),""))</f>
        <v/>
      </c>
    </row>
    <row r="198" spans="1:30" x14ac:dyDescent="0.25">
      <c r="A198" s="36"/>
      <c r="B198" s="38"/>
      <c r="C198" s="37"/>
      <c r="D198" s="37"/>
      <c r="E198" s="37"/>
      <c r="F198" s="37"/>
      <c r="G198" s="37"/>
      <c r="H198" s="37"/>
      <c r="I198" s="37"/>
      <c r="J198" s="37"/>
      <c r="K198" s="37"/>
      <c r="L198" s="38"/>
      <c r="M198" s="37"/>
      <c r="N198" s="37"/>
      <c r="O198" s="39"/>
      <c r="P198" s="61" t="str">
        <f t="shared" si="88"/>
        <v/>
      </c>
      <c r="Q198" s="61" t="str">
        <f t="shared" si="89"/>
        <v/>
      </c>
      <c r="R198" s="61" t="str">
        <f t="shared" si="90"/>
        <v/>
      </c>
      <c r="S198" s="61" t="str">
        <f t="shared" si="91"/>
        <v/>
      </c>
      <c r="T198" s="61" t="str">
        <f t="shared" si="92"/>
        <v/>
      </c>
      <c r="U198" s="61" t="str">
        <f t="shared" si="93"/>
        <v/>
      </c>
      <c r="V198" s="61" t="str">
        <f t="shared" si="94"/>
        <v/>
      </c>
      <c r="W198" s="61"/>
      <c r="X198" s="61" t="str">
        <f t="shared" si="95"/>
        <v/>
      </c>
      <c r="Y198" s="61" t="str">
        <f t="shared" si="96"/>
        <v/>
      </c>
      <c r="Z198" s="61" t="str">
        <f t="shared" si="97"/>
        <v/>
      </c>
      <c r="AA198" s="61" t="str">
        <f t="shared" si="98"/>
        <v/>
      </c>
      <c r="AB198" s="61" t="str">
        <f t="shared" si="99"/>
        <v/>
      </c>
      <c r="AC198" s="61" t="str">
        <f t="shared" si="100"/>
        <v/>
      </c>
      <c r="AD198" s="61" t="str">
        <f t="shared" si="101"/>
        <v/>
      </c>
    </row>
    <row r="199" spans="1:30" x14ac:dyDescent="0.25">
      <c r="A199" s="40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2"/>
      <c r="M199" s="41"/>
      <c r="N199" s="41"/>
      <c r="O199" s="43"/>
      <c r="P199" s="61" t="str">
        <f t="shared" si="88"/>
        <v/>
      </c>
      <c r="Q199" s="61" t="str">
        <f t="shared" si="89"/>
        <v/>
      </c>
      <c r="R199" s="61" t="str">
        <f t="shared" si="90"/>
        <v/>
      </c>
      <c r="S199" s="61" t="str">
        <f t="shared" si="91"/>
        <v/>
      </c>
      <c r="T199" s="61" t="str">
        <f t="shared" si="92"/>
        <v/>
      </c>
      <c r="U199" s="61" t="str">
        <f t="shared" si="93"/>
        <v/>
      </c>
      <c r="V199" s="61" t="str">
        <f t="shared" si="94"/>
        <v/>
      </c>
      <c r="W199" s="61"/>
      <c r="X199" s="61" t="str">
        <f t="shared" si="95"/>
        <v/>
      </c>
      <c r="Y199" s="61" t="str">
        <f t="shared" si="96"/>
        <v/>
      </c>
      <c r="Z199" s="61" t="str">
        <f t="shared" si="97"/>
        <v/>
      </c>
      <c r="AA199" s="61" t="str">
        <f t="shared" si="98"/>
        <v/>
      </c>
      <c r="AB199" s="61" t="str">
        <f t="shared" si="99"/>
        <v/>
      </c>
      <c r="AC199" s="61" t="str">
        <f t="shared" si="100"/>
        <v/>
      </c>
      <c r="AD199" s="61" t="str">
        <f t="shared" si="101"/>
        <v/>
      </c>
    </row>
    <row r="200" spans="1:30" x14ac:dyDescent="0.25">
      <c r="A200" s="36"/>
      <c r="B200" s="38"/>
      <c r="C200" s="37"/>
      <c r="D200" s="37"/>
      <c r="E200" s="37"/>
      <c r="F200" s="37"/>
      <c r="G200" s="37"/>
      <c r="H200" s="37"/>
      <c r="I200" s="37"/>
      <c r="J200" s="37"/>
      <c r="K200" s="37"/>
      <c r="L200" s="38"/>
      <c r="M200" s="37"/>
      <c r="N200" s="37"/>
      <c r="O200" s="39"/>
      <c r="P200" s="61" t="str">
        <f t="shared" si="88"/>
        <v/>
      </c>
      <c r="Q200" s="61" t="str">
        <f t="shared" si="89"/>
        <v/>
      </c>
      <c r="R200" s="61" t="str">
        <f t="shared" si="90"/>
        <v/>
      </c>
      <c r="S200" s="61" t="str">
        <f t="shared" si="91"/>
        <v/>
      </c>
      <c r="T200" s="61" t="str">
        <f t="shared" si="92"/>
        <v/>
      </c>
      <c r="U200" s="61" t="str">
        <f t="shared" si="93"/>
        <v/>
      </c>
      <c r="V200" s="61" t="str">
        <f t="shared" si="94"/>
        <v/>
      </c>
      <c r="W200" s="61"/>
      <c r="X200" s="61" t="str">
        <f t="shared" si="95"/>
        <v/>
      </c>
      <c r="Y200" s="61" t="str">
        <f t="shared" si="96"/>
        <v/>
      </c>
      <c r="Z200" s="61" t="str">
        <f t="shared" si="97"/>
        <v/>
      </c>
      <c r="AA200" s="61" t="str">
        <f t="shared" si="98"/>
        <v/>
      </c>
      <c r="AB200" s="61" t="str">
        <f t="shared" si="99"/>
        <v/>
      </c>
      <c r="AC200" s="61" t="str">
        <f t="shared" si="100"/>
        <v/>
      </c>
      <c r="AD200" s="61" t="str">
        <f t="shared" si="101"/>
        <v/>
      </c>
    </row>
    <row r="201" spans="1:30" x14ac:dyDescent="0.25">
      <c r="A201" s="40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2"/>
      <c r="M201" s="41"/>
      <c r="N201" s="41"/>
      <c r="O201" s="43"/>
      <c r="P201" s="61" t="str">
        <f t="shared" si="88"/>
        <v/>
      </c>
      <c r="Q201" s="61" t="str">
        <f t="shared" si="89"/>
        <v/>
      </c>
      <c r="R201" s="61" t="str">
        <f t="shared" si="90"/>
        <v/>
      </c>
      <c r="S201" s="61" t="str">
        <f t="shared" si="91"/>
        <v/>
      </c>
      <c r="T201" s="61" t="str">
        <f t="shared" si="92"/>
        <v/>
      </c>
      <c r="U201" s="61" t="str">
        <f t="shared" si="93"/>
        <v/>
      </c>
      <c r="V201" s="61" t="str">
        <f t="shared" si="94"/>
        <v/>
      </c>
      <c r="W201" s="61"/>
      <c r="X201" s="61" t="str">
        <f t="shared" si="95"/>
        <v/>
      </c>
      <c r="Y201" s="61" t="str">
        <f t="shared" si="96"/>
        <v/>
      </c>
      <c r="Z201" s="61" t="str">
        <f t="shared" si="97"/>
        <v/>
      </c>
      <c r="AA201" s="61" t="str">
        <f t="shared" si="98"/>
        <v/>
      </c>
      <c r="AB201" s="61" t="str">
        <f t="shared" si="99"/>
        <v/>
      </c>
      <c r="AC201" s="61" t="str">
        <f t="shared" si="100"/>
        <v/>
      </c>
      <c r="AD201" s="61" t="str">
        <f t="shared" si="101"/>
        <v/>
      </c>
    </row>
    <row r="202" spans="1:30" x14ac:dyDescent="0.25">
      <c r="A202" s="36"/>
      <c r="B202" s="38"/>
      <c r="C202" s="37"/>
      <c r="D202" s="37"/>
      <c r="E202" s="37"/>
      <c r="F202" s="37"/>
      <c r="G202" s="37"/>
      <c r="H202" s="37"/>
      <c r="I202" s="37"/>
      <c r="J202" s="37"/>
      <c r="K202" s="37"/>
      <c r="L202" s="38"/>
      <c r="M202" s="37"/>
      <c r="N202" s="37"/>
      <c r="O202" s="39"/>
      <c r="P202" s="61" t="str">
        <f t="shared" si="88"/>
        <v/>
      </c>
      <c r="Q202" s="61" t="str">
        <f t="shared" si="89"/>
        <v/>
      </c>
      <c r="R202" s="61" t="str">
        <f t="shared" si="90"/>
        <v/>
      </c>
      <c r="S202" s="61" t="str">
        <f t="shared" si="91"/>
        <v/>
      </c>
      <c r="T202" s="61" t="str">
        <f t="shared" si="92"/>
        <v/>
      </c>
      <c r="U202" s="61" t="str">
        <f t="shared" si="93"/>
        <v/>
      </c>
      <c r="V202" s="61" t="str">
        <f t="shared" si="94"/>
        <v/>
      </c>
      <c r="W202" s="61"/>
      <c r="X202" s="61" t="str">
        <f t="shared" si="95"/>
        <v/>
      </c>
      <c r="Y202" s="61" t="str">
        <f t="shared" si="96"/>
        <v/>
      </c>
      <c r="Z202" s="61" t="str">
        <f t="shared" si="97"/>
        <v/>
      </c>
      <c r="AA202" s="61" t="str">
        <f t="shared" si="98"/>
        <v/>
      </c>
      <c r="AB202" s="61" t="str">
        <f t="shared" si="99"/>
        <v/>
      </c>
      <c r="AC202" s="61" t="str">
        <f t="shared" si="100"/>
        <v/>
      </c>
      <c r="AD202" s="61" t="str">
        <f t="shared" si="101"/>
        <v/>
      </c>
    </row>
    <row r="203" spans="1:30" x14ac:dyDescent="0.25">
      <c r="A203" s="40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2"/>
      <c r="M203" s="41"/>
      <c r="N203" s="41"/>
      <c r="O203" s="43"/>
      <c r="P203" s="61" t="str">
        <f t="shared" si="88"/>
        <v/>
      </c>
      <c r="Q203" s="61" t="str">
        <f t="shared" si="89"/>
        <v/>
      </c>
      <c r="R203" s="61" t="str">
        <f t="shared" si="90"/>
        <v/>
      </c>
      <c r="S203" s="61" t="str">
        <f t="shared" si="91"/>
        <v/>
      </c>
      <c r="T203" s="61" t="str">
        <f t="shared" si="92"/>
        <v/>
      </c>
      <c r="U203" s="61" t="str">
        <f t="shared" si="93"/>
        <v/>
      </c>
      <c r="V203" s="61" t="str">
        <f t="shared" si="94"/>
        <v/>
      </c>
      <c r="W203" s="61"/>
      <c r="X203" s="61" t="str">
        <f t="shared" si="95"/>
        <v/>
      </c>
      <c r="Y203" s="61" t="str">
        <f t="shared" si="96"/>
        <v/>
      </c>
      <c r="Z203" s="61" t="str">
        <f t="shared" si="97"/>
        <v/>
      </c>
      <c r="AA203" s="61" t="str">
        <f t="shared" si="98"/>
        <v/>
      </c>
      <c r="AB203" s="61" t="str">
        <f t="shared" si="99"/>
        <v/>
      </c>
      <c r="AC203" s="61" t="str">
        <f t="shared" si="100"/>
        <v/>
      </c>
      <c r="AD203" s="61" t="str">
        <f t="shared" si="101"/>
        <v/>
      </c>
    </row>
    <row r="204" spans="1:30" x14ac:dyDescent="0.25">
      <c r="A204" s="44"/>
      <c r="B204" s="46"/>
      <c r="C204" s="45"/>
      <c r="D204" s="45"/>
      <c r="E204" s="45"/>
      <c r="F204" s="45"/>
      <c r="G204" s="45"/>
      <c r="H204" s="45"/>
      <c r="I204" s="45"/>
      <c r="J204" s="45"/>
      <c r="K204" s="45"/>
      <c r="L204" s="46"/>
      <c r="M204" s="45"/>
      <c r="N204" s="45"/>
      <c r="O204" s="48"/>
      <c r="P204" s="61" t="str">
        <f t="shared" si="88"/>
        <v/>
      </c>
      <c r="Q204" s="61" t="str">
        <f t="shared" si="89"/>
        <v/>
      </c>
      <c r="R204" s="61" t="str">
        <f t="shared" si="90"/>
        <v/>
      </c>
      <c r="S204" s="61" t="str">
        <f t="shared" si="91"/>
        <v/>
      </c>
      <c r="T204" s="61" t="str">
        <f t="shared" si="92"/>
        <v/>
      </c>
      <c r="U204" s="61" t="str">
        <f t="shared" si="93"/>
        <v/>
      </c>
      <c r="V204" s="61" t="str">
        <f t="shared" si="94"/>
        <v/>
      </c>
      <c r="W204" s="61"/>
      <c r="X204" s="61" t="str">
        <f t="shared" si="95"/>
        <v/>
      </c>
      <c r="Y204" s="61" t="str">
        <f t="shared" si="96"/>
        <v/>
      </c>
      <c r="Z204" s="61" t="str">
        <f t="shared" si="97"/>
        <v/>
      </c>
      <c r="AA204" s="61" t="str">
        <f t="shared" si="98"/>
        <v/>
      </c>
      <c r="AB204" s="61" t="str">
        <f t="shared" si="99"/>
        <v/>
      </c>
      <c r="AC204" s="61" t="str">
        <f t="shared" si="100"/>
        <v/>
      </c>
      <c r="AD204" s="61" t="str">
        <f t="shared" si="101"/>
        <v/>
      </c>
    </row>
  </sheetData>
  <autoFilter ref="A4:O204" xr:uid="{00000000-0001-0000-0500-000000000000}"/>
  <mergeCells count="2">
    <mergeCell ref="A2:N2"/>
    <mergeCell ref="A1:N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'02_マスタ'!$A$5:$A$14</xm:f>
          </x14:formula1>
          <xm:sqref>H5:H204</xm:sqref>
        </x14:dataValidation>
        <x14:dataValidation type="list" allowBlank="1" xr:uid="{00000000-0002-0000-0500-000001000000}">
          <x14:formula1>
            <xm:f>'02_マスタ'!$C$5:$C$8</xm:f>
          </x14:formula1>
          <xm:sqref>I5:I204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G204"/>
  <sheetViews>
    <sheetView showGridLines="0" zoomScale="85" workbookViewId="0">
      <pane ySplit="4" topLeftCell="A5" activePane="bottomLeft" state="frozen"/>
      <selection sqref="A1:XFD1048576"/>
      <selection pane="bottomLeft" activeCell="D6" sqref="D6"/>
    </sheetView>
  </sheetViews>
  <sheetFormatPr defaultColWidth="8.75" defaultRowHeight="15.75" x14ac:dyDescent="0.25"/>
  <cols>
    <col min="1" max="1" width="12" style="1" customWidth="1"/>
    <col min="2" max="2" width="20" style="1" customWidth="1"/>
    <col min="3" max="3" width="14" style="1" customWidth="1"/>
    <col min="4" max="4" width="22" style="1" customWidth="1"/>
    <col min="5" max="5" width="30" style="1" customWidth="1"/>
    <col min="6" max="6" width="40" style="1" customWidth="1"/>
    <col min="7" max="7" width="10" style="1" customWidth="1"/>
    <col min="8" max="8" width="12" style="1" customWidth="1"/>
    <col min="9" max="9" width="20" style="1" customWidth="1"/>
    <col min="10" max="10" width="18" style="1" customWidth="1"/>
    <col min="11" max="13" width="12" style="1" customWidth="1"/>
    <col min="14" max="15" width="11" style="1" customWidth="1"/>
    <col min="16" max="16" width="12" style="1" customWidth="1"/>
    <col min="17" max="17" width="30" style="1" customWidth="1"/>
    <col min="18" max="18" width="20" style="1" customWidth="1"/>
    <col min="19" max="33" width="28.625" style="1" customWidth="1"/>
    <col min="34" max="16384" width="8.75" style="1"/>
  </cols>
  <sheetData>
    <row r="1" spans="1:33" ht="27.95" customHeight="1" x14ac:dyDescent="0.25">
      <c r="A1" s="71" t="e">
        <f>INDEX(_ゴミ箱_Backup!$B$117:$D$247,MATCH("KPI_TITLE",_ゴミ箱_Backup!$A$117:$A$247,0),MATCH(言語切替!$B$3,_ゴミ箱_Backup!$B$1:$D$1,0))</f>
        <v>#N/A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33" ht="27.95" customHeight="1" x14ac:dyDescent="0.25">
      <c r="A2" s="72" t="e">
        <f>INDEX(_ゴミ箱_Backup!$B$117:$D$247,MATCH("KPI_DESC",_ゴミ箱_Backup!$A$117:$A$247,0),MATCH(言語切替!$B$3,_ゴミ箱_Backup!$B$1:$D$1,0))</f>
        <v>#N/A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33" x14ac:dyDescent="0.25">
      <c r="A3" s="1" t="e">
        <f>INDEX([1]_翻訳マスタ!$B$2:$D$300,MATCH("PARA_HOWTO",[1]_翻訳マスタ!$A$2:$A$300,0),MATCH(言語切替!$B$3,[1]_翻訳マスタ!$B$1:$D$1,0))</f>
        <v>#N/A</v>
      </c>
    </row>
    <row r="4" spans="1:33" x14ac:dyDescent="0.25">
      <c r="A4" s="6" t="e">
        <f>INDEX(_ゴミ箱_Backup!$B$117:$D$247,MATCH("KPI_COL_ID",_ゴミ箱_Backup!$A$117:$A$247,0),MATCH(言語切替!$B$3,_ゴミ箱_Backup!$B$1:$D$1,0))</f>
        <v>#N/A</v>
      </c>
      <c r="B4" s="7" t="e">
        <f>INDEX(_ゴミ箱_Backup!$B$117:$D$247,MATCH("KPI_COL_WG",_ゴミ箱_Backup!$A$117:$A$247,0),MATCH(言語切替!$B$3,_ゴミ箱_Backup!$B$1:$D$1,0))</f>
        <v>#N/A</v>
      </c>
      <c r="C4" s="7" t="e">
        <f>INDEX(_ゴミ箱_Backup!$B$117:$D$247,MATCH("KPI_COL_LEVEL",_ゴミ箱_Backup!$A$117:$A$247,0),MATCH(言語切替!$B$3,_ゴミ箱_Backup!$B$1:$D$1,0))</f>
        <v>#N/A</v>
      </c>
      <c r="D4" s="7" t="e">
        <f>INDEX(_ゴミ箱_Backup!$B$117:$D$247,MATCH("KPI_COL_NAME",_ゴミ箱_Backup!$A$117:$A$247,0),MATCH(言語切替!$B$3,_ゴミ箱_Backup!$B$1:$D$1,0))</f>
        <v>#N/A</v>
      </c>
      <c r="E4" s="7" t="e">
        <f>INDEX(_ゴミ箱_Backup!$B$117:$D$247,MATCH("KPI_COL_PURPOSE",_ゴミ箱_Backup!$A$117:$A$247,0),MATCH(言語切替!$B$3,_ゴミ箱_Backup!$B$1:$D$1,0))</f>
        <v>#N/A</v>
      </c>
      <c r="F4" s="7" t="e">
        <f>INDEX(_ゴミ箱_Backup!$B$117:$D$247,MATCH("KPI_COL_FORMULA",_ゴミ箱_Backup!$A$117:$A$247,0),MATCH(言語切替!$B$3,_ゴミ箱_Backup!$B$1:$D$1,0))</f>
        <v>#N/A</v>
      </c>
      <c r="G4" s="7" t="e">
        <f>INDEX(_ゴミ箱_Backup!$B$117:$D$247,MATCH("KPI_COL_UNIT",_ゴミ箱_Backup!$A$117:$A$247,0),MATCH(言語切替!$B$3,_ゴミ箱_Backup!$B$1:$D$1,0))</f>
        <v>#N/A</v>
      </c>
      <c r="H4" s="7" t="e">
        <f>INDEX(_ゴミ箱_Backup!$B$117:$D$247,MATCH("KPI_COL_FREQ",_ゴミ箱_Backup!$A$117:$A$247,0),MATCH(言語切替!$B$3,_ゴミ箱_Backup!$B$1:$D$1,0))</f>
        <v>#N/A</v>
      </c>
      <c r="I4" s="7" t="e">
        <f>INDEX(_ゴミ箱_Backup!$B$117:$D$247,MATCH("KPI_COL_SOURCE",_ゴミ箱_Backup!$A$117:$A$247,0),MATCH(言語切替!$B$3,_ゴミ箱_Backup!$B$1:$D$1,0))</f>
        <v>#N/A</v>
      </c>
      <c r="J4" s="7" t="e">
        <f>INDEX(_ゴミ箱_Backup!$B$117:$D$247,MATCH("KPI_COL_OWNER",_ゴミ箱_Backup!$A$117:$A$247,0),MATCH(言語切替!$B$3,_ゴミ箱_Backup!$B$1:$D$1,0))</f>
        <v>#N/A</v>
      </c>
      <c r="K4" s="7" t="e">
        <f>INDEX(_ゴミ箱_Backup!$B$117:$D$247,MATCH("KPI_COL_BASE",_ゴミ箱_Backup!$A$117:$A$247,0),MATCH(言語切替!$B$3,_ゴミ箱_Backup!$B$1:$D$1,0))</f>
        <v>#N/A</v>
      </c>
      <c r="L4" s="7" t="e">
        <f>INDEX(_ゴミ箱_Backup!$B$117:$D$247,MATCH("KPI_COL_TARGET",_ゴミ箱_Backup!$A$117:$A$247,0),MATCH(言語切替!$B$3,_ゴミ箱_Backup!$B$1:$D$1,0))</f>
        <v>#N/A</v>
      </c>
      <c r="M4" s="7" t="e">
        <f>INDEX(_ゴミ箱_Backup!$B$117:$D$247,MATCH("KPI_COL_ACTUAL",_ゴミ箱_Backup!$A$117:$A$247,0),MATCH(言語切替!$B$3,_ゴミ箱_Backup!$B$1:$D$1,0))</f>
        <v>#N/A</v>
      </c>
      <c r="N4" s="7" t="e">
        <f>INDEX(_ゴミ箱_Backup!$B$117:$D$247,MATCH("KPI_COL_RATE",_ゴミ箱_Backup!$A$117:$A$247,0),MATCH(言語切替!$B$3,_ゴミ箱_Backup!$B$1:$D$1,0))</f>
        <v>#N/A</v>
      </c>
      <c r="O4" s="7" t="e">
        <f>INDEX(_ゴミ箱_Backup!$B$117:$D$247,MATCH("KPI_COL_JUDGE",_ゴミ箱_Backup!$A$117:$A$247,0),MATCH(言語切替!$B$3,_ゴミ箱_Backup!$B$1:$D$1,0))</f>
        <v>#N/A</v>
      </c>
      <c r="P4" s="7" t="e">
        <f>INDEX(_ゴミ箱_Backup!$B$117:$D$247,MATCH("KPI_COL_DATE",_ゴミ箱_Backup!$A$117:$A$247,0),MATCH(言語切替!$B$3,_ゴミ箱_Backup!$B$1:$D$1,0))</f>
        <v>#N/A</v>
      </c>
      <c r="Q4" s="7" t="e">
        <f>INDEX(_ゴミ箱_Backup!$B$117:$D$247,MATCH("KPI_COL_ACTION",_ゴミ箱_Backup!$A$117:$A$247,0),MATCH(言語切替!$B$3,_ゴミ箱_Backup!$B$1:$D$1,0))</f>
        <v>#N/A</v>
      </c>
      <c r="R4" s="8" t="e">
        <f>INDEX(_ゴミ箱_Backup!$B$117:$D$247,MATCH("KPI_COL_NOTE",_ゴミ箱_Backup!$A$117:$A$247,0),MATCH(言語切替!$B$3,_ゴミ箱_Backup!$B$1:$D$1,0))</f>
        <v>#N/A</v>
      </c>
      <c r="S4" s="60" t="e">
        <f>INDEX(_ゴミ箱_Backup!$B$2:$D$300,MATCH("KPI_COL_NAME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T4" s="60" t="e">
        <f>INDEX(_ゴミ箱_Backup!$B$2:$D$300,MATCH("KPI_COL_NAME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U4" s="60" t="e">
        <f>INDEX(_ゴミ箱_Backup!$B$2:$D$300,MATCH("KPI_COL_NAME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  <c r="V4" s="60" t="e">
        <f>INDEX(_ゴミ箱_Backup!$B$2:$D$300,MATCH("KPI_COL_PURPOSE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W4" s="60" t="e">
        <f>INDEX(_ゴミ箱_Backup!$B$2:$D$300,MATCH("KPI_COL_PURPOSE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X4" s="60" t="e">
        <f>INDEX(_ゴミ箱_Backup!$B$2:$D$300,MATCH("KPI_COL_PURPOSE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  <c r="Y4" s="60" t="e">
        <f>INDEX(_ゴミ箱_Backup!$B$2:$D$300,MATCH("KPI_COL_FORMULA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Z4" s="60" t="e">
        <f>INDEX(_ゴミ箱_Backup!$B$2:$D$300,MATCH("KPI_COL_FORMULA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AA4" s="60" t="e">
        <f>INDEX(_ゴミ箱_Backup!$B$2:$D$300,MATCH("KPI_COL_FORMULA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  <c r="AB4" s="60" t="e">
        <f>INDEX(_ゴミ箱_Backup!$B$2:$D$300,MATCH("KPI_COL_ACTION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AC4" s="60" t="e">
        <f>INDEX(_ゴミ箱_Backup!$B$2:$D$300,MATCH("KPI_COL_ACTION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AD4" s="60" t="e">
        <f>INDEX(_ゴミ箱_Backup!$B$2:$D$300,MATCH("KPI_COL_ACTION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  <c r="AE4" s="60" t="e">
        <f>INDEX(_ゴミ箱_Backup!$B$2:$D$300,MATCH("KPI_COL_NOTE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AF4" s="60" t="e">
        <f>INDEX(_ゴミ箱_Backup!$B$2:$D$300,MATCH("KPI_COL_NOTE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AG4" s="60" t="e">
        <f>INDEX(_ゴミ箱_Backup!$B$2:$D$300,MATCH("KPI_COL_NOTE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</row>
    <row r="5" spans="1:33" x14ac:dyDescent="0.25">
      <c r="A5" s="21" t="s">
        <v>190</v>
      </c>
      <c r="B5" s="22" t="e">
        <f>'02_マスタ'!$A$9</f>
        <v>#N/A</v>
      </c>
      <c r="C5" s="22" t="e">
        <f>'02_マスタ'!$K$5</f>
        <v>#N/A</v>
      </c>
      <c r="D5" s="22" t="e">
        <f>INDEX(_ゴミ箱_Backup!$B$117:$D$247,MATCH("KPI_EX1_NAME",_ゴミ箱_Backup!$A$117:$A$247,0),MATCH(言語切替!$B$3,_ゴミ箱_Backup!$B$1:$D$1,0))</f>
        <v>#N/A</v>
      </c>
      <c r="E5" s="22" t="e">
        <f>INDEX(_ゴミ箱_Backup!$B$117:$D$247,MATCH("KPI_EX1_PURPOSE",_ゴミ箱_Backup!$A$117:$A$247,0),MATCH(言語切替!$B$3,_ゴミ箱_Backup!$B$1:$D$1,0))</f>
        <v>#N/A</v>
      </c>
      <c r="F5" s="22" t="e">
        <f>INDEX(_ゴミ箱_Backup!$B$117:$D$247,MATCH("KPI_EX1_FORMULA",_ゴミ箱_Backup!$A$117:$A$247,0),MATCH(言語切替!$B$3,_ゴミ箱_Backup!$B$1:$D$1,0))</f>
        <v>#N/A</v>
      </c>
      <c r="G5" s="22" t="s">
        <v>194</v>
      </c>
      <c r="H5" s="22" t="e">
        <f>INDEX(_ゴミ箱_Backup!$B$117:$D$247,MATCH("KPI_FREQ_MONTH",_ゴミ箱_Backup!$A$117:$A$247,0),MATCH(言語切替!$B$3,_ゴミ箱_Backup!$B$1:$D$1,0))</f>
        <v>#N/A</v>
      </c>
      <c r="I5" s="22" t="s">
        <v>196</v>
      </c>
      <c r="J5" s="22" t="s">
        <v>112</v>
      </c>
      <c r="K5" s="22"/>
      <c r="L5" s="22"/>
      <c r="M5" s="22"/>
      <c r="N5" s="55" t="str">
        <f t="shared" ref="N5:N36" si="0">IF(OR(L5="",M5=""),"",IF(L5=0,"",M5/L5))</f>
        <v/>
      </c>
      <c r="O5" s="10" t="e">
        <f>IF(A5="","",IF(N5="",INDEX(_ゴミ箱_Backup!$B$89:$D$89,1,MATCH(言語切替!$B$3,_ゴミ箱_Backup!$B$1:$D$1,0)),IF(N5&gt;=1,INDEX(_ゴミ箱_Backup!$B$93:$D$93,1,MATCH(言語切替!$B$3,_ゴミ箱_Backup!$B$1:$D$1,0)),IF(N5&gt;=0.8,INDEX(_ゴミ箱_Backup!$B$91:$D$91,1,MATCH(言語切替!$B$3,_ゴミ箱_Backup!$B$1:$D$1,0)),INDEX(_ゴミ箱_Backup!$B$94:$D$94,1,MATCH(言語切替!$B$3,_ゴミ箱_Backup!$B$1:$D$1,0))))))</f>
        <v>#N/A</v>
      </c>
      <c r="P5" s="23"/>
      <c r="Q5" s="22" t="e">
        <f>INDEX(_ゴミ箱_Backup!$B$117:$D$247,MATCH("KPI_EX1_ACTION",_ゴミ箱_Backup!$A$117:$A$247,0),MATCH(言語切替!$B$3,_ゴミ箱_Backup!$B$1:$D$1,0))</f>
        <v>#N/A</v>
      </c>
      <c r="R5" s="25" t="e">
        <f>INDEX(_ゴミ箱_Backup!$B$117:$D$247,MATCH("COMMON_EXAMPLE",_ゴミ箱_Backup!$A$117:$A$247,0),MATCH(言語切替!$B$3,_ゴミ箱_Backup!$B$1:$D$1,0))</f>
        <v>#N/A</v>
      </c>
      <c r="S5" s="61" t="e">
        <f t="shared" ref="S5:S36" si="1">IF(D5="","",IFERROR(_xlfn.TRANSLATE(D5,,"ja"),""))</f>
        <v>#N/A</v>
      </c>
      <c r="T5" s="61" t="e">
        <f t="shared" ref="T5:T36" si="2">IF(D5="","",IFERROR(_xlfn.TRANSLATE(D5,,"zh-Hans"),""))</f>
        <v>#N/A</v>
      </c>
      <c r="U5" s="61" t="e">
        <f t="shared" ref="U5:U36" si="3">IF(D5="","",IFERROR(_xlfn.TRANSLATE(D5,,"vi"),""))</f>
        <v>#N/A</v>
      </c>
      <c r="V5" s="61" t="e">
        <f t="shared" ref="V5:V36" si="4">IF(E5="","",IFERROR(_xlfn.TRANSLATE(E5,,"ja"),""))</f>
        <v>#N/A</v>
      </c>
      <c r="W5" s="61" t="e">
        <f t="shared" ref="W5:W36" si="5">IF(E5="","",IFERROR(_xlfn.TRANSLATE(E5,,"zh-Hans"),""))</f>
        <v>#N/A</v>
      </c>
      <c r="X5" s="61" t="e">
        <f t="shared" ref="X5:X18" si="6">IF(E5="","",IFERROR(_xlfn.TRANSLATE(E5,,"vi"),""))</f>
        <v>#N/A</v>
      </c>
      <c r="Y5" s="61" t="e">
        <f t="shared" ref="Y5:Y36" si="7">IF(F5="","",IFERROR(_xlfn.TRANSLATE(F5,,"ja"),""))</f>
        <v>#N/A</v>
      </c>
      <c r="Z5" s="61" t="e">
        <f t="shared" ref="Z5:Z20" si="8">IF(F5="","",IFERROR(_xlfn.TRANSLATE(F5,,"zh-Hans"),""))</f>
        <v>#N/A</v>
      </c>
      <c r="AA5" s="61" t="e">
        <f t="shared" ref="AA5:AA36" si="9">IF(F5="","",IFERROR(_xlfn.TRANSLATE(F5,,"vi"),""))</f>
        <v>#N/A</v>
      </c>
      <c r="AB5" s="61" t="e">
        <f t="shared" ref="AB5:AB36" si="10">IF(Q5="","",IFERROR(_xlfn.TRANSLATE(Q5,,"ja"),""))</f>
        <v>#N/A</v>
      </c>
      <c r="AC5" s="61" t="e">
        <f t="shared" ref="AC5:AC36" si="11">IF(Q5="","",IFERROR(_xlfn.TRANSLATE(Q5,,"zh-Hans"),""))</f>
        <v>#N/A</v>
      </c>
      <c r="AD5" s="61" t="e">
        <f t="shared" ref="AD5:AD22" si="12">IF(Q5="","",IFERROR(_xlfn.TRANSLATE(Q5,,"vi"),""))</f>
        <v>#N/A</v>
      </c>
      <c r="AE5" s="61" t="e">
        <f t="shared" ref="AE5:AE36" si="13">IF(R5="","",IFERROR(_xlfn.TRANSLATE(R5,,"ja"),""))</f>
        <v>#N/A</v>
      </c>
      <c r="AF5" s="61" t="e">
        <f t="shared" ref="AF5:AF36" si="14">IF(R5="","",IFERROR(_xlfn.TRANSLATE(R5,,"zh-Hans"),""))</f>
        <v>#N/A</v>
      </c>
      <c r="AG5" s="61" t="e">
        <f t="shared" ref="AG5:AG36" si="15">IF(R5="","",IFERROR(_xlfn.TRANSLATE(R5,,"vi"),""))</f>
        <v>#N/A</v>
      </c>
    </row>
    <row r="6" spans="1:33" x14ac:dyDescent="0.25">
      <c r="A6" s="26" t="s">
        <v>198</v>
      </c>
      <c r="B6" s="27" t="e">
        <f>'02_マスタ'!$A$10</f>
        <v>#N/A</v>
      </c>
      <c r="C6" s="27" t="e">
        <f>'02_マスタ'!$K$6</f>
        <v>#N/A</v>
      </c>
      <c r="D6" s="27" t="e">
        <f>INDEX(_ゴミ箱_Backup!$B$117:$D$247,MATCH("KPI_EX2_NAME",_ゴミ箱_Backup!$A$117:$A$247,0),MATCH(言語切替!$B$3,_ゴミ箱_Backup!$B$1:$D$1,0))</f>
        <v>#N/A</v>
      </c>
      <c r="E6" s="27" t="e">
        <f>INDEX(_ゴミ箱_Backup!$B$117:$D$247,MATCH("KPI_EX2_PURPOSE",_ゴミ箱_Backup!$A$117:$A$247,0),MATCH(言語切替!$B$3,_ゴミ箱_Backup!$B$1:$D$1,0))</f>
        <v>#N/A</v>
      </c>
      <c r="F6" s="27" t="e">
        <f>INDEX(_ゴミ箱_Backup!$B$117:$D$247,MATCH("KPI_EX2_FORMULA",_ゴミ箱_Backup!$A$117:$A$247,0),MATCH(言語切替!$B$3,_ゴミ箱_Backup!$B$1:$D$1,0))</f>
        <v>#N/A</v>
      </c>
      <c r="G6" s="27" t="s">
        <v>194</v>
      </c>
      <c r="H6" s="27" t="e">
        <f>INDEX(_ゴミ箱_Backup!$B$117:$D$247,MATCH("KPI_FREQ_MONTH",_ゴミ箱_Backup!$A$117:$A$247,0),MATCH(言語切替!$B$3,_ゴミ箱_Backup!$B$1:$D$1,0))</f>
        <v>#N/A</v>
      </c>
      <c r="I6" s="27" t="s">
        <v>202</v>
      </c>
      <c r="J6" s="27" t="s">
        <v>112</v>
      </c>
      <c r="K6" s="27"/>
      <c r="L6" s="27"/>
      <c r="M6" s="27"/>
      <c r="N6" s="56" t="str">
        <f t="shared" si="0"/>
        <v/>
      </c>
      <c r="O6" s="13" t="e">
        <f>IF(A6="","",IF(N6="",INDEX(_ゴミ箱_Backup!$B$89:$D$89,1,MATCH(言語切替!$B$3,_ゴミ箱_Backup!$B$1:$D$1,0)),IF(N6&gt;=1,INDEX(_ゴミ箱_Backup!$B$93:$D$93,1,MATCH(言語切替!$B$3,_ゴミ箱_Backup!$B$1:$D$1,0)),IF(N6&gt;=0.8,INDEX(_ゴミ箱_Backup!$B$91:$D$91,1,MATCH(言語切替!$B$3,_ゴミ箱_Backup!$B$1:$D$1,0)),INDEX(_ゴミ箱_Backup!$B$94:$D$94,1,MATCH(言語切替!$B$3,_ゴミ箱_Backup!$B$1:$D$1,0))))))</f>
        <v>#N/A</v>
      </c>
      <c r="P6" s="28"/>
      <c r="Q6" s="27" t="e">
        <f>INDEX(_ゴミ箱_Backup!$B$117:$D$247,MATCH("KPI_EX2_ACTION",_ゴミ箱_Backup!$A$117:$A$247,0),MATCH(言語切替!$B$3,_ゴミ箱_Backup!$B$1:$D$1,0))</f>
        <v>#N/A</v>
      </c>
      <c r="R6" s="30" t="e">
        <f>INDEX(_ゴミ箱_Backup!$B$117:$D$247,MATCH("COMMON_EXAMPLE",_ゴミ箱_Backup!$A$117:$A$247,0),MATCH(言語切替!$B$3,_ゴミ箱_Backup!$B$1:$D$1,0))</f>
        <v>#N/A</v>
      </c>
      <c r="S6" s="61" t="e">
        <f t="shared" si="1"/>
        <v>#N/A</v>
      </c>
      <c r="T6" s="61" t="e">
        <f t="shared" si="2"/>
        <v>#N/A</v>
      </c>
      <c r="U6" s="61" t="e">
        <f t="shared" si="3"/>
        <v>#N/A</v>
      </c>
      <c r="V6" s="61" t="e">
        <f t="shared" si="4"/>
        <v>#N/A</v>
      </c>
      <c r="W6" s="61" t="e">
        <f t="shared" si="5"/>
        <v>#N/A</v>
      </c>
      <c r="X6" s="61" t="e">
        <f t="shared" si="6"/>
        <v>#N/A</v>
      </c>
      <c r="Y6" s="61" t="e">
        <f t="shared" si="7"/>
        <v>#N/A</v>
      </c>
      <c r="Z6" s="61" t="e">
        <f t="shared" si="8"/>
        <v>#N/A</v>
      </c>
      <c r="AA6" s="61" t="e">
        <f t="shared" si="9"/>
        <v>#N/A</v>
      </c>
      <c r="AB6" s="61" t="e">
        <f t="shared" si="10"/>
        <v>#N/A</v>
      </c>
      <c r="AC6" s="61" t="e">
        <f t="shared" si="11"/>
        <v>#N/A</v>
      </c>
      <c r="AD6" s="61" t="e">
        <f t="shared" si="12"/>
        <v>#N/A</v>
      </c>
      <c r="AE6" s="61" t="e">
        <f t="shared" si="13"/>
        <v>#N/A</v>
      </c>
      <c r="AF6" s="61" t="e">
        <f t="shared" si="14"/>
        <v>#N/A</v>
      </c>
      <c r="AG6" s="61" t="e">
        <f t="shared" si="15"/>
        <v>#N/A</v>
      </c>
    </row>
    <row r="7" spans="1:33" x14ac:dyDescent="0.25">
      <c r="A7" s="31" t="s">
        <v>204</v>
      </c>
      <c r="B7" s="32" t="e">
        <f>'02_マスタ'!$A$12</f>
        <v>#N/A</v>
      </c>
      <c r="C7" s="32" t="e">
        <f>'02_マスタ'!$K$7</f>
        <v>#N/A</v>
      </c>
      <c r="D7" s="32" t="e">
        <f>INDEX(_ゴミ箱_Backup!$B$117:$D$247,MATCH("KPI_EX3_NAME",_ゴミ箱_Backup!$A$117:$A$247,0),MATCH(言語切替!$B$3,_ゴミ箱_Backup!$B$1:$D$1,0))</f>
        <v>#N/A</v>
      </c>
      <c r="E7" s="32" t="e">
        <f>INDEX(_ゴミ箱_Backup!$B$117:$D$247,MATCH("KPI_EX3_PURPOSE",_ゴミ箱_Backup!$A$117:$A$247,0),MATCH(言語切替!$B$3,_ゴミ箱_Backup!$B$1:$D$1,0))</f>
        <v>#N/A</v>
      </c>
      <c r="F7" s="32" t="e">
        <f>INDEX(_ゴミ箱_Backup!$B$117:$D$247,MATCH("KPI_EX3_FORMULA",_ゴミ箱_Backup!$A$117:$A$247,0),MATCH(言語切替!$B$3,_ゴミ箱_Backup!$B$1:$D$1,0))</f>
        <v>#N/A</v>
      </c>
      <c r="G7" s="32" t="e">
        <f>INDEX(_ゴミ箱_Backup!$B$117:$D$247,MATCH("KPI_UNIT_TIME",_ゴミ箱_Backup!$A$117:$A$247,0),MATCH(言語切替!$B$3,_ゴミ箱_Backup!$B$1:$D$1,0))</f>
        <v>#N/A</v>
      </c>
      <c r="H7" s="32" t="e">
        <f>INDEX(_ゴミ箱_Backup!$B$117:$D$247,MATCH("KPI_FREQ_MONTH",_ゴミ箱_Backup!$A$117:$A$247,0),MATCH(言語切替!$B$3,_ゴミ箱_Backup!$B$1:$D$1,0))</f>
        <v>#N/A</v>
      </c>
      <c r="I7" s="32" t="e">
        <f>INDEX(_ゴミ箱_Backup!$B$117:$D$247,MATCH("KPI_SRC_ACTUAL",_ゴミ箱_Backup!$A$117:$A$247,0),MATCH(言語切替!$B$3,_ゴミ箱_Backup!$B$1:$D$1,0))</f>
        <v>#N/A</v>
      </c>
      <c r="J7" s="32" t="s">
        <v>112</v>
      </c>
      <c r="K7" s="32"/>
      <c r="L7" s="32"/>
      <c r="M7" s="32"/>
      <c r="N7" s="57" t="str">
        <f t="shared" si="0"/>
        <v/>
      </c>
      <c r="O7" s="16" t="e">
        <f>IF(A7="","",IF(N7="",INDEX(_ゴミ箱_Backup!$B$89:$D$89,1,MATCH(言語切替!$B$3,_ゴミ箱_Backup!$B$1:$D$1,0)),IF(N7&gt;=1,INDEX(_ゴミ箱_Backup!$B$93:$D$93,1,MATCH(言語切替!$B$3,_ゴミ箱_Backup!$B$1:$D$1,0)),IF(N7&gt;=0.8,INDEX(_ゴミ箱_Backup!$B$91:$D$91,1,MATCH(言語切替!$B$3,_ゴミ箱_Backup!$B$1:$D$1,0)),INDEX(_ゴミ箱_Backup!$B$94:$D$94,1,MATCH(言語切替!$B$3,_ゴミ箱_Backup!$B$1:$D$1,0))))))</f>
        <v>#N/A</v>
      </c>
      <c r="P7" s="33"/>
      <c r="Q7" s="32" t="e">
        <f>INDEX(_ゴミ箱_Backup!$B$117:$D$247,MATCH("KPI_EX3_ACTION",_ゴミ箱_Backup!$A$117:$A$247,0),MATCH(言語切替!$B$3,_ゴミ箱_Backup!$B$1:$D$1,0))</f>
        <v>#N/A</v>
      </c>
      <c r="R7" s="35" t="e">
        <f>INDEX(_ゴミ箱_Backup!$B$117:$D$247,MATCH("COMMON_EXAMPLE",_ゴミ箱_Backup!$A$117:$A$247,0),MATCH(言語切替!$B$3,_ゴミ箱_Backup!$B$1:$D$1,0))</f>
        <v>#N/A</v>
      </c>
      <c r="S7" s="61" t="e">
        <f t="shared" si="1"/>
        <v>#N/A</v>
      </c>
      <c r="T7" s="61" t="e">
        <f t="shared" si="2"/>
        <v>#N/A</v>
      </c>
      <c r="U7" s="61" t="e">
        <f t="shared" si="3"/>
        <v>#N/A</v>
      </c>
      <c r="V7" s="61" t="e">
        <f t="shared" si="4"/>
        <v>#N/A</v>
      </c>
      <c r="W7" s="61" t="e">
        <f t="shared" si="5"/>
        <v>#N/A</v>
      </c>
      <c r="X7" s="61" t="e">
        <f t="shared" si="6"/>
        <v>#N/A</v>
      </c>
      <c r="Y7" s="61" t="e">
        <f t="shared" si="7"/>
        <v>#N/A</v>
      </c>
      <c r="Z7" s="61" t="e">
        <f t="shared" si="8"/>
        <v>#N/A</v>
      </c>
      <c r="AA7" s="61" t="e">
        <f t="shared" si="9"/>
        <v>#N/A</v>
      </c>
      <c r="AB7" s="61" t="e">
        <f t="shared" si="10"/>
        <v>#N/A</v>
      </c>
      <c r="AC7" s="61" t="e">
        <f t="shared" si="11"/>
        <v>#N/A</v>
      </c>
      <c r="AD7" s="61" t="e">
        <f t="shared" si="12"/>
        <v>#N/A</v>
      </c>
      <c r="AE7" s="61" t="e">
        <f t="shared" si="13"/>
        <v>#N/A</v>
      </c>
      <c r="AF7" s="61" t="e">
        <f t="shared" si="14"/>
        <v>#N/A</v>
      </c>
      <c r="AG7" s="61" t="e">
        <f t="shared" si="15"/>
        <v>#N/A</v>
      </c>
    </row>
    <row r="8" spans="1:33" x14ac:dyDescent="0.25">
      <c r="A8" s="26" t="s">
        <v>211</v>
      </c>
      <c r="B8" s="27" t="e">
        <f>'02_マスタ'!$A$5</f>
        <v>#N/A</v>
      </c>
      <c r="C8" s="27" t="e">
        <f>'02_マスタ'!$K$8</f>
        <v>#N/A</v>
      </c>
      <c r="D8" s="27" t="e">
        <f>INDEX(_ゴミ箱_Backup!$B$117:$D$247,MATCH("KPI_EX4_NAME",_ゴミ箱_Backup!$A$117:$A$247,0),MATCH(言語切替!$B$3,_ゴミ箱_Backup!$B$1:$D$1,0))</f>
        <v>#N/A</v>
      </c>
      <c r="E8" s="27" t="e">
        <f>INDEX(_ゴミ箱_Backup!$B$117:$D$247,MATCH("KPI_EX4_PURPOSE",_ゴミ箱_Backup!$A$117:$A$247,0),MATCH(言語切替!$B$3,_ゴミ箱_Backup!$B$1:$D$1,0))</f>
        <v>#N/A</v>
      </c>
      <c r="F8" s="27" t="e">
        <f>INDEX(_ゴミ箱_Backup!$B$117:$D$247,MATCH("KPI_EX4_FORMULA",_ゴミ箱_Backup!$A$117:$A$247,0),MATCH(言語切替!$B$3,_ゴミ箱_Backup!$B$1:$D$1,0))</f>
        <v>#N/A</v>
      </c>
      <c r="G8" s="27" t="e">
        <f>INDEX(_ゴミ箱_Backup!$B$117:$D$247,MATCH("KPI_UNIT_MONEY",_ゴミ箱_Backup!$A$117:$A$247,0),MATCH(言語切替!$B$3,_ゴミ箱_Backup!$B$1:$D$1,0))</f>
        <v>#N/A</v>
      </c>
      <c r="H8" s="27" t="e">
        <f>INDEX(_ゴミ箱_Backup!$B$117:$D$247,MATCH("KPI_FREQ_QUARTER",_ゴミ箱_Backup!$A$117:$A$247,0),MATCH(言語切替!$B$3,_ゴミ箱_Backup!$B$1:$D$1,0))</f>
        <v>#N/A</v>
      </c>
      <c r="I8" s="27" t="e">
        <f>INDEX(_ゴミ箱_Backup!$B$117:$D$247,MATCH("KPI_SRC_WG_SUM",_ゴミ箱_Backup!$A$117:$A$247,0),MATCH(言語切替!$B$3,_ゴミ箱_Backup!$B$1:$D$1,0))</f>
        <v>#N/A</v>
      </c>
      <c r="J8" s="27" t="e">
        <f>INDEX(_ゴミ箱_Backup!$B$117:$D$247,MATCH("ROLE_PMO",_ゴミ箱_Backup!$A$117:$A$247,0),MATCH(言語切替!$B$3,_ゴミ箱_Backup!$B$1:$D$1,0))</f>
        <v>#N/A</v>
      </c>
      <c r="K8" s="27"/>
      <c r="L8" s="27"/>
      <c r="M8" s="27"/>
      <c r="N8" s="56" t="str">
        <f t="shared" si="0"/>
        <v/>
      </c>
      <c r="O8" s="13" t="e">
        <f>IF(A8="","",IF(N8="",INDEX(_ゴミ箱_Backup!$B$89:$D$89,1,MATCH(言語切替!$B$3,_ゴミ箱_Backup!$B$1:$D$1,0)),IF(N8&gt;=1,INDEX(_ゴミ箱_Backup!$B$93:$D$93,1,MATCH(言語切替!$B$3,_ゴミ箱_Backup!$B$1:$D$1,0)),IF(N8&gt;=0.8,INDEX(_ゴミ箱_Backup!$B$91:$D$91,1,MATCH(言語切替!$B$3,_ゴミ箱_Backup!$B$1:$D$1,0)),INDEX(_ゴミ箱_Backup!$B$94:$D$94,1,MATCH(言語切替!$B$3,_ゴミ箱_Backup!$B$1:$D$1,0))))))</f>
        <v>#N/A</v>
      </c>
      <c r="P8" s="28"/>
      <c r="Q8" s="27" t="e">
        <f>INDEX(_ゴミ箱_Backup!$B$117:$D$247,MATCH("KPI_EX4_ACTION",_ゴミ箱_Backup!$A$117:$A$247,0),MATCH(言語切替!$B$3,_ゴミ箱_Backup!$B$1:$D$1,0))</f>
        <v>#N/A</v>
      </c>
      <c r="R8" s="30" t="e">
        <f>INDEX(_ゴミ箱_Backup!$B$117:$D$247,MATCH("COMMON_EXAMPLE",_ゴミ箱_Backup!$A$117:$A$247,0),MATCH(言語切替!$B$3,_ゴミ箱_Backup!$B$1:$D$1,0))</f>
        <v>#N/A</v>
      </c>
      <c r="S8" s="61" t="e">
        <f t="shared" si="1"/>
        <v>#N/A</v>
      </c>
      <c r="T8" s="61" t="e">
        <f t="shared" si="2"/>
        <v>#N/A</v>
      </c>
      <c r="U8" s="61" t="e">
        <f t="shared" si="3"/>
        <v>#N/A</v>
      </c>
      <c r="V8" s="61" t="e">
        <f t="shared" si="4"/>
        <v>#N/A</v>
      </c>
      <c r="W8" s="61" t="e">
        <f t="shared" si="5"/>
        <v>#N/A</v>
      </c>
      <c r="X8" s="61" t="e">
        <f t="shared" si="6"/>
        <v>#N/A</v>
      </c>
      <c r="Y8" s="61" t="e">
        <f t="shared" si="7"/>
        <v>#N/A</v>
      </c>
      <c r="Z8" s="61" t="e">
        <f t="shared" si="8"/>
        <v>#N/A</v>
      </c>
      <c r="AA8" s="61" t="e">
        <f t="shared" si="9"/>
        <v>#N/A</v>
      </c>
      <c r="AB8" s="61" t="e">
        <f t="shared" si="10"/>
        <v>#N/A</v>
      </c>
      <c r="AC8" s="61" t="e">
        <f t="shared" si="11"/>
        <v>#N/A</v>
      </c>
      <c r="AD8" s="61" t="e">
        <f t="shared" si="12"/>
        <v>#N/A</v>
      </c>
      <c r="AE8" s="61" t="e">
        <f t="shared" si="13"/>
        <v>#N/A</v>
      </c>
      <c r="AF8" s="61" t="e">
        <f t="shared" si="14"/>
        <v>#N/A</v>
      </c>
      <c r="AG8" s="61" t="e">
        <f t="shared" si="15"/>
        <v>#N/A</v>
      </c>
    </row>
    <row r="9" spans="1:33" x14ac:dyDescent="0.25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57" t="str">
        <f t="shared" si="0"/>
        <v/>
      </c>
      <c r="O9" s="16" t="str">
        <f>IF(A9="","",IF(N9="",INDEX(_ゴミ箱_Backup!$B$89:$D$89,1,MATCH(言語切替!$B$3,_ゴミ箱_Backup!$B$1:$D$1,0)),IF(N9&gt;=1,INDEX(_ゴミ箱_Backup!$B$93:$D$93,1,MATCH(言語切替!$B$3,_ゴミ箱_Backup!$B$1:$D$1,0)),IF(N9&gt;=0.8,INDEX(_ゴミ箱_Backup!$B$91:$D$91,1,MATCH(言語切替!$B$3,_ゴミ箱_Backup!$B$1:$D$1,0)),INDEX(_ゴミ箱_Backup!$B$94:$D$94,1,MATCH(言語切替!$B$3,_ゴミ箱_Backup!$B$1:$D$1,0))))))</f>
        <v/>
      </c>
      <c r="P9" s="42"/>
      <c r="Q9" s="41"/>
      <c r="R9" s="43"/>
      <c r="S9" s="61" t="str">
        <f t="shared" si="1"/>
        <v/>
      </c>
      <c r="T9" s="61" t="str">
        <f t="shared" si="2"/>
        <v/>
      </c>
      <c r="U9" s="61" t="str">
        <f t="shared" si="3"/>
        <v/>
      </c>
      <c r="V9" s="61" t="str">
        <f t="shared" si="4"/>
        <v/>
      </c>
      <c r="W9" s="61" t="str">
        <f t="shared" si="5"/>
        <v/>
      </c>
      <c r="X9" s="61" t="str">
        <f t="shared" si="6"/>
        <v/>
      </c>
      <c r="Y9" s="61" t="str">
        <f t="shared" si="7"/>
        <v/>
      </c>
      <c r="Z9" s="61" t="str">
        <f t="shared" si="8"/>
        <v/>
      </c>
      <c r="AA9" s="61" t="str">
        <f t="shared" si="9"/>
        <v/>
      </c>
      <c r="AB9" s="61" t="str">
        <f t="shared" si="10"/>
        <v/>
      </c>
      <c r="AC9" s="61" t="str">
        <f t="shared" si="11"/>
        <v/>
      </c>
      <c r="AD9" s="61" t="str">
        <f t="shared" si="12"/>
        <v/>
      </c>
      <c r="AE9" s="61" t="str">
        <f t="shared" si="13"/>
        <v/>
      </c>
      <c r="AF9" s="61" t="str">
        <f t="shared" si="14"/>
        <v/>
      </c>
      <c r="AG9" s="61" t="str">
        <f t="shared" si="15"/>
        <v/>
      </c>
    </row>
    <row r="10" spans="1:33" x14ac:dyDescent="0.25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6" t="str">
        <f t="shared" si="0"/>
        <v/>
      </c>
      <c r="O10" s="13" t="str">
        <f>IF(A10="","",IF(N10="",INDEX(_ゴミ箱_Backup!$B$89:$D$89,1,MATCH(言語切替!$B$3,_ゴミ箱_Backup!$B$1:$D$1,0)),IF(N10&gt;=1,INDEX(_ゴミ箱_Backup!$B$93:$D$93,1,MATCH(言語切替!$B$3,_ゴミ箱_Backup!$B$1:$D$1,0)),IF(N10&gt;=0.8,INDEX(_ゴミ箱_Backup!$B$91:$D$91,1,MATCH(言語切替!$B$3,_ゴミ箱_Backup!$B$1:$D$1,0)),INDEX(_ゴミ箱_Backup!$B$94:$D$94,1,MATCH(言語切替!$B$3,_ゴミ箱_Backup!$B$1:$D$1,0))))))</f>
        <v/>
      </c>
      <c r="P10" s="38"/>
      <c r="Q10" s="37"/>
      <c r="R10" s="39"/>
      <c r="S10" s="61" t="str">
        <f t="shared" si="1"/>
        <v/>
      </c>
      <c r="T10" s="61" t="str">
        <f t="shared" si="2"/>
        <v/>
      </c>
      <c r="U10" s="61" t="str">
        <f t="shared" si="3"/>
        <v/>
      </c>
      <c r="V10" s="61" t="str">
        <f t="shared" si="4"/>
        <v/>
      </c>
      <c r="W10" s="61" t="str">
        <f t="shared" si="5"/>
        <v/>
      </c>
      <c r="X10" s="61" t="str">
        <f t="shared" si="6"/>
        <v/>
      </c>
      <c r="Y10" s="61" t="str">
        <f t="shared" si="7"/>
        <v/>
      </c>
      <c r="Z10" s="61" t="str">
        <f t="shared" si="8"/>
        <v/>
      </c>
      <c r="AA10" s="61" t="str">
        <f t="shared" si="9"/>
        <v/>
      </c>
      <c r="AB10" s="61" t="str">
        <f t="shared" si="10"/>
        <v/>
      </c>
      <c r="AC10" s="61" t="str">
        <f t="shared" si="11"/>
        <v/>
      </c>
      <c r="AD10" s="61" t="str">
        <f t="shared" si="12"/>
        <v/>
      </c>
      <c r="AE10" s="61" t="str">
        <f t="shared" si="13"/>
        <v/>
      </c>
      <c r="AF10" s="61" t="str">
        <f t="shared" si="14"/>
        <v/>
      </c>
      <c r="AG10" s="61" t="str">
        <f t="shared" si="15"/>
        <v/>
      </c>
    </row>
    <row r="11" spans="1:33" x14ac:dyDescent="0.25">
      <c r="A11" s="40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57" t="str">
        <f t="shared" si="0"/>
        <v/>
      </c>
      <c r="O11" s="16" t="str">
        <f>IF(A11="","",IF(N11="",INDEX(_ゴミ箱_Backup!$B$89:$D$89,1,MATCH(言語切替!$B$3,_ゴミ箱_Backup!$B$1:$D$1,0)),IF(N11&gt;=1,INDEX(_ゴミ箱_Backup!$B$93:$D$93,1,MATCH(言語切替!$B$3,_ゴミ箱_Backup!$B$1:$D$1,0)),IF(N11&gt;=0.8,INDEX(_ゴミ箱_Backup!$B$91:$D$91,1,MATCH(言語切替!$B$3,_ゴミ箱_Backup!$B$1:$D$1,0)),INDEX(_ゴミ箱_Backup!$B$94:$D$94,1,MATCH(言語切替!$B$3,_ゴミ箱_Backup!$B$1:$D$1,0))))))</f>
        <v/>
      </c>
      <c r="P11" s="42"/>
      <c r="Q11" s="41"/>
      <c r="R11" s="43"/>
      <c r="S11" s="61" t="str">
        <f t="shared" si="1"/>
        <v/>
      </c>
      <c r="T11" s="61" t="str">
        <f t="shared" si="2"/>
        <v/>
      </c>
      <c r="U11" s="61" t="str">
        <f t="shared" si="3"/>
        <v/>
      </c>
      <c r="V11" s="61" t="str">
        <f t="shared" si="4"/>
        <v/>
      </c>
      <c r="W11" s="61" t="str">
        <f t="shared" si="5"/>
        <v/>
      </c>
      <c r="X11" s="61" t="str">
        <f t="shared" si="6"/>
        <v/>
      </c>
      <c r="Y11" s="61" t="str">
        <f t="shared" si="7"/>
        <v/>
      </c>
      <c r="Z11" s="61" t="str">
        <f t="shared" si="8"/>
        <v/>
      </c>
      <c r="AA11" s="61" t="str">
        <f t="shared" si="9"/>
        <v/>
      </c>
      <c r="AB11" s="61" t="str">
        <f t="shared" si="10"/>
        <v/>
      </c>
      <c r="AC11" s="61" t="str">
        <f t="shared" si="11"/>
        <v/>
      </c>
      <c r="AD11" s="61" t="str">
        <f t="shared" si="12"/>
        <v/>
      </c>
      <c r="AE11" s="61" t="str">
        <f t="shared" si="13"/>
        <v/>
      </c>
      <c r="AF11" s="61" t="str">
        <f t="shared" si="14"/>
        <v/>
      </c>
      <c r="AG11" s="61" t="str">
        <f t="shared" si="15"/>
        <v/>
      </c>
    </row>
    <row r="12" spans="1:33" x14ac:dyDescent="0.25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56" t="str">
        <f t="shared" si="0"/>
        <v/>
      </c>
      <c r="O12" s="13" t="str">
        <f>IF(A12="","",IF(N12="",INDEX(_ゴミ箱_Backup!$B$89:$D$89,1,MATCH(言語切替!$B$3,_ゴミ箱_Backup!$B$1:$D$1,0)),IF(N12&gt;=1,INDEX(_ゴミ箱_Backup!$B$93:$D$93,1,MATCH(言語切替!$B$3,_ゴミ箱_Backup!$B$1:$D$1,0)),IF(N12&gt;=0.8,INDEX(_ゴミ箱_Backup!$B$91:$D$91,1,MATCH(言語切替!$B$3,_ゴミ箱_Backup!$B$1:$D$1,0)),INDEX(_ゴミ箱_Backup!$B$94:$D$94,1,MATCH(言語切替!$B$3,_ゴミ箱_Backup!$B$1:$D$1,0))))))</f>
        <v/>
      </c>
      <c r="P12" s="38"/>
      <c r="Q12" s="37"/>
      <c r="R12" s="39"/>
      <c r="S12" s="61" t="str">
        <f t="shared" si="1"/>
        <v/>
      </c>
      <c r="T12" s="61" t="str">
        <f t="shared" si="2"/>
        <v/>
      </c>
      <c r="U12" s="61" t="str">
        <f t="shared" si="3"/>
        <v/>
      </c>
      <c r="V12" s="61" t="str">
        <f t="shared" si="4"/>
        <v/>
      </c>
      <c r="W12" s="61" t="str">
        <f t="shared" si="5"/>
        <v/>
      </c>
      <c r="X12" s="61" t="str">
        <f t="shared" si="6"/>
        <v/>
      </c>
      <c r="Y12" s="61" t="str">
        <f t="shared" si="7"/>
        <v/>
      </c>
      <c r="Z12" s="61" t="str">
        <f t="shared" si="8"/>
        <v/>
      </c>
      <c r="AA12" s="61" t="str">
        <f t="shared" si="9"/>
        <v/>
      </c>
      <c r="AB12" s="61" t="str">
        <f t="shared" si="10"/>
        <v/>
      </c>
      <c r="AC12" s="61" t="str">
        <f t="shared" si="11"/>
        <v/>
      </c>
      <c r="AD12" s="61" t="str">
        <f t="shared" si="12"/>
        <v/>
      </c>
      <c r="AE12" s="61" t="str">
        <f t="shared" si="13"/>
        <v/>
      </c>
      <c r="AF12" s="61" t="str">
        <f t="shared" si="14"/>
        <v/>
      </c>
      <c r="AG12" s="61" t="str">
        <f t="shared" si="15"/>
        <v/>
      </c>
    </row>
    <row r="13" spans="1:33" x14ac:dyDescent="0.25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57" t="str">
        <f t="shared" si="0"/>
        <v/>
      </c>
      <c r="O13" s="16" t="str">
        <f>IF(A13="","",IF(N13="",INDEX(_ゴミ箱_Backup!$B$89:$D$89,1,MATCH(言語切替!$B$3,_ゴミ箱_Backup!$B$1:$D$1,0)),IF(N13&gt;=1,INDEX(_ゴミ箱_Backup!$B$93:$D$93,1,MATCH(言語切替!$B$3,_ゴミ箱_Backup!$B$1:$D$1,0)),IF(N13&gt;=0.8,INDEX(_ゴミ箱_Backup!$B$91:$D$91,1,MATCH(言語切替!$B$3,_ゴミ箱_Backup!$B$1:$D$1,0)),INDEX(_ゴミ箱_Backup!$B$94:$D$94,1,MATCH(言語切替!$B$3,_ゴミ箱_Backup!$B$1:$D$1,0))))))</f>
        <v/>
      </c>
      <c r="P13" s="42"/>
      <c r="Q13" s="41"/>
      <c r="R13" s="43"/>
      <c r="S13" s="61" t="str">
        <f t="shared" si="1"/>
        <v/>
      </c>
      <c r="T13" s="61" t="str">
        <f t="shared" si="2"/>
        <v/>
      </c>
      <c r="U13" s="61" t="str">
        <f t="shared" si="3"/>
        <v/>
      </c>
      <c r="V13" s="61" t="str">
        <f t="shared" si="4"/>
        <v/>
      </c>
      <c r="W13" s="61" t="str">
        <f t="shared" si="5"/>
        <v/>
      </c>
      <c r="X13" s="61" t="str">
        <f t="shared" si="6"/>
        <v/>
      </c>
      <c r="Y13" s="61" t="str">
        <f t="shared" si="7"/>
        <v/>
      </c>
      <c r="Z13" s="61" t="str">
        <f t="shared" si="8"/>
        <v/>
      </c>
      <c r="AA13" s="61" t="str">
        <f t="shared" si="9"/>
        <v/>
      </c>
      <c r="AB13" s="61" t="str">
        <f t="shared" si="10"/>
        <v/>
      </c>
      <c r="AC13" s="61" t="str">
        <f t="shared" si="11"/>
        <v/>
      </c>
      <c r="AD13" s="61" t="str">
        <f t="shared" si="12"/>
        <v/>
      </c>
      <c r="AE13" s="61" t="str">
        <f t="shared" si="13"/>
        <v/>
      </c>
      <c r="AF13" s="61" t="str">
        <f t="shared" si="14"/>
        <v/>
      </c>
      <c r="AG13" s="61" t="str">
        <f t="shared" si="15"/>
        <v/>
      </c>
    </row>
    <row r="14" spans="1:33" x14ac:dyDescent="0.25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56" t="str">
        <f t="shared" si="0"/>
        <v/>
      </c>
      <c r="O14" s="13" t="str">
        <f>IF(A14="","",IF(N14="",INDEX(_ゴミ箱_Backup!$B$89:$D$89,1,MATCH(言語切替!$B$3,_ゴミ箱_Backup!$B$1:$D$1,0)),IF(N14&gt;=1,INDEX(_ゴミ箱_Backup!$B$93:$D$93,1,MATCH(言語切替!$B$3,_ゴミ箱_Backup!$B$1:$D$1,0)),IF(N14&gt;=0.8,INDEX(_ゴミ箱_Backup!$B$91:$D$91,1,MATCH(言語切替!$B$3,_ゴミ箱_Backup!$B$1:$D$1,0)),INDEX(_ゴミ箱_Backup!$B$94:$D$94,1,MATCH(言語切替!$B$3,_ゴミ箱_Backup!$B$1:$D$1,0))))))</f>
        <v/>
      </c>
      <c r="P14" s="38"/>
      <c r="Q14" s="37"/>
      <c r="R14" s="39"/>
      <c r="S14" s="61" t="str">
        <f t="shared" si="1"/>
        <v/>
      </c>
      <c r="T14" s="61" t="str">
        <f t="shared" si="2"/>
        <v/>
      </c>
      <c r="U14" s="61" t="str">
        <f t="shared" si="3"/>
        <v/>
      </c>
      <c r="V14" s="61" t="str">
        <f t="shared" si="4"/>
        <v/>
      </c>
      <c r="W14" s="61" t="str">
        <f t="shared" si="5"/>
        <v/>
      </c>
      <c r="X14" s="61" t="str">
        <f t="shared" si="6"/>
        <v/>
      </c>
      <c r="Y14" s="61" t="str">
        <f t="shared" si="7"/>
        <v/>
      </c>
      <c r="Z14" s="61" t="str">
        <f t="shared" si="8"/>
        <v/>
      </c>
      <c r="AA14" s="61" t="str">
        <f t="shared" si="9"/>
        <v/>
      </c>
      <c r="AB14" s="61" t="str">
        <f t="shared" si="10"/>
        <v/>
      </c>
      <c r="AC14" s="61" t="str">
        <f t="shared" si="11"/>
        <v/>
      </c>
      <c r="AD14" s="61" t="str">
        <f t="shared" si="12"/>
        <v/>
      </c>
      <c r="AE14" s="61" t="str">
        <f t="shared" si="13"/>
        <v/>
      </c>
      <c r="AF14" s="61" t="str">
        <f t="shared" si="14"/>
        <v/>
      </c>
      <c r="AG14" s="61" t="str">
        <f t="shared" si="15"/>
        <v/>
      </c>
    </row>
    <row r="15" spans="1:33" x14ac:dyDescent="0.25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57" t="str">
        <f t="shared" si="0"/>
        <v/>
      </c>
      <c r="O15" s="16" t="str">
        <f>IF(A15="","",IF(N15="",INDEX(_ゴミ箱_Backup!$B$89:$D$89,1,MATCH(言語切替!$B$3,_ゴミ箱_Backup!$B$1:$D$1,0)),IF(N15&gt;=1,INDEX(_ゴミ箱_Backup!$B$93:$D$93,1,MATCH(言語切替!$B$3,_ゴミ箱_Backup!$B$1:$D$1,0)),IF(N15&gt;=0.8,INDEX(_ゴミ箱_Backup!$B$91:$D$91,1,MATCH(言語切替!$B$3,_ゴミ箱_Backup!$B$1:$D$1,0)),INDEX(_ゴミ箱_Backup!$B$94:$D$94,1,MATCH(言語切替!$B$3,_ゴミ箱_Backup!$B$1:$D$1,0))))))</f>
        <v/>
      </c>
      <c r="P15" s="42"/>
      <c r="Q15" s="41"/>
      <c r="R15" s="43"/>
      <c r="S15" s="61" t="str">
        <f t="shared" si="1"/>
        <v/>
      </c>
      <c r="T15" s="61" t="str">
        <f t="shared" si="2"/>
        <v/>
      </c>
      <c r="U15" s="61" t="str">
        <f t="shared" si="3"/>
        <v/>
      </c>
      <c r="V15" s="61" t="str">
        <f t="shared" si="4"/>
        <v/>
      </c>
      <c r="W15" s="61" t="str">
        <f t="shared" si="5"/>
        <v/>
      </c>
      <c r="X15" s="61" t="str">
        <f t="shared" si="6"/>
        <v/>
      </c>
      <c r="Y15" s="61" t="str">
        <f t="shared" si="7"/>
        <v/>
      </c>
      <c r="Z15" s="61" t="str">
        <f t="shared" si="8"/>
        <v/>
      </c>
      <c r="AA15" s="61" t="str">
        <f t="shared" si="9"/>
        <v/>
      </c>
      <c r="AB15" s="61" t="str">
        <f t="shared" si="10"/>
        <v/>
      </c>
      <c r="AC15" s="61" t="str">
        <f t="shared" si="11"/>
        <v/>
      </c>
      <c r="AD15" s="61" t="str">
        <f t="shared" si="12"/>
        <v/>
      </c>
      <c r="AE15" s="61" t="str">
        <f t="shared" si="13"/>
        <v/>
      </c>
      <c r="AF15" s="61" t="str">
        <f t="shared" si="14"/>
        <v/>
      </c>
      <c r="AG15" s="61" t="str">
        <f t="shared" si="15"/>
        <v/>
      </c>
    </row>
    <row r="16" spans="1:33" x14ac:dyDescent="0.25">
      <c r="A16" s="36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56" t="str">
        <f t="shared" si="0"/>
        <v/>
      </c>
      <c r="O16" s="13" t="str">
        <f>IF(A16="","",IF(N16="",INDEX(_ゴミ箱_Backup!$B$89:$D$89,1,MATCH(言語切替!$B$3,_ゴミ箱_Backup!$B$1:$D$1,0)),IF(N16&gt;=1,INDEX(_ゴミ箱_Backup!$B$93:$D$93,1,MATCH(言語切替!$B$3,_ゴミ箱_Backup!$B$1:$D$1,0)),IF(N16&gt;=0.8,INDEX(_ゴミ箱_Backup!$B$91:$D$91,1,MATCH(言語切替!$B$3,_ゴミ箱_Backup!$B$1:$D$1,0)),INDEX(_ゴミ箱_Backup!$B$94:$D$94,1,MATCH(言語切替!$B$3,_ゴミ箱_Backup!$B$1:$D$1,0))))))</f>
        <v/>
      </c>
      <c r="P16" s="38"/>
      <c r="Q16" s="37"/>
      <c r="R16" s="39"/>
      <c r="S16" s="61" t="str">
        <f t="shared" si="1"/>
        <v/>
      </c>
      <c r="T16" s="61" t="str">
        <f t="shared" si="2"/>
        <v/>
      </c>
      <c r="U16" s="61" t="str">
        <f t="shared" si="3"/>
        <v/>
      </c>
      <c r="V16" s="61" t="str">
        <f t="shared" si="4"/>
        <v/>
      </c>
      <c r="W16" s="61" t="str">
        <f t="shared" si="5"/>
        <v/>
      </c>
      <c r="X16" s="61" t="str">
        <f t="shared" si="6"/>
        <v/>
      </c>
      <c r="Y16" s="61" t="str">
        <f t="shared" si="7"/>
        <v/>
      </c>
      <c r="Z16" s="61" t="str">
        <f t="shared" si="8"/>
        <v/>
      </c>
      <c r="AA16" s="61" t="str">
        <f t="shared" si="9"/>
        <v/>
      </c>
      <c r="AB16" s="61" t="str">
        <f t="shared" si="10"/>
        <v/>
      </c>
      <c r="AC16" s="61" t="str">
        <f t="shared" si="11"/>
        <v/>
      </c>
      <c r="AD16" s="61" t="str">
        <f t="shared" si="12"/>
        <v/>
      </c>
      <c r="AE16" s="61" t="str">
        <f t="shared" si="13"/>
        <v/>
      </c>
      <c r="AF16" s="61" t="str">
        <f t="shared" si="14"/>
        <v/>
      </c>
      <c r="AG16" s="61" t="str">
        <f t="shared" si="15"/>
        <v/>
      </c>
    </row>
    <row r="17" spans="1:33" x14ac:dyDescent="0.25">
      <c r="A17" s="4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57" t="str">
        <f t="shared" si="0"/>
        <v/>
      </c>
      <c r="O17" s="16" t="str">
        <f>IF(A17="","",IF(N17="",INDEX(_ゴミ箱_Backup!$B$89:$D$89,1,MATCH(言語切替!$B$3,_ゴミ箱_Backup!$B$1:$D$1,0)),IF(N17&gt;=1,INDEX(_ゴミ箱_Backup!$B$93:$D$93,1,MATCH(言語切替!$B$3,_ゴミ箱_Backup!$B$1:$D$1,0)),IF(N17&gt;=0.8,INDEX(_ゴミ箱_Backup!$B$91:$D$91,1,MATCH(言語切替!$B$3,_ゴミ箱_Backup!$B$1:$D$1,0)),INDEX(_ゴミ箱_Backup!$B$94:$D$94,1,MATCH(言語切替!$B$3,_ゴミ箱_Backup!$B$1:$D$1,0))))))</f>
        <v/>
      </c>
      <c r="P17" s="42"/>
      <c r="Q17" s="41"/>
      <c r="R17" s="43"/>
      <c r="S17" s="61" t="str">
        <f t="shared" si="1"/>
        <v/>
      </c>
      <c r="T17" s="61" t="str">
        <f t="shared" si="2"/>
        <v/>
      </c>
      <c r="U17" s="61" t="str">
        <f t="shared" si="3"/>
        <v/>
      </c>
      <c r="V17" s="61" t="str">
        <f t="shared" si="4"/>
        <v/>
      </c>
      <c r="W17" s="61" t="str">
        <f t="shared" si="5"/>
        <v/>
      </c>
      <c r="X17" s="61" t="str">
        <f t="shared" si="6"/>
        <v/>
      </c>
      <c r="Y17" s="61" t="str">
        <f t="shared" si="7"/>
        <v/>
      </c>
      <c r="Z17" s="61" t="str">
        <f t="shared" si="8"/>
        <v/>
      </c>
      <c r="AA17" s="61" t="str">
        <f t="shared" si="9"/>
        <v/>
      </c>
      <c r="AB17" s="61" t="str">
        <f t="shared" si="10"/>
        <v/>
      </c>
      <c r="AC17" s="61" t="str">
        <f t="shared" si="11"/>
        <v/>
      </c>
      <c r="AD17" s="61" t="str">
        <f t="shared" si="12"/>
        <v/>
      </c>
      <c r="AE17" s="61" t="str">
        <f t="shared" si="13"/>
        <v/>
      </c>
      <c r="AF17" s="61" t="str">
        <f t="shared" si="14"/>
        <v/>
      </c>
      <c r="AG17" s="61" t="str">
        <f t="shared" si="15"/>
        <v/>
      </c>
    </row>
    <row r="18" spans="1:33" x14ac:dyDescent="0.25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56" t="str">
        <f t="shared" si="0"/>
        <v/>
      </c>
      <c r="O18" s="13" t="str">
        <f>IF(A18="","",IF(N18="",INDEX(_ゴミ箱_Backup!$B$89:$D$89,1,MATCH(言語切替!$B$3,_ゴミ箱_Backup!$B$1:$D$1,0)),IF(N18&gt;=1,INDEX(_ゴミ箱_Backup!$B$93:$D$93,1,MATCH(言語切替!$B$3,_ゴミ箱_Backup!$B$1:$D$1,0)),IF(N18&gt;=0.8,INDEX(_ゴミ箱_Backup!$B$91:$D$91,1,MATCH(言語切替!$B$3,_ゴミ箱_Backup!$B$1:$D$1,0)),INDEX(_ゴミ箱_Backup!$B$94:$D$94,1,MATCH(言語切替!$B$3,_ゴミ箱_Backup!$B$1:$D$1,0))))))</f>
        <v/>
      </c>
      <c r="P18" s="38"/>
      <c r="Q18" s="37"/>
      <c r="R18" s="39"/>
      <c r="S18" s="61" t="str">
        <f t="shared" si="1"/>
        <v/>
      </c>
      <c r="T18" s="61" t="str">
        <f t="shared" si="2"/>
        <v/>
      </c>
      <c r="U18" s="61" t="str">
        <f t="shared" si="3"/>
        <v/>
      </c>
      <c r="V18" s="61" t="str">
        <f t="shared" si="4"/>
        <v/>
      </c>
      <c r="W18" s="61" t="str">
        <f t="shared" si="5"/>
        <v/>
      </c>
      <c r="X18" s="61" t="str">
        <f t="shared" si="6"/>
        <v/>
      </c>
      <c r="Y18" s="61" t="str">
        <f t="shared" si="7"/>
        <v/>
      </c>
      <c r="Z18" s="61" t="str">
        <f t="shared" si="8"/>
        <v/>
      </c>
      <c r="AA18" s="61" t="str">
        <f t="shared" si="9"/>
        <v/>
      </c>
      <c r="AB18" s="61" t="str">
        <f t="shared" si="10"/>
        <v/>
      </c>
      <c r="AC18" s="61" t="str">
        <f t="shared" si="11"/>
        <v/>
      </c>
      <c r="AD18" s="61" t="str">
        <f t="shared" si="12"/>
        <v/>
      </c>
      <c r="AE18" s="61" t="str">
        <f t="shared" si="13"/>
        <v/>
      </c>
      <c r="AF18" s="61" t="str">
        <f t="shared" si="14"/>
        <v/>
      </c>
      <c r="AG18" s="61" t="str">
        <f t="shared" si="15"/>
        <v/>
      </c>
    </row>
    <row r="19" spans="1:33" x14ac:dyDescent="0.25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57" t="str">
        <f t="shared" si="0"/>
        <v/>
      </c>
      <c r="O19" s="16" t="str">
        <f>IF(A19="","",IF(N19="",INDEX(_ゴミ箱_Backup!$B$89:$D$89,1,MATCH(言語切替!$B$3,_ゴミ箱_Backup!$B$1:$D$1,0)),IF(N19&gt;=1,INDEX(_ゴミ箱_Backup!$B$93:$D$93,1,MATCH(言語切替!$B$3,_ゴミ箱_Backup!$B$1:$D$1,0)),IF(N19&gt;=0.8,INDEX(_ゴミ箱_Backup!$B$91:$D$91,1,MATCH(言語切替!$B$3,_ゴミ箱_Backup!$B$1:$D$1,0)),INDEX(_ゴミ箱_Backup!$B$94:$D$94,1,MATCH(言語切替!$B$3,_ゴミ箱_Backup!$B$1:$D$1,0))))))</f>
        <v/>
      </c>
      <c r="P19" s="42"/>
      <c r="Q19" s="41"/>
      <c r="R19" s="43"/>
      <c r="S19" s="61" t="str">
        <f t="shared" si="1"/>
        <v/>
      </c>
      <c r="T19" s="61" t="str">
        <f t="shared" si="2"/>
        <v/>
      </c>
      <c r="U19" s="61" t="str">
        <f t="shared" si="3"/>
        <v/>
      </c>
      <c r="V19" s="61" t="str">
        <f t="shared" si="4"/>
        <v/>
      </c>
      <c r="W19" s="61" t="str">
        <f t="shared" si="5"/>
        <v/>
      </c>
      <c r="X19" s="61"/>
      <c r="Y19" s="61" t="str">
        <f t="shared" si="7"/>
        <v/>
      </c>
      <c r="Z19" s="61" t="str">
        <f t="shared" si="8"/>
        <v/>
      </c>
      <c r="AA19" s="61" t="str">
        <f t="shared" si="9"/>
        <v/>
      </c>
      <c r="AB19" s="61" t="str">
        <f t="shared" si="10"/>
        <v/>
      </c>
      <c r="AC19" s="61" t="str">
        <f t="shared" si="11"/>
        <v/>
      </c>
      <c r="AD19" s="61" t="str">
        <f t="shared" si="12"/>
        <v/>
      </c>
      <c r="AE19" s="61" t="str">
        <f t="shared" si="13"/>
        <v/>
      </c>
      <c r="AF19" s="61" t="str">
        <f t="shared" si="14"/>
        <v/>
      </c>
      <c r="AG19" s="61" t="str">
        <f t="shared" si="15"/>
        <v/>
      </c>
    </row>
    <row r="20" spans="1:33" x14ac:dyDescent="0.25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56" t="str">
        <f t="shared" si="0"/>
        <v/>
      </c>
      <c r="O20" s="13" t="str">
        <f>IF(A20="","",IF(N20="",INDEX(_ゴミ箱_Backup!$B$89:$D$89,1,MATCH(言語切替!$B$3,_ゴミ箱_Backup!$B$1:$D$1,0)),IF(N20&gt;=1,INDEX(_ゴミ箱_Backup!$B$93:$D$93,1,MATCH(言語切替!$B$3,_ゴミ箱_Backup!$B$1:$D$1,0)),IF(N20&gt;=0.8,INDEX(_ゴミ箱_Backup!$B$91:$D$91,1,MATCH(言語切替!$B$3,_ゴミ箱_Backup!$B$1:$D$1,0)),INDEX(_ゴミ箱_Backup!$B$94:$D$94,1,MATCH(言語切替!$B$3,_ゴミ箱_Backup!$B$1:$D$1,0))))))</f>
        <v/>
      </c>
      <c r="P20" s="38"/>
      <c r="Q20" s="37"/>
      <c r="R20" s="39"/>
      <c r="S20" s="61" t="str">
        <f t="shared" si="1"/>
        <v/>
      </c>
      <c r="T20" s="61" t="str">
        <f t="shared" si="2"/>
        <v/>
      </c>
      <c r="U20" s="61" t="str">
        <f t="shared" si="3"/>
        <v/>
      </c>
      <c r="V20" s="61" t="str">
        <f t="shared" si="4"/>
        <v/>
      </c>
      <c r="W20" s="61" t="str">
        <f t="shared" si="5"/>
        <v/>
      </c>
      <c r="X20" s="61"/>
      <c r="Y20" s="61" t="str">
        <f t="shared" si="7"/>
        <v/>
      </c>
      <c r="Z20" s="61" t="str">
        <f t="shared" si="8"/>
        <v/>
      </c>
      <c r="AA20" s="61" t="str">
        <f t="shared" si="9"/>
        <v/>
      </c>
      <c r="AB20" s="61" t="str">
        <f t="shared" si="10"/>
        <v/>
      </c>
      <c r="AC20" s="61" t="str">
        <f t="shared" si="11"/>
        <v/>
      </c>
      <c r="AD20" s="61" t="str">
        <f t="shared" si="12"/>
        <v/>
      </c>
      <c r="AE20" s="61" t="str">
        <f t="shared" si="13"/>
        <v/>
      </c>
      <c r="AF20" s="61" t="str">
        <f t="shared" si="14"/>
        <v/>
      </c>
      <c r="AG20" s="61" t="str">
        <f t="shared" si="15"/>
        <v/>
      </c>
    </row>
    <row r="21" spans="1:33" x14ac:dyDescent="0.25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57" t="str">
        <f t="shared" si="0"/>
        <v/>
      </c>
      <c r="O21" s="16" t="str">
        <f>IF(A21="","",IF(N21="",INDEX(_ゴミ箱_Backup!$B$89:$D$89,1,MATCH(言語切替!$B$3,_ゴミ箱_Backup!$B$1:$D$1,0)),IF(N21&gt;=1,INDEX(_ゴミ箱_Backup!$B$93:$D$93,1,MATCH(言語切替!$B$3,_ゴミ箱_Backup!$B$1:$D$1,0)),IF(N21&gt;=0.8,INDEX(_ゴミ箱_Backup!$B$91:$D$91,1,MATCH(言語切替!$B$3,_ゴミ箱_Backup!$B$1:$D$1,0)),INDEX(_ゴミ箱_Backup!$B$94:$D$94,1,MATCH(言語切替!$B$3,_ゴミ箱_Backup!$B$1:$D$1,0))))))</f>
        <v/>
      </c>
      <c r="P21" s="42"/>
      <c r="Q21" s="41"/>
      <c r="R21" s="43"/>
      <c r="S21" s="61" t="str">
        <f t="shared" si="1"/>
        <v/>
      </c>
      <c r="T21" s="61" t="str">
        <f t="shared" si="2"/>
        <v/>
      </c>
      <c r="U21" s="61" t="str">
        <f t="shared" si="3"/>
        <v/>
      </c>
      <c r="V21" s="61" t="str">
        <f t="shared" si="4"/>
        <v/>
      </c>
      <c r="W21" s="61" t="str">
        <f t="shared" si="5"/>
        <v/>
      </c>
      <c r="X21" s="61"/>
      <c r="Y21" s="61" t="str">
        <f t="shared" si="7"/>
        <v/>
      </c>
      <c r="Z21" s="61"/>
      <c r="AA21" s="61" t="str">
        <f t="shared" si="9"/>
        <v/>
      </c>
      <c r="AB21" s="61" t="str">
        <f t="shared" si="10"/>
        <v/>
      </c>
      <c r="AC21" s="61" t="str">
        <f t="shared" si="11"/>
        <v/>
      </c>
      <c r="AD21" s="61" t="str">
        <f t="shared" si="12"/>
        <v/>
      </c>
      <c r="AE21" s="61" t="str">
        <f t="shared" si="13"/>
        <v/>
      </c>
      <c r="AF21" s="61" t="str">
        <f t="shared" si="14"/>
        <v/>
      </c>
      <c r="AG21" s="61" t="str">
        <f t="shared" si="15"/>
        <v/>
      </c>
    </row>
    <row r="22" spans="1:33" x14ac:dyDescent="0.25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56" t="str">
        <f t="shared" si="0"/>
        <v/>
      </c>
      <c r="O22" s="13" t="str">
        <f>IF(A22="","",IF(N22="",INDEX(_ゴミ箱_Backup!$B$89:$D$89,1,MATCH(言語切替!$B$3,_ゴミ箱_Backup!$B$1:$D$1,0)),IF(N22&gt;=1,INDEX(_ゴミ箱_Backup!$B$93:$D$93,1,MATCH(言語切替!$B$3,_ゴミ箱_Backup!$B$1:$D$1,0)),IF(N22&gt;=0.8,INDEX(_ゴミ箱_Backup!$B$91:$D$91,1,MATCH(言語切替!$B$3,_ゴミ箱_Backup!$B$1:$D$1,0)),INDEX(_ゴミ箱_Backup!$B$94:$D$94,1,MATCH(言語切替!$B$3,_ゴミ箱_Backup!$B$1:$D$1,0))))))</f>
        <v/>
      </c>
      <c r="P22" s="38"/>
      <c r="Q22" s="37"/>
      <c r="R22" s="39"/>
      <c r="S22" s="61" t="str">
        <f t="shared" si="1"/>
        <v/>
      </c>
      <c r="T22" s="61" t="str">
        <f t="shared" si="2"/>
        <v/>
      </c>
      <c r="U22" s="61" t="str">
        <f t="shared" si="3"/>
        <v/>
      </c>
      <c r="V22" s="61" t="str">
        <f t="shared" si="4"/>
        <v/>
      </c>
      <c r="W22" s="61" t="str">
        <f t="shared" si="5"/>
        <v/>
      </c>
      <c r="X22" s="61"/>
      <c r="Y22" s="61" t="str">
        <f t="shared" si="7"/>
        <v/>
      </c>
      <c r="Z22" s="61"/>
      <c r="AA22" s="61" t="str">
        <f t="shared" si="9"/>
        <v/>
      </c>
      <c r="AB22" s="61" t="str">
        <f t="shared" si="10"/>
        <v/>
      </c>
      <c r="AC22" s="61" t="str">
        <f t="shared" si="11"/>
        <v/>
      </c>
      <c r="AD22" s="61" t="str">
        <f t="shared" si="12"/>
        <v/>
      </c>
      <c r="AE22" s="61" t="str">
        <f t="shared" si="13"/>
        <v/>
      </c>
      <c r="AF22" s="61" t="str">
        <f t="shared" si="14"/>
        <v/>
      </c>
      <c r="AG22" s="61" t="str">
        <f t="shared" si="15"/>
        <v/>
      </c>
    </row>
    <row r="23" spans="1:33" x14ac:dyDescent="0.25">
      <c r="A23" s="40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57" t="str">
        <f t="shared" si="0"/>
        <v/>
      </c>
      <c r="O23" s="16" t="str">
        <f>IF(A23="","",IF(N23="",INDEX(_ゴミ箱_Backup!$B$89:$D$89,1,MATCH(言語切替!$B$3,_ゴミ箱_Backup!$B$1:$D$1,0)),IF(N23&gt;=1,INDEX(_ゴミ箱_Backup!$B$93:$D$93,1,MATCH(言語切替!$B$3,_ゴミ箱_Backup!$B$1:$D$1,0)),IF(N23&gt;=0.8,INDEX(_ゴミ箱_Backup!$B$91:$D$91,1,MATCH(言語切替!$B$3,_ゴミ箱_Backup!$B$1:$D$1,0)),INDEX(_ゴミ箱_Backup!$B$94:$D$94,1,MATCH(言語切替!$B$3,_ゴミ箱_Backup!$B$1:$D$1,0))))))</f>
        <v/>
      </c>
      <c r="P23" s="42"/>
      <c r="Q23" s="41"/>
      <c r="R23" s="43"/>
      <c r="S23" s="61" t="str">
        <f t="shared" si="1"/>
        <v/>
      </c>
      <c r="T23" s="61" t="str">
        <f t="shared" si="2"/>
        <v/>
      </c>
      <c r="U23" s="61" t="str">
        <f t="shared" si="3"/>
        <v/>
      </c>
      <c r="V23" s="61" t="str">
        <f t="shared" si="4"/>
        <v/>
      </c>
      <c r="W23" s="61" t="str">
        <f t="shared" si="5"/>
        <v/>
      </c>
      <c r="X23" s="61"/>
      <c r="Y23" s="61" t="str">
        <f t="shared" si="7"/>
        <v/>
      </c>
      <c r="Z23" s="61"/>
      <c r="AA23" s="61" t="str">
        <f t="shared" si="9"/>
        <v/>
      </c>
      <c r="AB23" s="61" t="str">
        <f t="shared" si="10"/>
        <v/>
      </c>
      <c r="AC23" s="61" t="str">
        <f t="shared" si="11"/>
        <v/>
      </c>
      <c r="AD23" s="61"/>
      <c r="AE23" s="61" t="str">
        <f t="shared" si="13"/>
        <v/>
      </c>
      <c r="AF23" s="61" t="str">
        <f t="shared" si="14"/>
        <v/>
      </c>
      <c r="AG23" s="61" t="str">
        <f t="shared" si="15"/>
        <v/>
      </c>
    </row>
    <row r="24" spans="1:33" x14ac:dyDescent="0.25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56" t="str">
        <f t="shared" si="0"/>
        <v/>
      </c>
      <c r="O24" s="13" t="str">
        <f>IF(A24="","",IF(N24="",INDEX(_ゴミ箱_Backup!$B$89:$D$89,1,MATCH(言語切替!$B$3,_ゴミ箱_Backup!$B$1:$D$1,0)),IF(N24&gt;=1,INDEX(_ゴミ箱_Backup!$B$93:$D$93,1,MATCH(言語切替!$B$3,_ゴミ箱_Backup!$B$1:$D$1,0)),IF(N24&gt;=0.8,INDEX(_ゴミ箱_Backup!$B$91:$D$91,1,MATCH(言語切替!$B$3,_ゴミ箱_Backup!$B$1:$D$1,0)),INDEX(_ゴミ箱_Backup!$B$94:$D$94,1,MATCH(言語切替!$B$3,_ゴミ箱_Backup!$B$1:$D$1,0))))))</f>
        <v/>
      </c>
      <c r="P24" s="38"/>
      <c r="Q24" s="37"/>
      <c r="R24" s="39"/>
      <c r="S24" s="61" t="str">
        <f t="shared" si="1"/>
        <v/>
      </c>
      <c r="T24" s="61" t="str">
        <f t="shared" si="2"/>
        <v/>
      </c>
      <c r="U24" s="61" t="str">
        <f t="shared" si="3"/>
        <v/>
      </c>
      <c r="V24" s="61" t="str">
        <f t="shared" si="4"/>
        <v/>
      </c>
      <c r="W24" s="61" t="str">
        <f t="shared" si="5"/>
        <v/>
      </c>
      <c r="X24" s="61"/>
      <c r="Y24" s="61" t="str">
        <f t="shared" si="7"/>
        <v/>
      </c>
      <c r="Z24" s="61"/>
      <c r="AA24" s="61" t="str">
        <f t="shared" si="9"/>
        <v/>
      </c>
      <c r="AB24" s="61" t="str">
        <f t="shared" si="10"/>
        <v/>
      </c>
      <c r="AC24" s="61" t="str">
        <f t="shared" si="11"/>
        <v/>
      </c>
      <c r="AD24" s="61"/>
      <c r="AE24" s="61" t="str">
        <f t="shared" si="13"/>
        <v/>
      </c>
      <c r="AF24" s="61" t="str">
        <f t="shared" si="14"/>
        <v/>
      </c>
      <c r="AG24" s="61" t="str">
        <f t="shared" si="15"/>
        <v/>
      </c>
    </row>
    <row r="25" spans="1:33" x14ac:dyDescent="0.25">
      <c r="A25" s="40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57" t="str">
        <f t="shared" si="0"/>
        <v/>
      </c>
      <c r="O25" s="16" t="str">
        <f>IF(A25="","",IF(N25="",INDEX(_ゴミ箱_Backup!$B$89:$D$89,1,MATCH(言語切替!$B$3,_ゴミ箱_Backup!$B$1:$D$1,0)),IF(N25&gt;=1,INDEX(_ゴミ箱_Backup!$B$93:$D$93,1,MATCH(言語切替!$B$3,_ゴミ箱_Backup!$B$1:$D$1,0)),IF(N25&gt;=0.8,INDEX(_ゴミ箱_Backup!$B$91:$D$91,1,MATCH(言語切替!$B$3,_ゴミ箱_Backup!$B$1:$D$1,0)),INDEX(_ゴミ箱_Backup!$B$94:$D$94,1,MATCH(言語切替!$B$3,_ゴミ箱_Backup!$B$1:$D$1,0))))))</f>
        <v/>
      </c>
      <c r="P25" s="42"/>
      <c r="Q25" s="41"/>
      <c r="R25" s="43"/>
      <c r="S25" s="61" t="str">
        <f t="shared" si="1"/>
        <v/>
      </c>
      <c r="T25" s="61" t="str">
        <f t="shared" si="2"/>
        <v/>
      </c>
      <c r="U25" s="61" t="str">
        <f t="shared" si="3"/>
        <v/>
      </c>
      <c r="V25" s="61" t="str">
        <f t="shared" si="4"/>
        <v/>
      </c>
      <c r="W25" s="61" t="str">
        <f t="shared" si="5"/>
        <v/>
      </c>
      <c r="X25" s="61"/>
      <c r="Y25" s="61" t="str">
        <f t="shared" si="7"/>
        <v/>
      </c>
      <c r="Z25" s="61"/>
      <c r="AA25" s="61" t="str">
        <f t="shared" si="9"/>
        <v/>
      </c>
      <c r="AB25" s="61" t="str">
        <f t="shared" si="10"/>
        <v/>
      </c>
      <c r="AC25" s="61" t="str">
        <f t="shared" si="11"/>
        <v/>
      </c>
      <c r="AD25" s="61"/>
      <c r="AE25" s="61" t="str">
        <f t="shared" si="13"/>
        <v/>
      </c>
      <c r="AF25" s="61" t="str">
        <f t="shared" si="14"/>
        <v/>
      </c>
      <c r="AG25" s="61" t="str">
        <f t="shared" si="15"/>
        <v/>
      </c>
    </row>
    <row r="26" spans="1:33" x14ac:dyDescent="0.25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56" t="str">
        <f t="shared" si="0"/>
        <v/>
      </c>
      <c r="O26" s="13" t="str">
        <f>IF(A26="","",IF(N26="",INDEX(_ゴミ箱_Backup!$B$89:$D$89,1,MATCH(言語切替!$B$3,_ゴミ箱_Backup!$B$1:$D$1,0)),IF(N26&gt;=1,INDEX(_ゴミ箱_Backup!$B$93:$D$93,1,MATCH(言語切替!$B$3,_ゴミ箱_Backup!$B$1:$D$1,0)),IF(N26&gt;=0.8,INDEX(_ゴミ箱_Backup!$B$91:$D$91,1,MATCH(言語切替!$B$3,_ゴミ箱_Backup!$B$1:$D$1,0)),INDEX(_ゴミ箱_Backup!$B$94:$D$94,1,MATCH(言語切替!$B$3,_ゴミ箱_Backup!$B$1:$D$1,0))))))</f>
        <v/>
      </c>
      <c r="P26" s="38"/>
      <c r="Q26" s="37"/>
      <c r="R26" s="39"/>
      <c r="S26" s="61" t="str">
        <f t="shared" si="1"/>
        <v/>
      </c>
      <c r="T26" s="61" t="str">
        <f t="shared" si="2"/>
        <v/>
      </c>
      <c r="U26" s="61" t="str">
        <f t="shared" si="3"/>
        <v/>
      </c>
      <c r="V26" s="61" t="str">
        <f t="shared" si="4"/>
        <v/>
      </c>
      <c r="W26" s="61" t="str">
        <f t="shared" si="5"/>
        <v/>
      </c>
      <c r="X26" s="61"/>
      <c r="Y26" s="61" t="str">
        <f t="shared" si="7"/>
        <v/>
      </c>
      <c r="Z26" s="61"/>
      <c r="AA26" s="61" t="str">
        <f t="shared" si="9"/>
        <v/>
      </c>
      <c r="AB26" s="61" t="str">
        <f t="shared" si="10"/>
        <v/>
      </c>
      <c r="AC26" s="61" t="str">
        <f t="shared" si="11"/>
        <v/>
      </c>
      <c r="AD26" s="61"/>
      <c r="AE26" s="61" t="str">
        <f t="shared" si="13"/>
        <v/>
      </c>
      <c r="AF26" s="61" t="str">
        <f t="shared" si="14"/>
        <v/>
      </c>
      <c r="AG26" s="61" t="str">
        <f t="shared" si="15"/>
        <v/>
      </c>
    </row>
    <row r="27" spans="1:33" x14ac:dyDescent="0.25">
      <c r="A27" s="40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57" t="str">
        <f t="shared" si="0"/>
        <v/>
      </c>
      <c r="O27" s="16" t="str">
        <f>IF(A27="","",IF(N27="",INDEX(_ゴミ箱_Backup!$B$89:$D$89,1,MATCH(言語切替!$B$3,_ゴミ箱_Backup!$B$1:$D$1,0)),IF(N27&gt;=1,INDEX(_ゴミ箱_Backup!$B$93:$D$93,1,MATCH(言語切替!$B$3,_ゴミ箱_Backup!$B$1:$D$1,0)),IF(N27&gt;=0.8,INDEX(_ゴミ箱_Backup!$B$91:$D$91,1,MATCH(言語切替!$B$3,_ゴミ箱_Backup!$B$1:$D$1,0)),INDEX(_ゴミ箱_Backup!$B$94:$D$94,1,MATCH(言語切替!$B$3,_ゴミ箱_Backup!$B$1:$D$1,0))))))</f>
        <v/>
      </c>
      <c r="P27" s="42"/>
      <c r="Q27" s="41"/>
      <c r="R27" s="43"/>
      <c r="S27" s="61" t="str">
        <f t="shared" si="1"/>
        <v/>
      </c>
      <c r="T27" s="61" t="str">
        <f t="shared" si="2"/>
        <v/>
      </c>
      <c r="U27" s="61" t="str">
        <f t="shared" si="3"/>
        <v/>
      </c>
      <c r="V27" s="61" t="str">
        <f t="shared" si="4"/>
        <v/>
      </c>
      <c r="W27" s="61" t="str">
        <f t="shared" si="5"/>
        <v/>
      </c>
      <c r="X27" s="61"/>
      <c r="Y27" s="61" t="str">
        <f t="shared" si="7"/>
        <v/>
      </c>
      <c r="Z27" s="61"/>
      <c r="AA27" s="61" t="str">
        <f t="shared" si="9"/>
        <v/>
      </c>
      <c r="AB27" s="61" t="str">
        <f t="shared" si="10"/>
        <v/>
      </c>
      <c r="AC27" s="61" t="str">
        <f t="shared" si="11"/>
        <v/>
      </c>
      <c r="AD27" s="61"/>
      <c r="AE27" s="61" t="str">
        <f t="shared" si="13"/>
        <v/>
      </c>
      <c r="AF27" s="61" t="str">
        <f t="shared" si="14"/>
        <v/>
      </c>
      <c r="AG27" s="61" t="str">
        <f t="shared" si="15"/>
        <v/>
      </c>
    </row>
    <row r="28" spans="1:33" x14ac:dyDescent="0.25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56" t="str">
        <f t="shared" si="0"/>
        <v/>
      </c>
      <c r="O28" s="13" t="str">
        <f>IF(A28="","",IF(N28="",INDEX(_ゴミ箱_Backup!$B$89:$D$89,1,MATCH(言語切替!$B$3,_ゴミ箱_Backup!$B$1:$D$1,0)),IF(N28&gt;=1,INDEX(_ゴミ箱_Backup!$B$93:$D$93,1,MATCH(言語切替!$B$3,_ゴミ箱_Backup!$B$1:$D$1,0)),IF(N28&gt;=0.8,INDEX(_ゴミ箱_Backup!$B$91:$D$91,1,MATCH(言語切替!$B$3,_ゴミ箱_Backup!$B$1:$D$1,0)),INDEX(_ゴミ箱_Backup!$B$94:$D$94,1,MATCH(言語切替!$B$3,_ゴミ箱_Backup!$B$1:$D$1,0))))))</f>
        <v/>
      </c>
      <c r="P28" s="38"/>
      <c r="Q28" s="37"/>
      <c r="R28" s="39"/>
      <c r="S28" s="61" t="str">
        <f t="shared" si="1"/>
        <v/>
      </c>
      <c r="T28" s="61" t="str">
        <f t="shared" si="2"/>
        <v/>
      </c>
      <c r="U28" s="61" t="str">
        <f t="shared" si="3"/>
        <v/>
      </c>
      <c r="V28" s="61" t="str">
        <f t="shared" si="4"/>
        <v/>
      </c>
      <c r="W28" s="61" t="str">
        <f t="shared" si="5"/>
        <v/>
      </c>
      <c r="X28" s="61"/>
      <c r="Y28" s="61" t="str">
        <f t="shared" si="7"/>
        <v/>
      </c>
      <c r="Z28" s="61"/>
      <c r="AA28" s="61" t="str">
        <f t="shared" si="9"/>
        <v/>
      </c>
      <c r="AB28" s="61" t="str">
        <f t="shared" si="10"/>
        <v/>
      </c>
      <c r="AC28" s="61" t="str">
        <f t="shared" si="11"/>
        <v/>
      </c>
      <c r="AD28" s="61"/>
      <c r="AE28" s="61" t="str">
        <f t="shared" si="13"/>
        <v/>
      </c>
      <c r="AF28" s="61" t="str">
        <f t="shared" si="14"/>
        <v/>
      </c>
      <c r="AG28" s="61" t="str">
        <f t="shared" si="15"/>
        <v/>
      </c>
    </row>
    <row r="29" spans="1:33" x14ac:dyDescent="0.25">
      <c r="A29" s="40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57" t="str">
        <f t="shared" si="0"/>
        <v/>
      </c>
      <c r="O29" s="16" t="str">
        <f>IF(A29="","",IF(N29="",INDEX(_ゴミ箱_Backup!$B$89:$D$89,1,MATCH(言語切替!$B$3,_ゴミ箱_Backup!$B$1:$D$1,0)),IF(N29&gt;=1,INDEX(_ゴミ箱_Backup!$B$93:$D$93,1,MATCH(言語切替!$B$3,_ゴミ箱_Backup!$B$1:$D$1,0)),IF(N29&gt;=0.8,INDEX(_ゴミ箱_Backup!$B$91:$D$91,1,MATCH(言語切替!$B$3,_ゴミ箱_Backup!$B$1:$D$1,0)),INDEX(_ゴミ箱_Backup!$B$94:$D$94,1,MATCH(言語切替!$B$3,_ゴミ箱_Backup!$B$1:$D$1,0))))))</f>
        <v/>
      </c>
      <c r="P29" s="42"/>
      <c r="Q29" s="41"/>
      <c r="R29" s="43"/>
      <c r="S29" s="61" t="str">
        <f t="shared" si="1"/>
        <v/>
      </c>
      <c r="T29" s="61" t="str">
        <f t="shared" si="2"/>
        <v/>
      </c>
      <c r="U29" s="61" t="str">
        <f t="shared" si="3"/>
        <v/>
      </c>
      <c r="V29" s="61" t="str">
        <f t="shared" si="4"/>
        <v/>
      </c>
      <c r="W29" s="61" t="str">
        <f t="shared" si="5"/>
        <v/>
      </c>
      <c r="X29" s="61"/>
      <c r="Y29" s="61" t="str">
        <f t="shared" si="7"/>
        <v/>
      </c>
      <c r="Z29" s="61"/>
      <c r="AA29" s="61" t="str">
        <f t="shared" si="9"/>
        <v/>
      </c>
      <c r="AB29" s="61" t="str">
        <f t="shared" si="10"/>
        <v/>
      </c>
      <c r="AC29" s="61" t="str">
        <f t="shared" si="11"/>
        <v/>
      </c>
      <c r="AD29" s="61"/>
      <c r="AE29" s="61" t="str">
        <f t="shared" si="13"/>
        <v/>
      </c>
      <c r="AF29" s="61" t="str">
        <f t="shared" si="14"/>
        <v/>
      </c>
      <c r="AG29" s="61" t="str">
        <f t="shared" si="15"/>
        <v/>
      </c>
    </row>
    <row r="30" spans="1:33" x14ac:dyDescent="0.25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56" t="str">
        <f t="shared" si="0"/>
        <v/>
      </c>
      <c r="O30" s="13" t="str">
        <f>IF(A30="","",IF(N30="",INDEX(_ゴミ箱_Backup!$B$89:$D$89,1,MATCH(言語切替!$B$3,_ゴミ箱_Backup!$B$1:$D$1,0)),IF(N30&gt;=1,INDEX(_ゴミ箱_Backup!$B$93:$D$93,1,MATCH(言語切替!$B$3,_ゴミ箱_Backup!$B$1:$D$1,0)),IF(N30&gt;=0.8,INDEX(_ゴミ箱_Backup!$B$91:$D$91,1,MATCH(言語切替!$B$3,_ゴミ箱_Backup!$B$1:$D$1,0)),INDEX(_ゴミ箱_Backup!$B$94:$D$94,1,MATCH(言語切替!$B$3,_ゴミ箱_Backup!$B$1:$D$1,0))))))</f>
        <v/>
      </c>
      <c r="P30" s="38"/>
      <c r="Q30" s="37"/>
      <c r="R30" s="39"/>
      <c r="S30" s="61" t="str">
        <f t="shared" si="1"/>
        <v/>
      </c>
      <c r="T30" s="61" t="str">
        <f t="shared" si="2"/>
        <v/>
      </c>
      <c r="U30" s="61" t="str">
        <f t="shared" si="3"/>
        <v/>
      </c>
      <c r="V30" s="61" t="str">
        <f t="shared" si="4"/>
        <v/>
      </c>
      <c r="W30" s="61" t="str">
        <f t="shared" si="5"/>
        <v/>
      </c>
      <c r="X30" s="61"/>
      <c r="Y30" s="61" t="str">
        <f t="shared" si="7"/>
        <v/>
      </c>
      <c r="Z30" s="61"/>
      <c r="AA30" s="61" t="str">
        <f t="shared" si="9"/>
        <v/>
      </c>
      <c r="AB30" s="61" t="str">
        <f t="shared" si="10"/>
        <v/>
      </c>
      <c r="AC30" s="61" t="str">
        <f t="shared" si="11"/>
        <v/>
      </c>
      <c r="AD30" s="61"/>
      <c r="AE30" s="61" t="str">
        <f t="shared" si="13"/>
        <v/>
      </c>
      <c r="AF30" s="61" t="str">
        <f t="shared" si="14"/>
        <v/>
      </c>
      <c r="AG30" s="61" t="str">
        <f t="shared" si="15"/>
        <v/>
      </c>
    </row>
    <row r="31" spans="1:33" x14ac:dyDescent="0.25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57" t="str">
        <f t="shared" si="0"/>
        <v/>
      </c>
      <c r="O31" s="16" t="str">
        <f>IF(A31="","",IF(N31="",INDEX(_ゴミ箱_Backup!$B$89:$D$89,1,MATCH(言語切替!$B$3,_ゴミ箱_Backup!$B$1:$D$1,0)),IF(N31&gt;=1,INDEX(_ゴミ箱_Backup!$B$93:$D$93,1,MATCH(言語切替!$B$3,_ゴミ箱_Backup!$B$1:$D$1,0)),IF(N31&gt;=0.8,INDEX(_ゴミ箱_Backup!$B$91:$D$91,1,MATCH(言語切替!$B$3,_ゴミ箱_Backup!$B$1:$D$1,0)),INDEX(_ゴミ箱_Backup!$B$94:$D$94,1,MATCH(言語切替!$B$3,_ゴミ箱_Backup!$B$1:$D$1,0))))))</f>
        <v/>
      </c>
      <c r="P31" s="42"/>
      <c r="Q31" s="41"/>
      <c r="R31" s="43"/>
      <c r="S31" s="61" t="str">
        <f t="shared" si="1"/>
        <v/>
      </c>
      <c r="T31" s="61" t="str">
        <f t="shared" si="2"/>
        <v/>
      </c>
      <c r="U31" s="61" t="str">
        <f t="shared" si="3"/>
        <v/>
      </c>
      <c r="V31" s="61" t="str">
        <f t="shared" si="4"/>
        <v/>
      </c>
      <c r="W31" s="61" t="str">
        <f t="shared" si="5"/>
        <v/>
      </c>
      <c r="X31" s="61"/>
      <c r="Y31" s="61" t="str">
        <f t="shared" si="7"/>
        <v/>
      </c>
      <c r="Z31" s="61"/>
      <c r="AA31" s="61" t="str">
        <f t="shared" si="9"/>
        <v/>
      </c>
      <c r="AB31" s="61" t="str">
        <f t="shared" si="10"/>
        <v/>
      </c>
      <c r="AC31" s="61" t="str">
        <f t="shared" si="11"/>
        <v/>
      </c>
      <c r="AD31" s="61"/>
      <c r="AE31" s="61" t="str">
        <f t="shared" si="13"/>
        <v/>
      </c>
      <c r="AF31" s="61" t="str">
        <f t="shared" si="14"/>
        <v/>
      </c>
      <c r="AG31" s="61" t="str">
        <f t="shared" si="15"/>
        <v/>
      </c>
    </row>
    <row r="32" spans="1:33" x14ac:dyDescent="0.25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6" t="str">
        <f t="shared" si="0"/>
        <v/>
      </c>
      <c r="O32" s="13" t="str">
        <f>IF(A32="","",IF(N32="",INDEX(_ゴミ箱_Backup!$B$89:$D$89,1,MATCH(言語切替!$B$3,_ゴミ箱_Backup!$B$1:$D$1,0)),IF(N32&gt;=1,INDEX(_ゴミ箱_Backup!$B$93:$D$93,1,MATCH(言語切替!$B$3,_ゴミ箱_Backup!$B$1:$D$1,0)),IF(N32&gt;=0.8,INDEX(_ゴミ箱_Backup!$B$91:$D$91,1,MATCH(言語切替!$B$3,_ゴミ箱_Backup!$B$1:$D$1,0)),INDEX(_ゴミ箱_Backup!$B$94:$D$94,1,MATCH(言語切替!$B$3,_ゴミ箱_Backup!$B$1:$D$1,0))))))</f>
        <v/>
      </c>
      <c r="P32" s="38"/>
      <c r="Q32" s="37"/>
      <c r="R32" s="39"/>
      <c r="S32" s="61" t="str">
        <f t="shared" si="1"/>
        <v/>
      </c>
      <c r="T32" s="61" t="str">
        <f t="shared" si="2"/>
        <v/>
      </c>
      <c r="U32" s="61" t="str">
        <f t="shared" si="3"/>
        <v/>
      </c>
      <c r="V32" s="61" t="str">
        <f t="shared" si="4"/>
        <v/>
      </c>
      <c r="W32" s="61" t="str">
        <f t="shared" si="5"/>
        <v/>
      </c>
      <c r="X32" s="61"/>
      <c r="Y32" s="61" t="str">
        <f t="shared" si="7"/>
        <v/>
      </c>
      <c r="Z32" s="61"/>
      <c r="AA32" s="61" t="str">
        <f t="shared" si="9"/>
        <v/>
      </c>
      <c r="AB32" s="61" t="str">
        <f t="shared" si="10"/>
        <v/>
      </c>
      <c r="AC32" s="61" t="str">
        <f t="shared" si="11"/>
        <v/>
      </c>
      <c r="AD32" s="61"/>
      <c r="AE32" s="61" t="str">
        <f t="shared" si="13"/>
        <v/>
      </c>
      <c r="AF32" s="61" t="str">
        <f t="shared" si="14"/>
        <v/>
      </c>
      <c r="AG32" s="61" t="str">
        <f t="shared" si="15"/>
        <v/>
      </c>
    </row>
    <row r="33" spans="1:33" x14ac:dyDescent="0.25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57" t="str">
        <f t="shared" si="0"/>
        <v/>
      </c>
      <c r="O33" s="16" t="str">
        <f>IF(A33="","",IF(N33="",INDEX(_ゴミ箱_Backup!$B$89:$D$89,1,MATCH(言語切替!$B$3,_ゴミ箱_Backup!$B$1:$D$1,0)),IF(N33&gt;=1,INDEX(_ゴミ箱_Backup!$B$93:$D$93,1,MATCH(言語切替!$B$3,_ゴミ箱_Backup!$B$1:$D$1,0)),IF(N33&gt;=0.8,INDEX(_ゴミ箱_Backup!$B$91:$D$91,1,MATCH(言語切替!$B$3,_ゴミ箱_Backup!$B$1:$D$1,0)),INDEX(_ゴミ箱_Backup!$B$94:$D$94,1,MATCH(言語切替!$B$3,_ゴミ箱_Backup!$B$1:$D$1,0))))))</f>
        <v/>
      </c>
      <c r="P33" s="42"/>
      <c r="Q33" s="41"/>
      <c r="R33" s="43"/>
      <c r="S33" s="61" t="str">
        <f t="shared" si="1"/>
        <v/>
      </c>
      <c r="T33" s="61" t="str">
        <f t="shared" si="2"/>
        <v/>
      </c>
      <c r="U33" s="61" t="str">
        <f t="shared" si="3"/>
        <v/>
      </c>
      <c r="V33" s="61" t="str">
        <f t="shared" si="4"/>
        <v/>
      </c>
      <c r="W33" s="61" t="str">
        <f t="shared" si="5"/>
        <v/>
      </c>
      <c r="X33" s="61"/>
      <c r="Y33" s="61" t="str">
        <f t="shared" si="7"/>
        <v/>
      </c>
      <c r="Z33" s="61"/>
      <c r="AA33" s="61" t="str">
        <f t="shared" si="9"/>
        <v/>
      </c>
      <c r="AB33" s="61" t="str">
        <f t="shared" si="10"/>
        <v/>
      </c>
      <c r="AC33" s="61" t="str">
        <f t="shared" si="11"/>
        <v/>
      </c>
      <c r="AD33" s="61"/>
      <c r="AE33" s="61" t="str">
        <f t="shared" si="13"/>
        <v/>
      </c>
      <c r="AF33" s="61" t="str">
        <f t="shared" si="14"/>
        <v/>
      </c>
      <c r="AG33" s="61" t="str">
        <f t="shared" si="15"/>
        <v/>
      </c>
    </row>
    <row r="34" spans="1:33" x14ac:dyDescent="0.25">
      <c r="A34" s="36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6" t="str">
        <f t="shared" si="0"/>
        <v/>
      </c>
      <c r="O34" s="13" t="str">
        <f>IF(A34="","",IF(N34="",INDEX(_ゴミ箱_Backup!$B$89:$D$89,1,MATCH(言語切替!$B$3,_ゴミ箱_Backup!$B$1:$D$1,0)),IF(N34&gt;=1,INDEX(_ゴミ箱_Backup!$B$93:$D$93,1,MATCH(言語切替!$B$3,_ゴミ箱_Backup!$B$1:$D$1,0)),IF(N34&gt;=0.8,INDEX(_ゴミ箱_Backup!$B$91:$D$91,1,MATCH(言語切替!$B$3,_ゴミ箱_Backup!$B$1:$D$1,0)),INDEX(_ゴミ箱_Backup!$B$94:$D$94,1,MATCH(言語切替!$B$3,_ゴミ箱_Backup!$B$1:$D$1,0))))))</f>
        <v/>
      </c>
      <c r="P34" s="38"/>
      <c r="Q34" s="37"/>
      <c r="R34" s="39"/>
      <c r="S34" s="61" t="str">
        <f t="shared" si="1"/>
        <v/>
      </c>
      <c r="T34" s="61" t="str">
        <f t="shared" si="2"/>
        <v/>
      </c>
      <c r="U34" s="61" t="str">
        <f t="shared" si="3"/>
        <v/>
      </c>
      <c r="V34" s="61" t="str">
        <f t="shared" si="4"/>
        <v/>
      </c>
      <c r="W34" s="61" t="str">
        <f t="shared" si="5"/>
        <v/>
      </c>
      <c r="X34" s="61"/>
      <c r="Y34" s="61" t="str">
        <f t="shared" si="7"/>
        <v/>
      </c>
      <c r="Z34" s="61"/>
      <c r="AA34" s="61" t="str">
        <f t="shared" si="9"/>
        <v/>
      </c>
      <c r="AB34" s="61" t="str">
        <f t="shared" si="10"/>
        <v/>
      </c>
      <c r="AC34" s="61" t="str">
        <f t="shared" si="11"/>
        <v/>
      </c>
      <c r="AD34" s="61"/>
      <c r="AE34" s="61" t="str">
        <f t="shared" si="13"/>
        <v/>
      </c>
      <c r="AF34" s="61" t="str">
        <f t="shared" si="14"/>
        <v/>
      </c>
      <c r="AG34" s="61" t="str">
        <f t="shared" si="15"/>
        <v/>
      </c>
    </row>
    <row r="35" spans="1:33" x14ac:dyDescent="0.25">
      <c r="A35" s="40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57" t="str">
        <f t="shared" si="0"/>
        <v/>
      </c>
      <c r="O35" s="16" t="str">
        <f>IF(A35="","",IF(N35="",INDEX(_ゴミ箱_Backup!$B$89:$D$89,1,MATCH(言語切替!$B$3,_ゴミ箱_Backup!$B$1:$D$1,0)),IF(N35&gt;=1,INDEX(_ゴミ箱_Backup!$B$93:$D$93,1,MATCH(言語切替!$B$3,_ゴミ箱_Backup!$B$1:$D$1,0)),IF(N35&gt;=0.8,INDEX(_ゴミ箱_Backup!$B$91:$D$91,1,MATCH(言語切替!$B$3,_ゴミ箱_Backup!$B$1:$D$1,0)),INDEX(_ゴミ箱_Backup!$B$94:$D$94,1,MATCH(言語切替!$B$3,_ゴミ箱_Backup!$B$1:$D$1,0))))))</f>
        <v/>
      </c>
      <c r="P35" s="42"/>
      <c r="Q35" s="41"/>
      <c r="R35" s="43"/>
      <c r="S35" s="61" t="str">
        <f t="shared" si="1"/>
        <v/>
      </c>
      <c r="T35" s="61" t="str">
        <f t="shared" si="2"/>
        <v/>
      </c>
      <c r="U35" s="61" t="str">
        <f t="shared" si="3"/>
        <v/>
      </c>
      <c r="V35" s="61" t="str">
        <f t="shared" si="4"/>
        <v/>
      </c>
      <c r="W35" s="61" t="str">
        <f t="shared" si="5"/>
        <v/>
      </c>
      <c r="X35" s="61"/>
      <c r="Y35" s="61" t="str">
        <f t="shared" si="7"/>
        <v/>
      </c>
      <c r="Z35" s="61"/>
      <c r="AA35" s="61" t="str">
        <f t="shared" si="9"/>
        <v/>
      </c>
      <c r="AB35" s="61" t="str">
        <f t="shared" si="10"/>
        <v/>
      </c>
      <c r="AC35" s="61" t="str">
        <f t="shared" si="11"/>
        <v/>
      </c>
      <c r="AD35" s="61"/>
      <c r="AE35" s="61" t="str">
        <f t="shared" si="13"/>
        <v/>
      </c>
      <c r="AF35" s="61" t="str">
        <f t="shared" si="14"/>
        <v/>
      </c>
      <c r="AG35" s="61" t="str">
        <f t="shared" si="15"/>
        <v/>
      </c>
    </row>
    <row r="36" spans="1:33" x14ac:dyDescent="0.25">
      <c r="A36" s="36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6" t="str">
        <f t="shared" si="0"/>
        <v/>
      </c>
      <c r="O36" s="13" t="str">
        <f>IF(A36="","",IF(N36="",INDEX(_ゴミ箱_Backup!$B$89:$D$89,1,MATCH(言語切替!$B$3,_ゴミ箱_Backup!$B$1:$D$1,0)),IF(N36&gt;=1,INDEX(_ゴミ箱_Backup!$B$93:$D$93,1,MATCH(言語切替!$B$3,_ゴミ箱_Backup!$B$1:$D$1,0)),IF(N36&gt;=0.8,INDEX(_ゴミ箱_Backup!$B$91:$D$91,1,MATCH(言語切替!$B$3,_ゴミ箱_Backup!$B$1:$D$1,0)),INDEX(_ゴミ箱_Backup!$B$94:$D$94,1,MATCH(言語切替!$B$3,_ゴミ箱_Backup!$B$1:$D$1,0))))))</f>
        <v/>
      </c>
      <c r="P36" s="38"/>
      <c r="Q36" s="37"/>
      <c r="R36" s="39"/>
      <c r="S36" s="61" t="str">
        <f t="shared" si="1"/>
        <v/>
      </c>
      <c r="T36" s="61" t="str">
        <f t="shared" si="2"/>
        <v/>
      </c>
      <c r="U36" s="61" t="str">
        <f t="shared" si="3"/>
        <v/>
      </c>
      <c r="V36" s="61" t="str">
        <f t="shared" si="4"/>
        <v/>
      </c>
      <c r="W36" s="61" t="str">
        <f t="shared" si="5"/>
        <v/>
      </c>
      <c r="X36" s="61"/>
      <c r="Y36" s="61" t="str">
        <f t="shared" si="7"/>
        <v/>
      </c>
      <c r="Z36" s="61"/>
      <c r="AA36" s="61" t="str">
        <f t="shared" si="9"/>
        <v/>
      </c>
      <c r="AB36" s="61" t="str">
        <f t="shared" si="10"/>
        <v/>
      </c>
      <c r="AC36" s="61" t="str">
        <f t="shared" si="11"/>
        <v/>
      </c>
      <c r="AD36" s="61"/>
      <c r="AE36" s="61" t="str">
        <f t="shared" si="13"/>
        <v/>
      </c>
      <c r="AF36" s="61" t="str">
        <f t="shared" si="14"/>
        <v/>
      </c>
      <c r="AG36" s="61" t="str">
        <f t="shared" si="15"/>
        <v/>
      </c>
    </row>
    <row r="37" spans="1:33" x14ac:dyDescent="0.25">
      <c r="A37" s="40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57" t="str">
        <f t="shared" ref="N37:N68" si="16">IF(OR(L37="",M37=""),"",IF(L37=0,"",M37/L37))</f>
        <v/>
      </c>
      <c r="O37" s="16" t="str">
        <f>IF(A37="","",IF(N37="",INDEX(_ゴミ箱_Backup!$B$89:$D$89,1,MATCH(言語切替!$B$3,_ゴミ箱_Backup!$B$1:$D$1,0)),IF(N37&gt;=1,INDEX(_ゴミ箱_Backup!$B$93:$D$93,1,MATCH(言語切替!$B$3,_ゴミ箱_Backup!$B$1:$D$1,0)),IF(N37&gt;=0.8,INDEX(_ゴミ箱_Backup!$B$91:$D$91,1,MATCH(言語切替!$B$3,_ゴミ箱_Backup!$B$1:$D$1,0)),INDEX(_ゴミ箱_Backup!$B$94:$D$94,1,MATCH(言語切替!$B$3,_ゴミ箱_Backup!$B$1:$D$1,0))))))</f>
        <v/>
      </c>
      <c r="P37" s="42"/>
      <c r="Q37" s="41"/>
      <c r="R37" s="43"/>
      <c r="S37" s="61" t="str">
        <f t="shared" ref="S37:S68" si="17">IF(D37="","",IFERROR(_xlfn.TRANSLATE(D37,,"ja"),""))</f>
        <v/>
      </c>
      <c r="T37" s="61" t="str">
        <f t="shared" ref="T37:T68" si="18">IF(D37="","",IFERROR(_xlfn.TRANSLATE(D37,,"zh-Hans"),""))</f>
        <v/>
      </c>
      <c r="U37" s="61" t="str">
        <f t="shared" ref="U37:U68" si="19">IF(D37="","",IFERROR(_xlfn.TRANSLATE(D37,,"vi"),""))</f>
        <v/>
      </c>
      <c r="V37" s="61" t="str">
        <f t="shared" ref="V37:V68" si="20">IF(E37="","",IFERROR(_xlfn.TRANSLATE(E37,,"ja"),""))</f>
        <v/>
      </c>
      <c r="W37" s="61" t="str">
        <f t="shared" ref="W37:W68" si="21">IF(E37="","",IFERROR(_xlfn.TRANSLATE(E37,,"zh-Hans"),""))</f>
        <v/>
      </c>
      <c r="X37" s="61"/>
      <c r="Y37" s="61" t="str">
        <f t="shared" ref="Y37:Y68" si="22">IF(F37="","",IFERROR(_xlfn.TRANSLATE(F37,,"ja"),""))</f>
        <v/>
      </c>
      <c r="Z37" s="61"/>
      <c r="AA37" s="61" t="str">
        <f t="shared" ref="AA37:AA68" si="23">IF(F37="","",IFERROR(_xlfn.TRANSLATE(F37,,"vi"),""))</f>
        <v/>
      </c>
      <c r="AB37" s="61" t="str">
        <f t="shared" ref="AB37:AB68" si="24">IF(Q37="","",IFERROR(_xlfn.TRANSLATE(Q37,,"ja"),""))</f>
        <v/>
      </c>
      <c r="AC37" s="61" t="str">
        <f t="shared" ref="AC37:AC68" si="25">IF(Q37="","",IFERROR(_xlfn.TRANSLATE(Q37,,"zh-Hans"),""))</f>
        <v/>
      </c>
      <c r="AD37" s="61"/>
      <c r="AE37" s="61" t="str">
        <f t="shared" ref="AE37:AE68" si="26">IF(R37="","",IFERROR(_xlfn.TRANSLATE(R37,,"ja"),""))</f>
        <v/>
      </c>
      <c r="AF37" s="61" t="str">
        <f t="shared" ref="AF37:AF68" si="27">IF(R37="","",IFERROR(_xlfn.TRANSLATE(R37,,"zh-Hans"),""))</f>
        <v/>
      </c>
      <c r="AG37" s="61" t="str">
        <f t="shared" ref="AG37:AG68" si="28">IF(R37="","",IFERROR(_xlfn.TRANSLATE(R37,,"vi"),""))</f>
        <v/>
      </c>
    </row>
    <row r="38" spans="1:33" x14ac:dyDescent="0.25">
      <c r="A38" s="36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6" t="str">
        <f t="shared" si="16"/>
        <v/>
      </c>
      <c r="O38" s="13" t="str">
        <f>IF(A38="","",IF(N38="",INDEX(_ゴミ箱_Backup!$B$89:$D$89,1,MATCH(言語切替!$B$3,_ゴミ箱_Backup!$B$1:$D$1,0)),IF(N38&gt;=1,INDEX(_ゴミ箱_Backup!$B$93:$D$93,1,MATCH(言語切替!$B$3,_ゴミ箱_Backup!$B$1:$D$1,0)),IF(N38&gt;=0.8,INDEX(_ゴミ箱_Backup!$B$91:$D$91,1,MATCH(言語切替!$B$3,_ゴミ箱_Backup!$B$1:$D$1,0)),INDEX(_ゴミ箱_Backup!$B$94:$D$94,1,MATCH(言語切替!$B$3,_ゴミ箱_Backup!$B$1:$D$1,0))))))</f>
        <v/>
      </c>
      <c r="P38" s="38"/>
      <c r="Q38" s="37"/>
      <c r="R38" s="39"/>
      <c r="S38" s="61" t="str">
        <f t="shared" si="17"/>
        <v/>
      </c>
      <c r="T38" s="61" t="str">
        <f t="shared" si="18"/>
        <v/>
      </c>
      <c r="U38" s="61" t="str">
        <f t="shared" si="19"/>
        <v/>
      </c>
      <c r="V38" s="61" t="str">
        <f t="shared" si="20"/>
        <v/>
      </c>
      <c r="W38" s="61" t="str">
        <f t="shared" si="21"/>
        <v/>
      </c>
      <c r="X38" s="61"/>
      <c r="Y38" s="61" t="str">
        <f t="shared" si="22"/>
        <v/>
      </c>
      <c r="Z38" s="61"/>
      <c r="AA38" s="61" t="str">
        <f t="shared" si="23"/>
        <v/>
      </c>
      <c r="AB38" s="61" t="str">
        <f t="shared" si="24"/>
        <v/>
      </c>
      <c r="AC38" s="61" t="str">
        <f t="shared" si="25"/>
        <v/>
      </c>
      <c r="AD38" s="61"/>
      <c r="AE38" s="61" t="str">
        <f t="shared" si="26"/>
        <v/>
      </c>
      <c r="AF38" s="61" t="str">
        <f t="shared" si="27"/>
        <v/>
      </c>
      <c r="AG38" s="61" t="str">
        <f t="shared" si="28"/>
        <v/>
      </c>
    </row>
    <row r="39" spans="1:33" x14ac:dyDescent="0.25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57" t="str">
        <f t="shared" si="16"/>
        <v/>
      </c>
      <c r="O39" s="16" t="str">
        <f>IF(A39="","",IF(N39="",INDEX(_ゴミ箱_Backup!$B$89:$D$89,1,MATCH(言語切替!$B$3,_ゴミ箱_Backup!$B$1:$D$1,0)),IF(N39&gt;=1,INDEX(_ゴミ箱_Backup!$B$93:$D$93,1,MATCH(言語切替!$B$3,_ゴミ箱_Backup!$B$1:$D$1,0)),IF(N39&gt;=0.8,INDEX(_ゴミ箱_Backup!$B$91:$D$91,1,MATCH(言語切替!$B$3,_ゴミ箱_Backup!$B$1:$D$1,0)),INDEX(_ゴミ箱_Backup!$B$94:$D$94,1,MATCH(言語切替!$B$3,_ゴミ箱_Backup!$B$1:$D$1,0))))))</f>
        <v/>
      </c>
      <c r="P39" s="42"/>
      <c r="Q39" s="41"/>
      <c r="R39" s="43"/>
      <c r="S39" s="61" t="str">
        <f t="shared" si="17"/>
        <v/>
      </c>
      <c r="T39" s="61" t="str">
        <f t="shared" si="18"/>
        <v/>
      </c>
      <c r="U39" s="61" t="str">
        <f t="shared" si="19"/>
        <v/>
      </c>
      <c r="V39" s="61" t="str">
        <f t="shared" si="20"/>
        <v/>
      </c>
      <c r="W39" s="61" t="str">
        <f t="shared" si="21"/>
        <v/>
      </c>
      <c r="X39" s="61"/>
      <c r="Y39" s="61" t="str">
        <f t="shared" si="22"/>
        <v/>
      </c>
      <c r="Z39" s="61"/>
      <c r="AA39" s="61" t="str">
        <f t="shared" si="23"/>
        <v/>
      </c>
      <c r="AB39" s="61" t="str">
        <f t="shared" si="24"/>
        <v/>
      </c>
      <c r="AC39" s="61" t="str">
        <f t="shared" si="25"/>
        <v/>
      </c>
      <c r="AD39" s="61"/>
      <c r="AE39" s="61" t="str">
        <f t="shared" si="26"/>
        <v/>
      </c>
      <c r="AF39" s="61" t="str">
        <f t="shared" si="27"/>
        <v/>
      </c>
      <c r="AG39" s="61" t="str">
        <f t="shared" si="28"/>
        <v/>
      </c>
    </row>
    <row r="40" spans="1:33" x14ac:dyDescent="0.25">
      <c r="A40" s="36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56" t="str">
        <f t="shared" si="16"/>
        <v/>
      </c>
      <c r="O40" s="13" t="str">
        <f>IF(A40="","",IF(N40="",INDEX(_ゴミ箱_Backup!$B$89:$D$89,1,MATCH(言語切替!$B$3,_ゴミ箱_Backup!$B$1:$D$1,0)),IF(N40&gt;=1,INDEX(_ゴミ箱_Backup!$B$93:$D$93,1,MATCH(言語切替!$B$3,_ゴミ箱_Backup!$B$1:$D$1,0)),IF(N40&gt;=0.8,INDEX(_ゴミ箱_Backup!$B$91:$D$91,1,MATCH(言語切替!$B$3,_ゴミ箱_Backup!$B$1:$D$1,0)),INDEX(_ゴミ箱_Backup!$B$94:$D$94,1,MATCH(言語切替!$B$3,_ゴミ箱_Backup!$B$1:$D$1,0))))))</f>
        <v/>
      </c>
      <c r="P40" s="38"/>
      <c r="Q40" s="37"/>
      <c r="R40" s="39"/>
      <c r="S40" s="61" t="str">
        <f t="shared" si="17"/>
        <v/>
      </c>
      <c r="T40" s="61" t="str">
        <f t="shared" si="18"/>
        <v/>
      </c>
      <c r="U40" s="61" t="str">
        <f t="shared" si="19"/>
        <v/>
      </c>
      <c r="V40" s="61" t="str">
        <f t="shared" si="20"/>
        <v/>
      </c>
      <c r="W40" s="61" t="str">
        <f t="shared" si="21"/>
        <v/>
      </c>
      <c r="X40" s="61"/>
      <c r="Y40" s="61" t="str">
        <f t="shared" si="22"/>
        <v/>
      </c>
      <c r="Z40" s="61"/>
      <c r="AA40" s="61" t="str">
        <f t="shared" si="23"/>
        <v/>
      </c>
      <c r="AB40" s="61" t="str">
        <f t="shared" si="24"/>
        <v/>
      </c>
      <c r="AC40" s="61" t="str">
        <f t="shared" si="25"/>
        <v/>
      </c>
      <c r="AD40" s="61"/>
      <c r="AE40" s="61" t="str">
        <f t="shared" si="26"/>
        <v/>
      </c>
      <c r="AF40" s="61" t="str">
        <f t="shared" si="27"/>
        <v/>
      </c>
      <c r="AG40" s="61" t="str">
        <f t="shared" si="28"/>
        <v/>
      </c>
    </row>
    <row r="41" spans="1:33" x14ac:dyDescent="0.25">
      <c r="A41" s="40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57" t="str">
        <f t="shared" si="16"/>
        <v/>
      </c>
      <c r="O41" s="16" t="str">
        <f>IF(A41="","",IF(N41="",INDEX(_ゴミ箱_Backup!$B$89:$D$89,1,MATCH(言語切替!$B$3,_ゴミ箱_Backup!$B$1:$D$1,0)),IF(N41&gt;=1,INDEX(_ゴミ箱_Backup!$B$93:$D$93,1,MATCH(言語切替!$B$3,_ゴミ箱_Backup!$B$1:$D$1,0)),IF(N41&gt;=0.8,INDEX(_ゴミ箱_Backup!$B$91:$D$91,1,MATCH(言語切替!$B$3,_ゴミ箱_Backup!$B$1:$D$1,0)),INDEX(_ゴミ箱_Backup!$B$94:$D$94,1,MATCH(言語切替!$B$3,_ゴミ箱_Backup!$B$1:$D$1,0))))))</f>
        <v/>
      </c>
      <c r="P41" s="42"/>
      <c r="Q41" s="41"/>
      <c r="R41" s="43"/>
      <c r="S41" s="61" t="str">
        <f t="shared" si="17"/>
        <v/>
      </c>
      <c r="T41" s="61" t="str">
        <f t="shared" si="18"/>
        <v/>
      </c>
      <c r="U41" s="61" t="str">
        <f t="shared" si="19"/>
        <v/>
      </c>
      <c r="V41" s="61" t="str">
        <f t="shared" si="20"/>
        <v/>
      </c>
      <c r="W41" s="61" t="str">
        <f t="shared" si="21"/>
        <v/>
      </c>
      <c r="X41" s="61"/>
      <c r="Y41" s="61" t="str">
        <f t="shared" si="22"/>
        <v/>
      </c>
      <c r="Z41" s="61"/>
      <c r="AA41" s="61" t="str">
        <f t="shared" si="23"/>
        <v/>
      </c>
      <c r="AB41" s="61" t="str">
        <f t="shared" si="24"/>
        <v/>
      </c>
      <c r="AC41" s="61" t="str">
        <f t="shared" si="25"/>
        <v/>
      </c>
      <c r="AD41" s="61"/>
      <c r="AE41" s="61" t="str">
        <f t="shared" si="26"/>
        <v/>
      </c>
      <c r="AF41" s="61" t="str">
        <f t="shared" si="27"/>
        <v/>
      </c>
      <c r="AG41" s="61" t="str">
        <f t="shared" si="28"/>
        <v/>
      </c>
    </row>
    <row r="42" spans="1:33" x14ac:dyDescent="0.25">
      <c r="A42" s="36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56" t="str">
        <f t="shared" si="16"/>
        <v/>
      </c>
      <c r="O42" s="13" t="str">
        <f>IF(A42="","",IF(N42="",INDEX(_ゴミ箱_Backup!$B$89:$D$89,1,MATCH(言語切替!$B$3,_ゴミ箱_Backup!$B$1:$D$1,0)),IF(N42&gt;=1,INDEX(_ゴミ箱_Backup!$B$93:$D$93,1,MATCH(言語切替!$B$3,_ゴミ箱_Backup!$B$1:$D$1,0)),IF(N42&gt;=0.8,INDEX(_ゴミ箱_Backup!$B$91:$D$91,1,MATCH(言語切替!$B$3,_ゴミ箱_Backup!$B$1:$D$1,0)),INDEX(_ゴミ箱_Backup!$B$94:$D$94,1,MATCH(言語切替!$B$3,_ゴミ箱_Backup!$B$1:$D$1,0))))))</f>
        <v/>
      </c>
      <c r="P42" s="38"/>
      <c r="Q42" s="37"/>
      <c r="R42" s="39"/>
      <c r="S42" s="61" t="str">
        <f t="shared" si="17"/>
        <v/>
      </c>
      <c r="T42" s="61" t="str">
        <f t="shared" si="18"/>
        <v/>
      </c>
      <c r="U42" s="61" t="str">
        <f t="shared" si="19"/>
        <v/>
      </c>
      <c r="V42" s="61" t="str">
        <f t="shared" si="20"/>
        <v/>
      </c>
      <c r="W42" s="61" t="str">
        <f t="shared" si="21"/>
        <v/>
      </c>
      <c r="X42" s="61"/>
      <c r="Y42" s="61" t="str">
        <f t="shared" si="22"/>
        <v/>
      </c>
      <c r="Z42" s="61"/>
      <c r="AA42" s="61" t="str">
        <f t="shared" si="23"/>
        <v/>
      </c>
      <c r="AB42" s="61" t="str">
        <f t="shared" si="24"/>
        <v/>
      </c>
      <c r="AC42" s="61" t="str">
        <f t="shared" si="25"/>
        <v/>
      </c>
      <c r="AD42" s="61"/>
      <c r="AE42" s="61" t="str">
        <f t="shared" si="26"/>
        <v/>
      </c>
      <c r="AF42" s="61" t="str">
        <f t="shared" si="27"/>
        <v/>
      </c>
      <c r="AG42" s="61" t="str">
        <f t="shared" si="28"/>
        <v/>
      </c>
    </row>
    <row r="43" spans="1:33" x14ac:dyDescent="0.25">
      <c r="A43" s="40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57" t="str">
        <f t="shared" si="16"/>
        <v/>
      </c>
      <c r="O43" s="16" t="str">
        <f>IF(A43="","",IF(N43="",INDEX(_ゴミ箱_Backup!$B$89:$D$89,1,MATCH(言語切替!$B$3,_ゴミ箱_Backup!$B$1:$D$1,0)),IF(N43&gt;=1,INDEX(_ゴミ箱_Backup!$B$93:$D$93,1,MATCH(言語切替!$B$3,_ゴミ箱_Backup!$B$1:$D$1,0)),IF(N43&gt;=0.8,INDEX(_ゴミ箱_Backup!$B$91:$D$91,1,MATCH(言語切替!$B$3,_ゴミ箱_Backup!$B$1:$D$1,0)),INDEX(_ゴミ箱_Backup!$B$94:$D$94,1,MATCH(言語切替!$B$3,_ゴミ箱_Backup!$B$1:$D$1,0))))))</f>
        <v/>
      </c>
      <c r="P43" s="42"/>
      <c r="Q43" s="41"/>
      <c r="R43" s="43"/>
      <c r="S43" s="61" t="str">
        <f t="shared" si="17"/>
        <v/>
      </c>
      <c r="T43" s="61" t="str">
        <f t="shared" si="18"/>
        <v/>
      </c>
      <c r="U43" s="61" t="str">
        <f t="shared" si="19"/>
        <v/>
      </c>
      <c r="V43" s="61" t="str">
        <f t="shared" si="20"/>
        <v/>
      </c>
      <c r="W43" s="61" t="str">
        <f t="shared" si="21"/>
        <v/>
      </c>
      <c r="X43" s="61"/>
      <c r="Y43" s="61" t="str">
        <f t="shared" si="22"/>
        <v/>
      </c>
      <c r="Z43" s="61"/>
      <c r="AA43" s="61" t="str">
        <f t="shared" si="23"/>
        <v/>
      </c>
      <c r="AB43" s="61" t="str">
        <f t="shared" si="24"/>
        <v/>
      </c>
      <c r="AC43" s="61" t="str">
        <f t="shared" si="25"/>
        <v/>
      </c>
      <c r="AD43" s="61"/>
      <c r="AE43" s="61" t="str">
        <f t="shared" si="26"/>
        <v/>
      </c>
      <c r="AF43" s="61" t="str">
        <f t="shared" si="27"/>
        <v/>
      </c>
      <c r="AG43" s="61" t="str">
        <f t="shared" si="28"/>
        <v/>
      </c>
    </row>
    <row r="44" spans="1:33" x14ac:dyDescent="0.25">
      <c r="A44" s="36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56" t="str">
        <f t="shared" si="16"/>
        <v/>
      </c>
      <c r="O44" s="13" t="str">
        <f>IF(A44="","",IF(N44="",INDEX(_ゴミ箱_Backup!$B$89:$D$89,1,MATCH(言語切替!$B$3,_ゴミ箱_Backup!$B$1:$D$1,0)),IF(N44&gt;=1,INDEX(_ゴミ箱_Backup!$B$93:$D$93,1,MATCH(言語切替!$B$3,_ゴミ箱_Backup!$B$1:$D$1,0)),IF(N44&gt;=0.8,INDEX(_ゴミ箱_Backup!$B$91:$D$91,1,MATCH(言語切替!$B$3,_ゴミ箱_Backup!$B$1:$D$1,0)),INDEX(_ゴミ箱_Backup!$B$94:$D$94,1,MATCH(言語切替!$B$3,_ゴミ箱_Backup!$B$1:$D$1,0))))))</f>
        <v/>
      </c>
      <c r="P44" s="38"/>
      <c r="Q44" s="37"/>
      <c r="R44" s="39"/>
      <c r="S44" s="61" t="str">
        <f t="shared" si="17"/>
        <v/>
      </c>
      <c r="T44" s="61" t="str">
        <f t="shared" si="18"/>
        <v/>
      </c>
      <c r="U44" s="61" t="str">
        <f t="shared" si="19"/>
        <v/>
      </c>
      <c r="V44" s="61" t="str">
        <f t="shared" si="20"/>
        <v/>
      </c>
      <c r="W44" s="61" t="str">
        <f t="shared" si="21"/>
        <v/>
      </c>
      <c r="X44" s="61"/>
      <c r="Y44" s="61" t="str">
        <f t="shared" si="22"/>
        <v/>
      </c>
      <c r="Z44" s="61"/>
      <c r="AA44" s="61" t="str">
        <f t="shared" si="23"/>
        <v/>
      </c>
      <c r="AB44" s="61" t="str">
        <f t="shared" si="24"/>
        <v/>
      </c>
      <c r="AC44" s="61" t="str">
        <f t="shared" si="25"/>
        <v/>
      </c>
      <c r="AD44" s="61"/>
      <c r="AE44" s="61" t="str">
        <f t="shared" si="26"/>
        <v/>
      </c>
      <c r="AF44" s="61" t="str">
        <f t="shared" si="27"/>
        <v/>
      </c>
      <c r="AG44" s="61" t="str">
        <f t="shared" si="28"/>
        <v/>
      </c>
    </row>
    <row r="45" spans="1:33" x14ac:dyDescent="0.25">
      <c r="A45" s="40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57" t="str">
        <f t="shared" si="16"/>
        <v/>
      </c>
      <c r="O45" s="16" t="str">
        <f>IF(A45="","",IF(N45="",INDEX(_ゴミ箱_Backup!$B$89:$D$89,1,MATCH(言語切替!$B$3,_ゴミ箱_Backup!$B$1:$D$1,0)),IF(N45&gt;=1,INDEX(_ゴミ箱_Backup!$B$93:$D$93,1,MATCH(言語切替!$B$3,_ゴミ箱_Backup!$B$1:$D$1,0)),IF(N45&gt;=0.8,INDEX(_ゴミ箱_Backup!$B$91:$D$91,1,MATCH(言語切替!$B$3,_ゴミ箱_Backup!$B$1:$D$1,0)),INDEX(_ゴミ箱_Backup!$B$94:$D$94,1,MATCH(言語切替!$B$3,_ゴミ箱_Backup!$B$1:$D$1,0))))))</f>
        <v/>
      </c>
      <c r="P45" s="42"/>
      <c r="Q45" s="41"/>
      <c r="R45" s="43"/>
      <c r="S45" s="61" t="str">
        <f t="shared" si="17"/>
        <v/>
      </c>
      <c r="T45" s="61" t="str">
        <f t="shared" si="18"/>
        <v/>
      </c>
      <c r="U45" s="61" t="str">
        <f t="shared" si="19"/>
        <v/>
      </c>
      <c r="V45" s="61" t="str">
        <f t="shared" si="20"/>
        <v/>
      </c>
      <c r="W45" s="61" t="str">
        <f t="shared" si="21"/>
        <v/>
      </c>
      <c r="X45" s="61"/>
      <c r="Y45" s="61" t="str">
        <f t="shared" si="22"/>
        <v/>
      </c>
      <c r="Z45" s="61"/>
      <c r="AA45" s="61" t="str">
        <f t="shared" si="23"/>
        <v/>
      </c>
      <c r="AB45" s="61" t="str">
        <f t="shared" si="24"/>
        <v/>
      </c>
      <c r="AC45" s="61" t="str">
        <f t="shared" si="25"/>
        <v/>
      </c>
      <c r="AD45" s="61"/>
      <c r="AE45" s="61" t="str">
        <f t="shared" si="26"/>
        <v/>
      </c>
      <c r="AF45" s="61" t="str">
        <f t="shared" si="27"/>
        <v/>
      </c>
      <c r="AG45" s="61" t="str">
        <f t="shared" si="28"/>
        <v/>
      </c>
    </row>
    <row r="46" spans="1:33" x14ac:dyDescent="0.25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56" t="str">
        <f t="shared" si="16"/>
        <v/>
      </c>
      <c r="O46" s="13" t="str">
        <f>IF(A46="","",IF(N46="",INDEX(_ゴミ箱_Backup!$B$89:$D$89,1,MATCH(言語切替!$B$3,_ゴミ箱_Backup!$B$1:$D$1,0)),IF(N46&gt;=1,INDEX(_ゴミ箱_Backup!$B$93:$D$93,1,MATCH(言語切替!$B$3,_ゴミ箱_Backup!$B$1:$D$1,0)),IF(N46&gt;=0.8,INDEX(_ゴミ箱_Backup!$B$91:$D$91,1,MATCH(言語切替!$B$3,_ゴミ箱_Backup!$B$1:$D$1,0)),INDEX(_ゴミ箱_Backup!$B$94:$D$94,1,MATCH(言語切替!$B$3,_ゴミ箱_Backup!$B$1:$D$1,0))))))</f>
        <v/>
      </c>
      <c r="P46" s="38"/>
      <c r="Q46" s="37"/>
      <c r="R46" s="39"/>
      <c r="S46" s="61" t="str">
        <f t="shared" si="17"/>
        <v/>
      </c>
      <c r="T46" s="61" t="str">
        <f t="shared" si="18"/>
        <v/>
      </c>
      <c r="U46" s="61" t="str">
        <f t="shared" si="19"/>
        <v/>
      </c>
      <c r="V46" s="61" t="str">
        <f t="shared" si="20"/>
        <v/>
      </c>
      <c r="W46" s="61" t="str">
        <f t="shared" si="21"/>
        <v/>
      </c>
      <c r="X46" s="61"/>
      <c r="Y46" s="61" t="str">
        <f t="shared" si="22"/>
        <v/>
      </c>
      <c r="Z46" s="61"/>
      <c r="AA46" s="61" t="str">
        <f t="shared" si="23"/>
        <v/>
      </c>
      <c r="AB46" s="61" t="str">
        <f t="shared" si="24"/>
        <v/>
      </c>
      <c r="AC46" s="61" t="str">
        <f t="shared" si="25"/>
        <v/>
      </c>
      <c r="AD46" s="61"/>
      <c r="AE46" s="61" t="str">
        <f t="shared" si="26"/>
        <v/>
      </c>
      <c r="AF46" s="61" t="str">
        <f t="shared" si="27"/>
        <v/>
      </c>
      <c r="AG46" s="61" t="str">
        <f t="shared" si="28"/>
        <v/>
      </c>
    </row>
    <row r="47" spans="1:33" x14ac:dyDescent="0.25">
      <c r="A47" s="40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57" t="str">
        <f t="shared" si="16"/>
        <v/>
      </c>
      <c r="O47" s="16" t="str">
        <f>IF(A47="","",IF(N47="",INDEX(_ゴミ箱_Backup!$B$89:$D$89,1,MATCH(言語切替!$B$3,_ゴミ箱_Backup!$B$1:$D$1,0)),IF(N47&gt;=1,INDEX(_ゴミ箱_Backup!$B$93:$D$93,1,MATCH(言語切替!$B$3,_ゴミ箱_Backup!$B$1:$D$1,0)),IF(N47&gt;=0.8,INDEX(_ゴミ箱_Backup!$B$91:$D$91,1,MATCH(言語切替!$B$3,_ゴミ箱_Backup!$B$1:$D$1,0)),INDEX(_ゴミ箱_Backup!$B$94:$D$94,1,MATCH(言語切替!$B$3,_ゴミ箱_Backup!$B$1:$D$1,0))))))</f>
        <v/>
      </c>
      <c r="P47" s="42"/>
      <c r="Q47" s="41"/>
      <c r="R47" s="43"/>
      <c r="S47" s="61" t="str">
        <f t="shared" si="17"/>
        <v/>
      </c>
      <c r="T47" s="61" t="str">
        <f t="shared" si="18"/>
        <v/>
      </c>
      <c r="U47" s="61" t="str">
        <f t="shared" si="19"/>
        <v/>
      </c>
      <c r="V47" s="61" t="str">
        <f t="shared" si="20"/>
        <v/>
      </c>
      <c r="W47" s="61" t="str">
        <f t="shared" si="21"/>
        <v/>
      </c>
      <c r="X47" s="61"/>
      <c r="Y47" s="61" t="str">
        <f t="shared" si="22"/>
        <v/>
      </c>
      <c r="Z47" s="61"/>
      <c r="AA47" s="61" t="str">
        <f t="shared" si="23"/>
        <v/>
      </c>
      <c r="AB47" s="61" t="str">
        <f t="shared" si="24"/>
        <v/>
      </c>
      <c r="AC47" s="61" t="str">
        <f t="shared" si="25"/>
        <v/>
      </c>
      <c r="AD47" s="61"/>
      <c r="AE47" s="61" t="str">
        <f t="shared" si="26"/>
        <v/>
      </c>
      <c r="AF47" s="61" t="str">
        <f t="shared" si="27"/>
        <v/>
      </c>
      <c r="AG47" s="61" t="str">
        <f t="shared" si="28"/>
        <v/>
      </c>
    </row>
    <row r="48" spans="1:33" x14ac:dyDescent="0.25">
      <c r="A48" s="36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56" t="str">
        <f t="shared" si="16"/>
        <v/>
      </c>
      <c r="O48" s="13" t="str">
        <f>IF(A48="","",IF(N48="",INDEX(_ゴミ箱_Backup!$B$89:$D$89,1,MATCH(言語切替!$B$3,_ゴミ箱_Backup!$B$1:$D$1,0)),IF(N48&gt;=1,INDEX(_ゴミ箱_Backup!$B$93:$D$93,1,MATCH(言語切替!$B$3,_ゴミ箱_Backup!$B$1:$D$1,0)),IF(N48&gt;=0.8,INDEX(_ゴミ箱_Backup!$B$91:$D$91,1,MATCH(言語切替!$B$3,_ゴミ箱_Backup!$B$1:$D$1,0)),INDEX(_ゴミ箱_Backup!$B$94:$D$94,1,MATCH(言語切替!$B$3,_ゴミ箱_Backup!$B$1:$D$1,0))))))</f>
        <v/>
      </c>
      <c r="P48" s="38"/>
      <c r="Q48" s="37"/>
      <c r="R48" s="39"/>
      <c r="S48" s="61" t="str">
        <f t="shared" si="17"/>
        <v/>
      </c>
      <c r="T48" s="61" t="str">
        <f t="shared" si="18"/>
        <v/>
      </c>
      <c r="U48" s="61" t="str">
        <f t="shared" si="19"/>
        <v/>
      </c>
      <c r="V48" s="61" t="str">
        <f t="shared" si="20"/>
        <v/>
      </c>
      <c r="W48" s="61" t="str">
        <f t="shared" si="21"/>
        <v/>
      </c>
      <c r="X48" s="61"/>
      <c r="Y48" s="61" t="str">
        <f t="shared" si="22"/>
        <v/>
      </c>
      <c r="Z48" s="61"/>
      <c r="AA48" s="61" t="str">
        <f t="shared" si="23"/>
        <v/>
      </c>
      <c r="AB48" s="61" t="str">
        <f t="shared" si="24"/>
        <v/>
      </c>
      <c r="AC48" s="61" t="str">
        <f t="shared" si="25"/>
        <v/>
      </c>
      <c r="AD48" s="61"/>
      <c r="AE48" s="61" t="str">
        <f t="shared" si="26"/>
        <v/>
      </c>
      <c r="AF48" s="61" t="str">
        <f t="shared" si="27"/>
        <v/>
      </c>
      <c r="AG48" s="61" t="str">
        <f t="shared" si="28"/>
        <v/>
      </c>
    </row>
    <row r="49" spans="1:33" x14ac:dyDescent="0.25">
      <c r="A49" s="40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57" t="str">
        <f t="shared" si="16"/>
        <v/>
      </c>
      <c r="O49" s="16" t="str">
        <f>IF(A49="","",IF(N49="",INDEX(_ゴミ箱_Backup!$B$89:$D$89,1,MATCH(言語切替!$B$3,_ゴミ箱_Backup!$B$1:$D$1,0)),IF(N49&gt;=1,INDEX(_ゴミ箱_Backup!$B$93:$D$93,1,MATCH(言語切替!$B$3,_ゴミ箱_Backup!$B$1:$D$1,0)),IF(N49&gt;=0.8,INDEX(_ゴミ箱_Backup!$B$91:$D$91,1,MATCH(言語切替!$B$3,_ゴミ箱_Backup!$B$1:$D$1,0)),INDEX(_ゴミ箱_Backup!$B$94:$D$94,1,MATCH(言語切替!$B$3,_ゴミ箱_Backup!$B$1:$D$1,0))))))</f>
        <v/>
      </c>
      <c r="P49" s="42"/>
      <c r="Q49" s="41"/>
      <c r="R49" s="43"/>
      <c r="S49" s="61" t="str">
        <f t="shared" si="17"/>
        <v/>
      </c>
      <c r="T49" s="61" t="str">
        <f t="shared" si="18"/>
        <v/>
      </c>
      <c r="U49" s="61" t="str">
        <f t="shared" si="19"/>
        <v/>
      </c>
      <c r="V49" s="61" t="str">
        <f t="shared" si="20"/>
        <v/>
      </c>
      <c r="W49" s="61" t="str">
        <f t="shared" si="21"/>
        <v/>
      </c>
      <c r="X49" s="61"/>
      <c r="Y49" s="61" t="str">
        <f t="shared" si="22"/>
        <v/>
      </c>
      <c r="Z49" s="61"/>
      <c r="AA49" s="61" t="str">
        <f t="shared" si="23"/>
        <v/>
      </c>
      <c r="AB49" s="61" t="str">
        <f t="shared" si="24"/>
        <v/>
      </c>
      <c r="AC49" s="61" t="str">
        <f t="shared" si="25"/>
        <v/>
      </c>
      <c r="AD49" s="61"/>
      <c r="AE49" s="61" t="str">
        <f t="shared" si="26"/>
        <v/>
      </c>
      <c r="AF49" s="61" t="str">
        <f t="shared" si="27"/>
        <v/>
      </c>
      <c r="AG49" s="61" t="str">
        <f t="shared" si="28"/>
        <v/>
      </c>
    </row>
    <row r="50" spans="1:33" x14ac:dyDescent="0.25">
      <c r="A50" s="36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56" t="str">
        <f t="shared" si="16"/>
        <v/>
      </c>
      <c r="O50" s="13" t="str">
        <f>IF(A50="","",IF(N50="",INDEX(_ゴミ箱_Backup!$B$89:$D$89,1,MATCH(言語切替!$B$3,_ゴミ箱_Backup!$B$1:$D$1,0)),IF(N50&gt;=1,INDEX(_ゴミ箱_Backup!$B$93:$D$93,1,MATCH(言語切替!$B$3,_ゴミ箱_Backup!$B$1:$D$1,0)),IF(N50&gt;=0.8,INDEX(_ゴミ箱_Backup!$B$91:$D$91,1,MATCH(言語切替!$B$3,_ゴミ箱_Backup!$B$1:$D$1,0)),INDEX(_ゴミ箱_Backup!$B$94:$D$94,1,MATCH(言語切替!$B$3,_ゴミ箱_Backup!$B$1:$D$1,0))))))</f>
        <v/>
      </c>
      <c r="P50" s="38"/>
      <c r="Q50" s="37"/>
      <c r="R50" s="39"/>
      <c r="S50" s="61" t="str">
        <f t="shared" si="17"/>
        <v/>
      </c>
      <c r="T50" s="61" t="str">
        <f t="shared" si="18"/>
        <v/>
      </c>
      <c r="U50" s="61" t="str">
        <f t="shared" si="19"/>
        <v/>
      </c>
      <c r="V50" s="61" t="str">
        <f t="shared" si="20"/>
        <v/>
      </c>
      <c r="W50" s="61" t="str">
        <f t="shared" si="21"/>
        <v/>
      </c>
      <c r="X50" s="61"/>
      <c r="Y50" s="61" t="str">
        <f t="shared" si="22"/>
        <v/>
      </c>
      <c r="Z50" s="61"/>
      <c r="AA50" s="61" t="str">
        <f t="shared" si="23"/>
        <v/>
      </c>
      <c r="AB50" s="61" t="str">
        <f t="shared" si="24"/>
        <v/>
      </c>
      <c r="AC50" s="61" t="str">
        <f t="shared" si="25"/>
        <v/>
      </c>
      <c r="AD50" s="61"/>
      <c r="AE50" s="61" t="str">
        <f t="shared" si="26"/>
        <v/>
      </c>
      <c r="AF50" s="61" t="str">
        <f t="shared" si="27"/>
        <v/>
      </c>
      <c r="AG50" s="61" t="str">
        <f t="shared" si="28"/>
        <v/>
      </c>
    </row>
    <row r="51" spans="1:33" x14ac:dyDescent="0.25">
      <c r="A51" s="40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57" t="str">
        <f t="shared" si="16"/>
        <v/>
      </c>
      <c r="O51" s="16" t="str">
        <f>IF(A51="","",IF(N51="",INDEX(_ゴミ箱_Backup!$B$89:$D$89,1,MATCH(言語切替!$B$3,_ゴミ箱_Backup!$B$1:$D$1,0)),IF(N51&gt;=1,INDEX(_ゴミ箱_Backup!$B$93:$D$93,1,MATCH(言語切替!$B$3,_ゴミ箱_Backup!$B$1:$D$1,0)),IF(N51&gt;=0.8,INDEX(_ゴミ箱_Backup!$B$91:$D$91,1,MATCH(言語切替!$B$3,_ゴミ箱_Backup!$B$1:$D$1,0)),INDEX(_ゴミ箱_Backup!$B$94:$D$94,1,MATCH(言語切替!$B$3,_ゴミ箱_Backup!$B$1:$D$1,0))))))</f>
        <v/>
      </c>
      <c r="P51" s="42"/>
      <c r="Q51" s="41"/>
      <c r="R51" s="43"/>
      <c r="S51" s="61" t="str">
        <f t="shared" si="17"/>
        <v/>
      </c>
      <c r="T51" s="61" t="str">
        <f t="shared" si="18"/>
        <v/>
      </c>
      <c r="U51" s="61" t="str">
        <f t="shared" si="19"/>
        <v/>
      </c>
      <c r="V51" s="61" t="str">
        <f t="shared" si="20"/>
        <v/>
      </c>
      <c r="W51" s="61" t="str">
        <f t="shared" si="21"/>
        <v/>
      </c>
      <c r="X51" s="61"/>
      <c r="Y51" s="61" t="str">
        <f t="shared" si="22"/>
        <v/>
      </c>
      <c r="Z51" s="61"/>
      <c r="AA51" s="61" t="str">
        <f t="shared" si="23"/>
        <v/>
      </c>
      <c r="AB51" s="61" t="str">
        <f t="shared" si="24"/>
        <v/>
      </c>
      <c r="AC51" s="61" t="str">
        <f t="shared" si="25"/>
        <v/>
      </c>
      <c r="AD51" s="61"/>
      <c r="AE51" s="61" t="str">
        <f t="shared" si="26"/>
        <v/>
      </c>
      <c r="AF51" s="61" t="str">
        <f t="shared" si="27"/>
        <v/>
      </c>
      <c r="AG51" s="61" t="str">
        <f t="shared" si="28"/>
        <v/>
      </c>
    </row>
    <row r="52" spans="1:33" x14ac:dyDescent="0.25">
      <c r="A52" s="36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56" t="str">
        <f t="shared" si="16"/>
        <v/>
      </c>
      <c r="O52" s="13" t="str">
        <f>IF(A52="","",IF(N52="",INDEX(_ゴミ箱_Backup!$B$89:$D$89,1,MATCH(言語切替!$B$3,_ゴミ箱_Backup!$B$1:$D$1,0)),IF(N52&gt;=1,INDEX(_ゴミ箱_Backup!$B$93:$D$93,1,MATCH(言語切替!$B$3,_ゴミ箱_Backup!$B$1:$D$1,0)),IF(N52&gt;=0.8,INDEX(_ゴミ箱_Backup!$B$91:$D$91,1,MATCH(言語切替!$B$3,_ゴミ箱_Backup!$B$1:$D$1,0)),INDEX(_ゴミ箱_Backup!$B$94:$D$94,1,MATCH(言語切替!$B$3,_ゴミ箱_Backup!$B$1:$D$1,0))))))</f>
        <v/>
      </c>
      <c r="P52" s="38"/>
      <c r="Q52" s="37"/>
      <c r="R52" s="39"/>
      <c r="S52" s="61" t="str">
        <f t="shared" si="17"/>
        <v/>
      </c>
      <c r="T52" s="61" t="str">
        <f t="shared" si="18"/>
        <v/>
      </c>
      <c r="U52" s="61" t="str">
        <f t="shared" si="19"/>
        <v/>
      </c>
      <c r="V52" s="61" t="str">
        <f t="shared" si="20"/>
        <v/>
      </c>
      <c r="W52" s="61" t="str">
        <f t="shared" si="21"/>
        <v/>
      </c>
      <c r="X52" s="61"/>
      <c r="Y52" s="61" t="str">
        <f t="shared" si="22"/>
        <v/>
      </c>
      <c r="Z52" s="61"/>
      <c r="AA52" s="61" t="str">
        <f t="shared" si="23"/>
        <v/>
      </c>
      <c r="AB52" s="61" t="str">
        <f t="shared" si="24"/>
        <v/>
      </c>
      <c r="AC52" s="61" t="str">
        <f t="shared" si="25"/>
        <v/>
      </c>
      <c r="AD52" s="61"/>
      <c r="AE52" s="61" t="str">
        <f t="shared" si="26"/>
        <v/>
      </c>
      <c r="AF52" s="61" t="str">
        <f t="shared" si="27"/>
        <v/>
      </c>
      <c r="AG52" s="61" t="str">
        <f t="shared" si="28"/>
        <v/>
      </c>
    </row>
    <row r="53" spans="1:33" x14ac:dyDescent="0.25">
      <c r="A53" s="40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57" t="str">
        <f t="shared" si="16"/>
        <v/>
      </c>
      <c r="O53" s="16" t="str">
        <f>IF(A53="","",IF(N53="",INDEX(_ゴミ箱_Backup!$B$89:$D$89,1,MATCH(言語切替!$B$3,_ゴミ箱_Backup!$B$1:$D$1,0)),IF(N53&gt;=1,INDEX(_ゴミ箱_Backup!$B$93:$D$93,1,MATCH(言語切替!$B$3,_ゴミ箱_Backup!$B$1:$D$1,0)),IF(N53&gt;=0.8,INDEX(_ゴミ箱_Backup!$B$91:$D$91,1,MATCH(言語切替!$B$3,_ゴミ箱_Backup!$B$1:$D$1,0)),INDEX(_ゴミ箱_Backup!$B$94:$D$94,1,MATCH(言語切替!$B$3,_ゴミ箱_Backup!$B$1:$D$1,0))))))</f>
        <v/>
      </c>
      <c r="P53" s="42"/>
      <c r="Q53" s="41"/>
      <c r="R53" s="43"/>
      <c r="S53" s="61" t="str">
        <f t="shared" si="17"/>
        <v/>
      </c>
      <c r="T53" s="61" t="str">
        <f t="shared" si="18"/>
        <v/>
      </c>
      <c r="U53" s="61" t="str">
        <f t="shared" si="19"/>
        <v/>
      </c>
      <c r="V53" s="61" t="str">
        <f t="shared" si="20"/>
        <v/>
      </c>
      <c r="W53" s="61" t="str">
        <f t="shared" si="21"/>
        <v/>
      </c>
      <c r="X53" s="61"/>
      <c r="Y53" s="61" t="str">
        <f t="shared" si="22"/>
        <v/>
      </c>
      <c r="Z53" s="61"/>
      <c r="AA53" s="61" t="str">
        <f t="shared" si="23"/>
        <v/>
      </c>
      <c r="AB53" s="61" t="str">
        <f t="shared" si="24"/>
        <v/>
      </c>
      <c r="AC53" s="61" t="str">
        <f t="shared" si="25"/>
        <v/>
      </c>
      <c r="AD53" s="61"/>
      <c r="AE53" s="61" t="str">
        <f t="shared" si="26"/>
        <v/>
      </c>
      <c r="AF53" s="61" t="str">
        <f t="shared" si="27"/>
        <v/>
      </c>
      <c r="AG53" s="61" t="str">
        <f t="shared" si="28"/>
        <v/>
      </c>
    </row>
    <row r="54" spans="1:33" x14ac:dyDescent="0.25">
      <c r="A54" s="36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56" t="str">
        <f t="shared" si="16"/>
        <v/>
      </c>
      <c r="O54" s="13" t="str">
        <f>IF(A54="","",IF(N54="",INDEX(_ゴミ箱_Backup!$B$89:$D$89,1,MATCH(言語切替!$B$3,_ゴミ箱_Backup!$B$1:$D$1,0)),IF(N54&gt;=1,INDEX(_ゴミ箱_Backup!$B$93:$D$93,1,MATCH(言語切替!$B$3,_ゴミ箱_Backup!$B$1:$D$1,0)),IF(N54&gt;=0.8,INDEX(_ゴミ箱_Backup!$B$91:$D$91,1,MATCH(言語切替!$B$3,_ゴミ箱_Backup!$B$1:$D$1,0)),INDEX(_ゴミ箱_Backup!$B$94:$D$94,1,MATCH(言語切替!$B$3,_ゴミ箱_Backup!$B$1:$D$1,0))))))</f>
        <v/>
      </c>
      <c r="P54" s="38"/>
      <c r="Q54" s="37"/>
      <c r="R54" s="39"/>
      <c r="S54" s="61" t="str">
        <f t="shared" si="17"/>
        <v/>
      </c>
      <c r="T54" s="61" t="str">
        <f t="shared" si="18"/>
        <v/>
      </c>
      <c r="U54" s="61" t="str">
        <f t="shared" si="19"/>
        <v/>
      </c>
      <c r="V54" s="61" t="str">
        <f t="shared" si="20"/>
        <v/>
      </c>
      <c r="W54" s="61" t="str">
        <f t="shared" si="21"/>
        <v/>
      </c>
      <c r="X54" s="61"/>
      <c r="Y54" s="61" t="str">
        <f t="shared" si="22"/>
        <v/>
      </c>
      <c r="Z54" s="61"/>
      <c r="AA54" s="61" t="str">
        <f t="shared" si="23"/>
        <v/>
      </c>
      <c r="AB54" s="61" t="str">
        <f t="shared" si="24"/>
        <v/>
      </c>
      <c r="AC54" s="61" t="str">
        <f t="shared" si="25"/>
        <v/>
      </c>
      <c r="AD54" s="61"/>
      <c r="AE54" s="61" t="str">
        <f t="shared" si="26"/>
        <v/>
      </c>
      <c r="AF54" s="61" t="str">
        <f t="shared" si="27"/>
        <v/>
      </c>
      <c r="AG54" s="61" t="str">
        <f t="shared" si="28"/>
        <v/>
      </c>
    </row>
    <row r="55" spans="1:33" x14ac:dyDescent="0.25">
      <c r="A55" s="40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57" t="str">
        <f t="shared" si="16"/>
        <v/>
      </c>
      <c r="O55" s="16" t="str">
        <f>IF(A55="","",IF(N55="",INDEX(_ゴミ箱_Backup!$B$89:$D$89,1,MATCH(言語切替!$B$3,_ゴミ箱_Backup!$B$1:$D$1,0)),IF(N55&gt;=1,INDEX(_ゴミ箱_Backup!$B$93:$D$93,1,MATCH(言語切替!$B$3,_ゴミ箱_Backup!$B$1:$D$1,0)),IF(N55&gt;=0.8,INDEX(_ゴミ箱_Backup!$B$91:$D$91,1,MATCH(言語切替!$B$3,_ゴミ箱_Backup!$B$1:$D$1,0)),INDEX(_ゴミ箱_Backup!$B$94:$D$94,1,MATCH(言語切替!$B$3,_ゴミ箱_Backup!$B$1:$D$1,0))))))</f>
        <v/>
      </c>
      <c r="P55" s="42"/>
      <c r="Q55" s="41"/>
      <c r="R55" s="43"/>
      <c r="S55" s="61" t="str">
        <f t="shared" si="17"/>
        <v/>
      </c>
      <c r="T55" s="61" t="str">
        <f t="shared" si="18"/>
        <v/>
      </c>
      <c r="U55" s="61" t="str">
        <f t="shared" si="19"/>
        <v/>
      </c>
      <c r="V55" s="61" t="str">
        <f t="shared" si="20"/>
        <v/>
      </c>
      <c r="W55" s="61" t="str">
        <f t="shared" si="21"/>
        <v/>
      </c>
      <c r="X55" s="61"/>
      <c r="Y55" s="61" t="str">
        <f t="shared" si="22"/>
        <v/>
      </c>
      <c r="Z55" s="61"/>
      <c r="AA55" s="61" t="str">
        <f t="shared" si="23"/>
        <v/>
      </c>
      <c r="AB55" s="61" t="str">
        <f t="shared" si="24"/>
        <v/>
      </c>
      <c r="AC55" s="61" t="str">
        <f t="shared" si="25"/>
        <v/>
      </c>
      <c r="AD55" s="61"/>
      <c r="AE55" s="61" t="str">
        <f t="shared" si="26"/>
        <v/>
      </c>
      <c r="AF55" s="61" t="str">
        <f t="shared" si="27"/>
        <v/>
      </c>
      <c r="AG55" s="61" t="str">
        <f t="shared" si="28"/>
        <v/>
      </c>
    </row>
    <row r="56" spans="1:33" x14ac:dyDescent="0.25">
      <c r="A56" s="36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56" t="str">
        <f t="shared" si="16"/>
        <v/>
      </c>
      <c r="O56" s="13" t="str">
        <f>IF(A56="","",IF(N56="",INDEX(_ゴミ箱_Backup!$B$89:$D$89,1,MATCH(言語切替!$B$3,_ゴミ箱_Backup!$B$1:$D$1,0)),IF(N56&gt;=1,INDEX(_ゴミ箱_Backup!$B$93:$D$93,1,MATCH(言語切替!$B$3,_ゴミ箱_Backup!$B$1:$D$1,0)),IF(N56&gt;=0.8,INDEX(_ゴミ箱_Backup!$B$91:$D$91,1,MATCH(言語切替!$B$3,_ゴミ箱_Backup!$B$1:$D$1,0)),INDEX(_ゴミ箱_Backup!$B$94:$D$94,1,MATCH(言語切替!$B$3,_ゴミ箱_Backup!$B$1:$D$1,0))))))</f>
        <v/>
      </c>
      <c r="P56" s="38"/>
      <c r="Q56" s="37"/>
      <c r="R56" s="39"/>
      <c r="S56" s="61" t="str">
        <f t="shared" si="17"/>
        <v/>
      </c>
      <c r="T56" s="61" t="str">
        <f t="shared" si="18"/>
        <v/>
      </c>
      <c r="U56" s="61" t="str">
        <f t="shared" si="19"/>
        <v/>
      </c>
      <c r="V56" s="61" t="str">
        <f t="shared" si="20"/>
        <v/>
      </c>
      <c r="W56" s="61" t="str">
        <f t="shared" si="21"/>
        <v/>
      </c>
      <c r="X56" s="61"/>
      <c r="Y56" s="61" t="str">
        <f t="shared" si="22"/>
        <v/>
      </c>
      <c r="Z56" s="61"/>
      <c r="AA56" s="61" t="str">
        <f t="shared" si="23"/>
        <v/>
      </c>
      <c r="AB56" s="61" t="str">
        <f t="shared" si="24"/>
        <v/>
      </c>
      <c r="AC56" s="61" t="str">
        <f t="shared" si="25"/>
        <v/>
      </c>
      <c r="AD56" s="61"/>
      <c r="AE56" s="61" t="str">
        <f t="shared" si="26"/>
        <v/>
      </c>
      <c r="AF56" s="61" t="str">
        <f t="shared" si="27"/>
        <v/>
      </c>
      <c r="AG56" s="61" t="str">
        <f t="shared" si="28"/>
        <v/>
      </c>
    </row>
    <row r="57" spans="1:33" x14ac:dyDescent="0.25">
      <c r="A57" s="40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57" t="str">
        <f t="shared" si="16"/>
        <v/>
      </c>
      <c r="O57" s="16" t="str">
        <f>IF(A57="","",IF(N57="",INDEX(_ゴミ箱_Backup!$B$89:$D$89,1,MATCH(言語切替!$B$3,_ゴミ箱_Backup!$B$1:$D$1,0)),IF(N57&gt;=1,INDEX(_ゴミ箱_Backup!$B$93:$D$93,1,MATCH(言語切替!$B$3,_ゴミ箱_Backup!$B$1:$D$1,0)),IF(N57&gt;=0.8,INDEX(_ゴミ箱_Backup!$B$91:$D$91,1,MATCH(言語切替!$B$3,_ゴミ箱_Backup!$B$1:$D$1,0)),INDEX(_ゴミ箱_Backup!$B$94:$D$94,1,MATCH(言語切替!$B$3,_ゴミ箱_Backup!$B$1:$D$1,0))))))</f>
        <v/>
      </c>
      <c r="P57" s="42"/>
      <c r="Q57" s="41"/>
      <c r="R57" s="43"/>
      <c r="S57" s="61" t="str">
        <f t="shared" si="17"/>
        <v/>
      </c>
      <c r="T57" s="61" t="str">
        <f t="shared" si="18"/>
        <v/>
      </c>
      <c r="U57" s="61" t="str">
        <f t="shared" si="19"/>
        <v/>
      </c>
      <c r="V57" s="61" t="str">
        <f t="shared" si="20"/>
        <v/>
      </c>
      <c r="W57" s="61" t="str">
        <f t="shared" si="21"/>
        <v/>
      </c>
      <c r="X57" s="61"/>
      <c r="Y57" s="61" t="str">
        <f t="shared" si="22"/>
        <v/>
      </c>
      <c r="Z57" s="61"/>
      <c r="AA57" s="61" t="str">
        <f t="shared" si="23"/>
        <v/>
      </c>
      <c r="AB57" s="61" t="str">
        <f t="shared" si="24"/>
        <v/>
      </c>
      <c r="AC57" s="61" t="str">
        <f t="shared" si="25"/>
        <v/>
      </c>
      <c r="AD57" s="61"/>
      <c r="AE57" s="61" t="str">
        <f t="shared" si="26"/>
        <v/>
      </c>
      <c r="AF57" s="61" t="str">
        <f t="shared" si="27"/>
        <v/>
      </c>
      <c r="AG57" s="61" t="str">
        <f t="shared" si="28"/>
        <v/>
      </c>
    </row>
    <row r="58" spans="1:33" x14ac:dyDescent="0.25">
      <c r="A58" s="36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56" t="str">
        <f t="shared" si="16"/>
        <v/>
      </c>
      <c r="O58" s="13" t="str">
        <f>IF(A58="","",IF(N58="",INDEX(_ゴミ箱_Backup!$B$89:$D$89,1,MATCH(言語切替!$B$3,_ゴミ箱_Backup!$B$1:$D$1,0)),IF(N58&gt;=1,INDEX(_ゴミ箱_Backup!$B$93:$D$93,1,MATCH(言語切替!$B$3,_ゴミ箱_Backup!$B$1:$D$1,0)),IF(N58&gt;=0.8,INDEX(_ゴミ箱_Backup!$B$91:$D$91,1,MATCH(言語切替!$B$3,_ゴミ箱_Backup!$B$1:$D$1,0)),INDEX(_ゴミ箱_Backup!$B$94:$D$94,1,MATCH(言語切替!$B$3,_ゴミ箱_Backup!$B$1:$D$1,0))))))</f>
        <v/>
      </c>
      <c r="P58" s="38"/>
      <c r="Q58" s="37"/>
      <c r="R58" s="39"/>
      <c r="S58" s="61" t="str">
        <f t="shared" si="17"/>
        <v/>
      </c>
      <c r="T58" s="61" t="str">
        <f t="shared" si="18"/>
        <v/>
      </c>
      <c r="U58" s="61" t="str">
        <f t="shared" si="19"/>
        <v/>
      </c>
      <c r="V58" s="61" t="str">
        <f t="shared" si="20"/>
        <v/>
      </c>
      <c r="W58" s="61" t="str">
        <f t="shared" si="21"/>
        <v/>
      </c>
      <c r="X58" s="61"/>
      <c r="Y58" s="61" t="str">
        <f t="shared" si="22"/>
        <v/>
      </c>
      <c r="Z58" s="61"/>
      <c r="AA58" s="61" t="str">
        <f t="shared" si="23"/>
        <v/>
      </c>
      <c r="AB58" s="61" t="str">
        <f t="shared" si="24"/>
        <v/>
      </c>
      <c r="AC58" s="61" t="str">
        <f t="shared" si="25"/>
        <v/>
      </c>
      <c r="AD58" s="61"/>
      <c r="AE58" s="61" t="str">
        <f t="shared" si="26"/>
        <v/>
      </c>
      <c r="AF58" s="61" t="str">
        <f t="shared" si="27"/>
        <v/>
      </c>
      <c r="AG58" s="61" t="str">
        <f t="shared" si="28"/>
        <v/>
      </c>
    </row>
    <row r="59" spans="1:33" x14ac:dyDescent="0.25">
      <c r="A59" s="40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57" t="str">
        <f t="shared" si="16"/>
        <v/>
      </c>
      <c r="O59" s="16" t="str">
        <f>IF(A59="","",IF(N59="",INDEX(_ゴミ箱_Backup!$B$89:$D$89,1,MATCH(言語切替!$B$3,_ゴミ箱_Backup!$B$1:$D$1,0)),IF(N59&gt;=1,INDEX(_ゴミ箱_Backup!$B$93:$D$93,1,MATCH(言語切替!$B$3,_ゴミ箱_Backup!$B$1:$D$1,0)),IF(N59&gt;=0.8,INDEX(_ゴミ箱_Backup!$B$91:$D$91,1,MATCH(言語切替!$B$3,_ゴミ箱_Backup!$B$1:$D$1,0)),INDEX(_ゴミ箱_Backup!$B$94:$D$94,1,MATCH(言語切替!$B$3,_ゴミ箱_Backup!$B$1:$D$1,0))))))</f>
        <v/>
      </c>
      <c r="P59" s="42"/>
      <c r="Q59" s="41"/>
      <c r="R59" s="43"/>
      <c r="S59" s="61" t="str">
        <f t="shared" si="17"/>
        <v/>
      </c>
      <c r="T59" s="61" t="str">
        <f t="shared" si="18"/>
        <v/>
      </c>
      <c r="U59" s="61" t="str">
        <f t="shared" si="19"/>
        <v/>
      </c>
      <c r="V59" s="61" t="str">
        <f t="shared" si="20"/>
        <v/>
      </c>
      <c r="W59" s="61" t="str">
        <f t="shared" si="21"/>
        <v/>
      </c>
      <c r="X59" s="61"/>
      <c r="Y59" s="61" t="str">
        <f t="shared" si="22"/>
        <v/>
      </c>
      <c r="Z59" s="61"/>
      <c r="AA59" s="61" t="str">
        <f t="shared" si="23"/>
        <v/>
      </c>
      <c r="AB59" s="61" t="str">
        <f t="shared" si="24"/>
        <v/>
      </c>
      <c r="AC59" s="61" t="str">
        <f t="shared" si="25"/>
        <v/>
      </c>
      <c r="AD59" s="61"/>
      <c r="AE59" s="61" t="str">
        <f t="shared" si="26"/>
        <v/>
      </c>
      <c r="AF59" s="61" t="str">
        <f t="shared" si="27"/>
        <v/>
      </c>
      <c r="AG59" s="61" t="str">
        <f t="shared" si="28"/>
        <v/>
      </c>
    </row>
    <row r="60" spans="1:33" x14ac:dyDescent="0.25">
      <c r="A60" s="36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56" t="str">
        <f t="shared" si="16"/>
        <v/>
      </c>
      <c r="O60" s="13" t="str">
        <f>IF(A60="","",IF(N60="",INDEX(_ゴミ箱_Backup!$B$89:$D$89,1,MATCH(言語切替!$B$3,_ゴミ箱_Backup!$B$1:$D$1,0)),IF(N60&gt;=1,INDEX(_ゴミ箱_Backup!$B$93:$D$93,1,MATCH(言語切替!$B$3,_ゴミ箱_Backup!$B$1:$D$1,0)),IF(N60&gt;=0.8,INDEX(_ゴミ箱_Backup!$B$91:$D$91,1,MATCH(言語切替!$B$3,_ゴミ箱_Backup!$B$1:$D$1,0)),INDEX(_ゴミ箱_Backup!$B$94:$D$94,1,MATCH(言語切替!$B$3,_ゴミ箱_Backup!$B$1:$D$1,0))))))</f>
        <v/>
      </c>
      <c r="P60" s="38"/>
      <c r="Q60" s="37"/>
      <c r="R60" s="39"/>
      <c r="S60" s="61" t="str">
        <f t="shared" si="17"/>
        <v/>
      </c>
      <c r="T60" s="61" t="str">
        <f t="shared" si="18"/>
        <v/>
      </c>
      <c r="U60" s="61" t="str">
        <f t="shared" si="19"/>
        <v/>
      </c>
      <c r="V60" s="61" t="str">
        <f t="shared" si="20"/>
        <v/>
      </c>
      <c r="W60" s="61" t="str">
        <f t="shared" si="21"/>
        <v/>
      </c>
      <c r="X60" s="61"/>
      <c r="Y60" s="61" t="str">
        <f t="shared" si="22"/>
        <v/>
      </c>
      <c r="Z60" s="61"/>
      <c r="AA60" s="61" t="str">
        <f t="shared" si="23"/>
        <v/>
      </c>
      <c r="AB60" s="61" t="str">
        <f t="shared" si="24"/>
        <v/>
      </c>
      <c r="AC60" s="61" t="str">
        <f t="shared" si="25"/>
        <v/>
      </c>
      <c r="AD60" s="61"/>
      <c r="AE60" s="61" t="str">
        <f t="shared" si="26"/>
        <v/>
      </c>
      <c r="AF60" s="61" t="str">
        <f t="shared" si="27"/>
        <v/>
      </c>
      <c r="AG60" s="61" t="str">
        <f t="shared" si="28"/>
        <v/>
      </c>
    </row>
    <row r="61" spans="1:33" x14ac:dyDescent="0.25">
      <c r="A61" s="40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57" t="str">
        <f t="shared" si="16"/>
        <v/>
      </c>
      <c r="O61" s="16" t="str">
        <f>IF(A61="","",IF(N61="",INDEX(_ゴミ箱_Backup!$B$89:$D$89,1,MATCH(言語切替!$B$3,_ゴミ箱_Backup!$B$1:$D$1,0)),IF(N61&gt;=1,INDEX(_ゴミ箱_Backup!$B$93:$D$93,1,MATCH(言語切替!$B$3,_ゴミ箱_Backup!$B$1:$D$1,0)),IF(N61&gt;=0.8,INDEX(_ゴミ箱_Backup!$B$91:$D$91,1,MATCH(言語切替!$B$3,_ゴミ箱_Backup!$B$1:$D$1,0)),INDEX(_ゴミ箱_Backup!$B$94:$D$94,1,MATCH(言語切替!$B$3,_ゴミ箱_Backup!$B$1:$D$1,0))))))</f>
        <v/>
      </c>
      <c r="P61" s="42"/>
      <c r="Q61" s="41"/>
      <c r="R61" s="43"/>
      <c r="S61" s="61" t="str">
        <f t="shared" si="17"/>
        <v/>
      </c>
      <c r="T61" s="61" t="str">
        <f t="shared" si="18"/>
        <v/>
      </c>
      <c r="U61" s="61" t="str">
        <f t="shared" si="19"/>
        <v/>
      </c>
      <c r="V61" s="61" t="str">
        <f t="shared" si="20"/>
        <v/>
      </c>
      <c r="W61" s="61" t="str">
        <f t="shared" si="21"/>
        <v/>
      </c>
      <c r="X61" s="61"/>
      <c r="Y61" s="61" t="str">
        <f t="shared" si="22"/>
        <v/>
      </c>
      <c r="Z61" s="61"/>
      <c r="AA61" s="61" t="str">
        <f t="shared" si="23"/>
        <v/>
      </c>
      <c r="AB61" s="61" t="str">
        <f t="shared" si="24"/>
        <v/>
      </c>
      <c r="AC61" s="61" t="str">
        <f t="shared" si="25"/>
        <v/>
      </c>
      <c r="AD61" s="61"/>
      <c r="AE61" s="61" t="str">
        <f t="shared" si="26"/>
        <v/>
      </c>
      <c r="AF61" s="61" t="str">
        <f t="shared" si="27"/>
        <v/>
      </c>
      <c r="AG61" s="61" t="str">
        <f t="shared" si="28"/>
        <v/>
      </c>
    </row>
    <row r="62" spans="1:33" x14ac:dyDescent="0.25">
      <c r="A62" s="36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56" t="str">
        <f t="shared" si="16"/>
        <v/>
      </c>
      <c r="O62" s="13" t="str">
        <f>IF(A62="","",IF(N62="",INDEX(_ゴミ箱_Backup!$B$89:$D$89,1,MATCH(言語切替!$B$3,_ゴミ箱_Backup!$B$1:$D$1,0)),IF(N62&gt;=1,INDEX(_ゴミ箱_Backup!$B$93:$D$93,1,MATCH(言語切替!$B$3,_ゴミ箱_Backup!$B$1:$D$1,0)),IF(N62&gt;=0.8,INDEX(_ゴミ箱_Backup!$B$91:$D$91,1,MATCH(言語切替!$B$3,_ゴミ箱_Backup!$B$1:$D$1,0)),INDEX(_ゴミ箱_Backup!$B$94:$D$94,1,MATCH(言語切替!$B$3,_ゴミ箱_Backup!$B$1:$D$1,0))))))</f>
        <v/>
      </c>
      <c r="P62" s="38"/>
      <c r="Q62" s="37"/>
      <c r="R62" s="39"/>
      <c r="S62" s="61" t="str">
        <f t="shared" si="17"/>
        <v/>
      </c>
      <c r="T62" s="61" t="str">
        <f t="shared" si="18"/>
        <v/>
      </c>
      <c r="U62" s="61" t="str">
        <f t="shared" si="19"/>
        <v/>
      </c>
      <c r="V62" s="61" t="str">
        <f t="shared" si="20"/>
        <v/>
      </c>
      <c r="W62" s="61" t="str">
        <f t="shared" si="21"/>
        <v/>
      </c>
      <c r="X62" s="61"/>
      <c r="Y62" s="61" t="str">
        <f t="shared" si="22"/>
        <v/>
      </c>
      <c r="Z62" s="61"/>
      <c r="AA62" s="61" t="str">
        <f t="shared" si="23"/>
        <v/>
      </c>
      <c r="AB62" s="61" t="str">
        <f t="shared" si="24"/>
        <v/>
      </c>
      <c r="AC62" s="61" t="str">
        <f t="shared" si="25"/>
        <v/>
      </c>
      <c r="AD62" s="61"/>
      <c r="AE62" s="61" t="str">
        <f t="shared" si="26"/>
        <v/>
      </c>
      <c r="AF62" s="61" t="str">
        <f t="shared" si="27"/>
        <v/>
      </c>
      <c r="AG62" s="61" t="str">
        <f t="shared" si="28"/>
        <v/>
      </c>
    </row>
    <row r="63" spans="1:33" x14ac:dyDescent="0.25">
      <c r="A63" s="40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57" t="str">
        <f t="shared" si="16"/>
        <v/>
      </c>
      <c r="O63" s="16" t="str">
        <f>IF(A63="","",IF(N63="",INDEX(_ゴミ箱_Backup!$B$89:$D$89,1,MATCH(言語切替!$B$3,_ゴミ箱_Backup!$B$1:$D$1,0)),IF(N63&gt;=1,INDEX(_ゴミ箱_Backup!$B$93:$D$93,1,MATCH(言語切替!$B$3,_ゴミ箱_Backup!$B$1:$D$1,0)),IF(N63&gt;=0.8,INDEX(_ゴミ箱_Backup!$B$91:$D$91,1,MATCH(言語切替!$B$3,_ゴミ箱_Backup!$B$1:$D$1,0)),INDEX(_ゴミ箱_Backup!$B$94:$D$94,1,MATCH(言語切替!$B$3,_ゴミ箱_Backup!$B$1:$D$1,0))))))</f>
        <v/>
      </c>
      <c r="P63" s="42"/>
      <c r="Q63" s="41"/>
      <c r="R63" s="43"/>
      <c r="S63" s="61" t="str">
        <f t="shared" si="17"/>
        <v/>
      </c>
      <c r="T63" s="61" t="str">
        <f t="shared" si="18"/>
        <v/>
      </c>
      <c r="U63" s="61" t="str">
        <f t="shared" si="19"/>
        <v/>
      </c>
      <c r="V63" s="61" t="str">
        <f t="shared" si="20"/>
        <v/>
      </c>
      <c r="W63" s="61" t="str">
        <f t="shared" si="21"/>
        <v/>
      </c>
      <c r="X63" s="61"/>
      <c r="Y63" s="61" t="str">
        <f t="shared" si="22"/>
        <v/>
      </c>
      <c r="Z63" s="61"/>
      <c r="AA63" s="61" t="str">
        <f t="shared" si="23"/>
        <v/>
      </c>
      <c r="AB63" s="61" t="str">
        <f t="shared" si="24"/>
        <v/>
      </c>
      <c r="AC63" s="61" t="str">
        <f t="shared" si="25"/>
        <v/>
      </c>
      <c r="AD63" s="61"/>
      <c r="AE63" s="61" t="str">
        <f t="shared" si="26"/>
        <v/>
      </c>
      <c r="AF63" s="61" t="str">
        <f t="shared" si="27"/>
        <v/>
      </c>
      <c r="AG63" s="61" t="str">
        <f t="shared" si="28"/>
        <v/>
      </c>
    </row>
    <row r="64" spans="1:33" x14ac:dyDescent="0.25">
      <c r="A64" s="36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56" t="str">
        <f t="shared" si="16"/>
        <v/>
      </c>
      <c r="O64" s="13" t="str">
        <f>IF(A64="","",IF(N64="",INDEX(_ゴミ箱_Backup!$B$89:$D$89,1,MATCH(言語切替!$B$3,_ゴミ箱_Backup!$B$1:$D$1,0)),IF(N64&gt;=1,INDEX(_ゴミ箱_Backup!$B$93:$D$93,1,MATCH(言語切替!$B$3,_ゴミ箱_Backup!$B$1:$D$1,0)),IF(N64&gt;=0.8,INDEX(_ゴミ箱_Backup!$B$91:$D$91,1,MATCH(言語切替!$B$3,_ゴミ箱_Backup!$B$1:$D$1,0)),INDEX(_ゴミ箱_Backup!$B$94:$D$94,1,MATCH(言語切替!$B$3,_ゴミ箱_Backup!$B$1:$D$1,0))))))</f>
        <v/>
      </c>
      <c r="P64" s="38"/>
      <c r="Q64" s="37"/>
      <c r="R64" s="39"/>
      <c r="S64" s="61" t="str">
        <f t="shared" si="17"/>
        <v/>
      </c>
      <c r="T64" s="61" t="str">
        <f t="shared" si="18"/>
        <v/>
      </c>
      <c r="U64" s="61" t="str">
        <f t="shared" si="19"/>
        <v/>
      </c>
      <c r="V64" s="61" t="str">
        <f t="shared" si="20"/>
        <v/>
      </c>
      <c r="W64" s="61" t="str">
        <f t="shared" si="21"/>
        <v/>
      </c>
      <c r="X64" s="61"/>
      <c r="Y64" s="61" t="str">
        <f t="shared" si="22"/>
        <v/>
      </c>
      <c r="Z64" s="61"/>
      <c r="AA64" s="61" t="str">
        <f t="shared" si="23"/>
        <v/>
      </c>
      <c r="AB64" s="61" t="str">
        <f t="shared" si="24"/>
        <v/>
      </c>
      <c r="AC64" s="61" t="str">
        <f t="shared" si="25"/>
        <v/>
      </c>
      <c r="AD64" s="61"/>
      <c r="AE64" s="61" t="str">
        <f t="shared" si="26"/>
        <v/>
      </c>
      <c r="AF64" s="61" t="str">
        <f t="shared" si="27"/>
        <v/>
      </c>
      <c r="AG64" s="61" t="str">
        <f t="shared" si="28"/>
        <v/>
      </c>
    </row>
    <row r="65" spans="1:33" x14ac:dyDescent="0.25">
      <c r="A65" s="40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57" t="str">
        <f t="shared" si="16"/>
        <v/>
      </c>
      <c r="O65" s="16" t="str">
        <f>IF(A65="","",IF(N65="",INDEX(_ゴミ箱_Backup!$B$89:$D$89,1,MATCH(言語切替!$B$3,_ゴミ箱_Backup!$B$1:$D$1,0)),IF(N65&gt;=1,INDEX(_ゴミ箱_Backup!$B$93:$D$93,1,MATCH(言語切替!$B$3,_ゴミ箱_Backup!$B$1:$D$1,0)),IF(N65&gt;=0.8,INDEX(_ゴミ箱_Backup!$B$91:$D$91,1,MATCH(言語切替!$B$3,_ゴミ箱_Backup!$B$1:$D$1,0)),INDEX(_ゴミ箱_Backup!$B$94:$D$94,1,MATCH(言語切替!$B$3,_ゴミ箱_Backup!$B$1:$D$1,0))))))</f>
        <v/>
      </c>
      <c r="P65" s="42"/>
      <c r="Q65" s="41"/>
      <c r="R65" s="43"/>
      <c r="S65" s="61" t="str">
        <f t="shared" si="17"/>
        <v/>
      </c>
      <c r="T65" s="61" t="str">
        <f t="shared" si="18"/>
        <v/>
      </c>
      <c r="U65" s="61" t="str">
        <f t="shared" si="19"/>
        <v/>
      </c>
      <c r="V65" s="61" t="str">
        <f t="shared" si="20"/>
        <v/>
      </c>
      <c r="W65" s="61" t="str">
        <f t="shared" si="21"/>
        <v/>
      </c>
      <c r="X65" s="61"/>
      <c r="Y65" s="61" t="str">
        <f t="shared" si="22"/>
        <v/>
      </c>
      <c r="Z65" s="61"/>
      <c r="AA65" s="61" t="str">
        <f t="shared" si="23"/>
        <v/>
      </c>
      <c r="AB65" s="61" t="str">
        <f t="shared" si="24"/>
        <v/>
      </c>
      <c r="AC65" s="61" t="str">
        <f t="shared" si="25"/>
        <v/>
      </c>
      <c r="AD65" s="61"/>
      <c r="AE65" s="61" t="str">
        <f t="shared" si="26"/>
        <v/>
      </c>
      <c r="AF65" s="61" t="str">
        <f t="shared" si="27"/>
        <v/>
      </c>
      <c r="AG65" s="61" t="str">
        <f t="shared" si="28"/>
        <v/>
      </c>
    </row>
    <row r="66" spans="1:33" x14ac:dyDescent="0.25">
      <c r="A66" s="36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56" t="str">
        <f t="shared" si="16"/>
        <v/>
      </c>
      <c r="O66" s="13" t="str">
        <f>IF(A66="","",IF(N66="",INDEX(_ゴミ箱_Backup!$B$89:$D$89,1,MATCH(言語切替!$B$3,_ゴミ箱_Backup!$B$1:$D$1,0)),IF(N66&gt;=1,INDEX(_ゴミ箱_Backup!$B$93:$D$93,1,MATCH(言語切替!$B$3,_ゴミ箱_Backup!$B$1:$D$1,0)),IF(N66&gt;=0.8,INDEX(_ゴミ箱_Backup!$B$91:$D$91,1,MATCH(言語切替!$B$3,_ゴミ箱_Backup!$B$1:$D$1,0)),INDEX(_ゴミ箱_Backup!$B$94:$D$94,1,MATCH(言語切替!$B$3,_ゴミ箱_Backup!$B$1:$D$1,0))))))</f>
        <v/>
      </c>
      <c r="P66" s="38"/>
      <c r="Q66" s="37"/>
      <c r="R66" s="39"/>
      <c r="S66" s="61" t="str">
        <f t="shared" si="17"/>
        <v/>
      </c>
      <c r="T66" s="61" t="str">
        <f t="shared" si="18"/>
        <v/>
      </c>
      <c r="U66" s="61" t="str">
        <f t="shared" si="19"/>
        <v/>
      </c>
      <c r="V66" s="61" t="str">
        <f t="shared" si="20"/>
        <v/>
      </c>
      <c r="W66" s="61" t="str">
        <f t="shared" si="21"/>
        <v/>
      </c>
      <c r="X66" s="61"/>
      <c r="Y66" s="61" t="str">
        <f t="shared" si="22"/>
        <v/>
      </c>
      <c r="Z66" s="61"/>
      <c r="AA66" s="61" t="str">
        <f t="shared" si="23"/>
        <v/>
      </c>
      <c r="AB66" s="61" t="str">
        <f t="shared" si="24"/>
        <v/>
      </c>
      <c r="AC66" s="61" t="str">
        <f t="shared" si="25"/>
        <v/>
      </c>
      <c r="AD66" s="61"/>
      <c r="AE66" s="61" t="str">
        <f t="shared" si="26"/>
        <v/>
      </c>
      <c r="AF66" s="61" t="str">
        <f t="shared" si="27"/>
        <v/>
      </c>
      <c r="AG66" s="61" t="str">
        <f t="shared" si="28"/>
        <v/>
      </c>
    </row>
    <row r="67" spans="1:33" x14ac:dyDescent="0.25">
      <c r="A67" s="40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57" t="str">
        <f t="shared" si="16"/>
        <v/>
      </c>
      <c r="O67" s="16" t="str">
        <f>IF(A67="","",IF(N67="",INDEX(_ゴミ箱_Backup!$B$89:$D$89,1,MATCH(言語切替!$B$3,_ゴミ箱_Backup!$B$1:$D$1,0)),IF(N67&gt;=1,INDEX(_ゴミ箱_Backup!$B$93:$D$93,1,MATCH(言語切替!$B$3,_ゴミ箱_Backup!$B$1:$D$1,0)),IF(N67&gt;=0.8,INDEX(_ゴミ箱_Backup!$B$91:$D$91,1,MATCH(言語切替!$B$3,_ゴミ箱_Backup!$B$1:$D$1,0)),INDEX(_ゴミ箱_Backup!$B$94:$D$94,1,MATCH(言語切替!$B$3,_ゴミ箱_Backup!$B$1:$D$1,0))))))</f>
        <v/>
      </c>
      <c r="P67" s="42"/>
      <c r="Q67" s="41"/>
      <c r="R67" s="43"/>
      <c r="S67" s="61" t="str">
        <f t="shared" si="17"/>
        <v/>
      </c>
      <c r="T67" s="61" t="str">
        <f t="shared" si="18"/>
        <v/>
      </c>
      <c r="U67" s="61" t="str">
        <f t="shared" si="19"/>
        <v/>
      </c>
      <c r="V67" s="61" t="str">
        <f t="shared" si="20"/>
        <v/>
      </c>
      <c r="W67" s="61" t="str">
        <f t="shared" si="21"/>
        <v/>
      </c>
      <c r="X67" s="61"/>
      <c r="Y67" s="61" t="str">
        <f t="shared" si="22"/>
        <v/>
      </c>
      <c r="Z67" s="61"/>
      <c r="AA67" s="61" t="str">
        <f t="shared" si="23"/>
        <v/>
      </c>
      <c r="AB67" s="61" t="str">
        <f t="shared" si="24"/>
        <v/>
      </c>
      <c r="AC67" s="61" t="str">
        <f t="shared" si="25"/>
        <v/>
      </c>
      <c r="AD67" s="61"/>
      <c r="AE67" s="61" t="str">
        <f t="shared" si="26"/>
        <v/>
      </c>
      <c r="AF67" s="61" t="str">
        <f t="shared" si="27"/>
        <v/>
      </c>
      <c r="AG67" s="61" t="str">
        <f t="shared" si="28"/>
        <v/>
      </c>
    </row>
    <row r="68" spans="1:33" x14ac:dyDescent="0.25">
      <c r="A68" s="36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56" t="str">
        <f t="shared" si="16"/>
        <v/>
      </c>
      <c r="O68" s="13" t="str">
        <f>IF(A68="","",IF(N68="",INDEX(_ゴミ箱_Backup!$B$89:$D$89,1,MATCH(言語切替!$B$3,_ゴミ箱_Backup!$B$1:$D$1,0)),IF(N68&gt;=1,INDEX(_ゴミ箱_Backup!$B$93:$D$93,1,MATCH(言語切替!$B$3,_ゴミ箱_Backup!$B$1:$D$1,0)),IF(N68&gt;=0.8,INDEX(_ゴミ箱_Backup!$B$91:$D$91,1,MATCH(言語切替!$B$3,_ゴミ箱_Backup!$B$1:$D$1,0)),INDEX(_ゴミ箱_Backup!$B$94:$D$94,1,MATCH(言語切替!$B$3,_ゴミ箱_Backup!$B$1:$D$1,0))))))</f>
        <v/>
      </c>
      <c r="P68" s="38"/>
      <c r="Q68" s="37"/>
      <c r="R68" s="39"/>
      <c r="S68" s="61" t="str">
        <f t="shared" si="17"/>
        <v/>
      </c>
      <c r="T68" s="61" t="str">
        <f t="shared" si="18"/>
        <v/>
      </c>
      <c r="U68" s="61" t="str">
        <f t="shared" si="19"/>
        <v/>
      </c>
      <c r="V68" s="61" t="str">
        <f t="shared" si="20"/>
        <v/>
      </c>
      <c r="W68" s="61" t="str">
        <f t="shared" si="21"/>
        <v/>
      </c>
      <c r="X68" s="61"/>
      <c r="Y68" s="61" t="str">
        <f t="shared" si="22"/>
        <v/>
      </c>
      <c r="Z68" s="61"/>
      <c r="AA68" s="61" t="str">
        <f t="shared" si="23"/>
        <v/>
      </c>
      <c r="AB68" s="61" t="str">
        <f t="shared" si="24"/>
        <v/>
      </c>
      <c r="AC68" s="61" t="str">
        <f t="shared" si="25"/>
        <v/>
      </c>
      <c r="AD68" s="61"/>
      <c r="AE68" s="61" t="str">
        <f t="shared" si="26"/>
        <v/>
      </c>
      <c r="AF68" s="61" t="str">
        <f t="shared" si="27"/>
        <v/>
      </c>
      <c r="AG68" s="61" t="str">
        <f t="shared" si="28"/>
        <v/>
      </c>
    </row>
    <row r="69" spans="1:33" x14ac:dyDescent="0.25">
      <c r="A69" s="40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57" t="str">
        <f t="shared" ref="N69:N100" si="29">IF(OR(L69="",M69=""),"",IF(L69=0,"",M69/L69))</f>
        <v/>
      </c>
      <c r="O69" s="16" t="str">
        <f>IF(A69="","",IF(N69="",INDEX(_ゴミ箱_Backup!$B$89:$D$89,1,MATCH(言語切替!$B$3,_ゴミ箱_Backup!$B$1:$D$1,0)),IF(N69&gt;=1,INDEX(_ゴミ箱_Backup!$B$93:$D$93,1,MATCH(言語切替!$B$3,_ゴミ箱_Backup!$B$1:$D$1,0)),IF(N69&gt;=0.8,INDEX(_ゴミ箱_Backup!$B$91:$D$91,1,MATCH(言語切替!$B$3,_ゴミ箱_Backup!$B$1:$D$1,0)),INDEX(_ゴミ箱_Backup!$B$94:$D$94,1,MATCH(言語切替!$B$3,_ゴミ箱_Backup!$B$1:$D$1,0))))))</f>
        <v/>
      </c>
      <c r="P69" s="42"/>
      <c r="Q69" s="41"/>
      <c r="R69" s="43"/>
      <c r="S69" s="61" t="str">
        <f t="shared" ref="S69:S100" si="30">IF(D69="","",IFERROR(_xlfn.TRANSLATE(D69,,"ja"),""))</f>
        <v/>
      </c>
      <c r="T69" s="61" t="str">
        <f t="shared" ref="T69:T100" si="31">IF(D69="","",IFERROR(_xlfn.TRANSLATE(D69,,"zh-Hans"),""))</f>
        <v/>
      </c>
      <c r="U69" s="61" t="str">
        <f t="shared" ref="U69:U100" si="32">IF(D69="","",IFERROR(_xlfn.TRANSLATE(D69,,"vi"),""))</f>
        <v/>
      </c>
      <c r="V69" s="61" t="str">
        <f t="shared" ref="V69:V100" si="33">IF(E69="","",IFERROR(_xlfn.TRANSLATE(E69,,"ja"),""))</f>
        <v/>
      </c>
      <c r="W69" s="61" t="str">
        <f t="shared" ref="W69:W100" si="34">IF(E69="","",IFERROR(_xlfn.TRANSLATE(E69,,"zh-Hans"),""))</f>
        <v/>
      </c>
      <c r="X69" s="61"/>
      <c r="Y69" s="61" t="str">
        <f t="shared" ref="Y69:Y100" si="35">IF(F69="","",IFERROR(_xlfn.TRANSLATE(F69,,"ja"),""))</f>
        <v/>
      </c>
      <c r="Z69" s="61"/>
      <c r="AA69" s="61" t="str">
        <f t="shared" ref="AA69:AA100" si="36">IF(F69="","",IFERROR(_xlfn.TRANSLATE(F69,,"vi"),""))</f>
        <v/>
      </c>
      <c r="AB69" s="61" t="str">
        <f t="shared" ref="AB69:AB100" si="37">IF(Q69="","",IFERROR(_xlfn.TRANSLATE(Q69,,"ja"),""))</f>
        <v/>
      </c>
      <c r="AC69" s="61" t="str">
        <f t="shared" ref="AC69:AC100" si="38">IF(Q69="","",IFERROR(_xlfn.TRANSLATE(Q69,,"zh-Hans"),""))</f>
        <v/>
      </c>
      <c r="AD69" s="61"/>
      <c r="AE69" s="61" t="str">
        <f t="shared" ref="AE69:AE100" si="39">IF(R69="","",IFERROR(_xlfn.TRANSLATE(R69,,"ja"),""))</f>
        <v/>
      </c>
      <c r="AF69" s="61" t="str">
        <f t="shared" ref="AF69:AF100" si="40">IF(R69="","",IFERROR(_xlfn.TRANSLATE(R69,,"zh-Hans"),""))</f>
        <v/>
      </c>
      <c r="AG69" s="61" t="str">
        <f t="shared" ref="AG69:AG100" si="41">IF(R69="","",IFERROR(_xlfn.TRANSLATE(R69,,"vi"),""))</f>
        <v/>
      </c>
    </row>
    <row r="70" spans="1:33" x14ac:dyDescent="0.25">
      <c r="A70" s="36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56" t="str">
        <f t="shared" si="29"/>
        <v/>
      </c>
      <c r="O70" s="13" t="str">
        <f>IF(A70="","",IF(N70="",INDEX(_ゴミ箱_Backup!$B$89:$D$89,1,MATCH(言語切替!$B$3,_ゴミ箱_Backup!$B$1:$D$1,0)),IF(N70&gt;=1,INDEX(_ゴミ箱_Backup!$B$93:$D$93,1,MATCH(言語切替!$B$3,_ゴミ箱_Backup!$B$1:$D$1,0)),IF(N70&gt;=0.8,INDEX(_ゴミ箱_Backup!$B$91:$D$91,1,MATCH(言語切替!$B$3,_ゴミ箱_Backup!$B$1:$D$1,0)),INDEX(_ゴミ箱_Backup!$B$94:$D$94,1,MATCH(言語切替!$B$3,_ゴミ箱_Backup!$B$1:$D$1,0))))))</f>
        <v/>
      </c>
      <c r="P70" s="38"/>
      <c r="Q70" s="37"/>
      <c r="R70" s="39"/>
      <c r="S70" s="61" t="str">
        <f t="shared" si="30"/>
        <v/>
      </c>
      <c r="T70" s="61" t="str">
        <f t="shared" si="31"/>
        <v/>
      </c>
      <c r="U70" s="61" t="str">
        <f t="shared" si="32"/>
        <v/>
      </c>
      <c r="V70" s="61" t="str">
        <f t="shared" si="33"/>
        <v/>
      </c>
      <c r="W70" s="61" t="str">
        <f t="shared" si="34"/>
        <v/>
      </c>
      <c r="X70" s="61"/>
      <c r="Y70" s="61" t="str">
        <f t="shared" si="35"/>
        <v/>
      </c>
      <c r="Z70" s="61"/>
      <c r="AA70" s="61" t="str">
        <f t="shared" si="36"/>
        <v/>
      </c>
      <c r="AB70" s="61" t="str">
        <f t="shared" si="37"/>
        <v/>
      </c>
      <c r="AC70" s="61" t="str">
        <f t="shared" si="38"/>
        <v/>
      </c>
      <c r="AD70" s="61"/>
      <c r="AE70" s="61" t="str">
        <f t="shared" si="39"/>
        <v/>
      </c>
      <c r="AF70" s="61" t="str">
        <f t="shared" si="40"/>
        <v/>
      </c>
      <c r="AG70" s="61" t="str">
        <f t="shared" si="41"/>
        <v/>
      </c>
    </row>
    <row r="71" spans="1:33" x14ac:dyDescent="0.25">
      <c r="A71" s="40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57" t="str">
        <f t="shared" si="29"/>
        <v/>
      </c>
      <c r="O71" s="16" t="str">
        <f>IF(A71="","",IF(N71="",INDEX(_ゴミ箱_Backup!$B$89:$D$89,1,MATCH(言語切替!$B$3,_ゴミ箱_Backup!$B$1:$D$1,0)),IF(N71&gt;=1,INDEX(_ゴミ箱_Backup!$B$93:$D$93,1,MATCH(言語切替!$B$3,_ゴミ箱_Backup!$B$1:$D$1,0)),IF(N71&gt;=0.8,INDEX(_ゴミ箱_Backup!$B$91:$D$91,1,MATCH(言語切替!$B$3,_ゴミ箱_Backup!$B$1:$D$1,0)),INDEX(_ゴミ箱_Backup!$B$94:$D$94,1,MATCH(言語切替!$B$3,_ゴミ箱_Backup!$B$1:$D$1,0))))))</f>
        <v/>
      </c>
      <c r="P71" s="42"/>
      <c r="Q71" s="41"/>
      <c r="R71" s="43"/>
      <c r="S71" s="61" t="str">
        <f t="shared" si="30"/>
        <v/>
      </c>
      <c r="T71" s="61" t="str">
        <f t="shared" si="31"/>
        <v/>
      </c>
      <c r="U71" s="61" t="str">
        <f t="shared" si="32"/>
        <v/>
      </c>
      <c r="V71" s="61" t="str">
        <f t="shared" si="33"/>
        <v/>
      </c>
      <c r="W71" s="61" t="str">
        <f t="shared" si="34"/>
        <v/>
      </c>
      <c r="X71" s="61"/>
      <c r="Y71" s="61" t="str">
        <f t="shared" si="35"/>
        <v/>
      </c>
      <c r="Z71" s="61"/>
      <c r="AA71" s="61" t="str">
        <f t="shared" si="36"/>
        <v/>
      </c>
      <c r="AB71" s="61" t="str">
        <f t="shared" si="37"/>
        <v/>
      </c>
      <c r="AC71" s="61" t="str">
        <f t="shared" si="38"/>
        <v/>
      </c>
      <c r="AD71" s="61"/>
      <c r="AE71" s="61" t="str">
        <f t="shared" si="39"/>
        <v/>
      </c>
      <c r="AF71" s="61" t="str">
        <f t="shared" si="40"/>
        <v/>
      </c>
      <c r="AG71" s="61" t="str">
        <f t="shared" si="41"/>
        <v/>
      </c>
    </row>
    <row r="72" spans="1:33" x14ac:dyDescent="0.25">
      <c r="A72" s="36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56" t="str">
        <f t="shared" si="29"/>
        <v/>
      </c>
      <c r="O72" s="13" t="str">
        <f>IF(A72="","",IF(N72="",INDEX(_ゴミ箱_Backup!$B$89:$D$89,1,MATCH(言語切替!$B$3,_ゴミ箱_Backup!$B$1:$D$1,0)),IF(N72&gt;=1,INDEX(_ゴミ箱_Backup!$B$93:$D$93,1,MATCH(言語切替!$B$3,_ゴミ箱_Backup!$B$1:$D$1,0)),IF(N72&gt;=0.8,INDEX(_ゴミ箱_Backup!$B$91:$D$91,1,MATCH(言語切替!$B$3,_ゴミ箱_Backup!$B$1:$D$1,0)),INDEX(_ゴミ箱_Backup!$B$94:$D$94,1,MATCH(言語切替!$B$3,_ゴミ箱_Backup!$B$1:$D$1,0))))))</f>
        <v/>
      </c>
      <c r="P72" s="38"/>
      <c r="Q72" s="37"/>
      <c r="R72" s="39"/>
      <c r="S72" s="61" t="str">
        <f t="shared" si="30"/>
        <v/>
      </c>
      <c r="T72" s="61" t="str">
        <f t="shared" si="31"/>
        <v/>
      </c>
      <c r="U72" s="61" t="str">
        <f t="shared" si="32"/>
        <v/>
      </c>
      <c r="V72" s="61" t="str">
        <f t="shared" si="33"/>
        <v/>
      </c>
      <c r="W72" s="61" t="str">
        <f t="shared" si="34"/>
        <v/>
      </c>
      <c r="X72" s="61"/>
      <c r="Y72" s="61" t="str">
        <f t="shared" si="35"/>
        <v/>
      </c>
      <c r="Z72" s="61"/>
      <c r="AA72" s="61" t="str">
        <f t="shared" si="36"/>
        <v/>
      </c>
      <c r="AB72" s="61" t="str">
        <f t="shared" si="37"/>
        <v/>
      </c>
      <c r="AC72" s="61" t="str">
        <f t="shared" si="38"/>
        <v/>
      </c>
      <c r="AD72" s="61"/>
      <c r="AE72" s="61" t="str">
        <f t="shared" si="39"/>
        <v/>
      </c>
      <c r="AF72" s="61" t="str">
        <f t="shared" si="40"/>
        <v/>
      </c>
      <c r="AG72" s="61" t="str">
        <f t="shared" si="41"/>
        <v/>
      </c>
    </row>
    <row r="73" spans="1:33" x14ac:dyDescent="0.25">
      <c r="A73" s="40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57" t="str">
        <f t="shared" si="29"/>
        <v/>
      </c>
      <c r="O73" s="16" t="str">
        <f>IF(A73="","",IF(N73="",INDEX(_ゴミ箱_Backup!$B$89:$D$89,1,MATCH(言語切替!$B$3,_ゴミ箱_Backup!$B$1:$D$1,0)),IF(N73&gt;=1,INDEX(_ゴミ箱_Backup!$B$93:$D$93,1,MATCH(言語切替!$B$3,_ゴミ箱_Backup!$B$1:$D$1,0)),IF(N73&gt;=0.8,INDEX(_ゴミ箱_Backup!$B$91:$D$91,1,MATCH(言語切替!$B$3,_ゴミ箱_Backup!$B$1:$D$1,0)),INDEX(_ゴミ箱_Backup!$B$94:$D$94,1,MATCH(言語切替!$B$3,_ゴミ箱_Backup!$B$1:$D$1,0))))))</f>
        <v/>
      </c>
      <c r="P73" s="42"/>
      <c r="Q73" s="41"/>
      <c r="R73" s="43"/>
      <c r="S73" s="61" t="str">
        <f t="shared" si="30"/>
        <v/>
      </c>
      <c r="T73" s="61" t="str">
        <f t="shared" si="31"/>
        <v/>
      </c>
      <c r="U73" s="61" t="str">
        <f t="shared" si="32"/>
        <v/>
      </c>
      <c r="V73" s="61" t="str">
        <f t="shared" si="33"/>
        <v/>
      </c>
      <c r="W73" s="61" t="str">
        <f t="shared" si="34"/>
        <v/>
      </c>
      <c r="X73" s="61"/>
      <c r="Y73" s="61" t="str">
        <f t="shared" si="35"/>
        <v/>
      </c>
      <c r="Z73" s="61"/>
      <c r="AA73" s="61" t="str">
        <f t="shared" si="36"/>
        <v/>
      </c>
      <c r="AB73" s="61" t="str">
        <f t="shared" si="37"/>
        <v/>
      </c>
      <c r="AC73" s="61" t="str">
        <f t="shared" si="38"/>
        <v/>
      </c>
      <c r="AD73" s="61"/>
      <c r="AE73" s="61" t="str">
        <f t="shared" si="39"/>
        <v/>
      </c>
      <c r="AF73" s="61" t="str">
        <f t="shared" si="40"/>
        <v/>
      </c>
      <c r="AG73" s="61" t="str">
        <f t="shared" si="41"/>
        <v/>
      </c>
    </row>
    <row r="74" spans="1:33" x14ac:dyDescent="0.25">
      <c r="A74" s="36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56" t="str">
        <f t="shared" si="29"/>
        <v/>
      </c>
      <c r="O74" s="13" t="str">
        <f>IF(A74="","",IF(N74="",INDEX(_ゴミ箱_Backup!$B$89:$D$89,1,MATCH(言語切替!$B$3,_ゴミ箱_Backup!$B$1:$D$1,0)),IF(N74&gt;=1,INDEX(_ゴミ箱_Backup!$B$93:$D$93,1,MATCH(言語切替!$B$3,_ゴミ箱_Backup!$B$1:$D$1,0)),IF(N74&gt;=0.8,INDEX(_ゴミ箱_Backup!$B$91:$D$91,1,MATCH(言語切替!$B$3,_ゴミ箱_Backup!$B$1:$D$1,0)),INDEX(_ゴミ箱_Backup!$B$94:$D$94,1,MATCH(言語切替!$B$3,_ゴミ箱_Backup!$B$1:$D$1,0))))))</f>
        <v/>
      </c>
      <c r="P74" s="38"/>
      <c r="Q74" s="37"/>
      <c r="R74" s="39"/>
      <c r="S74" s="61" t="str">
        <f t="shared" si="30"/>
        <v/>
      </c>
      <c r="T74" s="61" t="str">
        <f t="shared" si="31"/>
        <v/>
      </c>
      <c r="U74" s="61" t="str">
        <f t="shared" si="32"/>
        <v/>
      </c>
      <c r="V74" s="61" t="str">
        <f t="shared" si="33"/>
        <v/>
      </c>
      <c r="W74" s="61" t="str">
        <f t="shared" si="34"/>
        <v/>
      </c>
      <c r="X74" s="61"/>
      <c r="Y74" s="61" t="str">
        <f t="shared" si="35"/>
        <v/>
      </c>
      <c r="Z74" s="61"/>
      <c r="AA74" s="61" t="str">
        <f t="shared" si="36"/>
        <v/>
      </c>
      <c r="AB74" s="61" t="str">
        <f t="shared" si="37"/>
        <v/>
      </c>
      <c r="AC74" s="61" t="str">
        <f t="shared" si="38"/>
        <v/>
      </c>
      <c r="AD74" s="61"/>
      <c r="AE74" s="61" t="str">
        <f t="shared" si="39"/>
        <v/>
      </c>
      <c r="AF74" s="61" t="str">
        <f t="shared" si="40"/>
        <v/>
      </c>
      <c r="AG74" s="61" t="str">
        <f t="shared" si="41"/>
        <v/>
      </c>
    </row>
    <row r="75" spans="1:33" x14ac:dyDescent="0.25">
      <c r="A75" s="40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57" t="str">
        <f t="shared" si="29"/>
        <v/>
      </c>
      <c r="O75" s="16" t="str">
        <f>IF(A75="","",IF(N75="",INDEX(_ゴミ箱_Backup!$B$89:$D$89,1,MATCH(言語切替!$B$3,_ゴミ箱_Backup!$B$1:$D$1,0)),IF(N75&gt;=1,INDEX(_ゴミ箱_Backup!$B$93:$D$93,1,MATCH(言語切替!$B$3,_ゴミ箱_Backup!$B$1:$D$1,0)),IF(N75&gt;=0.8,INDEX(_ゴミ箱_Backup!$B$91:$D$91,1,MATCH(言語切替!$B$3,_ゴミ箱_Backup!$B$1:$D$1,0)),INDEX(_ゴミ箱_Backup!$B$94:$D$94,1,MATCH(言語切替!$B$3,_ゴミ箱_Backup!$B$1:$D$1,0))))))</f>
        <v/>
      </c>
      <c r="P75" s="42"/>
      <c r="Q75" s="41"/>
      <c r="R75" s="43"/>
      <c r="S75" s="61" t="str">
        <f t="shared" si="30"/>
        <v/>
      </c>
      <c r="T75" s="61" t="str">
        <f t="shared" si="31"/>
        <v/>
      </c>
      <c r="U75" s="61" t="str">
        <f t="shared" si="32"/>
        <v/>
      </c>
      <c r="V75" s="61" t="str">
        <f t="shared" si="33"/>
        <v/>
      </c>
      <c r="W75" s="61" t="str">
        <f t="shared" si="34"/>
        <v/>
      </c>
      <c r="X75" s="61"/>
      <c r="Y75" s="61" t="str">
        <f t="shared" si="35"/>
        <v/>
      </c>
      <c r="Z75" s="61"/>
      <c r="AA75" s="61" t="str">
        <f t="shared" si="36"/>
        <v/>
      </c>
      <c r="AB75" s="61" t="str">
        <f t="shared" si="37"/>
        <v/>
      </c>
      <c r="AC75" s="61" t="str">
        <f t="shared" si="38"/>
        <v/>
      </c>
      <c r="AD75" s="61"/>
      <c r="AE75" s="61" t="str">
        <f t="shared" si="39"/>
        <v/>
      </c>
      <c r="AF75" s="61" t="str">
        <f t="shared" si="40"/>
        <v/>
      </c>
      <c r="AG75" s="61" t="str">
        <f t="shared" si="41"/>
        <v/>
      </c>
    </row>
    <row r="76" spans="1:33" x14ac:dyDescent="0.25">
      <c r="A76" s="36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56" t="str">
        <f t="shared" si="29"/>
        <v/>
      </c>
      <c r="O76" s="13" t="str">
        <f>IF(A76="","",IF(N76="",INDEX(_ゴミ箱_Backup!$B$89:$D$89,1,MATCH(言語切替!$B$3,_ゴミ箱_Backup!$B$1:$D$1,0)),IF(N76&gt;=1,INDEX(_ゴミ箱_Backup!$B$93:$D$93,1,MATCH(言語切替!$B$3,_ゴミ箱_Backup!$B$1:$D$1,0)),IF(N76&gt;=0.8,INDEX(_ゴミ箱_Backup!$B$91:$D$91,1,MATCH(言語切替!$B$3,_ゴミ箱_Backup!$B$1:$D$1,0)),INDEX(_ゴミ箱_Backup!$B$94:$D$94,1,MATCH(言語切替!$B$3,_ゴミ箱_Backup!$B$1:$D$1,0))))))</f>
        <v/>
      </c>
      <c r="P76" s="38"/>
      <c r="Q76" s="37"/>
      <c r="R76" s="39"/>
      <c r="S76" s="61" t="str">
        <f t="shared" si="30"/>
        <v/>
      </c>
      <c r="T76" s="61" t="str">
        <f t="shared" si="31"/>
        <v/>
      </c>
      <c r="U76" s="61" t="str">
        <f t="shared" si="32"/>
        <v/>
      </c>
      <c r="V76" s="61" t="str">
        <f t="shared" si="33"/>
        <v/>
      </c>
      <c r="W76" s="61" t="str">
        <f t="shared" si="34"/>
        <v/>
      </c>
      <c r="X76" s="61"/>
      <c r="Y76" s="61" t="str">
        <f t="shared" si="35"/>
        <v/>
      </c>
      <c r="Z76" s="61"/>
      <c r="AA76" s="61" t="str">
        <f t="shared" si="36"/>
        <v/>
      </c>
      <c r="AB76" s="61" t="str">
        <f t="shared" si="37"/>
        <v/>
      </c>
      <c r="AC76" s="61" t="str">
        <f t="shared" si="38"/>
        <v/>
      </c>
      <c r="AD76" s="61"/>
      <c r="AE76" s="61" t="str">
        <f t="shared" si="39"/>
        <v/>
      </c>
      <c r="AF76" s="61" t="str">
        <f t="shared" si="40"/>
        <v/>
      </c>
      <c r="AG76" s="61" t="str">
        <f t="shared" si="41"/>
        <v/>
      </c>
    </row>
    <row r="77" spans="1:33" x14ac:dyDescent="0.25">
      <c r="A77" s="40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57" t="str">
        <f t="shared" si="29"/>
        <v/>
      </c>
      <c r="O77" s="16" t="str">
        <f>IF(A77="","",IF(N77="",INDEX(_ゴミ箱_Backup!$B$89:$D$89,1,MATCH(言語切替!$B$3,_ゴミ箱_Backup!$B$1:$D$1,0)),IF(N77&gt;=1,INDEX(_ゴミ箱_Backup!$B$93:$D$93,1,MATCH(言語切替!$B$3,_ゴミ箱_Backup!$B$1:$D$1,0)),IF(N77&gt;=0.8,INDEX(_ゴミ箱_Backup!$B$91:$D$91,1,MATCH(言語切替!$B$3,_ゴミ箱_Backup!$B$1:$D$1,0)),INDEX(_ゴミ箱_Backup!$B$94:$D$94,1,MATCH(言語切替!$B$3,_ゴミ箱_Backup!$B$1:$D$1,0))))))</f>
        <v/>
      </c>
      <c r="P77" s="42"/>
      <c r="Q77" s="41"/>
      <c r="R77" s="43"/>
      <c r="S77" s="61" t="str">
        <f t="shared" si="30"/>
        <v/>
      </c>
      <c r="T77" s="61" t="str">
        <f t="shared" si="31"/>
        <v/>
      </c>
      <c r="U77" s="61" t="str">
        <f t="shared" si="32"/>
        <v/>
      </c>
      <c r="V77" s="61" t="str">
        <f t="shared" si="33"/>
        <v/>
      </c>
      <c r="W77" s="61" t="str">
        <f t="shared" si="34"/>
        <v/>
      </c>
      <c r="X77" s="61"/>
      <c r="Y77" s="61" t="str">
        <f t="shared" si="35"/>
        <v/>
      </c>
      <c r="Z77" s="61"/>
      <c r="AA77" s="61" t="str">
        <f t="shared" si="36"/>
        <v/>
      </c>
      <c r="AB77" s="61" t="str">
        <f t="shared" si="37"/>
        <v/>
      </c>
      <c r="AC77" s="61" t="str">
        <f t="shared" si="38"/>
        <v/>
      </c>
      <c r="AD77" s="61"/>
      <c r="AE77" s="61" t="str">
        <f t="shared" si="39"/>
        <v/>
      </c>
      <c r="AF77" s="61" t="str">
        <f t="shared" si="40"/>
        <v/>
      </c>
      <c r="AG77" s="61" t="str">
        <f t="shared" si="41"/>
        <v/>
      </c>
    </row>
    <row r="78" spans="1:33" x14ac:dyDescent="0.25">
      <c r="A78" s="36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56" t="str">
        <f t="shared" si="29"/>
        <v/>
      </c>
      <c r="O78" s="13" t="str">
        <f>IF(A78="","",IF(N78="",INDEX(_ゴミ箱_Backup!$B$89:$D$89,1,MATCH(言語切替!$B$3,_ゴミ箱_Backup!$B$1:$D$1,0)),IF(N78&gt;=1,INDEX(_ゴミ箱_Backup!$B$93:$D$93,1,MATCH(言語切替!$B$3,_ゴミ箱_Backup!$B$1:$D$1,0)),IF(N78&gt;=0.8,INDEX(_ゴミ箱_Backup!$B$91:$D$91,1,MATCH(言語切替!$B$3,_ゴミ箱_Backup!$B$1:$D$1,0)),INDEX(_ゴミ箱_Backup!$B$94:$D$94,1,MATCH(言語切替!$B$3,_ゴミ箱_Backup!$B$1:$D$1,0))))))</f>
        <v/>
      </c>
      <c r="P78" s="38"/>
      <c r="Q78" s="37"/>
      <c r="R78" s="39"/>
      <c r="S78" s="61" t="str">
        <f t="shared" si="30"/>
        <v/>
      </c>
      <c r="T78" s="61" t="str">
        <f t="shared" si="31"/>
        <v/>
      </c>
      <c r="U78" s="61" t="str">
        <f t="shared" si="32"/>
        <v/>
      </c>
      <c r="V78" s="61" t="str">
        <f t="shared" si="33"/>
        <v/>
      </c>
      <c r="W78" s="61" t="str">
        <f t="shared" si="34"/>
        <v/>
      </c>
      <c r="X78" s="61"/>
      <c r="Y78" s="61" t="str">
        <f t="shared" si="35"/>
        <v/>
      </c>
      <c r="Z78" s="61"/>
      <c r="AA78" s="61" t="str">
        <f t="shared" si="36"/>
        <v/>
      </c>
      <c r="AB78" s="61" t="str">
        <f t="shared" si="37"/>
        <v/>
      </c>
      <c r="AC78" s="61" t="str">
        <f t="shared" si="38"/>
        <v/>
      </c>
      <c r="AD78" s="61"/>
      <c r="AE78" s="61" t="str">
        <f t="shared" si="39"/>
        <v/>
      </c>
      <c r="AF78" s="61" t="str">
        <f t="shared" si="40"/>
        <v/>
      </c>
      <c r="AG78" s="61" t="str">
        <f t="shared" si="41"/>
        <v/>
      </c>
    </row>
    <row r="79" spans="1:33" x14ac:dyDescent="0.25">
      <c r="A79" s="40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57" t="str">
        <f t="shared" si="29"/>
        <v/>
      </c>
      <c r="O79" s="16" t="str">
        <f>IF(A79="","",IF(N79="",INDEX(_ゴミ箱_Backup!$B$89:$D$89,1,MATCH(言語切替!$B$3,_ゴミ箱_Backup!$B$1:$D$1,0)),IF(N79&gt;=1,INDEX(_ゴミ箱_Backup!$B$93:$D$93,1,MATCH(言語切替!$B$3,_ゴミ箱_Backup!$B$1:$D$1,0)),IF(N79&gt;=0.8,INDEX(_ゴミ箱_Backup!$B$91:$D$91,1,MATCH(言語切替!$B$3,_ゴミ箱_Backup!$B$1:$D$1,0)),INDEX(_ゴミ箱_Backup!$B$94:$D$94,1,MATCH(言語切替!$B$3,_ゴミ箱_Backup!$B$1:$D$1,0))))))</f>
        <v/>
      </c>
      <c r="P79" s="42"/>
      <c r="Q79" s="41"/>
      <c r="R79" s="43"/>
      <c r="S79" s="61" t="str">
        <f t="shared" si="30"/>
        <v/>
      </c>
      <c r="T79" s="61" t="str">
        <f t="shared" si="31"/>
        <v/>
      </c>
      <c r="U79" s="61" t="str">
        <f t="shared" si="32"/>
        <v/>
      </c>
      <c r="V79" s="61" t="str">
        <f t="shared" si="33"/>
        <v/>
      </c>
      <c r="W79" s="61" t="str">
        <f t="shared" si="34"/>
        <v/>
      </c>
      <c r="X79" s="61"/>
      <c r="Y79" s="61" t="str">
        <f t="shared" si="35"/>
        <v/>
      </c>
      <c r="Z79" s="61"/>
      <c r="AA79" s="61" t="str">
        <f t="shared" si="36"/>
        <v/>
      </c>
      <c r="AB79" s="61" t="str">
        <f t="shared" si="37"/>
        <v/>
      </c>
      <c r="AC79" s="61" t="str">
        <f t="shared" si="38"/>
        <v/>
      </c>
      <c r="AD79" s="61"/>
      <c r="AE79" s="61" t="str">
        <f t="shared" si="39"/>
        <v/>
      </c>
      <c r="AF79" s="61" t="str">
        <f t="shared" si="40"/>
        <v/>
      </c>
      <c r="AG79" s="61" t="str">
        <f t="shared" si="41"/>
        <v/>
      </c>
    </row>
    <row r="80" spans="1:33" x14ac:dyDescent="0.25">
      <c r="A80" s="36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56" t="str">
        <f t="shared" si="29"/>
        <v/>
      </c>
      <c r="O80" s="13" t="str">
        <f>IF(A80="","",IF(N80="",INDEX(_ゴミ箱_Backup!$B$89:$D$89,1,MATCH(言語切替!$B$3,_ゴミ箱_Backup!$B$1:$D$1,0)),IF(N80&gt;=1,INDEX(_ゴミ箱_Backup!$B$93:$D$93,1,MATCH(言語切替!$B$3,_ゴミ箱_Backup!$B$1:$D$1,0)),IF(N80&gt;=0.8,INDEX(_ゴミ箱_Backup!$B$91:$D$91,1,MATCH(言語切替!$B$3,_ゴミ箱_Backup!$B$1:$D$1,0)),INDEX(_ゴミ箱_Backup!$B$94:$D$94,1,MATCH(言語切替!$B$3,_ゴミ箱_Backup!$B$1:$D$1,0))))))</f>
        <v/>
      </c>
      <c r="P80" s="38"/>
      <c r="Q80" s="37"/>
      <c r="R80" s="39"/>
      <c r="S80" s="61" t="str">
        <f t="shared" si="30"/>
        <v/>
      </c>
      <c r="T80" s="61" t="str">
        <f t="shared" si="31"/>
        <v/>
      </c>
      <c r="U80" s="61" t="str">
        <f t="shared" si="32"/>
        <v/>
      </c>
      <c r="V80" s="61" t="str">
        <f t="shared" si="33"/>
        <v/>
      </c>
      <c r="W80" s="61" t="str">
        <f t="shared" si="34"/>
        <v/>
      </c>
      <c r="X80" s="61"/>
      <c r="Y80" s="61" t="str">
        <f t="shared" si="35"/>
        <v/>
      </c>
      <c r="Z80" s="61"/>
      <c r="AA80" s="61" t="str">
        <f t="shared" si="36"/>
        <v/>
      </c>
      <c r="AB80" s="61" t="str">
        <f t="shared" si="37"/>
        <v/>
      </c>
      <c r="AC80" s="61" t="str">
        <f t="shared" si="38"/>
        <v/>
      </c>
      <c r="AD80" s="61"/>
      <c r="AE80" s="61" t="str">
        <f t="shared" si="39"/>
        <v/>
      </c>
      <c r="AF80" s="61" t="str">
        <f t="shared" si="40"/>
        <v/>
      </c>
      <c r="AG80" s="61" t="str">
        <f t="shared" si="41"/>
        <v/>
      </c>
    </row>
    <row r="81" spans="1:33" x14ac:dyDescent="0.25">
      <c r="A81" s="40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57" t="str">
        <f t="shared" si="29"/>
        <v/>
      </c>
      <c r="O81" s="16" t="str">
        <f>IF(A81="","",IF(N81="",INDEX(_ゴミ箱_Backup!$B$89:$D$89,1,MATCH(言語切替!$B$3,_ゴミ箱_Backup!$B$1:$D$1,0)),IF(N81&gt;=1,INDEX(_ゴミ箱_Backup!$B$93:$D$93,1,MATCH(言語切替!$B$3,_ゴミ箱_Backup!$B$1:$D$1,0)),IF(N81&gt;=0.8,INDEX(_ゴミ箱_Backup!$B$91:$D$91,1,MATCH(言語切替!$B$3,_ゴミ箱_Backup!$B$1:$D$1,0)),INDEX(_ゴミ箱_Backup!$B$94:$D$94,1,MATCH(言語切替!$B$3,_ゴミ箱_Backup!$B$1:$D$1,0))))))</f>
        <v/>
      </c>
      <c r="P81" s="42"/>
      <c r="Q81" s="41"/>
      <c r="R81" s="43"/>
      <c r="S81" s="61" t="str">
        <f t="shared" si="30"/>
        <v/>
      </c>
      <c r="T81" s="61" t="str">
        <f t="shared" si="31"/>
        <v/>
      </c>
      <c r="U81" s="61" t="str">
        <f t="shared" si="32"/>
        <v/>
      </c>
      <c r="V81" s="61" t="str">
        <f t="shared" si="33"/>
        <v/>
      </c>
      <c r="W81" s="61" t="str">
        <f t="shared" si="34"/>
        <v/>
      </c>
      <c r="X81" s="61"/>
      <c r="Y81" s="61" t="str">
        <f t="shared" si="35"/>
        <v/>
      </c>
      <c r="Z81" s="61"/>
      <c r="AA81" s="61" t="str">
        <f t="shared" si="36"/>
        <v/>
      </c>
      <c r="AB81" s="61" t="str">
        <f t="shared" si="37"/>
        <v/>
      </c>
      <c r="AC81" s="61" t="str">
        <f t="shared" si="38"/>
        <v/>
      </c>
      <c r="AD81" s="61"/>
      <c r="AE81" s="61" t="str">
        <f t="shared" si="39"/>
        <v/>
      </c>
      <c r="AF81" s="61" t="str">
        <f t="shared" si="40"/>
        <v/>
      </c>
      <c r="AG81" s="61" t="str">
        <f t="shared" si="41"/>
        <v/>
      </c>
    </row>
    <row r="82" spans="1:33" x14ac:dyDescent="0.25">
      <c r="A82" s="36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56" t="str">
        <f t="shared" si="29"/>
        <v/>
      </c>
      <c r="O82" s="13" t="str">
        <f>IF(A82="","",IF(N82="",INDEX(_ゴミ箱_Backup!$B$89:$D$89,1,MATCH(言語切替!$B$3,_ゴミ箱_Backup!$B$1:$D$1,0)),IF(N82&gt;=1,INDEX(_ゴミ箱_Backup!$B$93:$D$93,1,MATCH(言語切替!$B$3,_ゴミ箱_Backup!$B$1:$D$1,0)),IF(N82&gt;=0.8,INDEX(_ゴミ箱_Backup!$B$91:$D$91,1,MATCH(言語切替!$B$3,_ゴミ箱_Backup!$B$1:$D$1,0)),INDEX(_ゴミ箱_Backup!$B$94:$D$94,1,MATCH(言語切替!$B$3,_ゴミ箱_Backup!$B$1:$D$1,0))))))</f>
        <v/>
      </c>
      <c r="P82" s="38"/>
      <c r="Q82" s="37"/>
      <c r="R82" s="39"/>
      <c r="S82" s="61" t="str">
        <f t="shared" si="30"/>
        <v/>
      </c>
      <c r="T82" s="61" t="str">
        <f t="shared" si="31"/>
        <v/>
      </c>
      <c r="U82" s="61" t="str">
        <f t="shared" si="32"/>
        <v/>
      </c>
      <c r="V82" s="61" t="str">
        <f t="shared" si="33"/>
        <v/>
      </c>
      <c r="W82" s="61" t="str">
        <f t="shared" si="34"/>
        <v/>
      </c>
      <c r="X82" s="61"/>
      <c r="Y82" s="61" t="str">
        <f t="shared" si="35"/>
        <v/>
      </c>
      <c r="Z82" s="61"/>
      <c r="AA82" s="61" t="str">
        <f t="shared" si="36"/>
        <v/>
      </c>
      <c r="AB82" s="61" t="str">
        <f t="shared" si="37"/>
        <v/>
      </c>
      <c r="AC82" s="61" t="str">
        <f t="shared" si="38"/>
        <v/>
      </c>
      <c r="AD82" s="61"/>
      <c r="AE82" s="61" t="str">
        <f t="shared" si="39"/>
        <v/>
      </c>
      <c r="AF82" s="61" t="str">
        <f t="shared" si="40"/>
        <v/>
      </c>
      <c r="AG82" s="61" t="str">
        <f t="shared" si="41"/>
        <v/>
      </c>
    </row>
    <row r="83" spans="1:33" x14ac:dyDescent="0.25">
      <c r="A83" s="40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57" t="str">
        <f t="shared" si="29"/>
        <v/>
      </c>
      <c r="O83" s="16" t="str">
        <f>IF(A83="","",IF(N83="",INDEX(_ゴミ箱_Backup!$B$89:$D$89,1,MATCH(言語切替!$B$3,_ゴミ箱_Backup!$B$1:$D$1,0)),IF(N83&gt;=1,INDEX(_ゴミ箱_Backup!$B$93:$D$93,1,MATCH(言語切替!$B$3,_ゴミ箱_Backup!$B$1:$D$1,0)),IF(N83&gt;=0.8,INDEX(_ゴミ箱_Backup!$B$91:$D$91,1,MATCH(言語切替!$B$3,_ゴミ箱_Backup!$B$1:$D$1,0)),INDEX(_ゴミ箱_Backup!$B$94:$D$94,1,MATCH(言語切替!$B$3,_ゴミ箱_Backup!$B$1:$D$1,0))))))</f>
        <v/>
      </c>
      <c r="P83" s="42"/>
      <c r="Q83" s="41"/>
      <c r="R83" s="43"/>
      <c r="S83" s="61" t="str">
        <f t="shared" si="30"/>
        <v/>
      </c>
      <c r="T83" s="61" t="str">
        <f t="shared" si="31"/>
        <v/>
      </c>
      <c r="U83" s="61" t="str">
        <f t="shared" si="32"/>
        <v/>
      </c>
      <c r="V83" s="61" t="str">
        <f t="shared" si="33"/>
        <v/>
      </c>
      <c r="W83" s="61" t="str">
        <f t="shared" si="34"/>
        <v/>
      </c>
      <c r="X83" s="61"/>
      <c r="Y83" s="61" t="str">
        <f t="shared" si="35"/>
        <v/>
      </c>
      <c r="Z83" s="61"/>
      <c r="AA83" s="61" t="str">
        <f t="shared" si="36"/>
        <v/>
      </c>
      <c r="AB83" s="61" t="str">
        <f t="shared" si="37"/>
        <v/>
      </c>
      <c r="AC83" s="61" t="str">
        <f t="shared" si="38"/>
        <v/>
      </c>
      <c r="AD83" s="61"/>
      <c r="AE83" s="61" t="str">
        <f t="shared" si="39"/>
        <v/>
      </c>
      <c r="AF83" s="61" t="str">
        <f t="shared" si="40"/>
        <v/>
      </c>
      <c r="AG83" s="61" t="str">
        <f t="shared" si="41"/>
        <v/>
      </c>
    </row>
    <row r="84" spans="1:33" x14ac:dyDescent="0.25">
      <c r="A84" s="36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56" t="str">
        <f t="shared" si="29"/>
        <v/>
      </c>
      <c r="O84" s="13" t="str">
        <f>IF(A84="","",IF(N84="",INDEX(_ゴミ箱_Backup!$B$89:$D$89,1,MATCH(言語切替!$B$3,_ゴミ箱_Backup!$B$1:$D$1,0)),IF(N84&gt;=1,INDEX(_ゴミ箱_Backup!$B$93:$D$93,1,MATCH(言語切替!$B$3,_ゴミ箱_Backup!$B$1:$D$1,0)),IF(N84&gt;=0.8,INDEX(_ゴミ箱_Backup!$B$91:$D$91,1,MATCH(言語切替!$B$3,_ゴミ箱_Backup!$B$1:$D$1,0)),INDEX(_ゴミ箱_Backup!$B$94:$D$94,1,MATCH(言語切替!$B$3,_ゴミ箱_Backup!$B$1:$D$1,0))))))</f>
        <v/>
      </c>
      <c r="P84" s="38"/>
      <c r="Q84" s="37"/>
      <c r="R84" s="39"/>
      <c r="S84" s="61" t="str">
        <f t="shared" si="30"/>
        <v/>
      </c>
      <c r="T84" s="61" t="str">
        <f t="shared" si="31"/>
        <v/>
      </c>
      <c r="U84" s="61" t="str">
        <f t="shared" si="32"/>
        <v/>
      </c>
      <c r="V84" s="61" t="str">
        <f t="shared" si="33"/>
        <v/>
      </c>
      <c r="W84" s="61" t="str">
        <f t="shared" si="34"/>
        <v/>
      </c>
      <c r="X84" s="61"/>
      <c r="Y84" s="61" t="str">
        <f t="shared" si="35"/>
        <v/>
      </c>
      <c r="Z84" s="61"/>
      <c r="AA84" s="61" t="str">
        <f t="shared" si="36"/>
        <v/>
      </c>
      <c r="AB84" s="61" t="str">
        <f t="shared" si="37"/>
        <v/>
      </c>
      <c r="AC84" s="61" t="str">
        <f t="shared" si="38"/>
        <v/>
      </c>
      <c r="AD84" s="61"/>
      <c r="AE84" s="61" t="str">
        <f t="shared" si="39"/>
        <v/>
      </c>
      <c r="AF84" s="61" t="str">
        <f t="shared" si="40"/>
        <v/>
      </c>
      <c r="AG84" s="61" t="str">
        <f t="shared" si="41"/>
        <v/>
      </c>
    </row>
    <row r="85" spans="1:33" x14ac:dyDescent="0.25">
      <c r="A85" s="40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57" t="str">
        <f t="shared" si="29"/>
        <v/>
      </c>
      <c r="O85" s="16" t="str">
        <f>IF(A85="","",IF(N85="",INDEX(_ゴミ箱_Backup!$B$89:$D$89,1,MATCH(言語切替!$B$3,_ゴミ箱_Backup!$B$1:$D$1,0)),IF(N85&gt;=1,INDEX(_ゴミ箱_Backup!$B$93:$D$93,1,MATCH(言語切替!$B$3,_ゴミ箱_Backup!$B$1:$D$1,0)),IF(N85&gt;=0.8,INDEX(_ゴミ箱_Backup!$B$91:$D$91,1,MATCH(言語切替!$B$3,_ゴミ箱_Backup!$B$1:$D$1,0)),INDEX(_ゴミ箱_Backup!$B$94:$D$94,1,MATCH(言語切替!$B$3,_ゴミ箱_Backup!$B$1:$D$1,0))))))</f>
        <v/>
      </c>
      <c r="P85" s="42"/>
      <c r="Q85" s="41"/>
      <c r="R85" s="43"/>
      <c r="S85" s="61" t="str">
        <f t="shared" si="30"/>
        <v/>
      </c>
      <c r="T85" s="61" t="str">
        <f t="shared" si="31"/>
        <v/>
      </c>
      <c r="U85" s="61" t="str">
        <f t="shared" si="32"/>
        <v/>
      </c>
      <c r="V85" s="61" t="str">
        <f t="shared" si="33"/>
        <v/>
      </c>
      <c r="W85" s="61" t="str">
        <f t="shared" si="34"/>
        <v/>
      </c>
      <c r="X85" s="61"/>
      <c r="Y85" s="61" t="str">
        <f t="shared" si="35"/>
        <v/>
      </c>
      <c r="Z85" s="61"/>
      <c r="AA85" s="61" t="str">
        <f t="shared" si="36"/>
        <v/>
      </c>
      <c r="AB85" s="61" t="str">
        <f t="shared" si="37"/>
        <v/>
      </c>
      <c r="AC85" s="61" t="str">
        <f t="shared" si="38"/>
        <v/>
      </c>
      <c r="AD85" s="61"/>
      <c r="AE85" s="61" t="str">
        <f t="shared" si="39"/>
        <v/>
      </c>
      <c r="AF85" s="61" t="str">
        <f t="shared" si="40"/>
        <v/>
      </c>
      <c r="AG85" s="61" t="str">
        <f t="shared" si="41"/>
        <v/>
      </c>
    </row>
    <row r="86" spans="1:33" x14ac:dyDescent="0.25">
      <c r="A86" s="36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56" t="str">
        <f t="shared" si="29"/>
        <v/>
      </c>
      <c r="O86" s="13" t="str">
        <f>IF(A86="","",IF(N86="",INDEX(_ゴミ箱_Backup!$B$89:$D$89,1,MATCH(言語切替!$B$3,_ゴミ箱_Backup!$B$1:$D$1,0)),IF(N86&gt;=1,INDEX(_ゴミ箱_Backup!$B$93:$D$93,1,MATCH(言語切替!$B$3,_ゴミ箱_Backup!$B$1:$D$1,0)),IF(N86&gt;=0.8,INDEX(_ゴミ箱_Backup!$B$91:$D$91,1,MATCH(言語切替!$B$3,_ゴミ箱_Backup!$B$1:$D$1,0)),INDEX(_ゴミ箱_Backup!$B$94:$D$94,1,MATCH(言語切替!$B$3,_ゴミ箱_Backup!$B$1:$D$1,0))))))</f>
        <v/>
      </c>
      <c r="P86" s="38"/>
      <c r="Q86" s="37"/>
      <c r="R86" s="39"/>
      <c r="S86" s="61" t="str">
        <f t="shared" si="30"/>
        <v/>
      </c>
      <c r="T86" s="61" t="str">
        <f t="shared" si="31"/>
        <v/>
      </c>
      <c r="U86" s="61" t="str">
        <f t="shared" si="32"/>
        <v/>
      </c>
      <c r="V86" s="61" t="str">
        <f t="shared" si="33"/>
        <v/>
      </c>
      <c r="W86" s="61" t="str">
        <f t="shared" si="34"/>
        <v/>
      </c>
      <c r="X86" s="61"/>
      <c r="Y86" s="61" t="str">
        <f t="shared" si="35"/>
        <v/>
      </c>
      <c r="Z86" s="61"/>
      <c r="AA86" s="61" t="str">
        <f t="shared" si="36"/>
        <v/>
      </c>
      <c r="AB86" s="61" t="str">
        <f t="shared" si="37"/>
        <v/>
      </c>
      <c r="AC86" s="61" t="str">
        <f t="shared" si="38"/>
        <v/>
      </c>
      <c r="AD86" s="61"/>
      <c r="AE86" s="61" t="str">
        <f t="shared" si="39"/>
        <v/>
      </c>
      <c r="AF86" s="61" t="str">
        <f t="shared" si="40"/>
        <v/>
      </c>
      <c r="AG86" s="61" t="str">
        <f t="shared" si="41"/>
        <v/>
      </c>
    </row>
    <row r="87" spans="1:33" x14ac:dyDescent="0.25">
      <c r="A87" s="40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57" t="str">
        <f t="shared" si="29"/>
        <v/>
      </c>
      <c r="O87" s="16" t="str">
        <f>IF(A87="","",IF(N87="",INDEX(_ゴミ箱_Backup!$B$89:$D$89,1,MATCH(言語切替!$B$3,_ゴミ箱_Backup!$B$1:$D$1,0)),IF(N87&gt;=1,INDEX(_ゴミ箱_Backup!$B$93:$D$93,1,MATCH(言語切替!$B$3,_ゴミ箱_Backup!$B$1:$D$1,0)),IF(N87&gt;=0.8,INDEX(_ゴミ箱_Backup!$B$91:$D$91,1,MATCH(言語切替!$B$3,_ゴミ箱_Backup!$B$1:$D$1,0)),INDEX(_ゴミ箱_Backup!$B$94:$D$94,1,MATCH(言語切替!$B$3,_ゴミ箱_Backup!$B$1:$D$1,0))))))</f>
        <v/>
      </c>
      <c r="P87" s="42"/>
      <c r="Q87" s="41"/>
      <c r="R87" s="43"/>
      <c r="S87" s="61" t="str">
        <f t="shared" si="30"/>
        <v/>
      </c>
      <c r="T87" s="61" t="str">
        <f t="shared" si="31"/>
        <v/>
      </c>
      <c r="U87" s="61" t="str">
        <f t="shared" si="32"/>
        <v/>
      </c>
      <c r="V87" s="61" t="str">
        <f t="shared" si="33"/>
        <v/>
      </c>
      <c r="W87" s="61" t="str">
        <f t="shared" si="34"/>
        <v/>
      </c>
      <c r="X87" s="61"/>
      <c r="Y87" s="61" t="str">
        <f t="shared" si="35"/>
        <v/>
      </c>
      <c r="Z87" s="61"/>
      <c r="AA87" s="61" t="str">
        <f t="shared" si="36"/>
        <v/>
      </c>
      <c r="AB87" s="61" t="str">
        <f t="shared" si="37"/>
        <v/>
      </c>
      <c r="AC87" s="61" t="str">
        <f t="shared" si="38"/>
        <v/>
      </c>
      <c r="AD87" s="61"/>
      <c r="AE87" s="61" t="str">
        <f t="shared" si="39"/>
        <v/>
      </c>
      <c r="AF87" s="61" t="str">
        <f t="shared" si="40"/>
        <v/>
      </c>
      <c r="AG87" s="61" t="str">
        <f t="shared" si="41"/>
        <v/>
      </c>
    </row>
    <row r="88" spans="1:33" x14ac:dyDescent="0.25">
      <c r="A88" s="36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56" t="str">
        <f t="shared" si="29"/>
        <v/>
      </c>
      <c r="O88" s="13" t="str">
        <f>IF(A88="","",IF(N88="",INDEX(_ゴミ箱_Backup!$B$89:$D$89,1,MATCH(言語切替!$B$3,_ゴミ箱_Backup!$B$1:$D$1,0)),IF(N88&gt;=1,INDEX(_ゴミ箱_Backup!$B$93:$D$93,1,MATCH(言語切替!$B$3,_ゴミ箱_Backup!$B$1:$D$1,0)),IF(N88&gt;=0.8,INDEX(_ゴミ箱_Backup!$B$91:$D$91,1,MATCH(言語切替!$B$3,_ゴミ箱_Backup!$B$1:$D$1,0)),INDEX(_ゴミ箱_Backup!$B$94:$D$94,1,MATCH(言語切替!$B$3,_ゴミ箱_Backup!$B$1:$D$1,0))))))</f>
        <v/>
      </c>
      <c r="P88" s="38"/>
      <c r="Q88" s="37"/>
      <c r="R88" s="39"/>
      <c r="S88" s="61" t="str">
        <f t="shared" si="30"/>
        <v/>
      </c>
      <c r="T88" s="61" t="str">
        <f t="shared" si="31"/>
        <v/>
      </c>
      <c r="U88" s="61" t="str">
        <f t="shared" si="32"/>
        <v/>
      </c>
      <c r="V88" s="61" t="str">
        <f t="shared" si="33"/>
        <v/>
      </c>
      <c r="W88" s="61" t="str">
        <f t="shared" si="34"/>
        <v/>
      </c>
      <c r="X88" s="61"/>
      <c r="Y88" s="61" t="str">
        <f t="shared" si="35"/>
        <v/>
      </c>
      <c r="Z88" s="61"/>
      <c r="AA88" s="61" t="str">
        <f t="shared" si="36"/>
        <v/>
      </c>
      <c r="AB88" s="61" t="str">
        <f t="shared" si="37"/>
        <v/>
      </c>
      <c r="AC88" s="61" t="str">
        <f t="shared" si="38"/>
        <v/>
      </c>
      <c r="AD88" s="61"/>
      <c r="AE88" s="61" t="str">
        <f t="shared" si="39"/>
        <v/>
      </c>
      <c r="AF88" s="61" t="str">
        <f t="shared" si="40"/>
        <v/>
      </c>
      <c r="AG88" s="61" t="str">
        <f t="shared" si="41"/>
        <v/>
      </c>
    </row>
    <row r="89" spans="1:33" x14ac:dyDescent="0.25">
      <c r="A89" s="40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57" t="str">
        <f t="shared" si="29"/>
        <v/>
      </c>
      <c r="O89" s="16" t="str">
        <f>IF(A89="","",IF(N89="",INDEX(_ゴミ箱_Backup!$B$89:$D$89,1,MATCH(言語切替!$B$3,_ゴミ箱_Backup!$B$1:$D$1,0)),IF(N89&gt;=1,INDEX(_ゴミ箱_Backup!$B$93:$D$93,1,MATCH(言語切替!$B$3,_ゴミ箱_Backup!$B$1:$D$1,0)),IF(N89&gt;=0.8,INDEX(_ゴミ箱_Backup!$B$91:$D$91,1,MATCH(言語切替!$B$3,_ゴミ箱_Backup!$B$1:$D$1,0)),INDEX(_ゴミ箱_Backup!$B$94:$D$94,1,MATCH(言語切替!$B$3,_ゴミ箱_Backup!$B$1:$D$1,0))))))</f>
        <v/>
      </c>
      <c r="P89" s="42"/>
      <c r="Q89" s="41"/>
      <c r="R89" s="43"/>
      <c r="S89" s="61" t="str">
        <f t="shared" si="30"/>
        <v/>
      </c>
      <c r="T89" s="61" t="str">
        <f t="shared" si="31"/>
        <v/>
      </c>
      <c r="U89" s="61" t="str">
        <f t="shared" si="32"/>
        <v/>
      </c>
      <c r="V89" s="61" t="str">
        <f t="shared" si="33"/>
        <v/>
      </c>
      <c r="W89" s="61" t="str">
        <f t="shared" si="34"/>
        <v/>
      </c>
      <c r="X89" s="61"/>
      <c r="Y89" s="61" t="str">
        <f t="shared" si="35"/>
        <v/>
      </c>
      <c r="Z89" s="61"/>
      <c r="AA89" s="61" t="str">
        <f t="shared" si="36"/>
        <v/>
      </c>
      <c r="AB89" s="61" t="str">
        <f t="shared" si="37"/>
        <v/>
      </c>
      <c r="AC89" s="61" t="str">
        <f t="shared" si="38"/>
        <v/>
      </c>
      <c r="AD89" s="61"/>
      <c r="AE89" s="61" t="str">
        <f t="shared" si="39"/>
        <v/>
      </c>
      <c r="AF89" s="61" t="str">
        <f t="shared" si="40"/>
        <v/>
      </c>
      <c r="AG89" s="61" t="str">
        <f t="shared" si="41"/>
        <v/>
      </c>
    </row>
    <row r="90" spans="1:33" x14ac:dyDescent="0.25">
      <c r="A90" s="36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56" t="str">
        <f t="shared" si="29"/>
        <v/>
      </c>
      <c r="O90" s="13" t="str">
        <f>IF(A90="","",IF(N90="",INDEX(_ゴミ箱_Backup!$B$89:$D$89,1,MATCH(言語切替!$B$3,_ゴミ箱_Backup!$B$1:$D$1,0)),IF(N90&gt;=1,INDEX(_ゴミ箱_Backup!$B$93:$D$93,1,MATCH(言語切替!$B$3,_ゴミ箱_Backup!$B$1:$D$1,0)),IF(N90&gt;=0.8,INDEX(_ゴミ箱_Backup!$B$91:$D$91,1,MATCH(言語切替!$B$3,_ゴミ箱_Backup!$B$1:$D$1,0)),INDEX(_ゴミ箱_Backup!$B$94:$D$94,1,MATCH(言語切替!$B$3,_ゴミ箱_Backup!$B$1:$D$1,0))))))</f>
        <v/>
      </c>
      <c r="P90" s="38"/>
      <c r="Q90" s="37"/>
      <c r="R90" s="39"/>
      <c r="S90" s="61" t="str">
        <f t="shared" si="30"/>
        <v/>
      </c>
      <c r="T90" s="61" t="str">
        <f t="shared" si="31"/>
        <v/>
      </c>
      <c r="U90" s="61" t="str">
        <f t="shared" si="32"/>
        <v/>
      </c>
      <c r="V90" s="61" t="str">
        <f t="shared" si="33"/>
        <v/>
      </c>
      <c r="W90" s="61" t="str">
        <f t="shared" si="34"/>
        <v/>
      </c>
      <c r="X90" s="61"/>
      <c r="Y90" s="61" t="str">
        <f t="shared" si="35"/>
        <v/>
      </c>
      <c r="Z90" s="61"/>
      <c r="AA90" s="61" t="str">
        <f t="shared" si="36"/>
        <v/>
      </c>
      <c r="AB90" s="61" t="str">
        <f t="shared" si="37"/>
        <v/>
      </c>
      <c r="AC90" s="61" t="str">
        <f t="shared" si="38"/>
        <v/>
      </c>
      <c r="AD90" s="61"/>
      <c r="AE90" s="61" t="str">
        <f t="shared" si="39"/>
        <v/>
      </c>
      <c r="AF90" s="61" t="str">
        <f t="shared" si="40"/>
        <v/>
      </c>
      <c r="AG90" s="61" t="str">
        <f t="shared" si="41"/>
        <v/>
      </c>
    </row>
    <row r="91" spans="1:33" x14ac:dyDescent="0.25">
      <c r="A91" s="40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57" t="str">
        <f t="shared" si="29"/>
        <v/>
      </c>
      <c r="O91" s="16" t="str">
        <f>IF(A91="","",IF(N91="",INDEX(_ゴミ箱_Backup!$B$89:$D$89,1,MATCH(言語切替!$B$3,_ゴミ箱_Backup!$B$1:$D$1,0)),IF(N91&gt;=1,INDEX(_ゴミ箱_Backup!$B$93:$D$93,1,MATCH(言語切替!$B$3,_ゴミ箱_Backup!$B$1:$D$1,0)),IF(N91&gt;=0.8,INDEX(_ゴミ箱_Backup!$B$91:$D$91,1,MATCH(言語切替!$B$3,_ゴミ箱_Backup!$B$1:$D$1,0)),INDEX(_ゴミ箱_Backup!$B$94:$D$94,1,MATCH(言語切替!$B$3,_ゴミ箱_Backup!$B$1:$D$1,0))))))</f>
        <v/>
      </c>
      <c r="P91" s="42"/>
      <c r="Q91" s="41"/>
      <c r="R91" s="43"/>
      <c r="S91" s="61" t="str">
        <f t="shared" si="30"/>
        <v/>
      </c>
      <c r="T91" s="61" t="str">
        <f t="shared" si="31"/>
        <v/>
      </c>
      <c r="U91" s="61" t="str">
        <f t="shared" si="32"/>
        <v/>
      </c>
      <c r="V91" s="61" t="str">
        <f t="shared" si="33"/>
        <v/>
      </c>
      <c r="W91" s="61" t="str">
        <f t="shared" si="34"/>
        <v/>
      </c>
      <c r="X91" s="61"/>
      <c r="Y91" s="61" t="str">
        <f t="shared" si="35"/>
        <v/>
      </c>
      <c r="Z91" s="61"/>
      <c r="AA91" s="61" t="str">
        <f t="shared" si="36"/>
        <v/>
      </c>
      <c r="AB91" s="61" t="str">
        <f t="shared" si="37"/>
        <v/>
      </c>
      <c r="AC91" s="61" t="str">
        <f t="shared" si="38"/>
        <v/>
      </c>
      <c r="AD91" s="61"/>
      <c r="AE91" s="61" t="str">
        <f t="shared" si="39"/>
        <v/>
      </c>
      <c r="AF91" s="61" t="str">
        <f t="shared" si="40"/>
        <v/>
      </c>
      <c r="AG91" s="61" t="str">
        <f t="shared" si="41"/>
        <v/>
      </c>
    </row>
    <row r="92" spans="1:33" x14ac:dyDescent="0.25">
      <c r="A92" s="36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56" t="str">
        <f t="shared" si="29"/>
        <v/>
      </c>
      <c r="O92" s="13" t="str">
        <f>IF(A92="","",IF(N92="",INDEX(_ゴミ箱_Backup!$B$89:$D$89,1,MATCH(言語切替!$B$3,_ゴミ箱_Backup!$B$1:$D$1,0)),IF(N92&gt;=1,INDEX(_ゴミ箱_Backup!$B$93:$D$93,1,MATCH(言語切替!$B$3,_ゴミ箱_Backup!$B$1:$D$1,0)),IF(N92&gt;=0.8,INDEX(_ゴミ箱_Backup!$B$91:$D$91,1,MATCH(言語切替!$B$3,_ゴミ箱_Backup!$B$1:$D$1,0)),INDEX(_ゴミ箱_Backup!$B$94:$D$94,1,MATCH(言語切替!$B$3,_ゴミ箱_Backup!$B$1:$D$1,0))))))</f>
        <v/>
      </c>
      <c r="P92" s="38"/>
      <c r="Q92" s="37"/>
      <c r="R92" s="39"/>
      <c r="S92" s="61" t="str">
        <f t="shared" si="30"/>
        <v/>
      </c>
      <c r="T92" s="61" t="str">
        <f t="shared" si="31"/>
        <v/>
      </c>
      <c r="U92" s="61" t="str">
        <f t="shared" si="32"/>
        <v/>
      </c>
      <c r="V92" s="61" t="str">
        <f t="shared" si="33"/>
        <v/>
      </c>
      <c r="W92" s="61" t="str">
        <f t="shared" si="34"/>
        <v/>
      </c>
      <c r="X92" s="61"/>
      <c r="Y92" s="61" t="str">
        <f t="shared" si="35"/>
        <v/>
      </c>
      <c r="Z92" s="61"/>
      <c r="AA92" s="61" t="str">
        <f t="shared" si="36"/>
        <v/>
      </c>
      <c r="AB92" s="61" t="str">
        <f t="shared" si="37"/>
        <v/>
      </c>
      <c r="AC92" s="61" t="str">
        <f t="shared" si="38"/>
        <v/>
      </c>
      <c r="AD92" s="61"/>
      <c r="AE92" s="61" t="str">
        <f t="shared" si="39"/>
        <v/>
      </c>
      <c r="AF92" s="61" t="str">
        <f t="shared" si="40"/>
        <v/>
      </c>
      <c r="AG92" s="61" t="str">
        <f t="shared" si="41"/>
        <v/>
      </c>
    </row>
    <row r="93" spans="1:33" x14ac:dyDescent="0.25">
      <c r="A93" s="40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57" t="str">
        <f t="shared" si="29"/>
        <v/>
      </c>
      <c r="O93" s="16" t="str">
        <f>IF(A93="","",IF(N93="",INDEX(_ゴミ箱_Backup!$B$89:$D$89,1,MATCH(言語切替!$B$3,_ゴミ箱_Backup!$B$1:$D$1,0)),IF(N93&gt;=1,INDEX(_ゴミ箱_Backup!$B$93:$D$93,1,MATCH(言語切替!$B$3,_ゴミ箱_Backup!$B$1:$D$1,0)),IF(N93&gt;=0.8,INDEX(_ゴミ箱_Backup!$B$91:$D$91,1,MATCH(言語切替!$B$3,_ゴミ箱_Backup!$B$1:$D$1,0)),INDEX(_ゴミ箱_Backup!$B$94:$D$94,1,MATCH(言語切替!$B$3,_ゴミ箱_Backup!$B$1:$D$1,0))))))</f>
        <v/>
      </c>
      <c r="P93" s="42"/>
      <c r="Q93" s="41"/>
      <c r="R93" s="43"/>
      <c r="S93" s="61" t="str">
        <f t="shared" si="30"/>
        <v/>
      </c>
      <c r="T93" s="61" t="str">
        <f t="shared" si="31"/>
        <v/>
      </c>
      <c r="U93" s="61" t="str">
        <f t="shared" si="32"/>
        <v/>
      </c>
      <c r="V93" s="61" t="str">
        <f t="shared" si="33"/>
        <v/>
      </c>
      <c r="W93" s="61" t="str">
        <f t="shared" si="34"/>
        <v/>
      </c>
      <c r="X93" s="61"/>
      <c r="Y93" s="61" t="str">
        <f t="shared" si="35"/>
        <v/>
      </c>
      <c r="Z93" s="61"/>
      <c r="AA93" s="61" t="str">
        <f t="shared" si="36"/>
        <v/>
      </c>
      <c r="AB93" s="61" t="str">
        <f t="shared" si="37"/>
        <v/>
      </c>
      <c r="AC93" s="61" t="str">
        <f t="shared" si="38"/>
        <v/>
      </c>
      <c r="AD93" s="61"/>
      <c r="AE93" s="61" t="str">
        <f t="shared" si="39"/>
        <v/>
      </c>
      <c r="AF93" s="61" t="str">
        <f t="shared" si="40"/>
        <v/>
      </c>
      <c r="AG93" s="61" t="str">
        <f t="shared" si="41"/>
        <v/>
      </c>
    </row>
    <row r="94" spans="1:33" x14ac:dyDescent="0.25">
      <c r="A94" s="36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56" t="str">
        <f t="shared" si="29"/>
        <v/>
      </c>
      <c r="O94" s="13" t="str">
        <f>IF(A94="","",IF(N94="",INDEX(_ゴミ箱_Backup!$B$89:$D$89,1,MATCH(言語切替!$B$3,_ゴミ箱_Backup!$B$1:$D$1,0)),IF(N94&gt;=1,INDEX(_ゴミ箱_Backup!$B$93:$D$93,1,MATCH(言語切替!$B$3,_ゴミ箱_Backup!$B$1:$D$1,0)),IF(N94&gt;=0.8,INDEX(_ゴミ箱_Backup!$B$91:$D$91,1,MATCH(言語切替!$B$3,_ゴミ箱_Backup!$B$1:$D$1,0)),INDEX(_ゴミ箱_Backup!$B$94:$D$94,1,MATCH(言語切替!$B$3,_ゴミ箱_Backup!$B$1:$D$1,0))))))</f>
        <v/>
      </c>
      <c r="P94" s="38"/>
      <c r="Q94" s="37"/>
      <c r="R94" s="39"/>
      <c r="S94" s="61" t="str">
        <f t="shared" si="30"/>
        <v/>
      </c>
      <c r="T94" s="61" t="str">
        <f t="shared" si="31"/>
        <v/>
      </c>
      <c r="U94" s="61" t="str">
        <f t="shared" si="32"/>
        <v/>
      </c>
      <c r="V94" s="61" t="str">
        <f t="shared" si="33"/>
        <v/>
      </c>
      <c r="W94" s="61" t="str">
        <f t="shared" si="34"/>
        <v/>
      </c>
      <c r="X94" s="61"/>
      <c r="Y94" s="61" t="str">
        <f t="shared" si="35"/>
        <v/>
      </c>
      <c r="Z94" s="61"/>
      <c r="AA94" s="61" t="str">
        <f t="shared" si="36"/>
        <v/>
      </c>
      <c r="AB94" s="61" t="str">
        <f t="shared" si="37"/>
        <v/>
      </c>
      <c r="AC94" s="61" t="str">
        <f t="shared" si="38"/>
        <v/>
      </c>
      <c r="AD94" s="61"/>
      <c r="AE94" s="61" t="str">
        <f t="shared" si="39"/>
        <v/>
      </c>
      <c r="AF94" s="61" t="str">
        <f t="shared" si="40"/>
        <v/>
      </c>
      <c r="AG94" s="61" t="str">
        <f t="shared" si="41"/>
        <v/>
      </c>
    </row>
    <row r="95" spans="1:33" x14ac:dyDescent="0.25">
      <c r="A95" s="40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57" t="str">
        <f t="shared" si="29"/>
        <v/>
      </c>
      <c r="O95" s="16" t="str">
        <f>IF(A95="","",IF(N95="",INDEX(_ゴミ箱_Backup!$B$89:$D$89,1,MATCH(言語切替!$B$3,_ゴミ箱_Backup!$B$1:$D$1,0)),IF(N95&gt;=1,INDEX(_ゴミ箱_Backup!$B$93:$D$93,1,MATCH(言語切替!$B$3,_ゴミ箱_Backup!$B$1:$D$1,0)),IF(N95&gt;=0.8,INDEX(_ゴミ箱_Backup!$B$91:$D$91,1,MATCH(言語切替!$B$3,_ゴミ箱_Backup!$B$1:$D$1,0)),INDEX(_ゴミ箱_Backup!$B$94:$D$94,1,MATCH(言語切替!$B$3,_ゴミ箱_Backup!$B$1:$D$1,0))))))</f>
        <v/>
      </c>
      <c r="P95" s="42"/>
      <c r="Q95" s="41"/>
      <c r="R95" s="43"/>
      <c r="S95" s="61" t="str">
        <f t="shared" si="30"/>
        <v/>
      </c>
      <c r="T95" s="61" t="str">
        <f t="shared" si="31"/>
        <v/>
      </c>
      <c r="U95" s="61" t="str">
        <f t="shared" si="32"/>
        <v/>
      </c>
      <c r="V95" s="61" t="str">
        <f t="shared" si="33"/>
        <v/>
      </c>
      <c r="W95" s="61" t="str">
        <f t="shared" si="34"/>
        <v/>
      </c>
      <c r="X95" s="61"/>
      <c r="Y95" s="61" t="str">
        <f t="shared" si="35"/>
        <v/>
      </c>
      <c r="Z95" s="61"/>
      <c r="AA95" s="61" t="str">
        <f t="shared" si="36"/>
        <v/>
      </c>
      <c r="AB95" s="61" t="str">
        <f t="shared" si="37"/>
        <v/>
      </c>
      <c r="AC95" s="61" t="str">
        <f t="shared" si="38"/>
        <v/>
      </c>
      <c r="AD95" s="61"/>
      <c r="AE95" s="61" t="str">
        <f t="shared" si="39"/>
        <v/>
      </c>
      <c r="AF95" s="61" t="str">
        <f t="shared" si="40"/>
        <v/>
      </c>
      <c r="AG95" s="61" t="str">
        <f t="shared" si="41"/>
        <v/>
      </c>
    </row>
    <row r="96" spans="1:33" x14ac:dyDescent="0.25">
      <c r="A96" s="36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56" t="str">
        <f t="shared" si="29"/>
        <v/>
      </c>
      <c r="O96" s="13" t="str">
        <f>IF(A96="","",IF(N96="",INDEX(_ゴミ箱_Backup!$B$89:$D$89,1,MATCH(言語切替!$B$3,_ゴミ箱_Backup!$B$1:$D$1,0)),IF(N96&gt;=1,INDEX(_ゴミ箱_Backup!$B$93:$D$93,1,MATCH(言語切替!$B$3,_ゴミ箱_Backup!$B$1:$D$1,0)),IF(N96&gt;=0.8,INDEX(_ゴミ箱_Backup!$B$91:$D$91,1,MATCH(言語切替!$B$3,_ゴミ箱_Backup!$B$1:$D$1,0)),INDEX(_ゴミ箱_Backup!$B$94:$D$94,1,MATCH(言語切替!$B$3,_ゴミ箱_Backup!$B$1:$D$1,0))))))</f>
        <v/>
      </c>
      <c r="P96" s="38"/>
      <c r="Q96" s="37"/>
      <c r="R96" s="39"/>
      <c r="S96" s="61" t="str">
        <f t="shared" si="30"/>
        <v/>
      </c>
      <c r="T96" s="61" t="str">
        <f t="shared" si="31"/>
        <v/>
      </c>
      <c r="U96" s="61" t="str">
        <f t="shared" si="32"/>
        <v/>
      </c>
      <c r="V96" s="61" t="str">
        <f t="shared" si="33"/>
        <v/>
      </c>
      <c r="W96" s="61" t="str">
        <f t="shared" si="34"/>
        <v/>
      </c>
      <c r="X96" s="61"/>
      <c r="Y96" s="61" t="str">
        <f t="shared" si="35"/>
        <v/>
      </c>
      <c r="Z96" s="61"/>
      <c r="AA96" s="61" t="str">
        <f t="shared" si="36"/>
        <v/>
      </c>
      <c r="AB96" s="61" t="str">
        <f t="shared" si="37"/>
        <v/>
      </c>
      <c r="AC96" s="61" t="str">
        <f t="shared" si="38"/>
        <v/>
      </c>
      <c r="AD96" s="61"/>
      <c r="AE96" s="61" t="str">
        <f t="shared" si="39"/>
        <v/>
      </c>
      <c r="AF96" s="61" t="str">
        <f t="shared" si="40"/>
        <v/>
      </c>
      <c r="AG96" s="61" t="str">
        <f t="shared" si="41"/>
        <v/>
      </c>
    </row>
    <row r="97" spans="1:33" x14ac:dyDescent="0.25">
      <c r="A97" s="40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57" t="str">
        <f t="shared" si="29"/>
        <v/>
      </c>
      <c r="O97" s="16" t="str">
        <f>IF(A97="","",IF(N97="",INDEX(_ゴミ箱_Backup!$B$89:$D$89,1,MATCH(言語切替!$B$3,_ゴミ箱_Backup!$B$1:$D$1,0)),IF(N97&gt;=1,INDEX(_ゴミ箱_Backup!$B$93:$D$93,1,MATCH(言語切替!$B$3,_ゴミ箱_Backup!$B$1:$D$1,0)),IF(N97&gt;=0.8,INDEX(_ゴミ箱_Backup!$B$91:$D$91,1,MATCH(言語切替!$B$3,_ゴミ箱_Backup!$B$1:$D$1,0)),INDEX(_ゴミ箱_Backup!$B$94:$D$94,1,MATCH(言語切替!$B$3,_ゴミ箱_Backup!$B$1:$D$1,0))))))</f>
        <v/>
      </c>
      <c r="P97" s="42"/>
      <c r="Q97" s="41"/>
      <c r="R97" s="43"/>
      <c r="S97" s="61" t="str">
        <f t="shared" si="30"/>
        <v/>
      </c>
      <c r="T97" s="61" t="str">
        <f t="shared" si="31"/>
        <v/>
      </c>
      <c r="U97" s="61" t="str">
        <f t="shared" si="32"/>
        <v/>
      </c>
      <c r="V97" s="61" t="str">
        <f t="shared" si="33"/>
        <v/>
      </c>
      <c r="W97" s="61" t="str">
        <f t="shared" si="34"/>
        <v/>
      </c>
      <c r="X97" s="61"/>
      <c r="Y97" s="61" t="str">
        <f t="shared" si="35"/>
        <v/>
      </c>
      <c r="Z97" s="61"/>
      <c r="AA97" s="61" t="str">
        <f t="shared" si="36"/>
        <v/>
      </c>
      <c r="AB97" s="61" t="str">
        <f t="shared" si="37"/>
        <v/>
      </c>
      <c r="AC97" s="61" t="str">
        <f t="shared" si="38"/>
        <v/>
      </c>
      <c r="AD97" s="61"/>
      <c r="AE97" s="61" t="str">
        <f t="shared" si="39"/>
        <v/>
      </c>
      <c r="AF97" s="61" t="str">
        <f t="shared" si="40"/>
        <v/>
      </c>
      <c r="AG97" s="61" t="str">
        <f t="shared" si="41"/>
        <v/>
      </c>
    </row>
    <row r="98" spans="1:33" x14ac:dyDescent="0.25">
      <c r="A98" s="36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56" t="str">
        <f t="shared" si="29"/>
        <v/>
      </c>
      <c r="O98" s="13" t="str">
        <f>IF(A98="","",IF(N98="",INDEX(_ゴミ箱_Backup!$B$89:$D$89,1,MATCH(言語切替!$B$3,_ゴミ箱_Backup!$B$1:$D$1,0)),IF(N98&gt;=1,INDEX(_ゴミ箱_Backup!$B$93:$D$93,1,MATCH(言語切替!$B$3,_ゴミ箱_Backup!$B$1:$D$1,0)),IF(N98&gt;=0.8,INDEX(_ゴミ箱_Backup!$B$91:$D$91,1,MATCH(言語切替!$B$3,_ゴミ箱_Backup!$B$1:$D$1,0)),INDEX(_ゴミ箱_Backup!$B$94:$D$94,1,MATCH(言語切替!$B$3,_ゴミ箱_Backup!$B$1:$D$1,0))))))</f>
        <v/>
      </c>
      <c r="P98" s="38"/>
      <c r="Q98" s="37"/>
      <c r="R98" s="39"/>
      <c r="S98" s="61" t="str">
        <f t="shared" si="30"/>
        <v/>
      </c>
      <c r="T98" s="61" t="str">
        <f t="shared" si="31"/>
        <v/>
      </c>
      <c r="U98" s="61" t="str">
        <f t="shared" si="32"/>
        <v/>
      </c>
      <c r="V98" s="61" t="str">
        <f t="shared" si="33"/>
        <v/>
      </c>
      <c r="W98" s="61" t="str">
        <f t="shared" si="34"/>
        <v/>
      </c>
      <c r="X98" s="61"/>
      <c r="Y98" s="61" t="str">
        <f t="shared" si="35"/>
        <v/>
      </c>
      <c r="Z98" s="61"/>
      <c r="AA98" s="61" t="str">
        <f t="shared" si="36"/>
        <v/>
      </c>
      <c r="AB98" s="61" t="str">
        <f t="shared" si="37"/>
        <v/>
      </c>
      <c r="AC98" s="61" t="str">
        <f t="shared" si="38"/>
        <v/>
      </c>
      <c r="AD98" s="61"/>
      <c r="AE98" s="61" t="str">
        <f t="shared" si="39"/>
        <v/>
      </c>
      <c r="AF98" s="61" t="str">
        <f t="shared" si="40"/>
        <v/>
      </c>
      <c r="AG98" s="61" t="str">
        <f t="shared" si="41"/>
        <v/>
      </c>
    </row>
    <row r="99" spans="1:33" x14ac:dyDescent="0.25">
      <c r="A99" s="40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57" t="str">
        <f t="shared" si="29"/>
        <v/>
      </c>
      <c r="O99" s="16" t="str">
        <f>IF(A99="","",IF(N99="",INDEX(_ゴミ箱_Backup!$B$89:$D$89,1,MATCH(言語切替!$B$3,_ゴミ箱_Backup!$B$1:$D$1,0)),IF(N99&gt;=1,INDEX(_ゴミ箱_Backup!$B$93:$D$93,1,MATCH(言語切替!$B$3,_ゴミ箱_Backup!$B$1:$D$1,0)),IF(N99&gt;=0.8,INDEX(_ゴミ箱_Backup!$B$91:$D$91,1,MATCH(言語切替!$B$3,_ゴミ箱_Backup!$B$1:$D$1,0)),INDEX(_ゴミ箱_Backup!$B$94:$D$94,1,MATCH(言語切替!$B$3,_ゴミ箱_Backup!$B$1:$D$1,0))))))</f>
        <v/>
      </c>
      <c r="P99" s="42"/>
      <c r="Q99" s="41"/>
      <c r="R99" s="43"/>
      <c r="S99" s="61" t="str">
        <f t="shared" si="30"/>
        <v/>
      </c>
      <c r="T99" s="61" t="str">
        <f t="shared" si="31"/>
        <v/>
      </c>
      <c r="U99" s="61" t="str">
        <f t="shared" si="32"/>
        <v/>
      </c>
      <c r="V99" s="61" t="str">
        <f t="shared" si="33"/>
        <v/>
      </c>
      <c r="W99" s="61" t="str">
        <f t="shared" si="34"/>
        <v/>
      </c>
      <c r="X99" s="61"/>
      <c r="Y99" s="61" t="str">
        <f t="shared" si="35"/>
        <v/>
      </c>
      <c r="Z99" s="61"/>
      <c r="AA99" s="61" t="str">
        <f t="shared" si="36"/>
        <v/>
      </c>
      <c r="AB99" s="61" t="str">
        <f t="shared" si="37"/>
        <v/>
      </c>
      <c r="AC99" s="61" t="str">
        <f t="shared" si="38"/>
        <v/>
      </c>
      <c r="AD99" s="61"/>
      <c r="AE99" s="61" t="str">
        <f t="shared" si="39"/>
        <v/>
      </c>
      <c r="AF99" s="61" t="str">
        <f t="shared" si="40"/>
        <v/>
      </c>
      <c r="AG99" s="61" t="str">
        <f t="shared" si="41"/>
        <v/>
      </c>
    </row>
    <row r="100" spans="1:33" x14ac:dyDescent="0.25">
      <c r="A100" s="36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56" t="str">
        <f t="shared" si="29"/>
        <v/>
      </c>
      <c r="O100" s="13" t="str">
        <f>IF(A100="","",IF(N100="",INDEX(_ゴミ箱_Backup!$B$89:$D$89,1,MATCH(言語切替!$B$3,_ゴミ箱_Backup!$B$1:$D$1,0)),IF(N100&gt;=1,INDEX(_ゴミ箱_Backup!$B$93:$D$93,1,MATCH(言語切替!$B$3,_ゴミ箱_Backup!$B$1:$D$1,0)),IF(N100&gt;=0.8,INDEX(_ゴミ箱_Backup!$B$91:$D$91,1,MATCH(言語切替!$B$3,_ゴミ箱_Backup!$B$1:$D$1,0)),INDEX(_ゴミ箱_Backup!$B$94:$D$94,1,MATCH(言語切替!$B$3,_ゴミ箱_Backup!$B$1:$D$1,0))))))</f>
        <v/>
      </c>
      <c r="P100" s="38"/>
      <c r="Q100" s="37"/>
      <c r="R100" s="39"/>
      <c r="S100" s="61" t="str">
        <f t="shared" si="30"/>
        <v/>
      </c>
      <c r="T100" s="61" t="str">
        <f t="shared" si="31"/>
        <v/>
      </c>
      <c r="U100" s="61" t="str">
        <f t="shared" si="32"/>
        <v/>
      </c>
      <c r="V100" s="61" t="str">
        <f t="shared" si="33"/>
        <v/>
      </c>
      <c r="W100" s="61" t="str">
        <f t="shared" si="34"/>
        <v/>
      </c>
      <c r="X100" s="61"/>
      <c r="Y100" s="61" t="str">
        <f t="shared" si="35"/>
        <v/>
      </c>
      <c r="Z100" s="61"/>
      <c r="AA100" s="61" t="str">
        <f t="shared" si="36"/>
        <v/>
      </c>
      <c r="AB100" s="61" t="str">
        <f t="shared" si="37"/>
        <v/>
      </c>
      <c r="AC100" s="61" t="str">
        <f t="shared" si="38"/>
        <v/>
      </c>
      <c r="AD100" s="61"/>
      <c r="AE100" s="61" t="str">
        <f t="shared" si="39"/>
        <v/>
      </c>
      <c r="AF100" s="61" t="str">
        <f t="shared" si="40"/>
        <v/>
      </c>
      <c r="AG100" s="61" t="str">
        <f t="shared" si="41"/>
        <v/>
      </c>
    </row>
    <row r="101" spans="1:33" x14ac:dyDescent="0.25">
      <c r="A101" s="40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57" t="str">
        <f t="shared" ref="N101:N132" si="42">IF(OR(L101="",M101=""),"",IF(L101=0,"",M101/L101))</f>
        <v/>
      </c>
      <c r="O101" s="16" t="str">
        <f>IF(A101="","",IF(N101="",INDEX(_ゴミ箱_Backup!$B$89:$D$89,1,MATCH(言語切替!$B$3,_ゴミ箱_Backup!$B$1:$D$1,0)),IF(N101&gt;=1,INDEX(_ゴミ箱_Backup!$B$93:$D$93,1,MATCH(言語切替!$B$3,_ゴミ箱_Backup!$B$1:$D$1,0)),IF(N101&gt;=0.8,INDEX(_ゴミ箱_Backup!$B$91:$D$91,1,MATCH(言語切替!$B$3,_ゴミ箱_Backup!$B$1:$D$1,0)),INDEX(_ゴミ箱_Backup!$B$94:$D$94,1,MATCH(言語切替!$B$3,_ゴミ箱_Backup!$B$1:$D$1,0))))))</f>
        <v/>
      </c>
      <c r="P101" s="42"/>
      <c r="Q101" s="41"/>
      <c r="R101" s="43"/>
      <c r="S101" s="61" t="str">
        <f t="shared" ref="S101:S132" si="43">IF(D101="","",IFERROR(_xlfn.TRANSLATE(D101,,"ja"),""))</f>
        <v/>
      </c>
      <c r="T101" s="61" t="str">
        <f t="shared" ref="T101:T132" si="44">IF(D101="","",IFERROR(_xlfn.TRANSLATE(D101,,"zh-Hans"),""))</f>
        <v/>
      </c>
      <c r="U101" s="61" t="str">
        <f t="shared" ref="U101:U132" si="45">IF(D101="","",IFERROR(_xlfn.TRANSLATE(D101,,"vi"),""))</f>
        <v/>
      </c>
      <c r="V101" s="61" t="str">
        <f t="shared" ref="V101:V132" si="46">IF(E101="","",IFERROR(_xlfn.TRANSLATE(E101,,"ja"),""))</f>
        <v/>
      </c>
      <c r="W101" s="61" t="str">
        <f t="shared" ref="W101:W132" si="47">IF(E101="","",IFERROR(_xlfn.TRANSLATE(E101,,"zh-Hans"),""))</f>
        <v/>
      </c>
      <c r="X101" s="61"/>
      <c r="Y101" s="61" t="str">
        <f t="shared" ref="Y101:Y132" si="48">IF(F101="","",IFERROR(_xlfn.TRANSLATE(F101,,"ja"),""))</f>
        <v/>
      </c>
      <c r="Z101" s="61"/>
      <c r="AA101" s="61" t="str">
        <f t="shared" ref="AA101:AA132" si="49">IF(F101="","",IFERROR(_xlfn.TRANSLATE(F101,,"vi"),""))</f>
        <v/>
      </c>
      <c r="AB101" s="61" t="str">
        <f t="shared" ref="AB101:AB132" si="50">IF(Q101="","",IFERROR(_xlfn.TRANSLATE(Q101,,"ja"),""))</f>
        <v/>
      </c>
      <c r="AC101" s="61" t="str">
        <f t="shared" ref="AC101:AC132" si="51">IF(Q101="","",IFERROR(_xlfn.TRANSLATE(Q101,,"zh-Hans"),""))</f>
        <v/>
      </c>
      <c r="AD101" s="61"/>
      <c r="AE101" s="61" t="str">
        <f t="shared" ref="AE101:AE132" si="52">IF(R101="","",IFERROR(_xlfn.TRANSLATE(R101,,"ja"),""))</f>
        <v/>
      </c>
      <c r="AF101" s="61" t="str">
        <f t="shared" ref="AF101:AF132" si="53">IF(R101="","",IFERROR(_xlfn.TRANSLATE(R101,,"zh-Hans"),""))</f>
        <v/>
      </c>
      <c r="AG101" s="61" t="str">
        <f t="shared" ref="AG101:AG132" si="54">IF(R101="","",IFERROR(_xlfn.TRANSLATE(R101,,"vi"),""))</f>
        <v/>
      </c>
    </row>
    <row r="102" spans="1:33" x14ac:dyDescent="0.25">
      <c r="A102" s="36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56" t="str">
        <f t="shared" si="42"/>
        <v/>
      </c>
      <c r="O102" s="13" t="str">
        <f>IF(A102="","",IF(N102="",INDEX(_ゴミ箱_Backup!$B$89:$D$89,1,MATCH(言語切替!$B$3,_ゴミ箱_Backup!$B$1:$D$1,0)),IF(N102&gt;=1,INDEX(_ゴミ箱_Backup!$B$93:$D$93,1,MATCH(言語切替!$B$3,_ゴミ箱_Backup!$B$1:$D$1,0)),IF(N102&gt;=0.8,INDEX(_ゴミ箱_Backup!$B$91:$D$91,1,MATCH(言語切替!$B$3,_ゴミ箱_Backup!$B$1:$D$1,0)),INDEX(_ゴミ箱_Backup!$B$94:$D$94,1,MATCH(言語切替!$B$3,_ゴミ箱_Backup!$B$1:$D$1,0))))))</f>
        <v/>
      </c>
      <c r="P102" s="38"/>
      <c r="Q102" s="37"/>
      <c r="R102" s="39"/>
      <c r="S102" s="61" t="str">
        <f t="shared" si="43"/>
        <v/>
      </c>
      <c r="T102" s="61" t="str">
        <f t="shared" si="44"/>
        <v/>
      </c>
      <c r="U102" s="61" t="str">
        <f t="shared" si="45"/>
        <v/>
      </c>
      <c r="V102" s="61" t="str">
        <f t="shared" si="46"/>
        <v/>
      </c>
      <c r="W102" s="61" t="str">
        <f t="shared" si="47"/>
        <v/>
      </c>
      <c r="X102" s="61"/>
      <c r="Y102" s="61" t="str">
        <f t="shared" si="48"/>
        <v/>
      </c>
      <c r="Z102" s="61"/>
      <c r="AA102" s="61" t="str">
        <f t="shared" si="49"/>
        <v/>
      </c>
      <c r="AB102" s="61" t="str">
        <f t="shared" si="50"/>
        <v/>
      </c>
      <c r="AC102" s="61" t="str">
        <f t="shared" si="51"/>
        <v/>
      </c>
      <c r="AD102" s="61"/>
      <c r="AE102" s="61" t="str">
        <f t="shared" si="52"/>
        <v/>
      </c>
      <c r="AF102" s="61" t="str">
        <f t="shared" si="53"/>
        <v/>
      </c>
      <c r="AG102" s="61" t="str">
        <f t="shared" si="54"/>
        <v/>
      </c>
    </row>
    <row r="103" spans="1:33" x14ac:dyDescent="0.25">
      <c r="A103" s="40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57" t="str">
        <f t="shared" si="42"/>
        <v/>
      </c>
      <c r="O103" s="16" t="str">
        <f>IF(A103="","",IF(N103="",INDEX(_ゴミ箱_Backup!$B$89:$D$89,1,MATCH(言語切替!$B$3,_ゴミ箱_Backup!$B$1:$D$1,0)),IF(N103&gt;=1,INDEX(_ゴミ箱_Backup!$B$93:$D$93,1,MATCH(言語切替!$B$3,_ゴミ箱_Backup!$B$1:$D$1,0)),IF(N103&gt;=0.8,INDEX(_ゴミ箱_Backup!$B$91:$D$91,1,MATCH(言語切替!$B$3,_ゴミ箱_Backup!$B$1:$D$1,0)),INDEX(_ゴミ箱_Backup!$B$94:$D$94,1,MATCH(言語切替!$B$3,_ゴミ箱_Backup!$B$1:$D$1,0))))))</f>
        <v/>
      </c>
      <c r="P103" s="42"/>
      <c r="Q103" s="41"/>
      <c r="R103" s="43"/>
      <c r="S103" s="61" t="str">
        <f t="shared" si="43"/>
        <v/>
      </c>
      <c r="T103" s="61" t="str">
        <f t="shared" si="44"/>
        <v/>
      </c>
      <c r="U103" s="61" t="str">
        <f t="shared" si="45"/>
        <v/>
      </c>
      <c r="V103" s="61" t="str">
        <f t="shared" si="46"/>
        <v/>
      </c>
      <c r="W103" s="61" t="str">
        <f t="shared" si="47"/>
        <v/>
      </c>
      <c r="X103" s="61"/>
      <c r="Y103" s="61" t="str">
        <f t="shared" si="48"/>
        <v/>
      </c>
      <c r="Z103" s="61"/>
      <c r="AA103" s="61" t="str">
        <f t="shared" si="49"/>
        <v/>
      </c>
      <c r="AB103" s="61" t="str">
        <f t="shared" si="50"/>
        <v/>
      </c>
      <c r="AC103" s="61" t="str">
        <f t="shared" si="51"/>
        <v/>
      </c>
      <c r="AD103" s="61"/>
      <c r="AE103" s="61" t="str">
        <f t="shared" si="52"/>
        <v/>
      </c>
      <c r="AF103" s="61" t="str">
        <f t="shared" si="53"/>
        <v/>
      </c>
      <c r="AG103" s="61" t="str">
        <f t="shared" si="54"/>
        <v/>
      </c>
    </row>
    <row r="104" spans="1:33" x14ac:dyDescent="0.25">
      <c r="A104" s="36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56" t="str">
        <f t="shared" si="42"/>
        <v/>
      </c>
      <c r="O104" s="13" t="str">
        <f>IF(A104="","",IF(N104="",INDEX(_ゴミ箱_Backup!$B$89:$D$89,1,MATCH(言語切替!$B$3,_ゴミ箱_Backup!$B$1:$D$1,0)),IF(N104&gt;=1,INDEX(_ゴミ箱_Backup!$B$93:$D$93,1,MATCH(言語切替!$B$3,_ゴミ箱_Backup!$B$1:$D$1,0)),IF(N104&gt;=0.8,INDEX(_ゴミ箱_Backup!$B$91:$D$91,1,MATCH(言語切替!$B$3,_ゴミ箱_Backup!$B$1:$D$1,0)),INDEX(_ゴミ箱_Backup!$B$94:$D$94,1,MATCH(言語切替!$B$3,_ゴミ箱_Backup!$B$1:$D$1,0))))))</f>
        <v/>
      </c>
      <c r="P104" s="38"/>
      <c r="Q104" s="37"/>
      <c r="R104" s="39"/>
      <c r="S104" s="61" t="str">
        <f t="shared" si="43"/>
        <v/>
      </c>
      <c r="T104" s="61" t="str">
        <f t="shared" si="44"/>
        <v/>
      </c>
      <c r="U104" s="61" t="str">
        <f t="shared" si="45"/>
        <v/>
      </c>
      <c r="V104" s="61" t="str">
        <f t="shared" si="46"/>
        <v/>
      </c>
      <c r="W104" s="61" t="str">
        <f t="shared" si="47"/>
        <v/>
      </c>
      <c r="X104" s="61"/>
      <c r="Y104" s="61" t="str">
        <f t="shared" si="48"/>
        <v/>
      </c>
      <c r="Z104" s="61"/>
      <c r="AA104" s="61" t="str">
        <f t="shared" si="49"/>
        <v/>
      </c>
      <c r="AB104" s="61" t="str">
        <f t="shared" si="50"/>
        <v/>
      </c>
      <c r="AC104" s="61" t="str">
        <f t="shared" si="51"/>
        <v/>
      </c>
      <c r="AD104" s="61"/>
      <c r="AE104" s="61" t="str">
        <f t="shared" si="52"/>
        <v/>
      </c>
      <c r="AF104" s="61" t="str">
        <f t="shared" si="53"/>
        <v/>
      </c>
      <c r="AG104" s="61" t="str">
        <f t="shared" si="54"/>
        <v/>
      </c>
    </row>
    <row r="105" spans="1:33" x14ac:dyDescent="0.25">
      <c r="A105" s="40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57" t="str">
        <f t="shared" si="42"/>
        <v/>
      </c>
      <c r="O105" s="16" t="str">
        <f>IF(A105="","",IF(N105="",INDEX(_ゴミ箱_Backup!$B$89:$D$89,1,MATCH(言語切替!$B$3,_ゴミ箱_Backup!$B$1:$D$1,0)),IF(N105&gt;=1,INDEX(_ゴミ箱_Backup!$B$93:$D$93,1,MATCH(言語切替!$B$3,_ゴミ箱_Backup!$B$1:$D$1,0)),IF(N105&gt;=0.8,INDEX(_ゴミ箱_Backup!$B$91:$D$91,1,MATCH(言語切替!$B$3,_ゴミ箱_Backup!$B$1:$D$1,0)),INDEX(_ゴミ箱_Backup!$B$94:$D$94,1,MATCH(言語切替!$B$3,_ゴミ箱_Backup!$B$1:$D$1,0))))))</f>
        <v/>
      </c>
      <c r="P105" s="42"/>
      <c r="Q105" s="41"/>
      <c r="R105" s="43"/>
      <c r="S105" s="61" t="str">
        <f t="shared" si="43"/>
        <v/>
      </c>
      <c r="T105" s="61" t="str">
        <f t="shared" si="44"/>
        <v/>
      </c>
      <c r="U105" s="61" t="str">
        <f t="shared" si="45"/>
        <v/>
      </c>
      <c r="V105" s="61" t="str">
        <f t="shared" si="46"/>
        <v/>
      </c>
      <c r="W105" s="61" t="str">
        <f t="shared" si="47"/>
        <v/>
      </c>
      <c r="X105" s="61"/>
      <c r="Y105" s="61" t="str">
        <f t="shared" si="48"/>
        <v/>
      </c>
      <c r="Z105" s="61"/>
      <c r="AA105" s="61" t="str">
        <f t="shared" si="49"/>
        <v/>
      </c>
      <c r="AB105" s="61" t="str">
        <f t="shared" si="50"/>
        <v/>
      </c>
      <c r="AC105" s="61" t="str">
        <f t="shared" si="51"/>
        <v/>
      </c>
      <c r="AD105" s="61"/>
      <c r="AE105" s="61" t="str">
        <f t="shared" si="52"/>
        <v/>
      </c>
      <c r="AF105" s="61" t="str">
        <f t="shared" si="53"/>
        <v/>
      </c>
      <c r="AG105" s="61" t="str">
        <f t="shared" si="54"/>
        <v/>
      </c>
    </row>
    <row r="106" spans="1:33" x14ac:dyDescent="0.25">
      <c r="A106" s="36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56" t="str">
        <f t="shared" si="42"/>
        <v/>
      </c>
      <c r="O106" s="13" t="str">
        <f>IF(A106="","",IF(N106="",INDEX(_ゴミ箱_Backup!$B$89:$D$89,1,MATCH(言語切替!$B$3,_ゴミ箱_Backup!$B$1:$D$1,0)),IF(N106&gt;=1,INDEX(_ゴミ箱_Backup!$B$93:$D$93,1,MATCH(言語切替!$B$3,_ゴミ箱_Backup!$B$1:$D$1,0)),IF(N106&gt;=0.8,INDEX(_ゴミ箱_Backup!$B$91:$D$91,1,MATCH(言語切替!$B$3,_ゴミ箱_Backup!$B$1:$D$1,0)),INDEX(_ゴミ箱_Backup!$B$94:$D$94,1,MATCH(言語切替!$B$3,_ゴミ箱_Backup!$B$1:$D$1,0))))))</f>
        <v/>
      </c>
      <c r="P106" s="38"/>
      <c r="Q106" s="37"/>
      <c r="R106" s="39"/>
      <c r="S106" s="61" t="str">
        <f t="shared" si="43"/>
        <v/>
      </c>
      <c r="T106" s="61" t="str">
        <f t="shared" si="44"/>
        <v/>
      </c>
      <c r="U106" s="61" t="str">
        <f t="shared" si="45"/>
        <v/>
      </c>
      <c r="V106" s="61" t="str">
        <f t="shared" si="46"/>
        <v/>
      </c>
      <c r="W106" s="61" t="str">
        <f t="shared" si="47"/>
        <v/>
      </c>
      <c r="X106" s="61"/>
      <c r="Y106" s="61" t="str">
        <f t="shared" si="48"/>
        <v/>
      </c>
      <c r="Z106" s="61"/>
      <c r="AA106" s="61" t="str">
        <f t="shared" si="49"/>
        <v/>
      </c>
      <c r="AB106" s="61" t="str">
        <f t="shared" si="50"/>
        <v/>
      </c>
      <c r="AC106" s="61" t="str">
        <f t="shared" si="51"/>
        <v/>
      </c>
      <c r="AD106" s="61"/>
      <c r="AE106" s="61" t="str">
        <f t="shared" si="52"/>
        <v/>
      </c>
      <c r="AF106" s="61" t="str">
        <f t="shared" si="53"/>
        <v/>
      </c>
      <c r="AG106" s="61" t="str">
        <f t="shared" si="54"/>
        <v/>
      </c>
    </row>
    <row r="107" spans="1:33" x14ac:dyDescent="0.25">
      <c r="A107" s="40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57" t="str">
        <f t="shared" si="42"/>
        <v/>
      </c>
      <c r="O107" s="16" t="str">
        <f>IF(A107="","",IF(N107="",INDEX(_ゴミ箱_Backup!$B$89:$D$89,1,MATCH(言語切替!$B$3,_ゴミ箱_Backup!$B$1:$D$1,0)),IF(N107&gt;=1,INDEX(_ゴミ箱_Backup!$B$93:$D$93,1,MATCH(言語切替!$B$3,_ゴミ箱_Backup!$B$1:$D$1,0)),IF(N107&gt;=0.8,INDEX(_ゴミ箱_Backup!$B$91:$D$91,1,MATCH(言語切替!$B$3,_ゴミ箱_Backup!$B$1:$D$1,0)),INDEX(_ゴミ箱_Backup!$B$94:$D$94,1,MATCH(言語切替!$B$3,_ゴミ箱_Backup!$B$1:$D$1,0))))))</f>
        <v/>
      </c>
      <c r="P107" s="42"/>
      <c r="Q107" s="41"/>
      <c r="R107" s="43"/>
      <c r="S107" s="61" t="str">
        <f t="shared" si="43"/>
        <v/>
      </c>
      <c r="T107" s="61" t="str">
        <f t="shared" si="44"/>
        <v/>
      </c>
      <c r="U107" s="61" t="str">
        <f t="shared" si="45"/>
        <v/>
      </c>
      <c r="V107" s="61" t="str">
        <f t="shared" si="46"/>
        <v/>
      </c>
      <c r="W107" s="61" t="str">
        <f t="shared" si="47"/>
        <v/>
      </c>
      <c r="X107" s="61"/>
      <c r="Y107" s="61" t="str">
        <f t="shared" si="48"/>
        <v/>
      </c>
      <c r="Z107" s="61"/>
      <c r="AA107" s="61" t="str">
        <f t="shared" si="49"/>
        <v/>
      </c>
      <c r="AB107" s="61" t="str">
        <f t="shared" si="50"/>
        <v/>
      </c>
      <c r="AC107" s="61" t="str">
        <f t="shared" si="51"/>
        <v/>
      </c>
      <c r="AD107" s="61"/>
      <c r="AE107" s="61" t="str">
        <f t="shared" si="52"/>
        <v/>
      </c>
      <c r="AF107" s="61" t="str">
        <f t="shared" si="53"/>
        <v/>
      </c>
      <c r="AG107" s="61" t="str">
        <f t="shared" si="54"/>
        <v/>
      </c>
    </row>
    <row r="108" spans="1:33" x14ac:dyDescent="0.25">
      <c r="A108" s="36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56" t="str">
        <f t="shared" si="42"/>
        <v/>
      </c>
      <c r="O108" s="13" t="str">
        <f>IF(A108="","",IF(N108="",INDEX(_ゴミ箱_Backup!$B$89:$D$89,1,MATCH(言語切替!$B$3,_ゴミ箱_Backup!$B$1:$D$1,0)),IF(N108&gt;=1,INDEX(_ゴミ箱_Backup!$B$93:$D$93,1,MATCH(言語切替!$B$3,_ゴミ箱_Backup!$B$1:$D$1,0)),IF(N108&gt;=0.8,INDEX(_ゴミ箱_Backup!$B$91:$D$91,1,MATCH(言語切替!$B$3,_ゴミ箱_Backup!$B$1:$D$1,0)),INDEX(_ゴミ箱_Backup!$B$94:$D$94,1,MATCH(言語切替!$B$3,_ゴミ箱_Backup!$B$1:$D$1,0))))))</f>
        <v/>
      </c>
      <c r="P108" s="38"/>
      <c r="Q108" s="37"/>
      <c r="R108" s="39"/>
      <c r="S108" s="61" t="str">
        <f t="shared" si="43"/>
        <v/>
      </c>
      <c r="T108" s="61" t="str">
        <f t="shared" si="44"/>
        <v/>
      </c>
      <c r="U108" s="61" t="str">
        <f t="shared" si="45"/>
        <v/>
      </c>
      <c r="V108" s="61" t="str">
        <f t="shared" si="46"/>
        <v/>
      </c>
      <c r="W108" s="61" t="str">
        <f t="shared" si="47"/>
        <v/>
      </c>
      <c r="X108" s="61"/>
      <c r="Y108" s="61" t="str">
        <f t="shared" si="48"/>
        <v/>
      </c>
      <c r="Z108" s="61"/>
      <c r="AA108" s="61" t="str">
        <f t="shared" si="49"/>
        <v/>
      </c>
      <c r="AB108" s="61" t="str">
        <f t="shared" si="50"/>
        <v/>
      </c>
      <c r="AC108" s="61" t="str">
        <f t="shared" si="51"/>
        <v/>
      </c>
      <c r="AD108" s="61"/>
      <c r="AE108" s="61" t="str">
        <f t="shared" si="52"/>
        <v/>
      </c>
      <c r="AF108" s="61" t="str">
        <f t="shared" si="53"/>
        <v/>
      </c>
      <c r="AG108" s="61" t="str">
        <f t="shared" si="54"/>
        <v/>
      </c>
    </row>
    <row r="109" spans="1:33" x14ac:dyDescent="0.25">
      <c r="A109" s="40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57" t="str">
        <f t="shared" si="42"/>
        <v/>
      </c>
      <c r="O109" s="16" t="str">
        <f>IF(A109="","",IF(N109="",INDEX(_ゴミ箱_Backup!$B$89:$D$89,1,MATCH(言語切替!$B$3,_ゴミ箱_Backup!$B$1:$D$1,0)),IF(N109&gt;=1,INDEX(_ゴミ箱_Backup!$B$93:$D$93,1,MATCH(言語切替!$B$3,_ゴミ箱_Backup!$B$1:$D$1,0)),IF(N109&gt;=0.8,INDEX(_ゴミ箱_Backup!$B$91:$D$91,1,MATCH(言語切替!$B$3,_ゴミ箱_Backup!$B$1:$D$1,0)),INDEX(_ゴミ箱_Backup!$B$94:$D$94,1,MATCH(言語切替!$B$3,_ゴミ箱_Backup!$B$1:$D$1,0))))))</f>
        <v/>
      </c>
      <c r="P109" s="42"/>
      <c r="Q109" s="41"/>
      <c r="R109" s="43"/>
      <c r="S109" s="61" t="str">
        <f t="shared" si="43"/>
        <v/>
      </c>
      <c r="T109" s="61" t="str">
        <f t="shared" si="44"/>
        <v/>
      </c>
      <c r="U109" s="61" t="str">
        <f t="shared" si="45"/>
        <v/>
      </c>
      <c r="V109" s="61" t="str">
        <f t="shared" si="46"/>
        <v/>
      </c>
      <c r="W109" s="61" t="str">
        <f t="shared" si="47"/>
        <v/>
      </c>
      <c r="X109" s="61"/>
      <c r="Y109" s="61" t="str">
        <f t="shared" si="48"/>
        <v/>
      </c>
      <c r="Z109" s="61"/>
      <c r="AA109" s="61" t="str">
        <f t="shared" si="49"/>
        <v/>
      </c>
      <c r="AB109" s="61" t="str">
        <f t="shared" si="50"/>
        <v/>
      </c>
      <c r="AC109" s="61" t="str">
        <f t="shared" si="51"/>
        <v/>
      </c>
      <c r="AD109" s="61"/>
      <c r="AE109" s="61" t="str">
        <f t="shared" si="52"/>
        <v/>
      </c>
      <c r="AF109" s="61" t="str">
        <f t="shared" si="53"/>
        <v/>
      </c>
      <c r="AG109" s="61" t="str">
        <f t="shared" si="54"/>
        <v/>
      </c>
    </row>
    <row r="110" spans="1:33" x14ac:dyDescent="0.25">
      <c r="A110" s="36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56" t="str">
        <f t="shared" si="42"/>
        <v/>
      </c>
      <c r="O110" s="13" t="str">
        <f>IF(A110="","",IF(N110="",INDEX(_ゴミ箱_Backup!$B$89:$D$89,1,MATCH(言語切替!$B$3,_ゴミ箱_Backup!$B$1:$D$1,0)),IF(N110&gt;=1,INDEX(_ゴミ箱_Backup!$B$93:$D$93,1,MATCH(言語切替!$B$3,_ゴミ箱_Backup!$B$1:$D$1,0)),IF(N110&gt;=0.8,INDEX(_ゴミ箱_Backup!$B$91:$D$91,1,MATCH(言語切替!$B$3,_ゴミ箱_Backup!$B$1:$D$1,0)),INDEX(_ゴミ箱_Backup!$B$94:$D$94,1,MATCH(言語切替!$B$3,_ゴミ箱_Backup!$B$1:$D$1,0))))))</f>
        <v/>
      </c>
      <c r="P110" s="38"/>
      <c r="Q110" s="37"/>
      <c r="R110" s="39"/>
      <c r="S110" s="61" t="str">
        <f t="shared" si="43"/>
        <v/>
      </c>
      <c r="T110" s="61" t="str">
        <f t="shared" si="44"/>
        <v/>
      </c>
      <c r="U110" s="61" t="str">
        <f t="shared" si="45"/>
        <v/>
      </c>
      <c r="V110" s="61" t="str">
        <f t="shared" si="46"/>
        <v/>
      </c>
      <c r="W110" s="61" t="str">
        <f t="shared" si="47"/>
        <v/>
      </c>
      <c r="X110" s="61"/>
      <c r="Y110" s="61" t="str">
        <f t="shared" si="48"/>
        <v/>
      </c>
      <c r="Z110" s="61"/>
      <c r="AA110" s="61" t="str">
        <f t="shared" si="49"/>
        <v/>
      </c>
      <c r="AB110" s="61" t="str">
        <f t="shared" si="50"/>
        <v/>
      </c>
      <c r="AC110" s="61" t="str">
        <f t="shared" si="51"/>
        <v/>
      </c>
      <c r="AD110" s="61"/>
      <c r="AE110" s="61" t="str">
        <f t="shared" si="52"/>
        <v/>
      </c>
      <c r="AF110" s="61" t="str">
        <f t="shared" si="53"/>
        <v/>
      </c>
      <c r="AG110" s="61" t="str">
        <f t="shared" si="54"/>
        <v/>
      </c>
    </row>
    <row r="111" spans="1:33" x14ac:dyDescent="0.25">
      <c r="A111" s="40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57" t="str">
        <f t="shared" si="42"/>
        <v/>
      </c>
      <c r="O111" s="16" t="str">
        <f>IF(A111="","",IF(N111="",INDEX(_ゴミ箱_Backup!$B$89:$D$89,1,MATCH(言語切替!$B$3,_ゴミ箱_Backup!$B$1:$D$1,0)),IF(N111&gt;=1,INDEX(_ゴミ箱_Backup!$B$93:$D$93,1,MATCH(言語切替!$B$3,_ゴミ箱_Backup!$B$1:$D$1,0)),IF(N111&gt;=0.8,INDEX(_ゴミ箱_Backup!$B$91:$D$91,1,MATCH(言語切替!$B$3,_ゴミ箱_Backup!$B$1:$D$1,0)),INDEX(_ゴミ箱_Backup!$B$94:$D$94,1,MATCH(言語切替!$B$3,_ゴミ箱_Backup!$B$1:$D$1,0))))))</f>
        <v/>
      </c>
      <c r="P111" s="42"/>
      <c r="Q111" s="41"/>
      <c r="R111" s="43"/>
      <c r="S111" s="61" t="str">
        <f t="shared" si="43"/>
        <v/>
      </c>
      <c r="T111" s="61" t="str">
        <f t="shared" si="44"/>
        <v/>
      </c>
      <c r="U111" s="61" t="str">
        <f t="shared" si="45"/>
        <v/>
      </c>
      <c r="V111" s="61" t="str">
        <f t="shared" si="46"/>
        <v/>
      </c>
      <c r="W111" s="61" t="str">
        <f t="shared" si="47"/>
        <v/>
      </c>
      <c r="X111" s="61"/>
      <c r="Y111" s="61" t="str">
        <f t="shared" si="48"/>
        <v/>
      </c>
      <c r="Z111" s="61"/>
      <c r="AA111" s="61" t="str">
        <f t="shared" si="49"/>
        <v/>
      </c>
      <c r="AB111" s="61" t="str">
        <f t="shared" si="50"/>
        <v/>
      </c>
      <c r="AC111" s="61" t="str">
        <f t="shared" si="51"/>
        <v/>
      </c>
      <c r="AD111" s="61"/>
      <c r="AE111" s="61" t="str">
        <f t="shared" si="52"/>
        <v/>
      </c>
      <c r="AF111" s="61" t="str">
        <f t="shared" si="53"/>
        <v/>
      </c>
      <c r="AG111" s="61" t="str">
        <f t="shared" si="54"/>
        <v/>
      </c>
    </row>
    <row r="112" spans="1:33" x14ac:dyDescent="0.25">
      <c r="A112" s="36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56" t="str">
        <f t="shared" si="42"/>
        <v/>
      </c>
      <c r="O112" s="13" t="str">
        <f>IF(A112="","",IF(N112="",INDEX(_ゴミ箱_Backup!$B$89:$D$89,1,MATCH(言語切替!$B$3,_ゴミ箱_Backup!$B$1:$D$1,0)),IF(N112&gt;=1,INDEX(_ゴミ箱_Backup!$B$93:$D$93,1,MATCH(言語切替!$B$3,_ゴミ箱_Backup!$B$1:$D$1,0)),IF(N112&gt;=0.8,INDEX(_ゴミ箱_Backup!$B$91:$D$91,1,MATCH(言語切替!$B$3,_ゴミ箱_Backup!$B$1:$D$1,0)),INDEX(_ゴミ箱_Backup!$B$94:$D$94,1,MATCH(言語切替!$B$3,_ゴミ箱_Backup!$B$1:$D$1,0))))))</f>
        <v/>
      </c>
      <c r="P112" s="38"/>
      <c r="Q112" s="37"/>
      <c r="R112" s="39"/>
      <c r="S112" s="61" t="str">
        <f t="shared" si="43"/>
        <v/>
      </c>
      <c r="T112" s="61" t="str">
        <f t="shared" si="44"/>
        <v/>
      </c>
      <c r="U112" s="61" t="str">
        <f t="shared" si="45"/>
        <v/>
      </c>
      <c r="V112" s="61" t="str">
        <f t="shared" si="46"/>
        <v/>
      </c>
      <c r="W112" s="61" t="str">
        <f t="shared" si="47"/>
        <v/>
      </c>
      <c r="X112" s="61"/>
      <c r="Y112" s="61" t="str">
        <f t="shared" si="48"/>
        <v/>
      </c>
      <c r="Z112" s="61"/>
      <c r="AA112" s="61" t="str">
        <f t="shared" si="49"/>
        <v/>
      </c>
      <c r="AB112" s="61" t="str">
        <f t="shared" si="50"/>
        <v/>
      </c>
      <c r="AC112" s="61" t="str">
        <f t="shared" si="51"/>
        <v/>
      </c>
      <c r="AD112" s="61"/>
      <c r="AE112" s="61" t="str">
        <f t="shared" si="52"/>
        <v/>
      </c>
      <c r="AF112" s="61" t="str">
        <f t="shared" si="53"/>
        <v/>
      </c>
      <c r="AG112" s="61" t="str">
        <f t="shared" si="54"/>
        <v/>
      </c>
    </row>
    <row r="113" spans="1:33" x14ac:dyDescent="0.25">
      <c r="A113" s="40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57" t="str">
        <f t="shared" si="42"/>
        <v/>
      </c>
      <c r="O113" s="16" t="str">
        <f>IF(A113="","",IF(N113="",INDEX(_ゴミ箱_Backup!$B$89:$D$89,1,MATCH(言語切替!$B$3,_ゴミ箱_Backup!$B$1:$D$1,0)),IF(N113&gt;=1,INDEX(_ゴミ箱_Backup!$B$93:$D$93,1,MATCH(言語切替!$B$3,_ゴミ箱_Backup!$B$1:$D$1,0)),IF(N113&gt;=0.8,INDEX(_ゴミ箱_Backup!$B$91:$D$91,1,MATCH(言語切替!$B$3,_ゴミ箱_Backup!$B$1:$D$1,0)),INDEX(_ゴミ箱_Backup!$B$94:$D$94,1,MATCH(言語切替!$B$3,_ゴミ箱_Backup!$B$1:$D$1,0))))))</f>
        <v/>
      </c>
      <c r="P113" s="42"/>
      <c r="Q113" s="41"/>
      <c r="R113" s="43"/>
      <c r="S113" s="61" t="str">
        <f t="shared" si="43"/>
        <v/>
      </c>
      <c r="T113" s="61" t="str">
        <f t="shared" si="44"/>
        <v/>
      </c>
      <c r="U113" s="61" t="str">
        <f t="shared" si="45"/>
        <v/>
      </c>
      <c r="V113" s="61" t="str">
        <f t="shared" si="46"/>
        <v/>
      </c>
      <c r="W113" s="61" t="str">
        <f t="shared" si="47"/>
        <v/>
      </c>
      <c r="X113" s="61"/>
      <c r="Y113" s="61" t="str">
        <f t="shared" si="48"/>
        <v/>
      </c>
      <c r="Z113" s="61"/>
      <c r="AA113" s="61" t="str">
        <f t="shared" si="49"/>
        <v/>
      </c>
      <c r="AB113" s="61" t="str">
        <f t="shared" si="50"/>
        <v/>
      </c>
      <c r="AC113" s="61" t="str">
        <f t="shared" si="51"/>
        <v/>
      </c>
      <c r="AD113" s="61"/>
      <c r="AE113" s="61" t="str">
        <f t="shared" si="52"/>
        <v/>
      </c>
      <c r="AF113" s="61" t="str">
        <f t="shared" si="53"/>
        <v/>
      </c>
      <c r="AG113" s="61" t="str">
        <f t="shared" si="54"/>
        <v/>
      </c>
    </row>
    <row r="114" spans="1:33" x14ac:dyDescent="0.25">
      <c r="A114" s="36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56" t="str">
        <f t="shared" si="42"/>
        <v/>
      </c>
      <c r="O114" s="13" t="str">
        <f>IF(A114="","",IF(N114="",INDEX(_ゴミ箱_Backup!$B$89:$D$89,1,MATCH(言語切替!$B$3,_ゴミ箱_Backup!$B$1:$D$1,0)),IF(N114&gt;=1,INDEX(_ゴミ箱_Backup!$B$93:$D$93,1,MATCH(言語切替!$B$3,_ゴミ箱_Backup!$B$1:$D$1,0)),IF(N114&gt;=0.8,INDEX(_ゴミ箱_Backup!$B$91:$D$91,1,MATCH(言語切替!$B$3,_ゴミ箱_Backup!$B$1:$D$1,0)),INDEX(_ゴミ箱_Backup!$B$94:$D$94,1,MATCH(言語切替!$B$3,_ゴミ箱_Backup!$B$1:$D$1,0))))))</f>
        <v/>
      </c>
      <c r="P114" s="38"/>
      <c r="Q114" s="37"/>
      <c r="R114" s="39"/>
      <c r="S114" s="61" t="str">
        <f t="shared" si="43"/>
        <v/>
      </c>
      <c r="T114" s="61" t="str">
        <f t="shared" si="44"/>
        <v/>
      </c>
      <c r="U114" s="61" t="str">
        <f t="shared" si="45"/>
        <v/>
      </c>
      <c r="V114" s="61" t="str">
        <f t="shared" si="46"/>
        <v/>
      </c>
      <c r="W114" s="61" t="str">
        <f t="shared" si="47"/>
        <v/>
      </c>
      <c r="X114" s="61"/>
      <c r="Y114" s="61" t="str">
        <f t="shared" si="48"/>
        <v/>
      </c>
      <c r="Z114" s="61"/>
      <c r="AA114" s="61" t="str">
        <f t="shared" si="49"/>
        <v/>
      </c>
      <c r="AB114" s="61" t="str">
        <f t="shared" si="50"/>
        <v/>
      </c>
      <c r="AC114" s="61" t="str">
        <f t="shared" si="51"/>
        <v/>
      </c>
      <c r="AD114" s="61"/>
      <c r="AE114" s="61" t="str">
        <f t="shared" si="52"/>
        <v/>
      </c>
      <c r="AF114" s="61" t="str">
        <f t="shared" si="53"/>
        <v/>
      </c>
      <c r="AG114" s="61" t="str">
        <f t="shared" si="54"/>
        <v/>
      </c>
    </row>
    <row r="115" spans="1:33" x14ac:dyDescent="0.25">
      <c r="A115" s="40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57" t="str">
        <f t="shared" si="42"/>
        <v/>
      </c>
      <c r="O115" s="16" t="str">
        <f>IF(A115="","",IF(N115="",INDEX(_ゴミ箱_Backup!$B$89:$D$89,1,MATCH(言語切替!$B$3,_ゴミ箱_Backup!$B$1:$D$1,0)),IF(N115&gt;=1,INDEX(_ゴミ箱_Backup!$B$93:$D$93,1,MATCH(言語切替!$B$3,_ゴミ箱_Backup!$B$1:$D$1,0)),IF(N115&gt;=0.8,INDEX(_ゴミ箱_Backup!$B$91:$D$91,1,MATCH(言語切替!$B$3,_ゴミ箱_Backup!$B$1:$D$1,0)),INDEX(_ゴミ箱_Backup!$B$94:$D$94,1,MATCH(言語切替!$B$3,_ゴミ箱_Backup!$B$1:$D$1,0))))))</f>
        <v/>
      </c>
      <c r="P115" s="42"/>
      <c r="Q115" s="41"/>
      <c r="R115" s="43"/>
      <c r="S115" s="61" t="str">
        <f t="shared" si="43"/>
        <v/>
      </c>
      <c r="T115" s="61" t="str">
        <f t="shared" si="44"/>
        <v/>
      </c>
      <c r="U115" s="61" t="str">
        <f t="shared" si="45"/>
        <v/>
      </c>
      <c r="V115" s="61" t="str">
        <f t="shared" si="46"/>
        <v/>
      </c>
      <c r="W115" s="61" t="str">
        <f t="shared" si="47"/>
        <v/>
      </c>
      <c r="X115" s="61"/>
      <c r="Y115" s="61" t="str">
        <f t="shared" si="48"/>
        <v/>
      </c>
      <c r="Z115" s="61"/>
      <c r="AA115" s="61" t="str">
        <f t="shared" si="49"/>
        <v/>
      </c>
      <c r="AB115" s="61" t="str">
        <f t="shared" si="50"/>
        <v/>
      </c>
      <c r="AC115" s="61" t="str">
        <f t="shared" si="51"/>
        <v/>
      </c>
      <c r="AD115" s="61"/>
      <c r="AE115" s="61" t="str">
        <f t="shared" si="52"/>
        <v/>
      </c>
      <c r="AF115" s="61" t="str">
        <f t="shared" si="53"/>
        <v/>
      </c>
      <c r="AG115" s="61" t="str">
        <f t="shared" si="54"/>
        <v/>
      </c>
    </row>
    <row r="116" spans="1:33" x14ac:dyDescent="0.25">
      <c r="A116" s="36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56" t="str">
        <f t="shared" si="42"/>
        <v/>
      </c>
      <c r="O116" s="13" t="str">
        <f>IF(A116="","",IF(N116="",INDEX(_ゴミ箱_Backup!$B$89:$D$89,1,MATCH(言語切替!$B$3,_ゴミ箱_Backup!$B$1:$D$1,0)),IF(N116&gt;=1,INDEX(_ゴミ箱_Backup!$B$93:$D$93,1,MATCH(言語切替!$B$3,_ゴミ箱_Backup!$B$1:$D$1,0)),IF(N116&gt;=0.8,INDEX(_ゴミ箱_Backup!$B$91:$D$91,1,MATCH(言語切替!$B$3,_ゴミ箱_Backup!$B$1:$D$1,0)),INDEX(_ゴミ箱_Backup!$B$94:$D$94,1,MATCH(言語切替!$B$3,_ゴミ箱_Backup!$B$1:$D$1,0))))))</f>
        <v/>
      </c>
      <c r="P116" s="38"/>
      <c r="Q116" s="37"/>
      <c r="R116" s="39"/>
      <c r="S116" s="61" t="str">
        <f t="shared" si="43"/>
        <v/>
      </c>
      <c r="T116" s="61" t="str">
        <f t="shared" si="44"/>
        <v/>
      </c>
      <c r="U116" s="61" t="str">
        <f t="shared" si="45"/>
        <v/>
      </c>
      <c r="V116" s="61" t="str">
        <f t="shared" si="46"/>
        <v/>
      </c>
      <c r="W116" s="61" t="str">
        <f t="shared" si="47"/>
        <v/>
      </c>
      <c r="X116" s="61"/>
      <c r="Y116" s="61" t="str">
        <f t="shared" si="48"/>
        <v/>
      </c>
      <c r="Z116" s="61"/>
      <c r="AA116" s="61" t="str">
        <f t="shared" si="49"/>
        <v/>
      </c>
      <c r="AB116" s="61" t="str">
        <f t="shared" si="50"/>
        <v/>
      </c>
      <c r="AC116" s="61" t="str">
        <f t="shared" si="51"/>
        <v/>
      </c>
      <c r="AD116" s="61"/>
      <c r="AE116" s="61" t="str">
        <f t="shared" si="52"/>
        <v/>
      </c>
      <c r="AF116" s="61" t="str">
        <f t="shared" si="53"/>
        <v/>
      </c>
      <c r="AG116" s="61" t="str">
        <f t="shared" si="54"/>
        <v/>
      </c>
    </row>
    <row r="117" spans="1:33" x14ac:dyDescent="0.25">
      <c r="A117" s="40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57" t="str">
        <f t="shared" si="42"/>
        <v/>
      </c>
      <c r="O117" s="16" t="str">
        <f>IF(A117="","",IF(N117="",INDEX(_ゴミ箱_Backup!$B$89:$D$89,1,MATCH(言語切替!$B$3,_ゴミ箱_Backup!$B$1:$D$1,0)),IF(N117&gt;=1,INDEX(_ゴミ箱_Backup!$B$93:$D$93,1,MATCH(言語切替!$B$3,_ゴミ箱_Backup!$B$1:$D$1,0)),IF(N117&gt;=0.8,INDEX(_ゴミ箱_Backup!$B$91:$D$91,1,MATCH(言語切替!$B$3,_ゴミ箱_Backup!$B$1:$D$1,0)),INDEX(_ゴミ箱_Backup!$B$94:$D$94,1,MATCH(言語切替!$B$3,_ゴミ箱_Backup!$B$1:$D$1,0))))))</f>
        <v/>
      </c>
      <c r="P117" s="42"/>
      <c r="Q117" s="41"/>
      <c r="R117" s="43"/>
      <c r="S117" s="61" t="str">
        <f t="shared" si="43"/>
        <v/>
      </c>
      <c r="T117" s="61" t="str">
        <f t="shared" si="44"/>
        <v/>
      </c>
      <c r="U117" s="61" t="str">
        <f t="shared" si="45"/>
        <v/>
      </c>
      <c r="V117" s="61" t="str">
        <f t="shared" si="46"/>
        <v/>
      </c>
      <c r="W117" s="61" t="str">
        <f t="shared" si="47"/>
        <v/>
      </c>
      <c r="X117" s="61"/>
      <c r="Y117" s="61" t="str">
        <f t="shared" si="48"/>
        <v/>
      </c>
      <c r="Z117" s="61"/>
      <c r="AA117" s="61" t="str">
        <f t="shared" si="49"/>
        <v/>
      </c>
      <c r="AB117" s="61" t="str">
        <f t="shared" si="50"/>
        <v/>
      </c>
      <c r="AC117" s="61" t="str">
        <f t="shared" si="51"/>
        <v/>
      </c>
      <c r="AD117" s="61"/>
      <c r="AE117" s="61" t="str">
        <f t="shared" si="52"/>
        <v/>
      </c>
      <c r="AF117" s="61" t="str">
        <f t="shared" si="53"/>
        <v/>
      </c>
      <c r="AG117" s="61" t="str">
        <f t="shared" si="54"/>
        <v/>
      </c>
    </row>
    <row r="118" spans="1:33" x14ac:dyDescent="0.25">
      <c r="A118" s="36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56" t="str">
        <f t="shared" si="42"/>
        <v/>
      </c>
      <c r="O118" s="13" t="str">
        <f>IF(A118="","",IF(N118="",INDEX(_ゴミ箱_Backup!$B$89:$D$89,1,MATCH(言語切替!$B$3,_ゴミ箱_Backup!$B$1:$D$1,0)),IF(N118&gt;=1,INDEX(_ゴミ箱_Backup!$B$93:$D$93,1,MATCH(言語切替!$B$3,_ゴミ箱_Backup!$B$1:$D$1,0)),IF(N118&gt;=0.8,INDEX(_ゴミ箱_Backup!$B$91:$D$91,1,MATCH(言語切替!$B$3,_ゴミ箱_Backup!$B$1:$D$1,0)),INDEX(_ゴミ箱_Backup!$B$94:$D$94,1,MATCH(言語切替!$B$3,_ゴミ箱_Backup!$B$1:$D$1,0))))))</f>
        <v/>
      </c>
      <c r="P118" s="38"/>
      <c r="Q118" s="37"/>
      <c r="R118" s="39"/>
      <c r="S118" s="61" t="str">
        <f t="shared" si="43"/>
        <v/>
      </c>
      <c r="T118" s="61" t="str">
        <f t="shared" si="44"/>
        <v/>
      </c>
      <c r="U118" s="61" t="str">
        <f t="shared" si="45"/>
        <v/>
      </c>
      <c r="V118" s="61" t="str">
        <f t="shared" si="46"/>
        <v/>
      </c>
      <c r="W118" s="61" t="str">
        <f t="shared" si="47"/>
        <v/>
      </c>
      <c r="X118" s="61"/>
      <c r="Y118" s="61" t="str">
        <f t="shared" si="48"/>
        <v/>
      </c>
      <c r="Z118" s="61"/>
      <c r="AA118" s="61" t="str">
        <f t="shared" si="49"/>
        <v/>
      </c>
      <c r="AB118" s="61" t="str">
        <f t="shared" si="50"/>
        <v/>
      </c>
      <c r="AC118" s="61" t="str">
        <f t="shared" si="51"/>
        <v/>
      </c>
      <c r="AD118" s="61"/>
      <c r="AE118" s="61" t="str">
        <f t="shared" si="52"/>
        <v/>
      </c>
      <c r="AF118" s="61" t="str">
        <f t="shared" si="53"/>
        <v/>
      </c>
      <c r="AG118" s="61" t="str">
        <f t="shared" si="54"/>
        <v/>
      </c>
    </row>
    <row r="119" spans="1:33" x14ac:dyDescent="0.25">
      <c r="A119" s="40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57" t="str">
        <f t="shared" si="42"/>
        <v/>
      </c>
      <c r="O119" s="16" t="str">
        <f>IF(A119="","",IF(N119="",INDEX(_ゴミ箱_Backup!$B$89:$D$89,1,MATCH(言語切替!$B$3,_ゴミ箱_Backup!$B$1:$D$1,0)),IF(N119&gt;=1,INDEX(_ゴミ箱_Backup!$B$93:$D$93,1,MATCH(言語切替!$B$3,_ゴミ箱_Backup!$B$1:$D$1,0)),IF(N119&gt;=0.8,INDEX(_ゴミ箱_Backup!$B$91:$D$91,1,MATCH(言語切替!$B$3,_ゴミ箱_Backup!$B$1:$D$1,0)),INDEX(_ゴミ箱_Backup!$B$94:$D$94,1,MATCH(言語切替!$B$3,_ゴミ箱_Backup!$B$1:$D$1,0))))))</f>
        <v/>
      </c>
      <c r="P119" s="42"/>
      <c r="Q119" s="41"/>
      <c r="R119" s="43"/>
      <c r="S119" s="61" t="str">
        <f t="shared" si="43"/>
        <v/>
      </c>
      <c r="T119" s="61" t="str">
        <f t="shared" si="44"/>
        <v/>
      </c>
      <c r="U119" s="61" t="str">
        <f t="shared" si="45"/>
        <v/>
      </c>
      <c r="V119" s="61" t="str">
        <f t="shared" si="46"/>
        <v/>
      </c>
      <c r="W119" s="61" t="str">
        <f t="shared" si="47"/>
        <v/>
      </c>
      <c r="X119" s="61"/>
      <c r="Y119" s="61" t="str">
        <f t="shared" si="48"/>
        <v/>
      </c>
      <c r="Z119" s="61"/>
      <c r="AA119" s="61" t="str">
        <f t="shared" si="49"/>
        <v/>
      </c>
      <c r="AB119" s="61" t="str">
        <f t="shared" si="50"/>
        <v/>
      </c>
      <c r="AC119" s="61" t="str">
        <f t="shared" si="51"/>
        <v/>
      </c>
      <c r="AD119" s="61"/>
      <c r="AE119" s="61" t="str">
        <f t="shared" si="52"/>
        <v/>
      </c>
      <c r="AF119" s="61" t="str">
        <f t="shared" si="53"/>
        <v/>
      </c>
      <c r="AG119" s="61" t="str">
        <f t="shared" si="54"/>
        <v/>
      </c>
    </row>
    <row r="120" spans="1:33" x14ac:dyDescent="0.25">
      <c r="A120" s="36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56" t="str">
        <f t="shared" si="42"/>
        <v/>
      </c>
      <c r="O120" s="13" t="str">
        <f>IF(A120="","",IF(N120="",INDEX(_ゴミ箱_Backup!$B$89:$D$89,1,MATCH(言語切替!$B$3,_ゴミ箱_Backup!$B$1:$D$1,0)),IF(N120&gt;=1,INDEX(_ゴミ箱_Backup!$B$93:$D$93,1,MATCH(言語切替!$B$3,_ゴミ箱_Backup!$B$1:$D$1,0)),IF(N120&gt;=0.8,INDEX(_ゴミ箱_Backup!$B$91:$D$91,1,MATCH(言語切替!$B$3,_ゴミ箱_Backup!$B$1:$D$1,0)),INDEX(_ゴミ箱_Backup!$B$94:$D$94,1,MATCH(言語切替!$B$3,_ゴミ箱_Backup!$B$1:$D$1,0))))))</f>
        <v/>
      </c>
      <c r="P120" s="38"/>
      <c r="Q120" s="37"/>
      <c r="R120" s="39"/>
      <c r="S120" s="61" t="str">
        <f t="shared" si="43"/>
        <v/>
      </c>
      <c r="T120" s="61" t="str">
        <f t="shared" si="44"/>
        <v/>
      </c>
      <c r="U120" s="61" t="str">
        <f t="shared" si="45"/>
        <v/>
      </c>
      <c r="V120" s="61" t="str">
        <f t="shared" si="46"/>
        <v/>
      </c>
      <c r="W120" s="61" t="str">
        <f t="shared" si="47"/>
        <v/>
      </c>
      <c r="X120" s="61"/>
      <c r="Y120" s="61" t="str">
        <f t="shared" si="48"/>
        <v/>
      </c>
      <c r="Z120" s="61"/>
      <c r="AA120" s="61" t="str">
        <f t="shared" si="49"/>
        <v/>
      </c>
      <c r="AB120" s="61" t="str">
        <f t="shared" si="50"/>
        <v/>
      </c>
      <c r="AC120" s="61" t="str">
        <f t="shared" si="51"/>
        <v/>
      </c>
      <c r="AD120" s="61"/>
      <c r="AE120" s="61" t="str">
        <f t="shared" si="52"/>
        <v/>
      </c>
      <c r="AF120" s="61" t="str">
        <f t="shared" si="53"/>
        <v/>
      </c>
      <c r="AG120" s="61" t="str">
        <f t="shared" si="54"/>
        <v/>
      </c>
    </row>
    <row r="121" spans="1:33" x14ac:dyDescent="0.25">
      <c r="A121" s="40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57" t="str">
        <f t="shared" si="42"/>
        <v/>
      </c>
      <c r="O121" s="16" t="str">
        <f>IF(A121="","",IF(N121="",INDEX(_ゴミ箱_Backup!$B$89:$D$89,1,MATCH(言語切替!$B$3,_ゴミ箱_Backup!$B$1:$D$1,0)),IF(N121&gt;=1,INDEX(_ゴミ箱_Backup!$B$93:$D$93,1,MATCH(言語切替!$B$3,_ゴミ箱_Backup!$B$1:$D$1,0)),IF(N121&gt;=0.8,INDEX(_ゴミ箱_Backup!$B$91:$D$91,1,MATCH(言語切替!$B$3,_ゴミ箱_Backup!$B$1:$D$1,0)),INDEX(_ゴミ箱_Backup!$B$94:$D$94,1,MATCH(言語切替!$B$3,_ゴミ箱_Backup!$B$1:$D$1,0))))))</f>
        <v/>
      </c>
      <c r="P121" s="42"/>
      <c r="Q121" s="41"/>
      <c r="R121" s="43"/>
      <c r="S121" s="61" t="str">
        <f t="shared" si="43"/>
        <v/>
      </c>
      <c r="T121" s="61" t="str">
        <f t="shared" si="44"/>
        <v/>
      </c>
      <c r="U121" s="61" t="str">
        <f t="shared" si="45"/>
        <v/>
      </c>
      <c r="V121" s="61" t="str">
        <f t="shared" si="46"/>
        <v/>
      </c>
      <c r="W121" s="61" t="str">
        <f t="shared" si="47"/>
        <v/>
      </c>
      <c r="X121" s="61"/>
      <c r="Y121" s="61" t="str">
        <f t="shared" si="48"/>
        <v/>
      </c>
      <c r="Z121" s="61"/>
      <c r="AA121" s="61" t="str">
        <f t="shared" si="49"/>
        <v/>
      </c>
      <c r="AB121" s="61" t="str">
        <f t="shared" si="50"/>
        <v/>
      </c>
      <c r="AC121" s="61" t="str">
        <f t="shared" si="51"/>
        <v/>
      </c>
      <c r="AD121" s="61"/>
      <c r="AE121" s="61" t="str">
        <f t="shared" si="52"/>
        <v/>
      </c>
      <c r="AF121" s="61" t="str">
        <f t="shared" si="53"/>
        <v/>
      </c>
      <c r="AG121" s="61" t="str">
        <f t="shared" si="54"/>
        <v/>
      </c>
    </row>
    <row r="122" spans="1:33" x14ac:dyDescent="0.25">
      <c r="A122" s="36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56" t="str">
        <f t="shared" si="42"/>
        <v/>
      </c>
      <c r="O122" s="13" t="str">
        <f>IF(A122="","",IF(N122="",INDEX(_ゴミ箱_Backup!$B$89:$D$89,1,MATCH(言語切替!$B$3,_ゴミ箱_Backup!$B$1:$D$1,0)),IF(N122&gt;=1,INDEX(_ゴミ箱_Backup!$B$93:$D$93,1,MATCH(言語切替!$B$3,_ゴミ箱_Backup!$B$1:$D$1,0)),IF(N122&gt;=0.8,INDEX(_ゴミ箱_Backup!$B$91:$D$91,1,MATCH(言語切替!$B$3,_ゴミ箱_Backup!$B$1:$D$1,0)),INDEX(_ゴミ箱_Backup!$B$94:$D$94,1,MATCH(言語切替!$B$3,_ゴミ箱_Backup!$B$1:$D$1,0))))))</f>
        <v/>
      </c>
      <c r="P122" s="38"/>
      <c r="Q122" s="37"/>
      <c r="R122" s="39"/>
      <c r="S122" s="61" t="str">
        <f t="shared" si="43"/>
        <v/>
      </c>
      <c r="T122" s="61" t="str">
        <f t="shared" si="44"/>
        <v/>
      </c>
      <c r="U122" s="61" t="str">
        <f t="shared" si="45"/>
        <v/>
      </c>
      <c r="V122" s="61" t="str">
        <f t="shared" si="46"/>
        <v/>
      </c>
      <c r="W122" s="61" t="str">
        <f t="shared" si="47"/>
        <v/>
      </c>
      <c r="X122" s="61"/>
      <c r="Y122" s="61" t="str">
        <f t="shared" si="48"/>
        <v/>
      </c>
      <c r="Z122" s="61"/>
      <c r="AA122" s="61" t="str">
        <f t="shared" si="49"/>
        <v/>
      </c>
      <c r="AB122" s="61" t="str">
        <f t="shared" si="50"/>
        <v/>
      </c>
      <c r="AC122" s="61" t="str">
        <f t="shared" si="51"/>
        <v/>
      </c>
      <c r="AD122" s="61"/>
      <c r="AE122" s="61" t="str">
        <f t="shared" si="52"/>
        <v/>
      </c>
      <c r="AF122" s="61" t="str">
        <f t="shared" si="53"/>
        <v/>
      </c>
      <c r="AG122" s="61" t="str">
        <f t="shared" si="54"/>
        <v/>
      </c>
    </row>
    <row r="123" spans="1:33" x14ac:dyDescent="0.25">
      <c r="A123" s="40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57" t="str">
        <f t="shared" si="42"/>
        <v/>
      </c>
      <c r="O123" s="16" t="str">
        <f>IF(A123="","",IF(N123="",INDEX(_ゴミ箱_Backup!$B$89:$D$89,1,MATCH(言語切替!$B$3,_ゴミ箱_Backup!$B$1:$D$1,0)),IF(N123&gt;=1,INDEX(_ゴミ箱_Backup!$B$93:$D$93,1,MATCH(言語切替!$B$3,_ゴミ箱_Backup!$B$1:$D$1,0)),IF(N123&gt;=0.8,INDEX(_ゴミ箱_Backup!$B$91:$D$91,1,MATCH(言語切替!$B$3,_ゴミ箱_Backup!$B$1:$D$1,0)),INDEX(_ゴミ箱_Backup!$B$94:$D$94,1,MATCH(言語切替!$B$3,_ゴミ箱_Backup!$B$1:$D$1,0))))))</f>
        <v/>
      </c>
      <c r="P123" s="42"/>
      <c r="Q123" s="41"/>
      <c r="R123" s="43"/>
      <c r="S123" s="61" t="str">
        <f t="shared" si="43"/>
        <v/>
      </c>
      <c r="T123" s="61" t="str">
        <f t="shared" si="44"/>
        <v/>
      </c>
      <c r="U123" s="61" t="str">
        <f t="shared" si="45"/>
        <v/>
      </c>
      <c r="V123" s="61" t="str">
        <f t="shared" si="46"/>
        <v/>
      </c>
      <c r="W123" s="61" t="str">
        <f t="shared" si="47"/>
        <v/>
      </c>
      <c r="X123" s="61"/>
      <c r="Y123" s="61" t="str">
        <f t="shared" si="48"/>
        <v/>
      </c>
      <c r="Z123" s="61"/>
      <c r="AA123" s="61" t="str">
        <f t="shared" si="49"/>
        <v/>
      </c>
      <c r="AB123" s="61" t="str">
        <f t="shared" si="50"/>
        <v/>
      </c>
      <c r="AC123" s="61" t="str">
        <f t="shared" si="51"/>
        <v/>
      </c>
      <c r="AD123" s="61"/>
      <c r="AE123" s="61" t="str">
        <f t="shared" si="52"/>
        <v/>
      </c>
      <c r="AF123" s="61" t="str">
        <f t="shared" si="53"/>
        <v/>
      </c>
      <c r="AG123" s="61" t="str">
        <f t="shared" si="54"/>
        <v/>
      </c>
    </row>
    <row r="124" spans="1:33" x14ac:dyDescent="0.25">
      <c r="A124" s="36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56" t="str">
        <f t="shared" si="42"/>
        <v/>
      </c>
      <c r="O124" s="13" t="str">
        <f>IF(A124="","",IF(N124="",INDEX(_ゴミ箱_Backup!$B$89:$D$89,1,MATCH(言語切替!$B$3,_ゴミ箱_Backup!$B$1:$D$1,0)),IF(N124&gt;=1,INDEX(_ゴミ箱_Backup!$B$93:$D$93,1,MATCH(言語切替!$B$3,_ゴミ箱_Backup!$B$1:$D$1,0)),IF(N124&gt;=0.8,INDEX(_ゴミ箱_Backup!$B$91:$D$91,1,MATCH(言語切替!$B$3,_ゴミ箱_Backup!$B$1:$D$1,0)),INDEX(_ゴミ箱_Backup!$B$94:$D$94,1,MATCH(言語切替!$B$3,_ゴミ箱_Backup!$B$1:$D$1,0))))))</f>
        <v/>
      </c>
      <c r="P124" s="38"/>
      <c r="Q124" s="37"/>
      <c r="R124" s="39"/>
      <c r="S124" s="61" t="str">
        <f t="shared" si="43"/>
        <v/>
      </c>
      <c r="T124" s="61" t="str">
        <f t="shared" si="44"/>
        <v/>
      </c>
      <c r="U124" s="61" t="str">
        <f t="shared" si="45"/>
        <v/>
      </c>
      <c r="V124" s="61" t="str">
        <f t="shared" si="46"/>
        <v/>
      </c>
      <c r="W124" s="61" t="str">
        <f t="shared" si="47"/>
        <v/>
      </c>
      <c r="X124" s="61"/>
      <c r="Y124" s="61" t="str">
        <f t="shared" si="48"/>
        <v/>
      </c>
      <c r="Z124" s="61"/>
      <c r="AA124" s="61" t="str">
        <f t="shared" si="49"/>
        <v/>
      </c>
      <c r="AB124" s="61" t="str">
        <f t="shared" si="50"/>
        <v/>
      </c>
      <c r="AC124" s="61" t="str">
        <f t="shared" si="51"/>
        <v/>
      </c>
      <c r="AD124" s="61"/>
      <c r="AE124" s="61" t="str">
        <f t="shared" si="52"/>
        <v/>
      </c>
      <c r="AF124" s="61" t="str">
        <f t="shared" si="53"/>
        <v/>
      </c>
      <c r="AG124" s="61" t="str">
        <f t="shared" si="54"/>
        <v/>
      </c>
    </row>
    <row r="125" spans="1:33" x14ac:dyDescent="0.25">
      <c r="A125" s="40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57" t="str">
        <f t="shared" si="42"/>
        <v/>
      </c>
      <c r="O125" s="16" t="str">
        <f>IF(A125="","",IF(N125="",INDEX(_ゴミ箱_Backup!$B$89:$D$89,1,MATCH(言語切替!$B$3,_ゴミ箱_Backup!$B$1:$D$1,0)),IF(N125&gt;=1,INDEX(_ゴミ箱_Backup!$B$93:$D$93,1,MATCH(言語切替!$B$3,_ゴミ箱_Backup!$B$1:$D$1,0)),IF(N125&gt;=0.8,INDEX(_ゴミ箱_Backup!$B$91:$D$91,1,MATCH(言語切替!$B$3,_ゴミ箱_Backup!$B$1:$D$1,0)),INDEX(_ゴミ箱_Backup!$B$94:$D$94,1,MATCH(言語切替!$B$3,_ゴミ箱_Backup!$B$1:$D$1,0))))))</f>
        <v/>
      </c>
      <c r="P125" s="42"/>
      <c r="Q125" s="41"/>
      <c r="R125" s="43"/>
      <c r="S125" s="61" t="str">
        <f t="shared" si="43"/>
        <v/>
      </c>
      <c r="T125" s="61" t="str">
        <f t="shared" si="44"/>
        <v/>
      </c>
      <c r="U125" s="61" t="str">
        <f t="shared" si="45"/>
        <v/>
      </c>
      <c r="V125" s="61" t="str">
        <f t="shared" si="46"/>
        <v/>
      </c>
      <c r="W125" s="61" t="str">
        <f t="shared" si="47"/>
        <v/>
      </c>
      <c r="X125" s="61"/>
      <c r="Y125" s="61" t="str">
        <f t="shared" si="48"/>
        <v/>
      </c>
      <c r="Z125" s="61"/>
      <c r="AA125" s="61" t="str">
        <f t="shared" si="49"/>
        <v/>
      </c>
      <c r="AB125" s="61" t="str">
        <f t="shared" si="50"/>
        <v/>
      </c>
      <c r="AC125" s="61" t="str">
        <f t="shared" si="51"/>
        <v/>
      </c>
      <c r="AD125" s="61"/>
      <c r="AE125" s="61" t="str">
        <f t="shared" si="52"/>
        <v/>
      </c>
      <c r="AF125" s="61" t="str">
        <f t="shared" si="53"/>
        <v/>
      </c>
      <c r="AG125" s="61" t="str">
        <f t="shared" si="54"/>
        <v/>
      </c>
    </row>
    <row r="126" spans="1:33" x14ac:dyDescent="0.25">
      <c r="A126" s="36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56" t="str">
        <f t="shared" si="42"/>
        <v/>
      </c>
      <c r="O126" s="13" t="str">
        <f>IF(A126="","",IF(N126="",INDEX(_ゴミ箱_Backup!$B$89:$D$89,1,MATCH(言語切替!$B$3,_ゴミ箱_Backup!$B$1:$D$1,0)),IF(N126&gt;=1,INDEX(_ゴミ箱_Backup!$B$93:$D$93,1,MATCH(言語切替!$B$3,_ゴミ箱_Backup!$B$1:$D$1,0)),IF(N126&gt;=0.8,INDEX(_ゴミ箱_Backup!$B$91:$D$91,1,MATCH(言語切替!$B$3,_ゴミ箱_Backup!$B$1:$D$1,0)),INDEX(_ゴミ箱_Backup!$B$94:$D$94,1,MATCH(言語切替!$B$3,_ゴミ箱_Backup!$B$1:$D$1,0))))))</f>
        <v/>
      </c>
      <c r="P126" s="38"/>
      <c r="Q126" s="37"/>
      <c r="R126" s="39"/>
      <c r="S126" s="61" t="str">
        <f t="shared" si="43"/>
        <v/>
      </c>
      <c r="T126" s="61" t="str">
        <f t="shared" si="44"/>
        <v/>
      </c>
      <c r="U126" s="61" t="str">
        <f t="shared" si="45"/>
        <v/>
      </c>
      <c r="V126" s="61" t="str">
        <f t="shared" si="46"/>
        <v/>
      </c>
      <c r="W126" s="61" t="str">
        <f t="shared" si="47"/>
        <v/>
      </c>
      <c r="X126" s="61"/>
      <c r="Y126" s="61" t="str">
        <f t="shared" si="48"/>
        <v/>
      </c>
      <c r="Z126" s="61"/>
      <c r="AA126" s="61" t="str">
        <f t="shared" si="49"/>
        <v/>
      </c>
      <c r="AB126" s="61" t="str">
        <f t="shared" si="50"/>
        <v/>
      </c>
      <c r="AC126" s="61" t="str">
        <f t="shared" si="51"/>
        <v/>
      </c>
      <c r="AD126" s="61"/>
      <c r="AE126" s="61" t="str">
        <f t="shared" si="52"/>
        <v/>
      </c>
      <c r="AF126" s="61" t="str">
        <f t="shared" si="53"/>
        <v/>
      </c>
      <c r="AG126" s="61" t="str">
        <f t="shared" si="54"/>
        <v/>
      </c>
    </row>
    <row r="127" spans="1:33" x14ac:dyDescent="0.25">
      <c r="A127" s="40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57" t="str">
        <f t="shared" si="42"/>
        <v/>
      </c>
      <c r="O127" s="16" t="str">
        <f>IF(A127="","",IF(N127="",INDEX(_ゴミ箱_Backup!$B$89:$D$89,1,MATCH(言語切替!$B$3,_ゴミ箱_Backup!$B$1:$D$1,0)),IF(N127&gt;=1,INDEX(_ゴミ箱_Backup!$B$93:$D$93,1,MATCH(言語切替!$B$3,_ゴミ箱_Backup!$B$1:$D$1,0)),IF(N127&gt;=0.8,INDEX(_ゴミ箱_Backup!$B$91:$D$91,1,MATCH(言語切替!$B$3,_ゴミ箱_Backup!$B$1:$D$1,0)),INDEX(_ゴミ箱_Backup!$B$94:$D$94,1,MATCH(言語切替!$B$3,_ゴミ箱_Backup!$B$1:$D$1,0))))))</f>
        <v/>
      </c>
      <c r="P127" s="42"/>
      <c r="Q127" s="41"/>
      <c r="R127" s="43"/>
      <c r="S127" s="61" t="str">
        <f t="shared" si="43"/>
        <v/>
      </c>
      <c r="T127" s="61" t="str">
        <f t="shared" si="44"/>
        <v/>
      </c>
      <c r="U127" s="61" t="str">
        <f t="shared" si="45"/>
        <v/>
      </c>
      <c r="V127" s="61" t="str">
        <f t="shared" si="46"/>
        <v/>
      </c>
      <c r="W127" s="61" t="str">
        <f t="shared" si="47"/>
        <v/>
      </c>
      <c r="X127" s="61"/>
      <c r="Y127" s="61" t="str">
        <f t="shared" si="48"/>
        <v/>
      </c>
      <c r="Z127" s="61"/>
      <c r="AA127" s="61" t="str">
        <f t="shared" si="49"/>
        <v/>
      </c>
      <c r="AB127" s="61" t="str">
        <f t="shared" si="50"/>
        <v/>
      </c>
      <c r="AC127" s="61" t="str">
        <f t="shared" si="51"/>
        <v/>
      </c>
      <c r="AD127" s="61"/>
      <c r="AE127" s="61" t="str">
        <f t="shared" si="52"/>
        <v/>
      </c>
      <c r="AF127" s="61" t="str">
        <f t="shared" si="53"/>
        <v/>
      </c>
      <c r="AG127" s="61" t="str">
        <f t="shared" si="54"/>
        <v/>
      </c>
    </row>
    <row r="128" spans="1:33" x14ac:dyDescent="0.25">
      <c r="A128" s="36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56" t="str">
        <f t="shared" si="42"/>
        <v/>
      </c>
      <c r="O128" s="13" t="str">
        <f>IF(A128="","",IF(N128="",INDEX(_ゴミ箱_Backup!$B$89:$D$89,1,MATCH(言語切替!$B$3,_ゴミ箱_Backup!$B$1:$D$1,0)),IF(N128&gt;=1,INDEX(_ゴミ箱_Backup!$B$93:$D$93,1,MATCH(言語切替!$B$3,_ゴミ箱_Backup!$B$1:$D$1,0)),IF(N128&gt;=0.8,INDEX(_ゴミ箱_Backup!$B$91:$D$91,1,MATCH(言語切替!$B$3,_ゴミ箱_Backup!$B$1:$D$1,0)),INDEX(_ゴミ箱_Backup!$B$94:$D$94,1,MATCH(言語切替!$B$3,_ゴミ箱_Backup!$B$1:$D$1,0))))))</f>
        <v/>
      </c>
      <c r="P128" s="38"/>
      <c r="Q128" s="37"/>
      <c r="R128" s="39"/>
      <c r="S128" s="61" t="str">
        <f t="shared" si="43"/>
        <v/>
      </c>
      <c r="T128" s="61" t="str">
        <f t="shared" si="44"/>
        <v/>
      </c>
      <c r="U128" s="61" t="str">
        <f t="shared" si="45"/>
        <v/>
      </c>
      <c r="V128" s="61" t="str">
        <f t="shared" si="46"/>
        <v/>
      </c>
      <c r="W128" s="61" t="str">
        <f t="shared" si="47"/>
        <v/>
      </c>
      <c r="X128" s="61"/>
      <c r="Y128" s="61" t="str">
        <f t="shared" si="48"/>
        <v/>
      </c>
      <c r="Z128" s="61"/>
      <c r="AA128" s="61" t="str">
        <f t="shared" si="49"/>
        <v/>
      </c>
      <c r="AB128" s="61" t="str">
        <f t="shared" si="50"/>
        <v/>
      </c>
      <c r="AC128" s="61" t="str">
        <f t="shared" si="51"/>
        <v/>
      </c>
      <c r="AD128" s="61"/>
      <c r="AE128" s="61" t="str">
        <f t="shared" si="52"/>
        <v/>
      </c>
      <c r="AF128" s="61" t="str">
        <f t="shared" si="53"/>
        <v/>
      </c>
      <c r="AG128" s="61" t="str">
        <f t="shared" si="54"/>
        <v/>
      </c>
    </row>
    <row r="129" spans="1:33" x14ac:dyDescent="0.25">
      <c r="A129" s="40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57" t="str">
        <f t="shared" si="42"/>
        <v/>
      </c>
      <c r="O129" s="16" t="str">
        <f>IF(A129="","",IF(N129="",INDEX(_ゴミ箱_Backup!$B$89:$D$89,1,MATCH(言語切替!$B$3,_ゴミ箱_Backup!$B$1:$D$1,0)),IF(N129&gt;=1,INDEX(_ゴミ箱_Backup!$B$93:$D$93,1,MATCH(言語切替!$B$3,_ゴミ箱_Backup!$B$1:$D$1,0)),IF(N129&gt;=0.8,INDEX(_ゴミ箱_Backup!$B$91:$D$91,1,MATCH(言語切替!$B$3,_ゴミ箱_Backup!$B$1:$D$1,0)),INDEX(_ゴミ箱_Backup!$B$94:$D$94,1,MATCH(言語切替!$B$3,_ゴミ箱_Backup!$B$1:$D$1,0))))))</f>
        <v/>
      </c>
      <c r="P129" s="42"/>
      <c r="Q129" s="41"/>
      <c r="R129" s="43"/>
      <c r="S129" s="61" t="str">
        <f t="shared" si="43"/>
        <v/>
      </c>
      <c r="T129" s="61" t="str">
        <f t="shared" si="44"/>
        <v/>
      </c>
      <c r="U129" s="61" t="str">
        <f t="shared" si="45"/>
        <v/>
      </c>
      <c r="V129" s="61" t="str">
        <f t="shared" si="46"/>
        <v/>
      </c>
      <c r="W129" s="61" t="str">
        <f t="shared" si="47"/>
        <v/>
      </c>
      <c r="X129" s="61"/>
      <c r="Y129" s="61" t="str">
        <f t="shared" si="48"/>
        <v/>
      </c>
      <c r="Z129" s="61"/>
      <c r="AA129" s="61" t="str">
        <f t="shared" si="49"/>
        <v/>
      </c>
      <c r="AB129" s="61" t="str">
        <f t="shared" si="50"/>
        <v/>
      </c>
      <c r="AC129" s="61" t="str">
        <f t="shared" si="51"/>
        <v/>
      </c>
      <c r="AD129" s="61"/>
      <c r="AE129" s="61" t="str">
        <f t="shared" si="52"/>
        <v/>
      </c>
      <c r="AF129" s="61" t="str">
        <f t="shared" si="53"/>
        <v/>
      </c>
      <c r="AG129" s="61" t="str">
        <f t="shared" si="54"/>
        <v/>
      </c>
    </row>
    <row r="130" spans="1:33" x14ac:dyDescent="0.25">
      <c r="A130" s="36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56" t="str">
        <f t="shared" si="42"/>
        <v/>
      </c>
      <c r="O130" s="13" t="str">
        <f>IF(A130="","",IF(N130="",INDEX(_ゴミ箱_Backup!$B$89:$D$89,1,MATCH(言語切替!$B$3,_ゴミ箱_Backup!$B$1:$D$1,0)),IF(N130&gt;=1,INDEX(_ゴミ箱_Backup!$B$93:$D$93,1,MATCH(言語切替!$B$3,_ゴミ箱_Backup!$B$1:$D$1,0)),IF(N130&gt;=0.8,INDEX(_ゴミ箱_Backup!$B$91:$D$91,1,MATCH(言語切替!$B$3,_ゴミ箱_Backup!$B$1:$D$1,0)),INDEX(_ゴミ箱_Backup!$B$94:$D$94,1,MATCH(言語切替!$B$3,_ゴミ箱_Backup!$B$1:$D$1,0))))))</f>
        <v/>
      </c>
      <c r="P130" s="38"/>
      <c r="Q130" s="37"/>
      <c r="R130" s="39"/>
      <c r="S130" s="61" t="str">
        <f t="shared" si="43"/>
        <v/>
      </c>
      <c r="T130" s="61" t="str">
        <f t="shared" si="44"/>
        <v/>
      </c>
      <c r="U130" s="61" t="str">
        <f t="shared" si="45"/>
        <v/>
      </c>
      <c r="V130" s="61" t="str">
        <f t="shared" si="46"/>
        <v/>
      </c>
      <c r="W130" s="61" t="str">
        <f t="shared" si="47"/>
        <v/>
      </c>
      <c r="X130" s="61"/>
      <c r="Y130" s="61" t="str">
        <f t="shared" si="48"/>
        <v/>
      </c>
      <c r="Z130" s="61"/>
      <c r="AA130" s="61" t="str">
        <f t="shared" si="49"/>
        <v/>
      </c>
      <c r="AB130" s="61" t="str">
        <f t="shared" si="50"/>
        <v/>
      </c>
      <c r="AC130" s="61" t="str">
        <f t="shared" si="51"/>
        <v/>
      </c>
      <c r="AD130" s="61"/>
      <c r="AE130" s="61" t="str">
        <f t="shared" si="52"/>
        <v/>
      </c>
      <c r="AF130" s="61" t="str">
        <f t="shared" si="53"/>
        <v/>
      </c>
      <c r="AG130" s="61" t="str">
        <f t="shared" si="54"/>
        <v/>
      </c>
    </row>
    <row r="131" spans="1:33" x14ac:dyDescent="0.25">
      <c r="A131" s="40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57" t="str">
        <f t="shared" si="42"/>
        <v/>
      </c>
      <c r="O131" s="16" t="str">
        <f>IF(A131="","",IF(N131="",INDEX(_ゴミ箱_Backup!$B$89:$D$89,1,MATCH(言語切替!$B$3,_ゴミ箱_Backup!$B$1:$D$1,0)),IF(N131&gt;=1,INDEX(_ゴミ箱_Backup!$B$93:$D$93,1,MATCH(言語切替!$B$3,_ゴミ箱_Backup!$B$1:$D$1,0)),IF(N131&gt;=0.8,INDEX(_ゴミ箱_Backup!$B$91:$D$91,1,MATCH(言語切替!$B$3,_ゴミ箱_Backup!$B$1:$D$1,0)),INDEX(_ゴミ箱_Backup!$B$94:$D$94,1,MATCH(言語切替!$B$3,_ゴミ箱_Backup!$B$1:$D$1,0))))))</f>
        <v/>
      </c>
      <c r="P131" s="42"/>
      <c r="Q131" s="41"/>
      <c r="R131" s="43"/>
      <c r="S131" s="61" t="str">
        <f t="shared" si="43"/>
        <v/>
      </c>
      <c r="T131" s="61" t="str">
        <f t="shared" si="44"/>
        <v/>
      </c>
      <c r="U131" s="61" t="str">
        <f t="shared" si="45"/>
        <v/>
      </c>
      <c r="V131" s="61" t="str">
        <f t="shared" si="46"/>
        <v/>
      </c>
      <c r="W131" s="61" t="str">
        <f t="shared" si="47"/>
        <v/>
      </c>
      <c r="X131" s="61"/>
      <c r="Y131" s="61" t="str">
        <f t="shared" si="48"/>
        <v/>
      </c>
      <c r="Z131" s="61"/>
      <c r="AA131" s="61" t="str">
        <f t="shared" si="49"/>
        <v/>
      </c>
      <c r="AB131" s="61" t="str">
        <f t="shared" si="50"/>
        <v/>
      </c>
      <c r="AC131" s="61" t="str">
        <f t="shared" si="51"/>
        <v/>
      </c>
      <c r="AD131" s="61"/>
      <c r="AE131" s="61" t="str">
        <f t="shared" si="52"/>
        <v/>
      </c>
      <c r="AF131" s="61" t="str">
        <f t="shared" si="53"/>
        <v/>
      </c>
      <c r="AG131" s="61" t="str">
        <f t="shared" si="54"/>
        <v/>
      </c>
    </row>
    <row r="132" spans="1:33" x14ac:dyDescent="0.25">
      <c r="A132" s="36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56" t="str">
        <f t="shared" si="42"/>
        <v/>
      </c>
      <c r="O132" s="13" t="str">
        <f>IF(A132="","",IF(N132="",INDEX(_ゴミ箱_Backup!$B$89:$D$89,1,MATCH(言語切替!$B$3,_ゴミ箱_Backup!$B$1:$D$1,0)),IF(N132&gt;=1,INDEX(_ゴミ箱_Backup!$B$93:$D$93,1,MATCH(言語切替!$B$3,_ゴミ箱_Backup!$B$1:$D$1,0)),IF(N132&gt;=0.8,INDEX(_ゴミ箱_Backup!$B$91:$D$91,1,MATCH(言語切替!$B$3,_ゴミ箱_Backup!$B$1:$D$1,0)),INDEX(_ゴミ箱_Backup!$B$94:$D$94,1,MATCH(言語切替!$B$3,_ゴミ箱_Backup!$B$1:$D$1,0))))))</f>
        <v/>
      </c>
      <c r="P132" s="38"/>
      <c r="Q132" s="37"/>
      <c r="R132" s="39"/>
      <c r="S132" s="61" t="str">
        <f t="shared" si="43"/>
        <v/>
      </c>
      <c r="T132" s="61" t="str">
        <f t="shared" si="44"/>
        <v/>
      </c>
      <c r="U132" s="61" t="str">
        <f t="shared" si="45"/>
        <v/>
      </c>
      <c r="V132" s="61" t="str">
        <f t="shared" si="46"/>
        <v/>
      </c>
      <c r="W132" s="61" t="str">
        <f t="shared" si="47"/>
        <v/>
      </c>
      <c r="X132" s="61"/>
      <c r="Y132" s="61" t="str">
        <f t="shared" si="48"/>
        <v/>
      </c>
      <c r="Z132" s="61"/>
      <c r="AA132" s="61" t="str">
        <f t="shared" si="49"/>
        <v/>
      </c>
      <c r="AB132" s="61" t="str">
        <f t="shared" si="50"/>
        <v/>
      </c>
      <c r="AC132" s="61" t="str">
        <f t="shared" si="51"/>
        <v/>
      </c>
      <c r="AD132" s="61"/>
      <c r="AE132" s="61" t="str">
        <f t="shared" si="52"/>
        <v/>
      </c>
      <c r="AF132" s="61" t="str">
        <f t="shared" si="53"/>
        <v/>
      </c>
      <c r="AG132" s="61" t="str">
        <f t="shared" si="54"/>
        <v/>
      </c>
    </row>
    <row r="133" spans="1:33" x14ac:dyDescent="0.25">
      <c r="A133" s="40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57" t="str">
        <f t="shared" ref="N133:N164" si="55">IF(OR(L133="",M133=""),"",IF(L133=0,"",M133/L133))</f>
        <v/>
      </c>
      <c r="O133" s="16" t="str">
        <f>IF(A133="","",IF(N133="",INDEX(_ゴミ箱_Backup!$B$89:$D$89,1,MATCH(言語切替!$B$3,_ゴミ箱_Backup!$B$1:$D$1,0)),IF(N133&gt;=1,INDEX(_ゴミ箱_Backup!$B$93:$D$93,1,MATCH(言語切替!$B$3,_ゴミ箱_Backup!$B$1:$D$1,0)),IF(N133&gt;=0.8,INDEX(_ゴミ箱_Backup!$B$91:$D$91,1,MATCH(言語切替!$B$3,_ゴミ箱_Backup!$B$1:$D$1,0)),INDEX(_ゴミ箱_Backup!$B$94:$D$94,1,MATCH(言語切替!$B$3,_ゴミ箱_Backup!$B$1:$D$1,0))))))</f>
        <v/>
      </c>
      <c r="P133" s="42"/>
      <c r="Q133" s="41"/>
      <c r="R133" s="43"/>
      <c r="S133" s="61" t="str">
        <f t="shared" ref="S133:S164" si="56">IF(D133="","",IFERROR(_xlfn.TRANSLATE(D133,,"ja"),""))</f>
        <v/>
      </c>
      <c r="T133" s="61" t="str">
        <f t="shared" ref="T133:T164" si="57">IF(D133="","",IFERROR(_xlfn.TRANSLATE(D133,,"zh-Hans"),""))</f>
        <v/>
      </c>
      <c r="U133" s="61" t="str">
        <f t="shared" ref="U133:U164" si="58">IF(D133="","",IFERROR(_xlfn.TRANSLATE(D133,,"vi"),""))</f>
        <v/>
      </c>
      <c r="V133" s="61" t="str">
        <f t="shared" ref="V133:V164" si="59">IF(E133="","",IFERROR(_xlfn.TRANSLATE(E133,,"ja"),""))</f>
        <v/>
      </c>
      <c r="W133" s="61" t="str">
        <f t="shared" ref="W133:W164" si="60">IF(E133="","",IFERROR(_xlfn.TRANSLATE(E133,,"zh-Hans"),""))</f>
        <v/>
      </c>
      <c r="X133" s="61"/>
      <c r="Y133" s="61" t="str">
        <f t="shared" ref="Y133:Y164" si="61">IF(F133="","",IFERROR(_xlfn.TRANSLATE(F133,,"ja"),""))</f>
        <v/>
      </c>
      <c r="Z133" s="61"/>
      <c r="AA133" s="61" t="str">
        <f t="shared" ref="AA133:AA164" si="62">IF(F133="","",IFERROR(_xlfn.TRANSLATE(F133,,"vi"),""))</f>
        <v/>
      </c>
      <c r="AB133" s="61" t="str">
        <f t="shared" ref="AB133:AB164" si="63">IF(Q133="","",IFERROR(_xlfn.TRANSLATE(Q133,,"ja"),""))</f>
        <v/>
      </c>
      <c r="AC133" s="61" t="str">
        <f t="shared" ref="AC133:AC164" si="64">IF(Q133="","",IFERROR(_xlfn.TRANSLATE(Q133,,"zh-Hans"),""))</f>
        <v/>
      </c>
      <c r="AD133" s="61"/>
      <c r="AE133" s="61" t="str">
        <f t="shared" ref="AE133:AE164" si="65">IF(R133="","",IFERROR(_xlfn.TRANSLATE(R133,,"ja"),""))</f>
        <v/>
      </c>
      <c r="AF133" s="61" t="str">
        <f t="shared" ref="AF133:AF164" si="66">IF(R133="","",IFERROR(_xlfn.TRANSLATE(R133,,"zh-Hans"),""))</f>
        <v/>
      </c>
      <c r="AG133" s="61" t="str">
        <f t="shared" ref="AG133:AG164" si="67">IF(R133="","",IFERROR(_xlfn.TRANSLATE(R133,,"vi"),""))</f>
        <v/>
      </c>
    </row>
    <row r="134" spans="1:33" x14ac:dyDescent="0.25">
      <c r="A134" s="36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56" t="str">
        <f t="shared" si="55"/>
        <v/>
      </c>
      <c r="O134" s="13" t="str">
        <f>IF(A134="","",IF(N134="",INDEX(_ゴミ箱_Backup!$B$89:$D$89,1,MATCH(言語切替!$B$3,_ゴミ箱_Backup!$B$1:$D$1,0)),IF(N134&gt;=1,INDEX(_ゴミ箱_Backup!$B$93:$D$93,1,MATCH(言語切替!$B$3,_ゴミ箱_Backup!$B$1:$D$1,0)),IF(N134&gt;=0.8,INDEX(_ゴミ箱_Backup!$B$91:$D$91,1,MATCH(言語切替!$B$3,_ゴミ箱_Backup!$B$1:$D$1,0)),INDEX(_ゴミ箱_Backup!$B$94:$D$94,1,MATCH(言語切替!$B$3,_ゴミ箱_Backup!$B$1:$D$1,0))))))</f>
        <v/>
      </c>
      <c r="P134" s="38"/>
      <c r="Q134" s="37"/>
      <c r="R134" s="39"/>
      <c r="S134" s="61" t="str">
        <f t="shared" si="56"/>
        <v/>
      </c>
      <c r="T134" s="61" t="str">
        <f t="shared" si="57"/>
        <v/>
      </c>
      <c r="U134" s="61" t="str">
        <f t="shared" si="58"/>
        <v/>
      </c>
      <c r="V134" s="61" t="str">
        <f t="shared" si="59"/>
        <v/>
      </c>
      <c r="W134" s="61" t="str">
        <f t="shared" si="60"/>
        <v/>
      </c>
      <c r="X134" s="61"/>
      <c r="Y134" s="61" t="str">
        <f t="shared" si="61"/>
        <v/>
      </c>
      <c r="Z134" s="61"/>
      <c r="AA134" s="61" t="str">
        <f t="shared" si="62"/>
        <v/>
      </c>
      <c r="AB134" s="61" t="str">
        <f t="shared" si="63"/>
        <v/>
      </c>
      <c r="AC134" s="61" t="str">
        <f t="shared" si="64"/>
        <v/>
      </c>
      <c r="AD134" s="61"/>
      <c r="AE134" s="61" t="str">
        <f t="shared" si="65"/>
        <v/>
      </c>
      <c r="AF134" s="61" t="str">
        <f t="shared" si="66"/>
        <v/>
      </c>
      <c r="AG134" s="61" t="str">
        <f t="shared" si="67"/>
        <v/>
      </c>
    </row>
    <row r="135" spans="1:33" x14ac:dyDescent="0.25">
      <c r="A135" s="40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57" t="str">
        <f t="shared" si="55"/>
        <v/>
      </c>
      <c r="O135" s="16" t="str">
        <f>IF(A135="","",IF(N135="",INDEX(_ゴミ箱_Backup!$B$89:$D$89,1,MATCH(言語切替!$B$3,_ゴミ箱_Backup!$B$1:$D$1,0)),IF(N135&gt;=1,INDEX(_ゴミ箱_Backup!$B$93:$D$93,1,MATCH(言語切替!$B$3,_ゴミ箱_Backup!$B$1:$D$1,0)),IF(N135&gt;=0.8,INDEX(_ゴミ箱_Backup!$B$91:$D$91,1,MATCH(言語切替!$B$3,_ゴミ箱_Backup!$B$1:$D$1,0)),INDEX(_ゴミ箱_Backup!$B$94:$D$94,1,MATCH(言語切替!$B$3,_ゴミ箱_Backup!$B$1:$D$1,0))))))</f>
        <v/>
      </c>
      <c r="P135" s="42"/>
      <c r="Q135" s="41"/>
      <c r="R135" s="43"/>
      <c r="S135" s="61" t="str">
        <f t="shared" si="56"/>
        <v/>
      </c>
      <c r="T135" s="61" t="str">
        <f t="shared" si="57"/>
        <v/>
      </c>
      <c r="U135" s="61" t="str">
        <f t="shared" si="58"/>
        <v/>
      </c>
      <c r="V135" s="61" t="str">
        <f t="shared" si="59"/>
        <v/>
      </c>
      <c r="W135" s="61" t="str">
        <f t="shared" si="60"/>
        <v/>
      </c>
      <c r="X135" s="61"/>
      <c r="Y135" s="61" t="str">
        <f t="shared" si="61"/>
        <v/>
      </c>
      <c r="Z135" s="61"/>
      <c r="AA135" s="61" t="str">
        <f t="shared" si="62"/>
        <v/>
      </c>
      <c r="AB135" s="61" t="str">
        <f t="shared" si="63"/>
        <v/>
      </c>
      <c r="AC135" s="61" t="str">
        <f t="shared" si="64"/>
        <v/>
      </c>
      <c r="AD135" s="61"/>
      <c r="AE135" s="61" t="str">
        <f t="shared" si="65"/>
        <v/>
      </c>
      <c r="AF135" s="61" t="str">
        <f t="shared" si="66"/>
        <v/>
      </c>
      <c r="AG135" s="61" t="str">
        <f t="shared" si="67"/>
        <v/>
      </c>
    </row>
    <row r="136" spans="1:33" x14ac:dyDescent="0.25">
      <c r="A136" s="36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56" t="str">
        <f t="shared" si="55"/>
        <v/>
      </c>
      <c r="O136" s="13" t="str">
        <f>IF(A136="","",IF(N136="",INDEX(_ゴミ箱_Backup!$B$89:$D$89,1,MATCH(言語切替!$B$3,_ゴミ箱_Backup!$B$1:$D$1,0)),IF(N136&gt;=1,INDEX(_ゴミ箱_Backup!$B$93:$D$93,1,MATCH(言語切替!$B$3,_ゴミ箱_Backup!$B$1:$D$1,0)),IF(N136&gt;=0.8,INDEX(_ゴミ箱_Backup!$B$91:$D$91,1,MATCH(言語切替!$B$3,_ゴミ箱_Backup!$B$1:$D$1,0)),INDEX(_ゴミ箱_Backup!$B$94:$D$94,1,MATCH(言語切替!$B$3,_ゴミ箱_Backup!$B$1:$D$1,0))))))</f>
        <v/>
      </c>
      <c r="P136" s="38"/>
      <c r="Q136" s="37"/>
      <c r="R136" s="39"/>
      <c r="S136" s="61" t="str">
        <f t="shared" si="56"/>
        <v/>
      </c>
      <c r="T136" s="61" t="str">
        <f t="shared" si="57"/>
        <v/>
      </c>
      <c r="U136" s="61" t="str">
        <f t="shared" si="58"/>
        <v/>
      </c>
      <c r="V136" s="61" t="str">
        <f t="shared" si="59"/>
        <v/>
      </c>
      <c r="W136" s="61" t="str">
        <f t="shared" si="60"/>
        <v/>
      </c>
      <c r="X136" s="61"/>
      <c r="Y136" s="61" t="str">
        <f t="shared" si="61"/>
        <v/>
      </c>
      <c r="Z136" s="61"/>
      <c r="AA136" s="61" t="str">
        <f t="shared" si="62"/>
        <v/>
      </c>
      <c r="AB136" s="61" t="str">
        <f t="shared" si="63"/>
        <v/>
      </c>
      <c r="AC136" s="61" t="str">
        <f t="shared" si="64"/>
        <v/>
      </c>
      <c r="AD136" s="61"/>
      <c r="AE136" s="61" t="str">
        <f t="shared" si="65"/>
        <v/>
      </c>
      <c r="AF136" s="61" t="str">
        <f t="shared" si="66"/>
        <v/>
      </c>
      <c r="AG136" s="61" t="str">
        <f t="shared" si="67"/>
        <v/>
      </c>
    </row>
    <row r="137" spans="1:33" x14ac:dyDescent="0.25">
      <c r="A137" s="40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57" t="str">
        <f t="shared" si="55"/>
        <v/>
      </c>
      <c r="O137" s="16" t="str">
        <f>IF(A137="","",IF(N137="",INDEX(_ゴミ箱_Backup!$B$89:$D$89,1,MATCH(言語切替!$B$3,_ゴミ箱_Backup!$B$1:$D$1,0)),IF(N137&gt;=1,INDEX(_ゴミ箱_Backup!$B$93:$D$93,1,MATCH(言語切替!$B$3,_ゴミ箱_Backup!$B$1:$D$1,0)),IF(N137&gt;=0.8,INDEX(_ゴミ箱_Backup!$B$91:$D$91,1,MATCH(言語切替!$B$3,_ゴミ箱_Backup!$B$1:$D$1,0)),INDEX(_ゴミ箱_Backup!$B$94:$D$94,1,MATCH(言語切替!$B$3,_ゴミ箱_Backup!$B$1:$D$1,0))))))</f>
        <v/>
      </c>
      <c r="P137" s="42"/>
      <c r="Q137" s="41"/>
      <c r="R137" s="43"/>
      <c r="S137" s="61" t="str">
        <f t="shared" si="56"/>
        <v/>
      </c>
      <c r="T137" s="61" t="str">
        <f t="shared" si="57"/>
        <v/>
      </c>
      <c r="U137" s="61" t="str">
        <f t="shared" si="58"/>
        <v/>
      </c>
      <c r="V137" s="61" t="str">
        <f t="shared" si="59"/>
        <v/>
      </c>
      <c r="W137" s="61" t="str">
        <f t="shared" si="60"/>
        <v/>
      </c>
      <c r="X137" s="61"/>
      <c r="Y137" s="61" t="str">
        <f t="shared" si="61"/>
        <v/>
      </c>
      <c r="Z137" s="61"/>
      <c r="AA137" s="61" t="str">
        <f t="shared" si="62"/>
        <v/>
      </c>
      <c r="AB137" s="61" t="str">
        <f t="shared" si="63"/>
        <v/>
      </c>
      <c r="AC137" s="61" t="str">
        <f t="shared" si="64"/>
        <v/>
      </c>
      <c r="AD137" s="61"/>
      <c r="AE137" s="61" t="str">
        <f t="shared" si="65"/>
        <v/>
      </c>
      <c r="AF137" s="61" t="str">
        <f t="shared" si="66"/>
        <v/>
      </c>
      <c r="AG137" s="61" t="str">
        <f t="shared" si="67"/>
        <v/>
      </c>
    </row>
    <row r="138" spans="1:33" x14ac:dyDescent="0.25">
      <c r="A138" s="36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56" t="str">
        <f t="shared" si="55"/>
        <v/>
      </c>
      <c r="O138" s="13" t="str">
        <f>IF(A138="","",IF(N138="",INDEX(_ゴミ箱_Backup!$B$89:$D$89,1,MATCH(言語切替!$B$3,_ゴミ箱_Backup!$B$1:$D$1,0)),IF(N138&gt;=1,INDEX(_ゴミ箱_Backup!$B$93:$D$93,1,MATCH(言語切替!$B$3,_ゴミ箱_Backup!$B$1:$D$1,0)),IF(N138&gt;=0.8,INDEX(_ゴミ箱_Backup!$B$91:$D$91,1,MATCH(言語切替!$B$3,_ゴミ箱_Backup!$B$1:$D$1,0)),INDEX(_ゴミ箱_Backup!$B$94:$D$94,1,MATCH(言語切替!$B$3,_ゴミ箱_Backup!$B$1:$D$1,0))))))</f>
        <v/>
      </c>
      <c r="P138" s="38"/>
      <c r="Q138" s="37"/>
      <c r="R138" s="39"/>
      <c r="S138" s="61" t="str">
        <f t="shared" si="56"/>
        <v/>
      </c>
      <c r="T138" s="61" t="str">
        <f t="shared" si="57"/>
        <v/>
      </c>
      <c r="U138" s="61" t="str">
        <f t="shared" si="58"/>
        <v/>
      </c>
      <c r="V138" s="61" t="str">
        <f t="shared" si="59"/>
        <v/>
      </c>
      <c r="W138" s="61" t="str">
        <f t="shared" si="60"/>
        <v/>
      </c>
      <c r="X138" s="61"/>
      <c r="Y138" s="61" t="str">
        <f t="shared" si="61"/>
        <v/>
      </c>
      <c r="Z138" s="61"/>
      <c r="AA138" s="61" t="str">
        <f t="shared" si="62"/>
        <v/>
      </c>
      <c r="AB138" s="61" t="str">
        <f t="shared" si="63"/>
        <v/>
      </c>
      <c r="AC138" s="61" t="str">
        <f t="shared" si="64"/>
        <v/>
      </c>
      <c r="AD138" s="61"/>
      <c r="AE138" s="61" t="str">
        <f t="shared" si="65"/>
        <v/>
      </c>
      <c r="AF138" s="61" t="str">
        <f t="shared" si="66"/>
        <v/>
      </c>
      <c r="AG138" s="61" t="str">
        <f t="shared" si="67"/>
        <v/>
      </c>
    </row>
    <row r="139" spans="1:33" x14ac:dyDescent="0.25">
      <c r="A139" s="40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57" t="str">
        <f t="shared" si="55"/>
        <v/>
      </c>
      <c r="O139" s="16" t="str">
        <f>IF(A139="","",IF(N139="",INDEX(_ゴミ箱_Backup!$B$89:$D$89,1,MATCH(言語切替!$B$3,_ゴミ箱_Backup!$B$1:$D$1,0)),IF(N139&gt;=1,INDEX(_ゴミ箱_Backup!$B$93:$D$93,1,MATCH(言語切替!$B$3,_ゴミ箱_Backup!$B$1:$D$1,0)),IF(N139&gt;=0.8,INDEX(_ゴミ箱_Backup!$B$91:$D$91,1,MATCH(言語切替!$B$3,_ゴミ箱_Backup!$B$1:$D$1,0)),INDEX(_ゴミ箱_Backup!$B$94:$D$94,1,MATCH(言語切替!$B$3,_ゴミ箱_Backup!$B$1:$D$1,0))))))</f>
        <v/>
      </c>
      <c r="P139" s="42"/>
      <c r="Q139" s="41"/>
      <c r="R139" s="43"/>
      <c r="S139" s="61" t="str">
        <f t="shared" si="56"/>
        <v/>
      </c>
      <c r="T139" s="61" t="str">
        <f t="shared" si="57"/>
        <v/>
      </c>
      <c r="U139" s="61" t="str">
        <f t="shared" si="58"/>
        <v/>
      </c>
      <c r="V139" s="61" t="str">
        <f t="shared" si="59"/>
        <v/>
      </c>
      <c r="W139" s="61" t="str">
        <f t="shared" si="60"/>
        <v/>
      </c>
      <c r="X139" s="61"/>
      <c r="Y139" s="61" t="str">
        <f t="shared" si="61"/>
        <v/>
      </c>
      <c r="Z139" s="61"/>
      <c r="AA139" s="61" t="str">
        <f t="shared" si="62"/>
        <v/>
      </c>
      <c r="AB139" s="61" t="str">
        <f t="shared" si="63"/>
        <v/>
      </c>
      <c r="AC139" s="61" t="str">
        <f t="shared" si="64"/>
        <v/>
      </c>
      <c r="AD139" s="61"/>
      <c r="AE139" s="61" t="str">
        <f t="shared" si="65"/>
        <v/>
      </c>
      <c r="AF139" s="61" t="str">
        <f t="shared" si="66"/>
        <v/>
      </c>
      <c r="AG139" s="61" t="str">
        <f t="shared" si="67"/>
        <v/>
      </c>
    </row>
    <row r="140" spans="1:33" x14ac:dyDescent="0.25">
      <c r="A140" s="36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56" t="str">
        <f t="shared" si="55"/>
        <v/>
      </c>
      <c r="O140" s="13" t="str">
        <f>IF(A140="","",IF(N140="",INDEX(_ゴミ箱_Backup!$B$89:$D$89,1,MATCH(言語切替!$B$3,_ゴミ箱_Backup!$B$1:$D$1,0)),IF(N140&gt;=1,INDEX(_ゴミ箱_Backup!$B$93:$D$93,1,MATCH(言語切替!$B$3,_ゴミ箱_Backup!$B$1:$D$1,0)),IF(N140&gt;=0.8,INDEX(_ゴミ箱_Backup!$B$91:$D$91,1,MATCH(言語切替!$B$3,_ゴミ箱_Backup!$B$1:$D$1,0)),INDEX(_ゴミ箱_Backup!$B$94:$D$94,1,MATCH(言語切替!$B$3,_ゴミ箱_Backup!$B$1:$D$1,0))))))</f>
        <v/>
      </c>
      <c r="P140" s="38"/>
      <c r="Q140" s="37"/>
      <c r="R140" s="39"/>
      <c r="S140" s="61" t="str">
        <f t="shared" si="56"/>
        <v/>
      </c>
      <c r="T140" s="61" t="str">
        <f t="shared" si="57"/>
        <v/>
      </c>
      <c r="U140" s="61" t="str">
        <f t="shared" si="58"/>
        <v/>
      </c>
      <c r="V140" s="61" t="str">
        <f t="shared" si="59"/>
        <v/>
      </c>
      <c r="W140" s="61" t="str">
        <f t="shared" si="60"/>
        <v/>
      </c>
      <c r="X140" s="61"/>
      <c r="Y140" s="61" t="str">
        <f t="shared" si="61"/>
        <v/>
      </c>
      <c r="Z140" s="61"/>
      <c r="AA140" s="61" t="str">
        <f t="shared" si="62"/>
        <v/>
      </c>
      <c r="AB140" s="61" t="str">
        <f t="shared" si="63"/>
        <v/>
      </c>
      <c r="AC140" s="61" t="str">
        <f t="shared" si="64"/>
        <v/>
      </c>
      <c r="AD140" s="61"/>
      <c r="AE140" s="61" t="str">
        <f t="shared" si="65"/>
        <v/>
      </c>
      <c r="AF140" s="61" t="str">
        <f t="shared" si="66"/>
        <v/>
      </c>
      <c r="AG140" s="61" t="str">
        <f t="shared" si="67"/>
        <v/>
      </c>
    </row>
    <row r="141" spans="1:33" x14ac:dyDescent="0.25">
      <c r="A141" s="40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57" t="str">
        <f t="shared" si="55"/>
        <v/>
      </c>
      <c r="O141" s="16" t="str">
        <f>IF(A141="","",IF(N141="",INDEX(_ゴミ箱_Backup!$B$89:$D$89,1,MATCH(言語切替!$B$3,_ゴミ箱_Backup!$B$1:$D$1,0)),IF(N141&gt;=1,INDEX(_ゴミ箱_Backup!$B$93:$D$93,1,MATCH(言語切替!$B$3,_ゴミ箱_Backup!$B$1:$D$1,0)),IF(N141&gt;=0.8,INDEX(_ゴミ箱_Backup!$B$91:$D$91,1,MATCH(言語切替!$B$3,_ゴミ箱_Backup!$B$1:$D$1,0)),INDEX(_ゴミ箱_Backup!$B$94:$D$94,1,MATCH(言語切替!$B$3,_ゴミ箱_Backup!$B$1:$D$1,0))))))</f>
        <v/>
      </c>
      <c r="P141" s="42"/>
      <c r="Q141" s="41"/>
      <c r="R141" s="43"/>
      <c r="S141" s="61" t="str">
        <f t="shared" si="56"/>
        <v/>
      </c>
      <c r="T141" s="61" t="str">
        <f t="shared" si="57"/>
        <v/>
      </c>
      <c r="U141" s="61" t="str">
        <f t="shared" si="58"/>
        <v/>
      </c>
      <c r="V141" s="61" t="str">
        <f t="shared" si="59"/>
        <v/>
      </c>
      <c r="W141" s="61" t="str">
        <f t="shared" si="60"/>
        <v/>
      </c>
      <c r="X141" s="61"/>
      <c r="Y141" s="61" t="str">
        <f t="shared" si="61"/>
        <v/>
      </c>
      <c r="Z141" s="61"/>
      <c r="AA141" s="61" t="str">
        <f t="shared" si="62"/>
        <v/>
      </c>
      <c r="AB141" s="61" t="str">
        <f t="shared" si="63"/>
        <v/>
      </c>
      <c r="AC141" s="61" t="str">
        <f t="shared" si="64"/>
        <v/>
      </c>
      <c r="AD141" s="61"/>
      <c r="AE141" s="61" t="str">
        <f t="shared" si="65"/>
        <v/>
      </c>
      <c r="AF141" s="61" t="str">
        <f t="shared" si="66"/>
        <v/>
      </c>
      <c r="AG141" s="61" t="str">
        <f t="shared" si="67"/>
        <v/>
      </c>
    </row>
    <row r="142" spans="1:33" x14ac:dyDescent="0.25">
      <c r="A142" s="36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56" t="str">
        <f t="shared" si="55"/>
        <v/>
      </c>
      <c r="O142" s="13" t="str">
        <f>IF(A142="","",IF(N142="",INDEX(_ゴミ箱_Backup!$B$89:$D$89,1,MATCH(言語切替!$B$3,_ゴミ箱_Backup!$B$1:$D$1,0)),IF(N142&gt;=1,INDEX(_ゴミ箱_Backup!$B$93:$D$93,1,MATCH(言語切替!$B$3,_ゴミ箱_Backup!$B$1:$D$1,0)),IF(N142&gt;=0.8,INDEX(_ゴミ箱_Backup!$B$91:$D$91,1,MATCH(言語切替!$B$3,_ゴミ箱_Backup!$B$1:$D$1,0)),INDEX(_ゴミ箱_Backup!$B$94:$D$94,1,MATCH(言語切替!$B$3,_ゴミ箱_Backup!$B$1:$D$1,0))))))</f>
        <v/>
      </c>
      <c r="P142" s="38"/>
      <c r="Q142" s="37"/>
      <c r="R142" s="39"/>
      <c r="S142" s="61" t="str">
        <f t="shared" si="56"/>
        <v/>
      </c>
      <c r="T142" s="61" t="str">
        <f t="shared" si="57"/>
        <v/>
      </c>
      <c r="U142" s="61" t="str">
        <f t="shared" si="58"/>
        <v/>
      </c>
      <c r="V142" s="61" t="str">
        <f t="shared" si="59"/>
        <v/>
      </c>
      <c r="W142" s="61" t="str">
        <f t="shared" si="60"/>
        <v/>
      </c>
      <c r="X142" s="61"/>
      <c r="Y142" s="61" t="str">
        <f t="shared" si="61"/>
        <v/>
      </c>
      <c r="Z142" s="61"/>
      <c r="AA142" s="61" t="str">
        <f t="shared" si="62"/>
        <v/>
      </c>
      <c r="AB142" s="61" t="str">
        <f t="shared" si="63"/>
        <v/>
      </c>
      <c r="AC142" s="61" t="str">
        <f t="shared" si="64"/>
        <v/>
      </c>
      <c r="AD142" s="61"/>
      <c r="AE142" s="61" t="str">
        <f t="shared" si="65"/>
        <v/>
      </c>
      <c r="AF142" s="61" t="str">
        <f t="shared" si="66"/>
        <v/>
      </c>
      <c r="AG142" s="61" t="str">
        <f t="shared" si="67"/>
        <v/>
      </c>
    </row>
    <row r="143" spans="1:33" x14ac:dyDescent="0.25">
      <c r="A143" s="40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57" t="str">
        <f t="shared" si="55"/>
        <v/>
      </c>
      <c r="O143" s="16" t="str">
        <f>IF(A143="","",IF(N143="",INDEX(_ゴミ箱_Backup!$B$89:$D$89,1,MATCH(言語切替!$B$3,_ゴミ箱_Backup!$B$1:$D$1,0)),IF(N143&gt;=1,INDEX(_ゴミ箱_Backup!$B$93:$D$93,1,MATCH(言語切替!$B$3,_ゴミ箱_Backup!$B$1:$D$1,0)),IF(N143&gt;=0.8,INDEX(_ゴミ箱_Backup!$B$91:$D$91,1,MATCH(言語切替!$B$3,_ゴミ箱_Backup!$B$1:$D$1,0)),INDEX(_ゴミ箱_Backup!$B$94:$D$94,1,MATCH(言語切替!$B$3,_ゴミ箱_Backup!$B$1:$D$1,0))))))</f>
        <v/>
      </c>
      <c r="P143" s="42"/>
      <c r="Q143" s="41"/>
      <c r="R143" s="43"/>
      <c r="S143" s="61" t="str">
        <f t="shared" si="56"/>
        <v/>
      </c>
      <c r="T143" s="61" t="str">
        <f t="shared" si="57"/>
        <v/>
      </c>
      <c r="U143" s="61" t="str">
        <f t="shared" si="58"/>
        <v/>
      </c>
      <c r="V143" s="61" t="str">
        <f t="shared" si="59"/>
        <v/>
      </c>
      <c r="W143" s="61" t="str">
        <f t="shared" si="60"/>
        <v/>
      </c>
      <c r="X143" s="61"/>
      <c r="Y143" s="61" t="str">
        <f t="shared" si="61"/>
        <v/>
      </c>
      <c r="Z143" s="61"/>
      <c r="AA143" s="61" t="str">
        <f t="shared" si="62"/>
        <v/>
      </c>
      <c r="AB143" s="61" t="str">
        <f t="shared" si="63"/>
        <v/>
      </c>
      <c r="AC143" s="61" t="str">
        <f t="shared" si="64"/>
        <v/>
      </c>
      <c r="AD143" s="61"/>
      <c r="AE143" s="61" t="str">
        <f t="shared" si="65"/>
        <v/>
      </c>
      <c r="AF143" s="61" t="str">
        <f t="shared" si="66"/>
        <v/>
      </c>
      <c r="AG143" s="61" t="str">
        <f t="shared" si="67"/>
        <v/>
      </c>
    </row>
    <row r="144" spans="1:33" x14ac:dyDescent="0.25">
      <c r="A144" s="36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56" t="str">
        <f t="shared" si="55"/>
        <v/>
      </c>
      <c r="O144" s="13" t="str">
        <f>IF(A144="","",IF(N144="",INDEX(_ゴミ箱_Backup!$B$89:$D$89,1,MATCH(言語切替!$B$3,_ゴミ箱_Backup!$B$1:$D$1,0)),IF(N144&gt;=1,INDEX(_ゴミ箱_Backup!$B$93:$D$93,1,MATCH(言語切替!$B$3,_ゴミ箱_Backup!$B$1:$D$1,0)),IF(N144&gt;=0.8,INDEX(_ゴミ箱_Backup!$B$91:$D$91,1,MATCH(言語切替!$B$3,_ゴミ箱_Backup!$B$1:$D$1,0)),INDEX(_ゴミ箱_Backup!$B$94:$D$94,1,MATCH(言語切替!$B$3,_ゴミ箱_Backup!$B$1:$D$1,0))))))</f>
        <v/>
      </c>
      <c r="P144" s="38"/>
      <c r="Q144" s="37"/>
      <c r="R144" s="39"/>
      <c r="S144" s="61" t="str">
        <f t="shared" si="56"/>
        <v/>
      </c>
      <c r="T144" s="61" t="str">
        <f t="shared" si="57"/>
        <v/>
      </c>
      <c r="U144" s="61" t="str">
        <f t="shared" si="58"/>
        <v/>
      </c>
      <c r="V144" s="61" t="str">
        <f t="shared" si="59"/>
        <v/>
      </c>
      <c r="W144" s="61" t="str">
        <f t="shared" si="60"/>
        <v/>
      </c>
      <c r="X144" s="61"/>
      <c r="Y144" s="61" t="str">
        <f t="shared" si="61"/>
        <v/>
      </c>
      <c r="Z144" s="61"/>
      <c r="AA144" s="61" t="str">
        <f t="shared" si="62"/>
        <v/>
      </c>
      <c r="AB144" s="61" t="str">
        <f t="shared" si="63"/>
        <v/>
      </c>
      <c r="AC144" s="61" t="str">
        <f t="shared" si="64"/>
        <v/>
      </c>
      <c r="AD144" s="61"/>
      <c r="AE144" s="61" t="str">
        <f t="shared" si="65"/>
        <v/>
      </c>
      <c r="AF144" s="61" t="str">
        <f t="shared" si="66"/>
        <v/>
      </c>
      <c r="AG144" s="61" t="str">
        <f t="shared" si="67"/>
        <v/>
      </c>
    </row>
    <row r="145" spans="1:33" x14ac:dyDescent="0.25">
      <c r="A145" s="40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57" t="str">
        <f t="shared" si="55"/>
        <v/>
      </c>
      <c r="O145" s="16" t="str">
        <f>IF(A145="","",IF(N145="",INDEX(_ゴミ箱_Backup!$B$89:$D$89,1,MATCH(言語切替!$B$3,_ゴミ箱_Backup!$B$1:$D$1,0)),IF(N145&gt;=1,INDEX(_ゴミ箱_Backup!$B$93:$D$93,1,MATCH(言語切替!$B$3,_ゴミ箱_Backup!$B$1:$D$1,0)),IF(N145&gt;=0.8,INDEX(_ゴミ箱_Backup!$B$91:$D$91,1,MATCH(言語切替!$B$3,_ゴミ箱_Backup!$B$1:$D$1,0)),INDEX(_ゴミ箱_Backup!$B$94:$D$94,1,MATCH(言語切替!$B$3,_ゴミ箱_Backup!$B$1:$D$1,0))))))</f>
        <v/>
      </c>
      <c r="P145" s="42"/>
      <c r="Q145" s="41"/>
      <c r="R145" s="43"/>
      <c r="S145" s="61" t="str">
        <f t="shared" si="56"/>
        <v/>
      </c>
      <c r="T145" s="61" t="str">
        <f t="shared" si="57"/>
        <v/>
      </c>
      <c r="U145" s="61" t="str">
        <f t="shared" si="58"/>
        <v/>
      </c>
      <c r="V145" s="61" t="str">
        <f t="shared" si="59"/>
        <v/>
      </c>
      <c r="W145" s="61" t="str">
        <f t="shared" si="60"/>
        <v/>
      </c>
      <c r="X145" s="61"/>
      <c r="Y145" s="61" t="str">
        <f t="shared" si="61"/>
        <v/>
      </c>
      <c r="Z145" s="61"/>
      <c r="AA145" s="61" t="str">
        <f t="shared" si="62"/>
        <v/>
      </c>
      <c r="AB145" s="61" t="str">
        <f t="shared" si="63"/>
        <v/>
      </c>
      <c r="AC145" s="61" t="str">
        <f t="shared" si="64"/>
        <v/>
      </c>
      <c r="AD145" s="61"/>
      <c r="AE145" s="61" t="str">
        <f t="shared" si="65"/>
        <v/>
      </c>
      <c r="AF145" s="61" t="str">
        <f t="shared" si="66"/>
        <v/>
      </c>
      <c r="AG145" s="61" t="str">
        <f t="shared" si="67"/>
        <v/>
      </c>
    </row>
    <row r="146" spans="1:33" x14ac:dyDescent="0.25">
      <c r="A146" s="36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56" t="str">
        <f t="shared" si="55"/>
        <v/>
      </c>
      <c r="O146" s="13" t="str">
        <f>IF(A146="","",IF(N146="",INDEX(_ゴミ箱_Backup!$B$89:$D$89,1,MATCH(言語切替!$B$3,_ゴミ箱_Backup!$B$1:$D$1,0)),IF(N146&gt;=1,INDEX(_ゴミ箱_Backup!$B$93:$D$93,1,MATCH(言語切替!$B$3,_ゴミ箱_Backup!$B$1:$D$1,0)),IF(N146&gt;=0.8,INDEX(_ゴミ箱_Backup!$B$91:$D$91,1,MATCH(言語切替!$B$3,_ゴミ箱_Backup!$B$1:$D$1,0)),INDEX(_ゴミ箱_Backup!$B$94:$D$94,1,MATCH(言語切替!$B$3,_ゴミ箱_Backup!$B$1:$D$1,0))))))</f>
        <v/>
      </c>
      <c r="P146" s="38"/>
      <c r="Q146" s="37"/>
      <c r="R146" s="39"/>
      <c r="S146" s="61" t="str">
        <f t="shared" si="56"/>
        <v/>
      </c>
      <c r="T146" s="61" t="str">
        <f t="shared" si="57"/>
        <v/>
      </c>
      <c r="U146" s="61" t="str">
        <f t="shared" si="58"/>
        <v/>
      </c>
      <c r="V146" s="61" t="str">
        <f t="shared" si="59"/>
        <v/>
      </c>
      <c r="W146" s="61" t="str">
        <f t="shared" si="60"/>
        <v/>
      </c>
      <c r="X146" s="61"/>
      <c r="Y146" s="61" t="str">
        <f t="shared" si="61"/>
        <v/>
      </c>
      <c r="Z146" s="61"/>
      <c r="AA146" s="61" t="str">
        <f t="shared" si="62"/>
        <v/>
      </c>
      <c r="AB146" s="61" t="str">
        <f t="shared" si="63"/>
        <v/>
      </c>
      <c r="AC146" s="61" t="str">
        <f t="shared" si="64"/>
        <v/>
      </c>
      <c r="AD146" s="61"/>
      <c r="AE146" s="61" t="str">
        <f t="shared" si="65"/>
        <v/>
      </c>
      <c r="AF146" s="61" t="str">
        <f t="shared" si="66"/>
        <v/>
      </c>
      <c r="AG146" s="61" t="str">
        <f t="shared" si="67"/>
        <v/>
      </c>
    </row>
    <row r="147" spans="1:33" x14ac:dyDescent="0.25">
      <c r="A147" s="40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57" t="str">
        <f t="shared" si="55"/>
        <v/>
      </c>
      <c r="O147" s="16" t="str">
        <f>IF(A147="","",IF(N147="",INDEX(_ゴミ箱_Backup!$B$89:$D$89,1,MATCH(言語切替!$B$3,_ゴミ箱_Backup!$B$1:$D$1,0)),IF(N147&gt;=1,INDEX(_ゴミ箱_Backup!$B$93:$D$93,1,MATCH(言語切替!$B$3,_ゴミ箱_Backup!$B$1:$D$1,0)),IF(N147&gt;=0.8,INDEX(_ゴミ箱_Backup!$B$91:$D$91,1,MATCH(言語切替!$B$3,_ゴミ箱_Backup!$B$1:$D$1,0)),INDEX(_ゴミ箱_Backup!$B$94:$D$94,1,MATCH(言語切替!$B$3,_ゴミ箱_Backup!$B$1:$D$1,0))))))</f>
        <v/>
      </c>
      <c r="P147" s="42"/>
      <c r="Q147" s="41"/>
      <c r="R147" s="43"/>
      <c r="S147" s="61" t="str">
        <f t="shared" si="56"/>
        <v/>
      </c>
      <c r="T147" s="61" t="str">
        <f t="shared" si="57"/>
        <v/>
      </c>
      <c r="U147" s="61" t="str">
        <f t="shared" si="58"/>
        <v/>
      </c>
      <c r="V147" s="61" t="str">
        <f t="shared" si="59"/>
        <v/>
      </c>
      <c r="W147" s="61" t="str">
        <f t="shared" si="60"/>
        <v/>
      </c>
      <c r="X147" s="61"/>
      <c r="Y147" s="61" t="str">
        <f t="shared" si="61"/>
        <v/>
      </c>
      <c r="Z147" s="61"/>
      <c r="AA147" s="61" t="str">
        <f t="shared" si="62"/>
        <v/>
      </c>
      <c r="AB147" s="61" t="str">
        <f t="shared" si="63"/>
        <v/>
      </c>
      <c r="AC147" s="61" t="str">
        <f t="shared" si="64"/>
        <v/>
      </c>
      <c r="AD147" s="61"/>
      <c r="AE147" s="61" t="str">
        <f t="shared" si="65"/>
        <v/>
      </c>
      <c r="AF147" s="61" t="str">
        <f t="shared" si="66"/>
        <v/>
      </c>
      <c r="AG147" s="61" t="str">
        <f t="shared" si="67"/>
        <v/>
      </c>
    </row>
    <row r="148" spans="1:33" x14ac:dyDescent="0.25">
      <c r="A148" s="36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56" t="str">
        <f t="shared" si="55"/>
        <v/>
      </c>
      <c r="O148" s="13" t="str">
        <f>IF(A148="","",IF(N148="",INDEX(_ゴミ箱_Backup!$B$89:$D$89,1,MATCH(言語切替!$B$3,_ゴミ箱_Backup!$B$1:$D$1,0)),IF(N148&gt;=1,INDEX(_ゴミ箱_Backup!$B$93:$D$93,1,MATCH(言語切替!$B$3,_ゴミ箱_Backup!$B$1:$D$1,0)),IF(N148&gt;=0.8,INDEX(_ゴミ箱_Backup!$B$91:$D$91,1,MATCH(言語切替!$B$3,_ゴミ箱_Backup!$B$1:$D$1,0)),INDEX(_ゴミ箱_Backup!$B$94:$D$94,1,MATCH(言語切替!$B$3,_ゴミ箱_Backup!$B$1:$D$1,0))))))</f>
        <v/>
      </c>
      <c r="P148" s="38"/>
      <c r="Q148" s="37"/>
      <c r="R148" s="39"/>
      <c r="S148" s="61" t="str">
        <f t="shared" si="56"/>
        <v/>
      </c>
      <c r="T148" s="61" t="str">
        <f t="shared" si="57"/>
        <v/>
      </c>
      <c r="U148" s="61" t="str">
        <f t="shared" si="58"/>
        <v/>
      </c>
      <c r="V148" s="61" t="str">
        <f t="shared" si="59"/>
        <v/>
      </c>
      <c r="W148" s="61" t="str">
        <f t="shared" si="60"/>
        <v/>
      </c>
      <c r="X148" s="61"/>
      <c r="Y148" s="61" t="str">
        <f t="shared" si="61"/>
        <v/>
      </c>
      <c r="Z148" s="61"/>
      <c r="AA148" s="61" t="str">
        <f t="shared" si="62"/>
        <v/>
      </c>
      <c r="AB148" s="61" t="str">
        <f t="shared" si="63"/>
        <v/>
      </c>
      <c r="AC148" s="61" t="str">
        <f t="shared" si="64"/>
        <v/>
      </c>
      <c r="AD148" s="61"/>
      <c r="AE148" s="61" t="str">
        <f t="shared" si="65"/>
        <v/>
      </c>
      <c r="AF148" s="61" t="str">
        <f t="shared" si="66"/>
        <v/>
      </c>
      <c r="AG148" s="61" t="str">
        <f t="shared" si="67"/>
        <v/>
      </c>
    </row>
    <row r="149" spans="1:33" x14ac:dyDescent="0.25">
      <c r="A149" s="40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57" t="str">
        <f t="shared" si="55"/>
        <v/>
      </c>
      <c r="O149" s="16" t="str">
        <f>IF(A149="","",IF(N149="",INDEX(_ゴミ箱_Backup!$B$89:$D$89,1,MATCH(言語切替!$B$3,_ゴミ箱_Backup!$B$1:$D$1,0)),IF(N149&gt;=1,INDEX(_ゴミ箱_Backup!$B$93:$D$93,1,MATCH(言語切替!$B$3,_ゴミ箱_Backup!$B$1:$D$1,0)),IF(N149&gt;=0.8,INDEX(_ゴミ箱_Backup!$B$91:$D$91,1,MATCH(言語切替!$B$3,_ゴミ箱_Backup!$B$1:$D$1,0)),INDEX(_ゴミ箱_Backup!$B$94:$D$94,1,MATCH(言語切替!$B$3,_ゴミ箱_Backup!$B$1:$D$1,0))))))</f>
        <v/>
      </c>
      <c r="P149" s="42"/>
      <c r="Q149" s="41"/>
      <c r="R149" s="43"/>
      <c r="S149" s="61" t="str">
        <f t="shared" si="56"/>
        <v/>
      </c>
      <c r="T149" s="61" t="str">
        <f t="shared" si="57"/>
        <v/>
      </c>
      <c r="U149" s="61" t="str">
        <f t="shared" si="58"/>
        <v/>
      </c>
      <c r="V149" s="61" t="str">
        <f t="shared" si="59"/>
        <v/>
      </c>
      <c r="W149" s="61" t="str">
        <f t="shared" si="60"/>
        <v/>
      </c>
      <c r="X149" s="61"/>
      <c r="Y149" s="61" t="str">
        <f t="shared" si="61"/>
        <v/>
      </c>
      <c r="Z149" s="61"/>
      <c r="AA149" s="61" t="str">
        <f t="shared" si="62"/>
        <v/>
      </c>
      <c r="AB149" s="61" t="str">
        <f t="shared" si="63"/>
        <v/>
      </c>
      <c r="AC149" s="61" t="str">
        <f t="shared" si="64"/>
        <v/>
      </c>
      <c r="AD149" s="61"/>
      <c r="AE149" s="61" t="str">
        <f t="shared" si="65"/>
        <v/>
      </c>
      <c r="AF149" s="61" t="str">
        <f t="shared" si="66"/>
        <v/>
      </c>
      <c r="AG149" s="61" t="str">
        <f t="shared" si="67"/>
        <v/>
      </c>
    </row>
    <row r="150" spans="1:33" x14ac:dyDescent="0.25">
      <c r="A150" s="36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56" t="str">
        <f t="shared" si="55"/>
        <v/>
      </c>
      <c r="O150" s="13" t="str">
        <f>IF(A150="","",IF(N150="",INDEX(_ゴミ箱_Backup!$B$89:$D$89,1,MATCH(言語切替!$B$3,_ゴミ箱_Backup!$B$1:$D$1,0)),IF(N150&gt;=1,INDEX(_ゴミ箱_Backup!$B$93:$D$93,1,MATCH(言語切替!$B$3,_ゴミ箱_Backup!$B$1:$D$1,0)),IF(N150&gt;=0.8,INDEX(_ゴミ箱_Backup!$B$91:$D$91,1,MATCH(言語切替!$B$3,_ゴミ箱_Backup!$B$1:$D$1,0)),INDEX(_ゴミ箱_Backup!$B$94:$D$94,1,MATCH(言語切替!$B$3,_ゴミ箱_Backup!$B$1:$D$1,0))))))</f>
        <v/>
      </c>
      <c r="P150" s="38"/>
      <c r="Q150" s="37"/>
      <c r="R150" s="39"/>
      <c r="S150" s="61" t="str">
        <f t="shared" si="56"/>
        <v/>
      </c>
      <c r="T150" s="61" t="str">
        <f t="shared" si="57"/>
        <v/>
      </c>
      <c r="U150" s="61" t="str">
        <f t="shared" si="58"/>
        <v/>
      </c>
      <c r="V150" s="61" t="str">
        <f t="shared" si="59"/>
        <v/>
      </c>
      <c r="W150" s="61" t="str">
        <f t="shared" si="60"/>
        <v/>
      </c>
      <c r="X150" s="61"/>
      <c r="Y150" s="61" t="str">
        <f t="shared" si="61"/>
        <v/>
      </c>
      <c r="Z150" s="61"/>
      <c r="AA150" s="61" t="str">
        <f t="shared" si="62"/>
        <v/>
      </c>
      <c r="AB150" s="61" t="str">
        <f t="shared" si="63"/>
        <v/>
      </c>
      <c r="AC150" s="61" t="str">
        <f t="shared" si="64"/>
        <v/>
      </c>
      <c r="AD150" s="61"/>
      <c r="AE150" s="61" t="str">
        <f t="shared" si="65"/>
        <v/>
      </c>
      <c r="AF150" s="61" t="str">
        <f t="shared" si="66"/>
        <v/>
      </c>
      <c r="AG150" s="61" t="str">
        <f t="shared" si="67"/>
        <v/>
      </c>
    </row>
    <row r="151" spans="1:33" x14ac:dyDescent="0.25">
      <c r="A151" s="40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57" t="str">
        <f t="shared" si="55"/>
        <v/>
      </c>
      <c r="O151" s="16" t="str">
        <f>IF(A151="","",IF(N151="",INDEX(_ゴミ箱_Backup!$B$89:$D$89,1,MATCH(言語切替!$B$3,_ゴミ箱_Backup!$B$1:$D$1,0)),IF(N151&gt;=1,INDEX(_ゴミ箱_Backup!$B$93:$D$93,1,MATCH(言語切替!$B$3,_ゴミ箱_Backup!$B$1:$D$1,0)),IF(N151&gt;=0.8,INDEX(_ゴミ箱_Backup!$B$91:$D$91,1,MATCH(言語切替!$B$3,_ゴミ箱_Backup!$B$1:$D$1,0)),INDEX(_ゴミ箱_Backup!$B$94:$D$94,1,MATCH(言語切替!$B$3,_ゴミ箱_Backup!$B$1:$D$1,0))))))</f>
        <v/>
      </c>
      <c r="P151" s="42"/>
      <c r="Q151" s="41"/>
      <c r="R151" s="43"/>
      <c r="S151" s="61" t="str">
        <f t="shared" si="56"/>
        <v/>
      </c>
      <c r="T151" s="61" t="str">
        <f t="shared" si="57"/>
        <v/>
      </c>
      <c r="U151" s="61" t="str">
        <f t="shared" si="58"/>
        <v/>
      </c>
      <c r="V151" s="61" t="str">
        <f t="shared" si="59"/>
        <v/>
      </c>
      <c r="W151" s="61" t="str">
        <f t="shared" si="60"/>
        <v/>
      </c>
      <c r="X151" s="61"/>
      <c r="Y151" s="61" t="str">
        <f t="shared" si="61"/>
        <v/>
      </c>
      <c r="Z151" s="61"/>
      <c r="AA151" s="61" t="str">
        <f t="shared" si="62"/>
        <v/>
      </c>
      <c r="AB151" s="61" t="str">
        <f t="shared" si="63"/>
        <v/>
      </c>
      <c r="AC151" s="61" t="str">
        <f t="shared" si="64"/>
        <v/>
      </c>
      <c r="AD151" s="61"/>
      <c r="AE151" s="61" t="str">
        <f t="shared" si="65"/>
        <v/>
      </c>
      <c r="AF151" s="61" t="str">
        <f t="shared" si="66"/>
        <v/>
      </c>
      <c r="AG151" s="61" t="str">
        <f t="shared" si="67"/>
        <v/>
      </c>
    </row>
    <row r="152" spans="1:33" x14ac:dyDescent="0.25">
      <c r="A152" s="36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56" t="str">
        <f t="shared" si="55"/>
        <v/>
      </c>
      <c r="O152" s="13" t="str">
        <f>IF(A152="","",IF(N152="",INDEX(_ゴミ箱_Backup!$B$89:$D$89,1,MATCH(言語切替!$B$3,_ゴミ箱_Backup!$B$1:$D$1,0)),IF(N152&gt;=1,INDEX(_ゴミ箱_Backup!$B$93:$D$93,1,MATCH(言語切替!$B$3,_ゴミ箱_Backup!$B$1:$D$1,0)),IF(N152&gt;=0.8,INDEX(_ゴミ箱_Backup!$B$91:$D$91,1,MATCH(言語切替!$B$3,_ゴミ箱_Backup!$B$1:$D$1,0)),INDEX(_ゴミ箱_Backup!$B$94:$D$94,1,MATCH(言語切替!$B$3,_ゴミ箱_Backup!$B$1:$D$1,0))))))</f>
        <v/>
      </c>
      <c r="P152" s="38"/>
      <c r="Q152" s="37"/>
      <c r="R152" s="39"/>
      <c r="S152" s="61" t="str">
        <f t="shared" si="56"/>
        <v/>
      </c>
      <c r="T152" s="61" t="str">
        <f t="shared" si="57"/>
        <v/>
      </c>
      <c r="U152" s="61" t="str">
        <f t="shared" si="58"/>
        <v/>
      </c>
      <c r="V152" s="61" t="str">
        <f t="shared" si="59"/>
        <v/>
      </c>
      <c r="W152" s="61" t="str">
        <f t="shared" si="60"/>
        <v/>
      </c>
      <c r="X152" s="61"/>
      <c r="Y152" s="61" t="str">
        <f t="shared" si="61"/>
        <v/>
      </c>
      <c r="Z152" s="61"/>
      <c r="AA152" s="61" t="str">
        <f t="shared" si="62"/>
        <v/>
      </c>
      <c r="AB152" s="61" t="str">
        <f t="shared" si="63"/>
        <v/>
      </c>
      <c r="AC152" s="61" t="str">
        <f t="shared" si="64"/>
        <v/>
      </c>
      <c r="AD152" s="61"/>
      <c r="AE152" s="61" t="str">
        <f t="shared" si="65"/>
        <v/>
      </c>
      <c r="AF152" s="61" t="str">
        <f t="shared" si="66"/>
        <v/>
      </c>
      <c r="AG152" s="61" t="str">
        <f t="shared" si="67"/>
        <v/>
      </c>
    </row>
    <row r="153" spans="1:33" x14ac:dyDescent="0.25">
      <c r="A153" s="40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57" t="str">
        <f t="shared" si="55"/>
        <v/>
      </c>
      <c r="O153" s="16" t="str">
        <f>IF(A153="","",IF(N153="",INDEX(_ゴミ箱_Backup!$B$89:$D$89,1,MATCH(言語切替!$B$3,_ゴミ箱_Backup!$B$1:$D$1,0)),IF(N153&gt;=1,INDEX(_ゴミ箱_Backup!$B$93:$D$93,1,MATCH(言語切替!$B$3,_ゴミ箱_Backup!$B$1:$D$1,0)),IF(N153&gt;=0.8,INDEX(_ゴミ箱_Backup!$B$91:$D$91,1,MATCH(言語切替!$B$3,_ゴミ箱_Backup!$B$1:$D$1,0)),INDEX(_ゴミ箱_Backup!$B$94:$D$94,1,MATCH(言語切替!$B$3,_ゴミ箱_Backup!$B$1:$D$1,0))))))</f>
        <v/>
      </c>
      <c r="P153" s="42"/>
      <c r="Q153" s="41"/>
      <c r="R153" s="43"/>
      <c r="S153" s="61" t="str">
        <f t="shared" si="56"/>
        <v/>
      </c>
      <c r="T153" s="61" t="str">
        <f t="shared" si="57"/>
        <v/>
      </c>
      <c r="U153" s="61" t="str">
        <f t="shared" si="58"/>
        <v/>
      </c>
      <c r="V153" s="61" t="str">
        <f t="shared" si="59"/>
        <v/>
      </c>
      <c r="W153" s="61" t="str">
        <f t="shared" si="60"/>
        <v/>
      </c>
      <c r="X153" s="61"/>
      <c r="Y153" s="61" t="str">
        <f t="shared" si="61"/>
        <v/>
      </c>
      <c r="Z153" s="61"/>
      <c r="AA153" s="61" t="str">
        <f t="shared" si="62"/>
        <v/>
      </c>
      <c r="AB153" s="61" t="str">
        <f t="shared" si="63"/>
        <v/>
      </c>
      <c r="AC153" s="61" t="str">
        <f t="shared" si="64"/>
        <v/>
      </c>
      <c r="AD153" s="61"/>
      <c r="AE153" s="61" t="str">
        <f t="shared" si="65"/>
        <v/>
      </c>
      <c r="AF153" s="61" t="str">
        <f t="shared" si="66"/>
        <v/>
      </c>
      <c r="AG153" s="61" t="str">
        <f t="shared" si="67"/>
        <v/>
      </c>
    </row>
    <row r="154" spans="1:33" x14ac:dyDescent="0.25">
      <c r="A154" s="36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56" t="str">
        <f t="shared" si="55"/>
        <v/>
      </c>
      <c r="O154" s="13" t="str">
        <f>IF(A154="","",IF(N154="",INDEX(_ゴミ箱_Backup!$B$89:$D$89,1,MATCH(言語切替!$B$3,_ゴミ箱_Backup!$B$1:$D$1,0)),IF(N154&gt;=1,INDEX(_ゴミ箱_Backup!$B$93:$D$93,1,MATCH(言語切替!$B$3,_ゴミ箱_Backup!$B$1:$D$1,0)),IF(N154&gt;=0.8,INDEX(_ゴミ箱_Backup!$B$91:$D$91,1,MATCH(言語切替!$B$3,_ゴミ箱_Backup!$B$1:$D$1,0)),INDEX(_ゴミ箱_Backup!$B$94:$D$94,1,MATCH(言語切替!$B$3,_ゴミ箱_Backup!$B$1:$D$1,0))))))</f>
        <v/>
      </c>
      <c r="P154" s="38"/>
      <c r="Q154" s="37"/>
      <c r="R154" s="39"/>
      <c r="S154" s="61" t="str">
        <f t="shared" si="56"/>
        <v/>
      </c>
      <c r="T154" s="61" t="str">
        <f t="shared" si="57"/>
        <v/>
      </c>
      <c r="U154" s="61" t="str">
        <f t="shared" si="58"/>
        <v/>
      </c>
      <c r="V154" s="61" t="str">
        <f t="shared" si="59"/>
        <v/>
      </c>
      <c r="W154" s="61" t="str">
        <f t="shared" si="60"/>
        <v/>
      </c>
      <c r="X154" s="61"/>
      <c r="Y154" s="61" t="str">
        <f t="shared" si="61"/>
        <v/>
      </c>
      <c r="Z154" s="61"/>
      <c r="AA154" s="61" t="str">
        <f t="shared" si="62"/>
        <v/>
      </c>
      <c r="AB154" s="61" t="str">
        <f t="shared" si="63"/>
        <v/>
      </c>
      <c r="AC154" s="61" t="str">
        <f t="shared" si="64"/>
        <v/>
      </c>
      <c r="AD154" s="61"/>
      <c r="AE154" s="61" t="str">
        <f t="shared" si="65"/>
        <v/>
      </c>
      <c r="AF154" s="61" t="str">
        <f t="shared" si="66"/>
        <v/>
      </c>
      <c r="AG154" s="61" t="str">
        <f t="shared" si="67"/>
        <v/>
      </c>
    </row>
    <row r="155" spans="1:33" x14ac:dyDescent="0.25">
      <c r="A155" s="40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57" t="str">
        <f t="shared" si="55"/>
        <v/>
      </c>
      <c r="O155" s="16" t="str">
        <f>IF(A155="","",IF(N155="",INDEX(_ゴミ箱_Backup!$B$89:$D$89,1,MATCH(言語切替!$B$3,_ゴミ箱_Backup!$B$1:$D$1,0)),IF(N155&gt;=1,INDEX(_ゴミ箱_Backup!$B$93:$D$93,1,MATCH(言語切替!$B$3,_ゴミ箱_Backup!$B$1:$D$1,0)),IF(N155&gt;=0.8,INDEX(_ゴミ箱_Backup!$B$91:$D$91,1,MATCH(言語切替!$B$3,_ゴミ箱_Backup!$B$1:$D$1,0)),INDEX(_ゴミ箱_Backup!$B$94:$D$94,1,MATCH(言語切替!$B$3,_ゴミ箱_Backup!$B$1:$D$1,0))))))</f>
        <v/>
      </c>
      <c r="P155" s="42"/>
      <c r="Q155" s="41"/>
      <c r="R155" s="43"/>
      <c r="S155" s="61" t="str">
        <f t="shared" si="56"/>
        <v/>
      </c>
      <c r="T155" s="61" t="str">
        <f t="shared" si="57"/>
        <v/>
      </c>
      <c r="U155" s="61" t="str">
        <f t="shared" si="58"/>
        <v/>
      </c>
      <c r="V155" s="61" t="str">
        <f t="shared" si="59"/>
        <v/>
      </c>
      <c r="W155" s="61" t="str">
        <f t="shared" si="60"/>
        <v/>
      </c>
      <c r="X155" s="61"/>
      <c r="Y155" s="61" t="str">
        <f t="shared" si="61"/>
        <v/>
      </c>
      <c r="Z155" s="61"/>
      <c r="AA155" s="61" t="str">
        <f t="shared" si="62"/>
        <v/>
      </c>
      <c r="AB155" s="61" t="str">
        <f t="shared" si="63"/>
        <v/>
      </c>
      <c r="AC155" s="61" t="str">
        <f t="shared" si="64"/>
        <v/>
      </c>
      <c r="AD155" s="61"/>
      <c r="AE155" s="61" t="str">
        <f t="shared" si="65"/>
        <v/>
      </c>
      <c r="AF155" s="61" t="str">
        <f t="shared" si="66"/>
        <v/>
      </c>
      <c r="AG155" s="61" t="str">
        <f t="shared" si="67"/>
        <v/>
      </c>
    </row>
    <row r="156" spans="1:33" x14ac:dyDescent="0.25">
      <c r="A156" s="36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56" t="str">
        <f t="shared" si="55"/>
        <v/>
      </c>
      <c r="O156" s="13" t="str">
        <f>IF(A156="","",IF(N156="",INDEX(_ゴミ箱_Backup!$B$89:$D$89,1,MATCH(言語切替!$B$3,_ゴミ箱_Backup!$B$1:$D$1,0)),IF(N156&gt;=1,INDEX(_ゴミ箱_Backup!$B$93:$D$93,1,MATCH(言語切替!$B$3,_ゴミ箱_Backup!$B$1:$D$1,0)),IF(N156&gt;=0.8,INDEX(_ゴミ箱_Backup!$B$91:$D$91,1,MATCH(言語切替!$B$3,_ゴミ箱_Backup!$B$1:$D$1,0)),INDEX(_ゴミ箱_Backup!$B$94:$D$94,1,MATCH(言語切替!$B$3,_ゴミ箱_Backup!$B$1:$D$1,0))))))</f>
        <v/>
      </c>
      <c r="P156" s="38"/>
      <c r="Q156" s="37"/>
      <c r="R156" s="39"/>
      <c r="S156" s="61" t="str">
        <f t="shared" si="56"/>
        <v/>
      </c>
      <c r="T156" s="61" t="str">
        <f t="shared" si="57"/>
        <v/>
      </c>
      <c r="U156" s="61" t="str">
        <f t="shared" si="58"/>
        <v/>
      </c>
      <c r="V156" s="61" t="str">
        <f t="shared" si="59"/>
        <v/>
      </c>
      <c r="W156" s="61" t="str">
        <f t="shared" si="60"/>
        <v/>
      </c>
      <c r="X156" s="61"/>
      <c r="Y156" s="61" t="str">
        <f t="shared" si="61"/>
        <v/>
      </c>
      <c r="Z156" s="61"/>
      <c r="AA156" s="61" t="str">
        <f t="shared" si="62"/>
        <v/>
      </c>
      <c r="AB156" s="61" t="str">
        <f t="shared" si="63"/>
        <v/>
      </c>
      <c r="AC156" s="61" t="str">
        <f t="shared" si="64"/>
        <v/>
      </c>
      <c r="AD156" s="61"/>
      <c r="AE156" s="61" t="str">
        <f t="shared" si="65"/>
        <v/>
      </c>
      <c r="AF156" s="61" t="str">
        <f t="shared" si="66"/>
        <v/>
      </c>
      <c r="AG156" s="61" t="str">
        <f t="shared" si="67"/>
        <v/>
      </c>
    </row>
    <row r="157" spans="1:33" x14ac:dyDescent="0.25">
      <c r="A157" s="40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57" t="str">
        <f t="shared" si="55"/>
        <v/>
      </c>
      <c r="O157" s="16" t="str">
        <f>IF(A157="","",IF(N157="",INDEX(_ゴミ箱_Backup!$B$89:$D$89,1,MATCH(言語切替!$B$3,_ゴミ箱_Backup!$B$1:$D$1,0)),IF(N157&gt;=1,INDEX(_ゴミ箱_Backup!$B$93:$D$93,1,MATCH(言語切替!$B$3,_ゴミ箱_Backup!$B$1:$D$1,0)),IF(N157&gt;=0.8,INDEX(_ゴミ箱_Backup!$B$91:$D$91,1,MATCH(言語切替!$B$3,_ゴミ箱_Backup!$B$1:$D$1,0)),INDEX(_ゴミ箱_Backup!$B$94:$D$94,1,MATCH(言語切替!$B$3,_ゴミ箱_Backup!$B$1:$D$1,0))))))</f>
        <v/>
      </c>
      <c r="P157" s="42"/>
      <c r="Q157" s="41"/>
      <c r="R157" s="43"/>
      <c r="S157" s="61" t="str">
        <f t="shared" si="56"/>
        <v/>
      </c>
      <c r="T157" s="61" t="str">
        <f t="shared" si="57"/>
        <v/>
      </c>
      <c r="U157" s="61" t="str">
        <f t="shared" si="58"/>
        <v/>
      </c>
      <c r="V157" s="61" t="str">
        <f t="shared" si="59"/>
        <v/>
      </c>
      <c r="W157" s="61" t="str">
        <f t="shared" si="60"/>
        <v/>
      </c>
      <c r="X157" s="61"/>
      <c r="Y157" s="61" t="str">
        <f t="shared" si="61"/>
        <v/>
      </c>
      <c r="Z157" s="61"/>
      <c r="AA157" s="61" t="str">
        <f t="shared" si="62"/>
        <v/>
      </c>
      <c r="AB157" s="61" t="str">
        <f t="shared" si="63"/>
        <v/>
      </c>
      <c r="AC157" s="61" t="str">
        <f t="shared" si="64"/>
        <v/>
      </c>
      <c r="AD157" s="61"/>
      <c r="AE157" s="61" t="str">
        <f t="shared" si="65"/>
        <v/>
      </c>
      <c r="AF157" s="61" t="str">
        <f t="shared" si="66"/>
        <v/>
      </c>
      <c r="AG157" s="61" t="str">
        <f t="shared" si="67"/>
        <v/>
      </c>
    </row>
    <row r="158" spans="1:33" x14ac:dyDescent="0.25">
      <c r="A158" s="36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56" t="str">
        <f t="shared" si="55"/>
        <v/>
      </c>
      <c r="O158" s="13" t="str">
        <f>IF(A158="","",IF(N158="",INDEX(_ゴミ箱_Backup!$B$89:$D$89,1,MATCH(言語切替!$B$3,_ゴミ箱_Backup!$B$1:$D$1,0)),IF(N158&gt;=1,INDEX(_ゴミ箱_Backup!$B$93:$D$93,1,MATCH(言語切替!$B$3,_ゴミ箱_Backup!$B$1:$D$1,0)),IF(N158&gt;=0.8,INDEX(_ゴミ箱_Backup!$B$91:$D$91,1,MATCH(言語切替!$B$3,_ゴミ箱_Backup!$B$1:$D$1,0)),INDEX(_ゴミ箱_Backup!$B$94:$D$94,1,MATCH(言語切替!$B$3,_ゴミ箱_Backup!$B$1:$D$1,0))))))</f>
        <v/>
      </c>
      <c r="P158" s="38"/>
      <c r="Q158" s="37"/>
      <c r="R158" s="39"/>
      <c r="S158" s="61" t="str">
        <f t="shared" si="56"/>
        <v/>
      </c>
      <c r="T158" s="61" t="str">
        <f t="shared" si="57"/>
        <v/>
      </c>
      <c r="U158" s="61" t="str">
        <f t="shared" si="58"/>
        <v/>
      </c>
      <c r="V158" s="61" t="str">
        <f t="shared" si="59"/>
        <v/>
      </c>
      <c r="W158" s="61" t="str">
        <f t="shared" si="60"/>
        <v/>
      </c>
      <c r="X158" s="61"/>
      <c r="Y158" s="61" t="str">
        <f t="shared" si="61"/>
        <v/>
      </c>
      <c r="Z158" s="61"/>
      <c r="AA158" s="61" t="str">
        <f t="shared" si="62"/>
        <v/>
      </c>
      <c r="AB158" s="61" t="str">
        <f t="shared" si="63"/>
        <v/>
      </c>
      <c r="AC158" s="61" t="str">
        <f t="shared" si="64"/>
        <v/>
      </c>
      <c r="AD158" s="61"/>
      <c r="AE158" s="61" t="str">
        <f t="shared" si="65"/>
        <v/>
      </c>
      <c r="AF158" s="61" t="str">
        <f t="shared" si="66"/>
        <v/>
      </c>
      <c r="AG158" s="61" t="str">
        <f t="shared" si="67"/>
        <v/>
      </c>
    </row>
    <row r="159" spans="1:33" x14ac:dyDescent="0.25">
      <c r="A159" s="40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57" t="str">
        <f t="shared" si="55"/>
        <v/>
      </c>
      <c r="O159" s="16" t="str">
        <f>IF(A159="","",IF(N159="",INDEX(_ゴミ箱_Backup!$B$89:$D$89,1,MATCH(言語切替!$B$3,_ゴミ箱_Backup!$B$1:$D$1,0)),IF(N159&gt;=1,INDEX(_ゴミ箱_Backup!$B$93:$D$93,1,MATCH(言語切替!$B$3,_ゴミ箱_Backup!$B$1:$D$1,0)),IF(N159&gt;=0.8,INDEX(_ゴミ箱_Backup!$B$91:$D$91,1,MATCH(言語切替!$B$3,_ゴミ箱_Backup!$B$1:$D$1,0)),INDEX(_ゴミ箱_Backup!$B$94:$D$94,1,MATCH(言語切替!$B$3,_ゴミ箱_Backup!$B$1:$D$1,0))))))</f>
        <v/>
      </c>
      <c r="P159" s="42"/>
      <c r="Q159" s="41"/>
      <c r="R159" s="43"/>
      <c r="S159" s="61" t="str">
        <f t="shared" si="56"/>
        <v/>
      </c>
      <c r="T159" s="61" t="str">
        <f t="shared" si="57"/>
        <v/>
      </c>
      <c r="U159" s="61" t="str">
        <f t="shared" si="58"/>
        <v/>
      </c>
      <c r="V159" s="61" t="str">
        <f t="shared" si="59"/>
        <v/>
      </c>
      <c r="W159" s="61" t="str">
        <f t="shared" si="60"/>
        <v/>
      </c>
      <c r="X159" s="61"/>
      <c r="Y159" s="61" t="str">
        <f t="shared" si="61"/>
        <v/>
      </c>
      <c r="Z159" s="61"/>
      <c r="AA159" s="61" t="str">
        <f t="shared" si="62"/>
        <v/>
      </c>
      <c r="AB159" s="61" t="str">
        <f t="shared" si="63"/>
        <v/>
      </c>
      <c r="AC159" s="61" t="str">
        <f t="shared" si="64"/>
        <v/>
      </c>
      <c r="AD159" s="61"/>
      <c r="AE159" s="61" t="str">
        <f t="shared" si="65"/>
        <v/>
      </c>
      <c r="AF159" s="61" t="str">
        <f t="shared" si="66"/>
        <v/>
      </c>
      <c r="AG159" s="61" t="str">
        <f t="shared" si="67"/>
        <v/>
      </c>
    </row>
    <row r="160" spans="1:33" x14ac:dyDescent="0.25">
      <c r="A160" s="36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56" t="str">
        <f t="shared" si="55"/>
        <v/>
      </c>
      <c r="O160" s="13" t="str">
        <f>IF(A160="","",IF(N160="",INDEX(_ゴミ箱_Backup!$B$89:$D$89,1,MATCH(言語切替!$B$3,_ゴミ箱_Backup!$B$1:$D$1,0)),IF(N160&gt;=1,INDEX(_ゴミ箱_Backup!$B$93:$D$93,1,MATCH(言語切替!$B$3,_ゴミ箱_Backup!$B$1:$D$1,0)),IF(N160&gt;=0.8,INDEX(_ゴミ箱_Backup!$B$91:$D$91,1,MATCH(言語切替!$B$3,_ゴミ箱_Backup!$B$1:$D$1,0)),INDEX(_ゴミ箱_Backup!$B$94:$D$94,1,MATCH(言語切替!$B$3,_ゴミ箱_Backup!$B$1:$D$1,0))))))</f>
        <v/>
      </c>
      <c r="P160" s="38"/>
      <c r="Q160" s="37"/>
      <c r="R160" s="39"/>
      <c r="S160" s="61" t="str">
        <f t="shared" si="56"/>
        <v/>
      </c>
      <c r="T160" s="61" t="str">
        <f t="shared" si="57"/>
        <v/>
      </c>
      <c r="U160" s="61" t="str">
        <f t="shared" si="58"/>
        <v/>
      </c>
      <c r="V160" s="61" t="str">
        <f t="shared" si="59"/>
        <v/>
      </c>
      <c r="W160" s="61" t="str">
        <f t="shared" si="60"/>
        <v/>
      </c>
      <c r="X160" s="61"/>
      <c r="Y160" s="61" t="str">
        <f t="shared" si="61"/>
        <v/>
      </c>
      <c r="Z160" s="61"/>
      <c r="AA160" s="61" t="str">
        <f t="shared" si="62"/>
        <v/>
      </c>
      <c r="AB160" s="61" t="str">
        <f t="shared" si="63"/>
        <v/>
      </c>
      <c r="AC160" s="61" t="str">
        <f t="shared" si="64"/>
        <v/>
      </c>
      <c r="AD160" s="61"/>
      <c r="AE160" s="61" t="str">
        <f t="shared" si="65"/>
        <v/>
      </c>
      <c r="AF160" s="61" t="str">
        <f t="shared" si="66"/>
        <v/>
      </c>
      <c r="AG160" s="61" t="str">
        <f t="shared" si="67"/>
        <v/>
      </c>
    </row>
    <row r="161" spans="1:33" x14ac:dyDescent="0.25">
      <c r="A161" s="40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57" t="str">
        <f t="shared" si="55"/>
        <v/>
      </c>
      <c r="O161" s="16" t="str">
        <f>IF(A161="","",IF(N161="",INDEX(_ゴミ箱_Backup!$B$89:$D$89,1,MATCH(言語切替!$B$3,_ゴミ箱_Backup!$B$1:$D$1,0)),IF(N161&gt;=1,INDEX(_ゴミ箱_Backup!$B$93:$D$93,1,MATCH(言語切替!$B$3,_ゴミ箱_Backup!$B$1:$D$1,0)),IF(N161&gt;=0.8,INDEX(_ゴミ箱_Backup!$B$91:$D$91,1,MATCH(言語切替!$B$3,_ゴミ箱_Backup!$B$1:$D$1,0)),INDEX(_ゴミ箱_Backup!$B$94:$D$94,1,MATCH(言語切替!$B$3,_ゴミ箱_Backup!$B$1:$D$1,0))))))</f>
        <v/>
      </c>
      <c r="P161" s="42"/>
      <c r="Q161" s="41"/>
      <c r="R161" s="43"/>
      <c r="S161" s="61" t="str">
        <f t="shared" si="56"/>
        <v/>
      </c>
      <c r="T161" s="61" t="str">
        <f t="shared" si="57"/>
        <v/>
      </c>
      <c r="U161" s="61" t="str">
        <f t="shared" si="58"/>
        <v/>
      </c>
      <c r="V161" s="61" t="str">
        <f t="shared" si="59"/>
        <v/>
      </c>
      <c r="W161" s="61" t="str">
        <f t="shared" si="60"/>
        <v/>
      </c>
      <c r="X161" s="61"/>
      <c r="Y161" s="61" t="str">
        <f t="shared" si="61"/>
        <v/>
      </c>
      <c r="Z161" s="61"/>
      <c r="AA161" s="61" t="str">
        <f t="shared" si="62"/>
        <v/>
      </c>
      <c r="AB161" s="61" t="str">
        <f t="shared" si="63"/>
        <v/>
      </c>
      <c r="AC161" s="61" t="str">
        <f t="shared" si="64"/>
        <v/>
      </c>
      <c r="AD161" s="61"/>
      <c r="AE161" s="61" t="str">
        <f t="shared" si="65"/>
        <v/>
      </c>
      <c r="AF161" s="61" t="str">
        <f t="shared" si="66"/>
        <v/>
      </c>
      <c r="AG161" s="61" t="str">
        <f t="shared" si="67"/>
        <v/>
      </c>
    </row>
    <row r="162" spans="1:33" x14ac:dyDescent="0.25">
      <c r="A162" s="36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56" t="str">
        <f t="shared" si="55"/>
        <v/>
      </c>
      <c r="O162" s="13" t="str">
        <f>IF(A162="","",IF(N162="",INDEX(_ゴミ箱_Backup!$B$89:$D$89,1,MATCH(言語切替!$B$3,_ゴミ箱_Backup!$B$1:$D$1,0)),IF(N162&gt;=1,INDEX(_ゴミ箱_Backup!$B$93:$D$93,1,MATCH(言語切替!$B$3,_ゴミ箱_Backup!$B$1:$D$1,0)),IF(N162&gt;=0.8,INDEX(_ゴミ箱_Backup!$B$91:$D$91,1,MATCH(言語切替!$B$3,_ゴミ箱_Backup!$B$1:$D$1,0)),INDEX(_ゴミ箱_Backup!$B$94:$D$94,1,MATCH(言語切替!$B$3,_ゴミ箱_Backup!$B$1:$D$1,0))))))</f>
        <v/>
      </c>
      <c r="P162" s="38"/>
      <c r="Q162" s="37"/>
      <c r="R162" s="39"/>
      <c r="S162" s="61" t="str">
        <f t="shared" si="56"/>
        <v/>
      </c>
      <c r="T162" s="61" t="str">
        <f t="shared" si="57"/>
        <v/>
      </c>
      <c r="U162" s="61" t="str">
        <f t="shared" si="58"/>
        <v/>
      </c>
      <c r="V162" s="61" t="str">
        <f t="shared" si="59"/>
        <v/>
      </c>
      <c r="W162" s="61" t="str">
        <f t="shared" si="60"/>
        <v/>
      </c>
      <c r="X162" s="61"/>
      <c r="Y162" s="61" t="str">
        <f t="shared" si="61"/>
        <v/>
      </c>
      <c r="Z162" s="61"/>
      <c r="AA162" s="61" t="str">
        <f t="shared" si="62"/>
        <v/>
      </c>
      <c r="AB162" s="61" t="str">
        <f t="shared" si="63"/>
        <v/>
      </c>
      <c r="AC162" s="61" t="str">
        <f t="shared" si="64"/>
        <v/>
      </c>
      <c r="AD162" s="61"/>
      <c r="AE162" s="61" t="str">
        <f t="shared" si="65"/>
        <v/>
      </c>
      <c r="AF162" s="61" t="str">
        <f t="shared" si="66"/>
        <v/>
      </c>
      <c r="AG162" s="61" t="str">
        <f t="shared" si="67"/>
        <v/>
      </c>
    </row>
    <row r="163" spans="1:33" x14ac:dyDescent="0.25">
      <c r="A163" s="40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57" t="str">
        <f t="shared" si="55"/>
        <v/>
      </c>
      <c r="O163" s="16" t="str">
        <f>IF(A163="","",IF(N163="",INDEX(_ゴミ箱_Backup!$B$89:$D$89,1,MATCH(言語切替!$B$3,_ゴミ箱_Backup!$B$1:$D$1,0)),IF(N163&gt;=1,INDEX(_ゴミ箱_Backup!$B$93:$D$93,1,MATCH(言語切替!$B$3,_ゴミ箱_Backup!$B$1:$D$1,0)),IF(N163&gt;=0.8,INDEX(_ゴミ箱_Backup!$B$91:$D$91,1,MATCH(言語切替!$B$3,_ゴミ箱_Backup!$B$1:$D$1,0)),INDEX(_ゴミ箱_Backup!$B$94:$D$94,1,MATCH(言語切替!$B$3,_ゴミ箱_Backup!$B$1:$D$1,0))))))</f>
        <v/>
      </c>
      <c r="P163" s="42"/>
      <c r="Q163" s="41"/>
      <c r="R163" s="43"/>
      <c r="S163" s="61" t="str">
        <f t="shared" si="56"/>
        <v/>
      </c>
      <c r="T163" s="61" t="str">
        <f t="shared" si="57"/>
        <v/>
      </c>
      <c r="U163" s="61" t="str">
        <f t="shared" si="58"/>
        <v/>
      </c>
      <c r="V163" s="61" t="str">
        <f t="shared" si="59"/>
        <v/>
      </c>
      <c r="W163" s="61" t="str">
        <f t="shared" si="60"/>
        <v/>
      </c>
      <c r="X163" s="61"/>
      <c r="Y163" s="61" t="str">
        <f t="shared" si="61"/>
        <v/>
      </c>
      <c r="Z163" s="61"/>
      <c r="AA163" s="61" t="str">
        <f t="shared" si="62"/>
        <v/>
      </c>
      <c r="AB163" s="61" t="str">
        <f t="shared" si="63"/>
        <v/>
      </c>
      <c r="AC163" s="61" t="str">
        <f t="shared" si="64"/>
        <v/>
      </c>
      <c r="AD163" s="61"/>
      <c r="AE163" s="61" t="str">
        <f t="shared" si="65"/>
        <v/>
      </c>
      <c r="AF163" s="61" t="str">
        <f t="shared" si="66"/>
        <v/>
      </c>
      <c r="AG163" s="61" t="str">
        <f t="shared" si="67"/>
        <v/>
      </c>
    </row>
    <row r="164" spans="1:33" x14ac:dyDescent="0.25">
      <c r="A164" s="36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56" t="str">
        <f t="shared" si="55"/>
        <v/>
      </c>
      <c r="O164" s="13" t="str">
        <f>IF(A164="","",IF(N164="",INDEX(_ゴミ箱_Backup!$B$89:$D$89,1,MATCH(言語切替!$B$3,_ゴミ箱_Backup!$B$1:$D$1,0)),IF(N164&gt;=1,INDEX(_ゴミ箱_Backup!$B$93:$D$93,1,MATCH(言語切替!$B$3,_ゴミ箱_Backup!$B$1:$D$1,0)),IF(N164&gt;=0.8,INDEX(_ゴミ箱_Backup!$B$91:$D$91,1,MATCH(言語切替!$B$3,_ゴミ箱_Backup!$B$1:$D$1,0)),INDEX(_ゴミ箱_Backup!$B$94:$D$94,1,MATCH(言語切替!$B$3,_ゴミ箱_Backup!$B$1:$D$1,0))))))</f>
        <v/>
      </c>
      <c r="P164" s="38"/>
      <c r="Q164" s="37"/>
      <c r="R164" s="39"/>
      <c r="S164" s="61" t="str">
        <f t="shared" si="56"/>
        <v/>
      </c>
      <c r="T164" s="61" t="str">
        <f t="shared" si="57"/>
        <v/>
      </c>
      <c r="U164" s="61" t="str">
        <f t="shared" si="58"/>
        <v/>
      </c>
      <c r="V164" s="61" t="str">
        <f t="shared" si="59"/>
        <v/>
      </c>
      <c r="W164" s="61" t="str">
        <f t="shared" si="60"/>
        <v/>
      </c>
      <c r="X164" s="61"/>
      <c r="Y164" s="61" t="str">
        <f t="shared" si="61"/>
        <v/>
      </c>
      <c r="Z164" s="61"/>
      <c r="AA164" s="61" t="str">
        <f t="shared" si="62"/>
        <v/>
      </c>
      <c r="AB164" s="61" t="str">
        <f t="shared" si="63"/>
        <v/>
      </c>
      <c r="AC164" s="61" t="str">
        <f t="shared" si="64"/>
        <v/>
      </c>
      <c r="AD164" s="61"/>
      <c r="AE164" s="61" t="str">
        <f t="shared" si="65"/>
        <v/>
      </c>
      <c r="AF164" s="61" t="str">
        <f t="shared" si="66"/>
        <v/>
      </c>
      <c r="AG164" s="61" t="str">
        <f t="shared" si="67"/>
        <v/>
      </c>
    </row>
    <row r="165" spans="1:33" x14ac:dyDescent="0.25">
      <c r="A165" s="40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57" t="str">
        <f t="shared" ref="N165:N196" si="68">IF(OR(L165="",M165=""),"",IF(L165=0,"",M165/L165))</f>
        <v/>
      </c>
      <c r="O165" s="16" t="str">
        <f>IF(A165="","",IF(N165="",INDEX(_ゴミ箱_Backup!$B$89:$D$89,1,MATCH(言語切替!$B$3,_ゴミ箱_Backup!$B$1:$D$1,0)),IF(N165&gt;=1,INDEX(_ゴミ箱_Backup!$B$93:$D$93,1,MATCH(言語切替!$B$3,_ゴミ箱_Backup!$B$1:$D$1,0)),IF(N165&gt;=0.8,INDEX(_ゴミ箱_Backup!$B$91:$D$91,1,MATCH(言語切替!$B$3,_ゴミ箱_Backup!$B$1:$D$1,0)),INDEX(_ゴミ箱_Backup!$B$94:$D$94,1,MATCH(言語切替!$B$3,_ゴミ箱_Backup!$B$1:$D$1,0))))))</f>
        <v/>
      </c>
      <c r="P165" s="42"/>
      <c r="Q165" s="41"/>
      <c r="R165" s="43"/>
      <c r="S165" s="61" t="str">
        <f t="shared" ref="S165:S196" si="69">IF(D165="","",IFERROR(_xlfn.TRANSLATE(D165,,"ja"),""))</f>
        <v/>
      </c>
      <c r="T165" s="61" t="str">
        <f t="shared" ref="T165:T196" si="70">IF(D165="","",IFERROR(_xlfn.TRANSLATE(D165,,"zh-Hans"),""))</f>
        <v/>
      </c>
      <c r="U165" s="61" t="str">
        <f t="shared" ref="U165:U196" si="71">IF(D165="","",IFERROR(_xlfn.TRANSLATE(D165,,"vi"),""))</f>
        <v/>
      </c>
      <c r="V165" s="61" t="str">
        <f t="shared" ref="V165:V196" si="72">IF(E165="","",IFERROR(_xlfn.TRANSLATE(E165,,"ja"),""))</f>
        <v/>
      </c>
      <c r="W165" s="61" t="str">
        <f t="shared" ref="W165:W196" si="73">IF(E165="","",IFERROR(_xlfn.TRANSLATE(E165,,"zh-Hans"),""))</f>
        <v/>
      </c>
      <c r="X165" s="61"/>
      <c r="Y165" s="61" t="str">
        <f t="shared" ref="Y165:Y196" si="74">IF(F165="","",IFERROR(_xlfn.TRANSLATE(F165,,"ja"),""))</f>
        <v/>
      </c>
      <c r="Z165" s="61"/>
      <c r="AA165" s="61" t="str">
        <f t="shared" ref="AA165:AA196" si="75">IF(F165="","",IFERROR(_xlfn.TRANSLATE(F165,,"vi"),""))</f>
        <v/>
      </c>
      <c r="AB165" s="61" t="str">
        <f t="shared" ref="AB165:AB196" si="76">IF(Q165="","",IFERROR(_xlfn.TRANSLATE(Q165,,"ja"),""))</f>
        <v/>
      </c>
      <c r="AC165" s="61" t="str">
        <f t="shared" ref="AC165:AC196" si="77">IF(Q165="","",IFERROR(_xlfn.TRANSLATE(Q165,,"zh-Hans"),""))</f>
        <v/>
      </c>
      <c r="AD165" s="61"/>
      <c r="AE165" s="61" t="str">
        <f t="shared" ref="AE165:AE196" si="78">IF(R165="","",IFERROR(_xlfn.TRANSLATE(R165,,"ja"),""))</f>
        <v/>
      </c>
      <c r="AF165" s="61" t="str">
        <f t="shared" ref="AF165:AF196" si="79">IF(R165="","",IFERROR(_xlfn.TRANSLATE(R165,,"zh-Hans"),""))</f>
        <v/>
      </c>
      <c r="AG165" s="61" t="str">
        <f t="shared" ref="AG165:AG196" si="80">IF(R165="","",IFERROR(_xlfn.TRANSLATE(R165,,"vi"),""))</f>
        <v/>
      </c>
    </row>
    <row r="166" spans="1:33" x14ac:dyDescent="0.25">
      <c r="A166" s="36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56" t="str">
        <f t="shared" si="68"/>
        <v/>
      </c>
      <c r="O166" s="13" t="str">
        <f>IF(A166="","",IF(N166="",INDEX(_ゴミ箱_Backup!$B$89:$D$89,1,MATCH(言語切替!$B$3,_ゴミ箱_Backup!$B$1:$D$1,0)),IF(N166&gt;=1,INDEX(_ゴミ箱_Backup!$B$93:$D$93,1,MATCH(言語切替!$B$3,_ゴミ箱_Backup!$B$1:$D$1,0)),IF(N166&gt;=0.8,INDEX(_ゴミ箱_Backup!$B$91:$D$91,1,MATCH(言語切替!$B$3,_ゴミ箱_Backup!$B$1:$D$1,0)),INDEX(_ゴミ箱_Backup!$B$94:$D$94,1,MATCH(言語切替!$B$3,_ゴミ箱_Backup!$B$1:$D$1,0))))))</f>
        <v/>
      </c>
      <c r="P166" s="38"/>
      <c r="Q166" s="37"/>
      <c r="R166" s="39"/>
      <c r="S166" s="61" t="str">
        <f t="shared" si="69"/>
        <v/>
      </c>
      <c r="T166" s="61" t="str">
        <f t="shared" si="70"/>
        <v/>
      </c>
      <c r="U166" s="61" t="str">
        <f t="shared" si="71"/>
        <v/>
      </c>
      <c r="V166" s="61" t="str">
        <f t="shared" si="72"/>
        <v/>
      </c>
      <c r="W166" s="61" t="str">
        <f t="shared" si="73"/>
        <v/>
      </c>
      <c r="X166" s="61"/>
      <c r="Y166" s="61" t="str">
        <f t="shared" si="74"/>
        <v/>
      </c>
      <c r="Z166" s="61"/>
      <c r="AA166" s="61" t="str">
        <f t="shared" si="75"/>
        <v/>
      </c>
      <c r="AB166" s="61" t="str">
        <f t="shared" si="76"/>
        <v/>
      </c>
      <c r="AC166" s="61" t="str">
        <f t="shared" si="77"/>
        <v/>
      </c>
      <c r="AD166" s="61"/>
      <c r="AE166" s="61" t="str">
        <f t="shared" si="78"/>
        <v/>
      </c>
      <c r="AF166" s="61" t="str">
        <f t="shared" si="79"/>
        <v/>
      </c>
      <c r="AG166" s="61" t="str">
        <f t="shared" si="80"/>
        <v/>
      </c>
    </row>
    <row r="167" spans="1:33" x14ac:dyDescent="0.25">
      <c r="A167" s="40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57" t="str">
        <f t="shared" si="68"/>
        <v/>
      </c>
      <c r="O167" s="16" t="str">
        <f>IF(A167="","",IF(N167="",INDEX(_ゴミ箱_Backup!$B$89:$D$89,1,MATCH(言語切替!$B$3,_ゴミ箱_Backup!$B$1:$D$1,0)),IF(N167&gt;=1,INDEX(_ゴミ箱_Backup!$B$93:$D$93,1,MATCH(言語切替!$B$3,_ゴミ箱_Backup!$B$1:$D$1,0)),IF(N167&gt;=0.8,INDEX(_ゴミ箱_Backup!$B$91:$D$91,1,MATCH(言語切替!$B$3,_ゴミ箱_Backup!$B$1:$D$1,0)),INDEX(_ゴミ箱_Backup!$B$94:$D$94,1,MATCH(言語切替!$B$3,_ゴミ箱_Backup!$B$1:$D$1,0))))))</f>
        <v/>
      </c>
      <c r="P167" s="42"/>
      <c r="Q167" s="41"/>
      <c r="R167" s="43"/>
      <c r="S167" s="61" t="str">
        <f t="shared" si="69"/>
        <v/>
      </c>
      <c r="T167" s="61" t="str">
        <f t="shared" si="70"/>
        <v/>
      </c>
      <c r="U167" s="61" t="str">
        <f t="shared" si="71"/>
        <v/>
      </c>
      <c r="V167" s="61" t="str">
        <f t="shared" si="72"/>
        <v/>
      </c>
      <c r="W167" s="61" t="str">
        <f t="shared" si="73"/>
        <v/>
      </c>
      <c r="X167" s="61"/>
      <c r="Y167" s="61" t="str">
        <f t="shared" si="74"/>
        <v/>
      </c>
      <c r="Z167" s="61"/>
      <c r="AA167" s="61" t="str">
        <f t="shared" si="75"/>
        <v/>
      </c>
      <c r="AB167" s="61" t="str">
        <f t="shared" si="76"/>
        <v/>
      </c>
      <c r="AC167" s="61" t="str">
        <f t="shared" si="77"/>
        <v/>
      </c>
      <c r="AD167" s="61"/>
      <c r="AE167" s="61" t="str">
        <f t="shared" si="78"/>
        <v/>
      </c>
      <c r="AF167" s="61" t="str">
        <f t="shared" si="79"/>
        <v/>
      </c>
      <c r="AG167" s="61" t="str">
        <f t="shared" si="80"/>
        <v/>
      </c>
    </row>
    <row r="168" spans="1:33" x14ac:dyDescent="0.25">
      <c r="A168" s="36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56" t="str">
        <f t="shared" si="68"/>
        <v/>
      </c>
      <c r="O168" s="13" t="str">
        <f>IF(A168="","",IF(N168="",INDEX(_ゴミ箱_Backup!$B$89:$D$89,1,MATCH(言語切替!$B$3,_ゴミ箱_Backup!$B$1:$D$1,0)),IF(N168&gt;=1,INDEX(_ゴミ箱_Backup!$B$93:$D$93,1,MATCH(言語切替!$B$3,_ゴミ箱_Backup!$B$1:$D$1,0)),IF(N168&gt;=0.8,INDEX(_ゴミ箱_Backup!$B$91:$D$91,1,MATCH(言語切替!$B$3,_ゴミ箱_Backup!$B$1:$D$1,0)),INDEX(_ゴミ箱_Backup!$B$94:$D$94,1,MATCH(言語切替!$B$3,_ゴミ箱_Backup!$B$1:$D$1,0))))))</f>
        <v/>
      </c>
      <c r="P168" s="38"/>
      <c r="Q168" s="37"/>
      <c r="R168" s="39"/>
      <c r="S168" s="61" t="str">
        <f t="shared" si="69"/>
        <v/>
      </c>
      <c r="T168" s="61" t="str">
        <f t="shared" si="70"/>
        <v/>
      </c>
      <c r="U168" s="61" t="str">
        <f t="shared" si="71"/>
        <v/>
      </c>
      <c r="V168" s="61" t="str">
        <f t="shared" si="72"/>
        <v/>
      </c>
      <c r="W168" s="61" t="str">
        <f t="shared" si="73"/>
        <v/>
      </c>
      <c r="X168" s="61"/>
      <c r="Y168" s="61" t="str">
        <f t="shared" si="74"/>
        <v/>
      </c>
      <c r="Z168" s="61"/>
      <c r="AA168" s="61" t="str">
        <f t="shared" si="75"/>
        <v/>
      </c>
      <c r="AB168" s="61" t="str">
        <f t="shared" si="76"/>
        <v/>
      </c>
      <c r="AC168" s="61" t="str">
        <f t="shared" si="77"/>
        <v/>
      </c>
      <c r="AD168" s="61"/>
      <c r="AE168" s="61" t="str">
        <f t="shared" si="78"/>
        <v/>
      </c>
      <c r="AF168" s="61" t="str">
        <f t="shared" si="79"/>
        <v/>
      </c>
      <c r="AG168" s="61" t="str">
        <f t="shared" si="80"/>
        <v/>
      </c>
    </row>
    <row r="169" spans="1:33" x14ac:dyDescent="0.25">
      <c r="A169" s="40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57" t="str">
        <f t="shared" si="68"/>
        <v/>
      </c>
      <c r="O169" s="16" t="str">
        <f>IF(A169="","",IF(N169="",INDEX(_ゴミ箱_Backup!$B$89:$D$89,1,MATCH(言語切替!$B$3,_ゴミ箱_Backup!$B$1:$D$1,0)),IF(N169&gt;=1,INDEX(_ゴミ箱_Backup!$B$93:$D$93,1,MATCH(言語切替!$B$3,_ゴミ箱_Backup!$B$1:$D$1,0)),IF(N169&gt;=0.8,INDEX(_ゴミ箱_Backup!$B$91:$D$91,1,MATCH(言語切替!$B$3,_ゴミ箱_Backup!$B$1:$D$1,0)),INDEX(_ゴミ箱_Backup!$B$94:$D$94,1,MATCH(言語切替!$B$3,_ゴミ箱_Backup!$B$1:$D$1,0))))))</f>
        <v/>
      </c>
      <c r="P169" s="42"/>
      <c r="Q169" s="41"/>
      <c r="R169" s="43"/>
      <c r="S169" s="61" t="str">
        <f t="shared" si="69"/>
        <v/>
      </c>
      <c r="T169" s="61" t="str">
        <f t="shared" si="70"/>
        <v/>
      </c>
      <c r="U169" s="61" t="str">
        <f t="shared" si="71"/>
        <v/>
      </c>
      <c r="V169" s="61" t="str">
        <f t="shared" si="72"/>
        <v/>
      </c>
      <c r="W169" s="61" t="str">
        <f t="shared" si="73"/>
        <v/>
      </c>
      <c r="X169" s="61"/>
      <c r="Y169" s="61" t="str">
        <f t="shared" si="74"/>
        <v/>
      </c>
      <c r="Z169" s="61"/>
      <c r="AA169" s="61" t="str">
        <f t="shared" si="75"/>
        <v/>
      </c>
      <c r="AB169" s="61" t="str">
        <f t="shared" si="76"/>
        <v/>
      </c>
      <c r="AC169" s="61" t="str">
        <f t="shared" si="77"/>
        <v/>
      </c>
      <c r="AD169" s="61"/>
      <c r="AE169" s="61" t="str">
        <f t="shared" si="78"/>
        <v/>
      </c>
      <c r="AF169" s="61" t="str">
        <f t="shared" si="79"/>
        <v/>
      </c>
      <c r="AG169" s="61" t="str">
        <f t="shared" si="80"/>
        <v/>
      </c>
    </row>
    <row r="170" spans="1:33" x14ac:dyDescent="0.25">
      <c r="A170" s="36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56" t="str">
        <f t="shared" si="68"/>
        <v/>
      </c>
      <c r="O170" s="13" t="str">
        <f>IF(A170="","",IF(N170="",INDEX(_ゴミ箱_Backup!$B$89:$D$89,1,MATCH(言語切替!$B$3,_ゴミ箱_Backup!$B$1:$D$1,0)),IF(N170&gt;=1,INDEX(_ゴミ箱_Backup!$B$93:$D$93,1,MATCH(言語切替!$B$3,_ゴミ箱_Backup!$B$1:$D$1,0)),IF(N170&gt;=0.8,INDEX(_ゴミ箱_Backup!$B$91:$D$91,1,MATCH(言語切替!$B$3,_ゴミ箱_Backup!$B$1:$D$1,0)),INDEX(_ゴミ箱_Backup!$B$94:$D$94,1,MATCH(言語切替!$B$3,_ゴミ箱_Backup!$B$1:$D$1,0))))))</f>
        <v/>
      </c>
      <c r="P170" s="38"/>
      <c r="Q170" s="37"/>
      <c r="R170" s="39"/>
      <c r="S170" s="61" t="str">
        <f t="shared" si="69"/>
        <v/>
      </c>
      <c r="T170" s="61" t="str">
        <f t="shared" si="70"/>
        <v/>
      </c>
      <c r="U170" s="61" t="str">
        <f t="shared" si="71"/>
        <v/>
      </c>
      <c r="V170" s="61" t="str">
        <f t="shared" si="72"/>
        <v/>
      </c>
      <c r="W170" s="61" t="str">
        <f t="shared" si="73"/>
        <v/>
      </c>
      <c r="X170" s="61"/>
      <c r="Y170" s="61" t="str">
        <f t="shared" si="74"/>
        <v/>
      </c>
      <c r="Z170" s="61"/>
      <c r="AA170" s="61" t="str">
        <f t="shared" si="75"/>
        <v/>
      </c>
      <c r="AB170" s="61" t="str">
        <f t="shared" si="76"/>
        <v/>
      </c>
      <c r="AC170" s="61" t="str">
        <f t="shared" si="77"/>
        <v/>
      </c>
      <c r="AD170" s="61"/>
      <c r="AE170" s="61" t="str">
        <f t="shared" si="78"/>
        <v/>
      </c>
      <c r="AF170" s="61" t="str">
        <f t="shared" si="79"/>
        <v/>
      </c>
      <c r="AG170" s="61" t="str">
        <f t="shared" si="80"/>
        <v/>
      </c>
    </row>
    <row r="171" spans="1:33" x14ac:dyDescent="0.25">
      <c r="A171" s="40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57" t="str">
        <f t="shared" si="68"/>
        <v/>
      </c>
      <c r="O171" s="16" t="str">
        <f>IF(A171="","",IF(N171="",INDEX(_ゴミ箱_Backup!$B$89:$D$89,1,MATCH(言語切替!$B$3,_ゴミ箱_Backup!$B$1:$D$1,0)),IF(N171&gt;=1,INDEX(_ゴミ箱_Backup!$B$93:$D$93,1,MATCH(言語切替!$B$3,_ゴミ箱_Backup!$B$1:$D$1,0)),IF(N171&gt;=0.8,INDEX(_ゴミ箱_Backup!$B$91:$D$91,1,MATCH(言語切替!$B$3,_ゴミ箱_Backup!$B$1:$D$1,0)),INDEX(_ゴミ箱_Backup!$B$94:$D$94,1,MATCH(言語切替!$B$3,_ゴミ箱_Backup!$B$1:$D$1,0))))))</f>
        <v/>
      </c>
      <c r="P171" s="42"/>
      <c r="Q171" s="41"/>
      <c r="R171" s="43"/>
      <c r="S171" s="61" t="str">
        <f t="shared" si="69"/>
        <v/>
      </c>
      <c r="T171" s="61" t="str">
        <f t="shared" si="70"/>
        <v/>
      </c>
      <c r="U171" s="61" t="str">
        <f t="shared" si="71"/>
        <v/>
      </c>
      <c r="V171" s="61" t="str">
        <f t="shared" si="72"/>
        <v/>
      </c>
      <c r="W171" s="61" t="str">
        <f t="shared" si="73"/>
        <v/>
      </c>
      <c r="X171" s="61"/>
      <c r="Y171" s="61" t="str">
        <f t="shared" si="74"/>
        <v/>
      </c>
      <c r="Z171" s="61"/>
      <c r="AA171" s="61" t="str">
        <f t="shared" si="75"/>
        <v/>
      </c>
      <c r="AB171" s="61" t="str">
        <f t="shared" si="76"/>
        <v/>
      </c>
      <c r="AC171" s="61" t="str">
        <f t="shared" si="77"/>
        <v/>
      </c>
      <c r="AD171" s="61"/>
      <c r="AE171" s="61" t="str">
        <f t="shared" si="78"/>
        <v/>
      </c>
      <c r="AF171" s="61" t="str">
        <f t="shared" si="79"/>
        <v/>
      </c>
      <c r="AG171" s="61" t="str">
        <f t="shared" si="80"/>
        <v/>
      </c>
    </row>
    <row r="172" spans="1:33" x14ac:dyDescent="0.25">
      <c r="A172" s="36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56" t="str">
        <f t="shared" si="68"/>
        <v/>
      </c>
      <c r="O172" s="13" t="str">
        <f>IF(A172="","",IF(N172="",INDEX(_ゴミ箱_Backup!$B$89:$D$89,1,MATCH(言語切替!$B$3,_ゴミ箱_Backup!$B$1:$D$1,0)),IF(N172&gt;=1,INDEX(_ゴミ箱_Backup!$B$93:$D$93,1,MATCH(言語切替!$B$3,_ゴミ箱_Backup!$B$1:$D$1,0)),IF(N172&gt;=0.8,INDEX(_ゴミ箱_Backup!$B$91:$D$91,1,MATCH(言語切替!$B$3,_ゴミ箱_Backup!$B$1:$D$1,0)),INDEX(_ゴミ箱_Backup!$B$94:$D$94,1,MATCH(言語切替!$B$3,_ゴミ箱_Backup!$B$1:$D$1,0))))))</f>
        <v/>
      </c>
      <c r="P172" s="38"/>
      <c r="Q172" s="37"/>
      <c r="R172" s="39"/>
      <c r="S172" s="61" t="str">
        <f t="shared" si="69"/>
        <v/>
      </c>
      <c r="T172" s="61" t="str">
        <f t="shared" si="70"/>
        <v/>
      </c>
      <c r="U172" s="61" t="str">
        <f t="shared" si="71"/>
        <v/>
      </c>
      <c r="V172" s="61" t="str">
        <f t="shared" si="72"/>
        <v/>
      </c>
      <c r="W172" s="61" t="str">
        <f t="shared" si="73"/>
        <v/>
      </c>
      <c r="X172" s="61"/>
      <c r="Y172" s="61" t="str">
        <f t="shared" si="74"/>
        <v/>
      </c>
      <c r="Z172" s="61"/>
      <c r="AA172" s="61" t="str">
        <f t="shared" si="75"/>
        <v/>
      </c>
      <c r="AB172" s="61" t="str">
        <f t="shared" si="76"/>
        <v/>
      </c>
      <c r="AC172" s="61" t="str">
        <f t="shared" si="77"/>
        <v/>
      </c>
      <c r="AD172" s="61"/>
      <c r="AE172" s="61" t="str">
        <f t="shared" si="78"/>
        <v/>
      </c>
      <c r="AF172" s="61" t="str">
        <f t="shared" si="79"/>
        <v/>
      </c>
      <c r="AG172" s="61" t="str">
        <f t="shared" si="80"/>
        <v/>
      </c>
    </row>
    <row r="173" spans="1:33" x14ac:dyDescent="0.25">
      <c r="A173" s="40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57" t="str">
        <f t="shared" si="68"/>
        <v/>
      </c>
      <c r="O173" s="16" t="str">
        <f>IF(A173="","",IF(N173="",INDEX(_ゴミ箱_Backup!$B$89:$D$89,1,MATCH(言語切替!$B$3,_ゴミ箱_Backup!$B$1:$D$1,0)),IF(N173&gt;=1,INDEX(_ゴミ箱_Backup!$B$93:$D$93,1,MATCH(言語切替!$B$3,_ゴミ箱_Backup!$B$1:$D$1,0)),IF(N173&gt;=0.8,INDEX(_ゴミ箱_Backup!$B$91:$D$91,1,MATCH(言語切替!$B$3,_ゴミ箱_Backup!$B$1:$D$1,0)),INDEX(_ゴミ箱_Backup!$B$94:$D$94,1,MATCH(言語切替!$B$3,_ゴミ箱_Backup!$B$1:$D$1,0))))))</f>
        <v/>
      </c>
      <c r="P173" s="42"/>
      <c r="Q173" s="41"/>
      <c r="R173" s="43"/>
      <c r="S173" s="61" t="str">
        <f t="shared" si="69"/>
        <v/>
      </c>
      <c r="T173" s="61" t="str">
        <f t="shared" si="70"/>
        <v/>
      </c>
      <c r="U173" s="61" t="str">
        <f t="shared" si="71"/>
        <v/>
      </c>
      <c r="V173" s="61" t="str">
        <f t="shared" si="72"/>
        <v/>
      </c>
      <c r="W173" s="61" t="str">
        <f t="shared" si="73"/>
        <v/>
      </c>
      <c r="X173" s="61"/>
      <c r="Y173" s="61" t="str">
        <f t="shared" si="74"/>
        <v/>
      </c>
      <c r="Z173" s="61"/>
      <c r="AA173" s="61" t="str">
        <f t="shared" si="75"/>
        <v/>
      </c>
      <c r="AB173" s="61" t="str">
        <f t="shared" si="76"/>
        <v/>
      </c>
      <c r="AC173" s="61" t="str">
        <f t="shared" si="77"/>
        <v/>
      </c>
      <c r="AD173" s="61"/>
      <c r="AE173" s="61" t="str">
        <f t="shared" si="78"/>
        <v/>
      </c>
      <c r="AF173" s="61" t="str">
        <f t="shared" si="79"/>
        <v/>
      </c>
      <c r="AG173" s="61" t="str">
        <f t="shared" si="80"/>
        <v/>
      </c>
    </row>
    <row r="174" spans="1:33" x14ac:dyDescent="0.25">
      <c r="A174" s="36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56" t="str">
        <f t="shared" si="68"/>
        <v/>
      </c>
      <c r="O174" s="13" t="str">
        <f>IF(A174="","",IF(N174="",INDEX(_ゴミ箱_Backup!$B$89:$D$89,1,MATCH(言語切替!$B$3,_ゴミ箱_Backup!$B$1:$D$1,0)),IF(N174&gt;=1,INDEX(_ゴミ箱_Backup!$B$93:$D$93,1,MATCH(言語切替!$B$3,_ゴミ箱_Backup!$B$1:$D$1,0)),IF(N174&gt;=0.8,INDEX(_ゴミ箱_Backup!$B$91:$D$91,1,MATCH(言語切替!$B$3,_ゴミ箱_Backup!$B$1:$D$1,0)),INDEX(_ゴミ箱_Backup!$B$94:$D$94,1,MATCH(言語切替!$B$3,_ゴミ箱_Backup!$B$1:$D$1,0))))))</f>
        <v/>
      </c>
      <c r="P174" s="38"/>
      <c r="Q174" s="37"/>
      <c r="R174" s="39"/>
      <c r="S174" s="61" t="str">
        <f t="shared" si="69"/>
        <v/>
      </c>
      <c r="T174" s="61" t="str">
        <f t="shared" si="70"/>
        <v/>
      </c>
      <c r="U174" s="61" t="str">
        <f t="shared" si="71"/>
        <v/>
      </c>
      <c r="V174" s="61" t="str">
        <f t="shared" si="72"/>
        <v/>
      </c>
      <c r="W174" s="61" t="str">
        <f t="shared" si="73"/>
        <v/>
      </c>
      <c r="X174" s="61"/>
      <c r="Y174" s="61" t="str">
        <f t="shared" si="74"/>
        <v/>
      </c>
      <c r="Z174" s="61"/>
      <c r="AA174" s="61" t="str">
        <f t="shared" si="75"/>
        <v/>
      </c>
      <c r="AB174" s="61" t="str">
        <f t="shared" si="76"/>
        <v/>
      </c>
      <c r="AC174" s="61" t="str">
        <f t="shared" si="77"/>
        <v/>
      </c>
      <c r="AD174" s="61"/>
      <c r="AE174" s="61" t="str">
        <f t="shared" si="78"/>
        <v/>
      </c>
      <c r="AF174" s="61" t="str">
        <f t="shared" si="79"/>
        <v/>
      </c>
      <c r="AG174" s="61" t="str">
        <f t="shared" si="80"/>
        <v/>
      </c>
    </row>
    <row r="175" spans="1:33" x14ac:dyDescent="0.25">
      <c r="A175" s="40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57" t="str">
        <f t="shared" si="68"/>
        <v/>
      </c>
      <c r="O175" s="16" t="str">
        <f>IF(A175="","",IF(N175="",INDEX(_ゴミ箱_Backup!$B$89:$D$89,1,MATCH(言語切替!$B$3,_ゴミ箱_Backup!$B$1:$D$1,0)),IF(N175&gt;=1,INDEX(_ゴミ箱_Backup!$B$93:$D$93,1,MATCH(言語切替!$B$3,_ゴミ箱_Backup!$B$1:$D$1,0)),IF(N175&gt;=0.8,INDEX(_ゴミ箱_Backup!$B$91:$D$91,1,MATCH(言語切替!$B$3,_ゴミ箱_Backup!$B$1:$D$1,0)),INDEX(_ゴミ箱_Backup!$B$94:$D$94,1,MATCH(言語切替!$B$3,_ゴミ箱_Backup!$B$1:$D$1,0))))))</f>
        <v/>
      </c>
      <c r="P175" s="42"/>
      <c r="Q175" s="41"/>
      <c r="R175" s="43"/>
      <c r="S175" s="61" t="str">
        <f t="shared" si="69"/>
        <v/>
      </c>
      <c r="T175" s="61" t="str">
        <f t="shared" si="70"/>
        <v/>
      </c>
      <c r="U175" s="61" t="str">
        <f t="shared" si="71"/>
        <v/>
      </c>
      <c r="V175" s="61" t="str">
        <f t="shared" si="72"/>
        <v/>
      </c>
      <c r="W175" s="61" t="str">
        <f t="shared" si="73"/>
        <v/>
      </c>
      <c r="X175" s="61"/>
      <c r="Y175" s="61" t="str">
        <f t="shared" si="74"/>
        <v/>
      </c>
      <c r="Z175" s="61"/>
      <c r="AA175" s="61" t="str">
        <f t="shared" si="75"/>
        <v/>
      </c>
      <c r="AB175" s="61" t="str">
        <f t="shared" si="76"/>
        <v/>
      </c>
      <c r="AC175" s="61" t="str">
        <f t="shared" si="77"/>
        <v/>
      </c>
      <c r="AD175" s="61"/>
      <c r="AE175" s="61" t="str">
        <f t="shared" si="78"/>
        <v/>
      </c>
      <c r="AF175" s="61" t="str">
        <f t="shared" si="79"/>
        <v/>
      </c>
      <c r="AG175" s="61" t="str">
        <f t="shared" si="80"/>
        <v/>
      </c>
    </row>
    <row r="176" spans="1:33" x14ac:dyDescent="0.25">
      <c r="A176" s="36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56" t="str">
        <f t="shared" si="68"/>
        <v/>
      </c>
      <c r="O176" s="13" t="str">
        <f>IF(A176="","",IF(N176="",INDEX(_ゴミ箱_Backup!$B$89:$D$89,1,MATCH(言語切替!$B$3,_ゴミ箱_Backup!$B$1:$D$1,0)),IF(N176&gt;=1,INDEX(_ゴミ箱_Backup!$B$93:$D$93,1,MATCH(言語切替!$B$3,_ゴミ箱_Backup!$B$1:$D$1,0)),IF(N176&gt;=0.8,INDEX(_ゴミ箱_Backup!$B$91:$D$91,1,MATCH(言語切替!$B$3,_ゴミ箱_Backup!$B$1:$D$1,0)),INDEX(_ゴミ箱_Backup!$B$94:$D$94,1,MATCH(言語切替!$B$3,_ゴミ箱_Backup!$B$1:$D$1,0))))))</f>
        <v/>
      </c>
      <c r="P176" s="38"/>
      <c r="Q176" s="37"/>
      <c r="R176" s="39"/>
      <c r="S176" s="61" t="str">
        <f t="shared" si="69"/>
        <v/>
      </c>
      <c r="T176" s="61" t="str">
        <f t="shared" si="70"/>
        <v/>
      </c>
      <c r="U176" s="61" t="str">
        <f t="shared" si="71"/>
        <v/>
      </c>
      <c r="V176" s="61" t="str">
        <f t="shared" si="72"/>
        <v/>
      </c>
      <c r="W176" s="61" t="str">
        <f t="shared" si="73"/>
        <v/>
      </c>
      <c r="X176" s="61"/>
      <c r="Y176" s="61" t="str">
        <f t="shared" si="74"/>
        <v/>
      </c>
      <c r="Z176" s="61"/>
      <c r="AA176" s="61" t="str">
        <f t="shared" si="75"/>
        <v/>
      </c>
      <c r="AB176" s="61" t="str">
        <f t="shared" si="76"/>
        <v/>
      </c>
      <c r="AC176" s="61" t="str">
        <f t="shared" si="77"/>
        <v/>
      </c>
      <c r="AD176" s="61"/>
      <c r="AE176" s="61" t="str">
        <f t="shared" si="78"/>
        <v/>
      </c>
      <c r="AF176" s="61" t="str">
        <f t="shared" si="79"/>
        <v/>
      </c>
      <c r="AG176" s="61" t="str">
        <f t="shared" si="80"/>
        <v/>
      </c>
    </row>
    <row r="177" spans="1:33" x14ac:dyDescent="0.25">
      <c r="A177" s="40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57" t="str">
        <f t="shared" si="68"/>
        <v/>
      </c>
      <c r="O177" s="16" t="str">
        <f>IF(A177="","",IF(N177="",INDEX(_ゴミ箱_Backup!$B$89:$D$89,1,MATCH(言語切替!$B$3,_ゴミ箱_Backup!$B$1:$D$1,0)),IF(N177&gt;=1,INDEX(_ゴミ箱_Backup!$B$93:$D$93,1,MATCH(言語切替!$B$3,_ゴミ箱_Backup!$B$1:$D$1,0)),IF(N177&gt;=0.8,INDEX(_ゴミ箱_Backup!$B$91:$D$91,1,MATCH(言語切替!$B$3,_ゴミ箱_Backup!$B$1:$D$1,0)),INDEX(_ゴミ箱_Backup!$B$94:$D$94,1,MATCH(言語切替!$B$3,_ゴミ箱_Backup!$B$1:$D$1,0))))))</f>
        <v/>
      </c>
      <c r="P177" s="42"/>
      <c r="Q177" s="41"/>
      <c r="R177" s="43"/>
      <c r="S177" s="61" t="str">
        <f t="shared" si="69"/>
        <v/>
      </c>
      <c r="T177" s="61" t="str">
        <f t="shared" si="70"/>
        <v/>
      </c>
      <c r="U177" s="61" t="str">
        <f t="shared" si="71"/>
        <v/>
      </c>
      <c r="V177" s="61" t="str">
        <f t="shared" si="72"/>
        <v/>
      </c>
      <c r="W177" s="61" t="str">
        <f t="shared" si="73"/>
        <v/>
      </c>
      <c r="X177" s="61"/>
      <c r="Y177" s="61" t="str">
        <f t="shared" si="74"/>
        <v/>
      </c>
      <c r="Z177" s="61"/>
      <c r="AA177" s="61" t="str">
        <f t="shared" si="75"/>
        <v/>
      </c>
      <c r="AB177" s="61" t="str">
        <f t="shared" si="76"/>
        <v/>
      </c>
      <c r="AC177" s="61" t="str">
        <f t="shared" si="77"/>
        <v/>
      </c>
      <c r="AD177" s="61"/>
      <c r="AE177" s="61" t="str">
        <f t="shared" si="78"/>
        <v/>
      </c>
      <c r="AF177" s="61" t="str">
        <f t="shared" si="79"/>
        <v/>
      </c>
      <c r="AG177" s="61" t="str">
        <f t="shared" si="80"/>
        <v/>
      </c>
    </row>
    <row r="178" spans="1:33" x14ac:dyDescent="0.25">
      <c r="A178" s="36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56" t="str">
        <f t="shared" si="68"/>
        <v/>
      </c>
      <c r="O178" s="13" t="str">
        <f>IF(A178="","",IF(N178="",INDEX(_ゴミ箱_Backup!$B$89:$D$89,1,MATCH(言語切替!$B$3,_ゴミ箱_Backup!$B$1:$D$1,0)),IF(N178&gt;=1,INDEX(_ゴミ箱_Backup!$B$93:$D$93,1,MATCH(言語切替!$B$3,_ゴミ箱_Backup!$B$1:$D$1,0)),IF(N178&gt;=0.8,INDEX(_ゴミ箱_Backup!$B$91:$D$91,1,MATCH(言語切替!$B$3,_ゴミ箱_Backup!$B$1:$D$1,0)),INDEX(_ゴミ箱_Backup!$B$94:$D$94,1,MATCH(言語切替!$B$3,_ゴミ箱_Backup!$B$1:$D$1,0))))))</f>
        <v/>
      </c>
      <c r="P178" s="38"/>
      <c r="Q178" s="37"/>
      <c r="R178" s="39"/>
      <c r="S178" s="61" t="str">
        <f t="shared" si="69"/>
        <v/>
      </c>
      <c r="T178" s="61" t="str">
        <f t="shared" si="70"/>
        <v/>
      </c>
      <c r="U178" s="61" t="str">
        <f t="shared" si="71"/>
        <v/>
      </c>
      <c r="V178" s="61" t="str">
        <f t="shared" si="72"/>
        <v/>
      </c>
      <c r="W178" s="61" t="str">
        <f t="shared" si="73"/>
        <v/>
      </c>
      <c r="X178" s="61"/>
      <c r="Y178" s="61" t="str">
        <f t="shared" si="74"/>
        <v/>
      </c>
      <c r="Z178" s="61"/>
      <c r="AA178" s="61" t="str">
        <f t="shared" si="75"/>
        <v/>
      </c>
      <c r="AB178" s="61" t="str">
        <f t="shared" si="76"/>
        <v/>
      </c>
      <c r="AC178" s="61" t="str">
        <f t="shared" si="77"/>
        <v/>
      </c>
      <c r="AD178" s="61"/>
      <c r="AE178" s="61" t="str">
        <f t="shared" si="78"/>
        <v/>
      </c>
      <c r="AF178" s="61" t="str">
        <f t="shared" si="79"/>
        <v/>
      </c>
      <c r="AG178" s="61" t="str">
        <f t="shared" si="80"/>
        <v/>
      </c>
    </row>
    <row r="179" spans="1:33" x14ac:dyDescent="0.25">
      <c r="A179" s="40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57" t="str">
        <f t="shared" si="68"/>
        <v/>
      </c>
      <c r="O179" s="16" t="str">
        <f>IF(A179="","",IF(N179="",INDEX(_ゴミ箱_Backup!$B$89:$D$89,1,MATCH(言語切替!$B$3,_ゴミ箱_Backup!$B$1:$D$1,0)),IF(N179&gt;=1,INDEX(_ゴミ箱_Backup!$B$93:$D$93,1,MATCH(言語切替!$B$3,_ゴミ箱_Backup!$B$1:$D$1,0)),IF(N179&gt;=0.8,INDEX(_ゴミ箱_Backup!$B$91:$D$91,1,MATCH(言語切替!$B$3,_ゴミ箱_Backup!$B$1:$D$1,0)),INDEX(_ゴミ箱_Backup!$B$94:$D$94,1,MATCH(言語切替!$B$3,_ゴミ箱_Backup!$B$1:$D$1,0))))))</f>
        <v/>
      </c>
      <c r="P179" s="42"/>
      <c r="Q179" s="41"/>
      <c r="R179" s="43"/>
      <c r="S179" s="61" t="str">
        <f t="shared" si="69"/>
        <v/>
      </c>
      <c r="T179" s="61" t="str">
        <f t="shared" si="70"/>
        <v/>
      </c>
      <c r="U179" s="61" t="str">
        <f t="shared" si="71"/>
        <v/>
      </c>
      <c r="V179" s="61" t="str">
        <f t="shared" si="72"/>
        <v/>
      </c>
      <c r="W179" s="61" t="str">
        <f t="shared" si="73"/>
        <v/>
      </c>
      <c r="X179" s="61"/>
      <c r="Y179" s="61" t="str">
        <f t="shared" si="74"/>
        <v/>
      </c>
      <c r="Z179" s="61"/>
      <c r="AA179" s="61" t="str">
        <f t="shared" si="75"/>
        <v/>
      </c>
      <c r="AB179" s="61" t="str">
        <f t="shared" si="76"/>
        <v/>
      </c>
      <c r="AC179" s="61" t="str">
        <f t="shared" si="77"/>
        <v/>
      </c>
      <c r="AD179" s="61"/>
      <c r="AE179" s="61" t="str">
        <f t="shared" si="78"/>
        <v/>
      </c>
      <c r="AF179" s="61" t="str">
        <f t="shared" si="79"/>
        <v/>
      </c>
      <c r="AG179" s="61" t="str">
        <f t="shared" si="80"/>
        <v/>
      </c>
    </row>
    <row r="180" spans="1:33" x14ac:dyDescent="0.25">
      <c r="A180" s="36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56" t="str">
        <f t="shared" si="68"/>
        <v/>
      </c>
      <c r="O180" s="13" t="str">
        <f>IF(A180="","",IF(N180="",INDEX(_ゴミ箱_Backup!$B$89:$D$89,1,MATCH(言語切替!$B$3,_ゴミ箱_Backup!$B$1:$D$1,0)),IF(N180&gt;=1,INDEX(_ゴミ箱_Backup!$B$93:$D$93,1,MATCH(言語切替!$B$3,_ゴミ箱_Backup!$B$1:$D$1,0)),IF(N180&gt;=0.8,INDEX(_ゴミ箱_Backup!$B$91:$D$91,1,MATCH(言語切替!$B$3,_ゴミ箱_Backup!$B$1:$D$1,0)),INDEX(_ゴミ箱_Backup!$B$94:$D$94,1,MATCH(言語切替!$B$3,_ゴミ箱_Backup!$B$1:$D$1,0))))))</f>
        <v/>
      </c>
      <c r="P180" s="38"/>
      <c r="Q180" s="37"/>
      <c r="R180" s="39"/>
      <c r="S180" s="61" t="str">
        <f t="shared" si="69"/>
        <v/>
      </c>
      <c r="T180" s="61" t="str">
        <f t="shared" si="70"/>
        <v/>
      </c>
      <c r="U180" s="61" t="str">
        <f t="shared" si="71"/>
        <v/>
      </c>
      <c r="V180" s="61" t="str">
        <f t="shared" si="72"/>
        <v/>
      </c>
      <c r="W180" s="61" t="str">
        <f t="shared" si="73"/>
        <v/>
      </c>
      <c r="X180" s="61"/>
      <c r="Y180" s="61" t="str">
        <f t="shared" si="74"/>
        <v/>
      </c>
      <c r="Z180" s="61"/>
      <c r="AA180" s="61" t="str">
        <f t="shared" si="75"/>
        <v/>
      </c>
      <c r="AB180" s="61" t="str">
        <f t="shared" si="76"/>
        <v/>
      </c>
      <c r="AC180" s="61" t="str">
        <f t="shared" si="77"/>
        <v/>
      </c>
      <c r="AD180" s="61"/>
      <c r="AE180" s="61" t="str">
        <f t="shared" si="78"/>
        <v/>
      </c>
      <c r="AF180" s="61" t="str">
        <f t="shared" si="79"/>
        <v/>
      </c>
      <c r="AG180" s="61" t="str">
        <f t="shared" si="80"/>
        <v/>
      </c>
    </row>
    <row r="181" spans="1:33" x14ac:dyDescent="0.25">
      <c r="A181" s="40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57" t="str">
        <f t="shared" si="68"/>
        <v/>
      </c>
      <c r="O181" s="16" t="str">
        <f>IF(A181="","",IF(N181="",INDEX(_ゴミ箱_Backup!$B$89:$D$89,1,MATCH(言語切替!$B$3,_ゴミ箱_Backup!$B$1:$D$1,0)),IF(N181&gt;=1,INDEX(_ゴミ箱_Backup!$B$93:$D$93,1,MATCH(言語切替!$B$3,_ゴミ箱_Backup!$B$1:$D$1,0)),IF(N181&gt;=0.8,INDEX(_ゴミ箱_Backup!$B$91:$D$91,1,MATCH(言語切替!$B$3,_ゴミ箱_Backup!$B$1:$D$1,0)),INDEX(_ゴミ箱_Backup!$B$94:$D$94,1,MATCH(言語切替!$B$3,_ゴミ箱_Backup!$B$1:$D$1,0))))))</f>
        <v/>
      </c>
      <c r="P181" s="42"/>
      <c r="Q181" s="41"/>
      <c r="R181" s="43"/>
      <c r="S181" s="61" t="str">
        <f t="shared" si="69"/>
        <v/>
      </c>
      <c r="T181" s="61" t="str">
        <f t="shared" si="70"/>
        <v/>
      </c>
      <c r="U181" s="61" t="str">
        <f t="shared" si="71"/>
        <v/>
      </c>
      <c r="V181" s="61" t="str">
        <f t="shared" si="72"/>
        <v/>
      </c>
      <c r="W181" s="61" t="str">
        <f t="shared" si="73"/>
        <v/>
      </c>
      <c r="X181" s="61"/>
      <c r="Y181" s="61" t="str">
        <f t="shared" si="74"/>
        <v/>
      </c>
      <c r="Z181" s="61"/>
      <c r="AA181" s="61" t="str">
        <f t="shared" si="75"/>
        <v/>
      </c>
      <c r="AB181" s="61" t="str">
        <f t="shared" si="76"/>
        <v/>
      </c>
      <c r="AC181" s="61" t="str">
        <f t="shared" si="77"/>
        <v/>
      </c>
      <c r="AD181" s="61"/>
      <c r="AE181" s="61" t="str">
        <f t="shared" si="78"/>
        <v/>
      </c>
      <c r="AF181" s="61" t="str">
        <f t="shared" si="79"/>
        <v/>
      </c>
      <c r="AG181" s="61" t="str">
        <f t="shared" si="80"/>
        <v/>
      </c>
    </row>
    <row r="182" spans="1:33" x14ac:dyDescent="0.25">
      <c r="A182" s="36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56" t="str">
        <f t="shared" si="68"/>
        <v/>
      </c>
      <c r="O182" s="13" t="str">
        <f>IF(A182="","",IF(N182="",INDEX(_ゴミ箱_Backup!$B$89:$D$89,1,MATCH(言語切替!$B$3,_ゴミ箱_Backup!$B$1:$D$1,0)),IF(N182&gt;=1,INDEX(_ゴミ箱_Backup!$B$93:$D$93,1,MATCH(言語切替!$B$3,_ゴミ箱_Backup!$B$1:$D$1,0)),IF(N182&gt;=0.8,INDEX(_ゴミ箱_Backup!$B$91:$D$91,1,MATCH(言語切替!$B$3,_ゴミ箱_Backup!$B$1:$D$1,0)),INDEX(_ゴミ箱_Backup!$B$94:$D$94,1,MATCH(言語切替!$B$3,_ゴミ箱_Backup!$B$1:$D$1,0))))))</f>
        <v/>
      </c>
      <c r="P182" s="38"/>
      <c r="Q182" s="37"/>
      <c r="R182" s="39"/>
      <c r="S182" s="61" t="str">
        <f t="shared" si="69"/>
        <v/>
      </c>
      <c r="T182" s="61" t="str">
        <f t="shared" si="70"/>
        <v/>
      </c>
      <c r="U182" s="61" t="str">
        <f t="shared" si="71"/>
        <v/>
      </c>
      <c r="V182" s="61" t="str">
        <f t="shared" si="72"/>
        <v/>
      </c>
      <c r="W182" s="61" t="str">
        <f t="shared" si="73"/>
        <v/>
      </c>
      <c r="X182" s="61"/>
      <c r="Y182" s="61" t="str">
        <f t="shared" si="74"/>
        <v/>
      </c>
      <c r="Z182" s="61"/>
      <c r="AA182" s="61" t="str">
        <f t="shared" si="75"/>
        <v/>
      </c>
      <c r="AB182" s="61" t="str">
        <f t="shared" si="76"/>
        <v/>
      </c>
      <c r="AC182" s="61" t="str">
        <f t="shared" si="77"/>
        <v/>
      </c>
      <c r="AD182" s="61"/>
      <c r="AE182" s="61" t="str">
        <f t="shared" si="78"/>
        <v/>
      </c>
      <c r="AF182" s="61" t="str">
        <f t="shared" si="79"/>
        <v/>
      </c>
      <c r="AG182" s="61" t="str">
        <f t="shared" si="80"/>
        <v/>
      </c>
    </row>
    <row r="183" spans="1:33" x14ac:dyDescent="0.25">
      <c r="A183" s="40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57" t="str">
        <f t="shared" si="68"/>
        <v/>
      </c>
      <c r="O183" s="16" t="str">
        <f>IF(A183="","",IF(N183="",INDEX(_ゴミ箱_Backup!$B$89:$D$89,1,MATCH(言語切替!$B$3,_ゴミ箱_Backup!$B$1:$D$1,0)),IF(N183&gt;=1,INDEX(_ゴミ箱_Backup!$B$93:$D$93,1,MATCH(言語切替!$B$3,_ゴミ箱_Backup!$B$1:$D$1,0)),IF(N183&gt;=0.8,INDEX(_ゴミ箱_Backup!$B$91:$D$91,1,MATCH(言語切替!$B$3,_ゴミ箱_Backup!$B$1:$D$1,0)),INDEX(_ゴミ箱_Backup!$B$94:$D$94,1,MATCH(言語切替!$B$3,_ゴミ箱_Backup!$B$1:$D$1,0))))))</f>
        <v/>
      </c>
      <c r="P183" s="42"/>
      <c r="Q183" s="41"/>
      <c r="R183" s="43"/>
      <c r="S183" s="61" t="str">
        <f t="shared" si="69"/>
        <v/>
      </c>
      <c r="T183" s="61" t="str">
        <f t="shared" si="70"/>
        <v/>
      </c>
      <c r="U183" s="61" t="str">
        <f t="shared" si="71"/>
        <v/>
      </c>
      <c r="V183" s="61" t="str">
        <f t="shared" si="72"/>
        <v/>
      </c>
      <c r="W183" s="61" t="str">
        <f t="shared" si="73"/>
        <v/>
      </c>
      <c r="X183" s="61"/>
      <c r="Y183" s="61" t="str">
        <f t="shared" si="74"/>
        <v/>
      </c>
      <c r="Z183" s="61"/>
      <c r="AA183" s="61" t="str">
        <f t="shared" si="75"/>
        <v/>
      </c>
      <c r="AB183" s="61" t="str">
        <f t="shared" si="76"/>
        <v/>
      </c>
      <c r="AC183" s="61" t="str">
        <f t="shared" si="77"/>
        <v/>
      </c>
      <c r="AD183" s="61"/>
      <c r="AE183" s="61" t="str">
        <f t="shared" si="78"/>
        <v/>
      </c>
      <c r="AF183" s="61" t="str">
        <f t="shared" si="79"/>
        <v/>
      </c>
      <c r="AG183" s="61" t="str">
        <f t="shared" si="80"/>
        <v/>
      </c>
    </row>
    <row r="184" spans="1:33" x14ac:dyDescent="0.25">
      <c r="A184" s="36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56" t="str">
        <f t="shared" si="68"/>
        <v/>
      </c>
      <c r="O184" s="13" t="str">
        <f>IF(A184="","",IF(N184="",INDEX(_ゴミ箱_Backup!$B$89:$D$89,1,MATCH(言語切替!$B$3,_ゴミ箱_Backup!$B$1:$D$1,0)),IF(N184&gt;=1,INDEX(_ゴミ箱_Backup!$B$93:$D$93,1,MATCH(言語切替!$B$3,_ゴミ箱_Backup!$B$1:$D$1,0)),IF(N184&gt;=0.8,INDEX(_ゴミ箱_Backup!$B$91:$D$91,1,MATCH(言語切替!$B$3,_ゴミ箱_Backup!$B$1:$D$1,0)),INDEX(_ゴミ箱_Backup!$B$94:$D$94,1,MATCH(言語切替!$B$3,_ゴミ箱_Backup!$B$1:$D$1,0))))))</f>
        <v/>
      </c>
      <c r="P184" s="38"/>
      <c r="Q184" s="37"/>
      <c r="R184" s="39"/>
      <c r="S184" s="61" t="str">
        <f t="shared" si="69"/>
        <v/>
      </c>
      <c r="T184" s="61" t="str">
        <f t="shared" si="70"/>
        <v/>
      </c>
      <c r="U184" s="61" t="str">
        <f t="shared" si="71"/>
        <v/>
      </c>
      <c r="V184" s="61" t="str">
        <f t="shared" si="72"/>
        <v/>
      </c>
      <c r="W184" s="61" t="str">
        <f t="shared" si="73"/>
        <v/>
      </c>
      <c r="X184" s="61"/>
      <c r="Y184" s="61" t="str">
        <f t="shared" si="74"/>
        <v/>
      </c>
      <c r="Z184" s="61"/>
      <c r="AA184" s="61" t="str">
        <f t="shared" si="75"/>
        <v/>
      </c>
      <c r="AB184" s="61" t="str">
        <f t="shared" si="76"/>
        <v/>
      </c>
      <c r="AC184" s="61" t="str">
        <f t="shared" si="77"/>
        <v/>
      </c>
      <c r="AD184" s="61"/>
      <c r="AE184" s="61" t="str">
        <f t="shared" si="78"/>
        <v/>
      </c>
      <c r="AF184" s="61" t="str">
        <f t="shared" si="79"/>
        <v/>
      </c>
      <c r="AG184" s="61" t="str">
        <f t="shared" si="80"/>
        <v/>
      </c>
    </row>
    <row r="185" spans="1:33" x14ac:dyDescent="0.25">
      <c r="A185" s="40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57" t="str">
        <f t="shared" si="68"/>
        <v/>
      </c>
      <c r="O185" s="16" t="str">
        <f>IF(A185="","",IF(N185="",INDEX(_ゴミ箱_Backup!$B$89:$D$89,1,MATCH(言語切替!$B$3,_ゴミ箱_Backup!$B$1:$D$1,0)),IF(N185&gt;=1,INDEX(_ゴミ箱_Backup!$B$93:$D$93,1,MATCH(言語切替!$B$3,_ゴミ箱_Backup!$B$1:$D$1,0)),IF(N185&gt;=0.8,INDEX(_ゴミ箱_Backup!$B$91:$D$91,1,MATCH(言語切替!$B$3,_ゴミ箱_Backup!$B$1:$D$1,0)),INDEX(_ゴミ箱_Backup!$B$94:$D$94,1,MATCH(言語切替!$B$3,_ゴミ箱_Backup!$B$1:$D$1,0))))))</f>
        <v/>
      </c>
      <c r="P185" s="42"/>
      <c r="Q185" s="41"/>
      <c r="R185" s="43"/>
      <c r="S185" s="61" t="str">
        <f t="shared" si="69"/>
        <v/>
      </c>
      <c r="T185" s="61" t="str">
        <f t="shared" si="70"/>
        <v/>
      </c>
      <c r="U185" s="61" t="str">
        <f t="shared" si="71"/>
        <v/>
      </c>
      <c r="V185" s="61" t="str">
        <f t="shared" si="72"/>
        <v/>
      </c>
      <c r="W185" s="61" t="str">
        <f t="shared" si="73"/>
        <v/>
      </c>
      <c r="X185" s="61"/>
      <c r="Y185" s="61" t="str">
        <f t="shared" si="74"/>
        <v/>
      </c>
      <c r="Z185" s="61"/>
      <c r="AA185" s="61" t="str">
        <f t="shared" si="75"/>
        <v/>
      </c>
      <c r="AB185" s="61" t="str">
        <f t="shared" si="76"/>
        <v/>
      </c>
      <c r="AC185" s="61" t="str">
        <f t="shared" si="77"/>
        <v/>
      </c>
      <c r="AD185" s="61"/>
      <c r="AE185" s="61" t="str">
        <f t="shared" si="78"/>
        <v/>
      </c>
      <c r="AF185" s="61" t="str">
        <f t="shared" si="79"/>
        <v/>
      </c>
      <c r="AG185" s="61" t="str">
        <f t="shared" si="80"/>
        <v/>
      </c>
    </row>
    <row r="186" spans="1:33" x14ac:dyDescent="0.25">
      <c r="A186" s="36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56" t="str">
        <f t="shared" si="68"/>
        <v/>
      </c>
      <c r="O186" s="13" t="str">
        <f>IF(A186="","",IF(N186="",INDEX(_ゴミ箱_Backup!$B$89:$D$89,1,MATCH(言語切替!$B$3,_ゴミ箱_Backup!$B$1:$D$1,0)),IF(N186&gt;=1,INDEX(_ゴミ箱_Backup!$B$93:$D$93,1,MATCH(言語切替!$B$3,_ゴミ箱_Backup!$B$1:$D$1,0)),IF(N186&gt;=0.8,INDEX(_ゴミ箱_Backup!$B$91:$D$91,1,MATCH(言語切替!$B$3,_ゴミ箱_Backup!$B$1:$D$1,0)),INDEX(_ゴミ箱_Backup!$B$94:$D$94,1,MATCH(言語切替!$B$3,_ゴミ箱_Backup!$B$1:$D$1,0))))))</f>
        <v/>
      </c>
      <c r="P186" s="38"/>
      <c r="Q186" s="37"/>
      <c r="R186" s="39"/>
      <c r="S186" s="61" t="str">
        <f t="shared" si="69"/>
        <v/>
      </c>
      <c r="T186" s="61" t="str">
        <f t="shared" si="70"/>
        <v/>
      </c>
      <c r="U186" s="61" t="str">
        <f t="shared" si="71"/>
        <v/>
      </c>
      <c r="V186" s="61" t="str">
        <f t="shared" si="72"/>
        <v/>
      </c>
      <c r="W186" s="61" t="str">
        <f t="shared" si="73"/>
        <v/>
      </c>
      <c r="X186" s="61"/>
      <c r="Y186" s="61" t="str">
        <f t="shared" si="74"/>
        <v/>
      </c>
      <c r="Z186" s="61"/>
      <c r="AA186" s="61" t="str">
        <f t="shared" si="75"/>
        <v/>
      </c>
      <c r="AB186" s="61" t="str">
        <f t="shared" si="76"/>
        <v/>
      </c>
      <c r="AC186" s="61" t="str">
        <f t="shared" si="77"/>
        <v/>
      </c>
      <c r="AD186" s="61"/>
      <c r="AE186" s="61" t="str">
        <f t="shared" si="78"/>
        <v/>
      </c>
      <c r="AF186" s="61" t="str">
        <f t="shared" si="79"/>
        <v/>
      </c>
      <c r="AG186" s="61" t="str">
        <f t="shared" si="80"/>
        <v/>
      </c>
    </row>
    <row r="187" spans="1:33" x14ac:dyDescent="0.25">
      <c r="A187" s="40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57" t="str">
        <f t="shared" si="68"/>
        <v/>
      </c>
      <c r="O187" s="16" t="str">
        <f>IF(A187="","",IF(N187="",INDEX(_ゴミ箱_Backup!$B$89:$D$89,1,MATCH(言語切替!$B$3,_ゴミ箱_Backup!$B$1:$D$1,0)),IF(N187&gt;=1,INDEX(_ゴミ箱_Backup!$B$93:$D$93,1,MATCH(言語切替!$B$3,_ゴミ箱_Backup!$B$1:$D$1,0)),IF(N187&gt;=0.8,INDEX(_ゴミ箱_Backup!$B$91:$D$91,1,MATCH(言語切替!$B$3,_ゴミ箱_Backup!$B$1:$D$1,0)),INDEX(_ゴミ箱_Backup!$B$94:$D$94,1,MATCH(言語切替!$B$3,_ゴミ箱_Backup!$B$1:$D$1,0))))))</f>
        <v/>
      </c>
      <c r="P187" s="42"/>
      <c r="Q187" s="41"/>
      <c r="R187" s="43"/>
      <c r="S187" s="61" t="str">
        <f t="shared" si="69"/>
        <v/>
      </c>
      <c r="T187" s="61" t="str">
        <f t="shared" si="70"/>
        <v/>
      </c>
      <c r="U187" s="61" t="str">
        <f t="shared" si="71"/>
        <v/>
      </c>
      <c r="V187" s="61" t="str">
        <f t="shared" si="72"/>
        <v/>
      </c>
      <c r="W187" s="61" t="str">
        <f t="shared" si="73"/>
        <v/>
      </c>
      <c r="X187" s="61"/>
      <c r="Y187" s="61" t="str">
        <f t="shared" si="74"/>
        <v/>
      </c>
      <c r="Z187" s="61"/>
      <c r="AA187" s="61" t="str">
        <f t="shared" si="75"/>
        <v/>
      </c>
      <c r="AB187" s="61" t="str">
        <f t="shared" si="76"/>
        <v/>
      </c>
      <c r="AC187" s="61" t="str">
        <f t="shared" si="77"/>
        <v/>
      </c>
      <c r="AD187" s="61"/>
      <c r="AE187" s="61" t="str">
        <f t="shared" si="78"/>
        <v/>
      </c>
      <c r="AF187" s="61" t="str">
        <f t="shared" si="79"/>
        <v/>
      </c>
      <c r="AG187" s="61" t="str">
        <f t="shared" si="80"/>
        <v/>
      </c>
    </row>
    <row r="188" spans="1:33" x14ac:dyDescent="0.25">
      <c r="A188" s="36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56" t="str">
        <f t="shared" si="68"/>
        <v/>
      </c>
      <c r="O188" s="13" t="str">
        <f>IF(A188="","",IF(N188="",INDEX(_ゴミ箱_Backup!$B$89:$D$89,1,MATCH(言語切替!$B$3,_ゴミ箱_Backup!$B$1:$D$1,0)),IF(N188&gt;=1,INDEX(_ゴミ箱_Backup!$B$93:$D$93,1,MATCH(言語切替!$B$3,_ゴミ箱_Backup!$B$1:$D$1,0)),IF(N188&gt;=0.8,INDEX(_ゴミ箱_Backup!$B$91:$D$91,1,MATCH(言語切替!$B$3,_ゴミ箱_Backup!$B$1:$D$1,0)),INDEX(_ゴミ箱_Backup!$B$94:$D$94,1,MATCH(言語切替!$B$3,_ゴミ箱_Backup!$B$1:$D$1,0))))))</f>
        <v/>
      </c>
      <c r="P188" s="38"/>
      <c r="Q188" s="37"/>
      <c r="R188" s="39"/>
      <c r="S188" s="61" t="str">
        <f t="shared" si="69"/>
        <v/>
      </c>
      <c r="T188" s="61" t="str">
        <f t="shared" si="70"/>
        <v/>
      </c>
      <c r="U188" s="61" t="str">
        <f t="shared" si="71"/>
        <v/>
      </c>
      <c r="V188" s="61" t="str">
        <f t="shared" si="72"/>
        <v/>
      </c>
      <c r="W188" s="61" t="str">
        <f t="shared" si="73"/>
        <v/>
      </c>
      <c r="X188" s="61"/>
      <c r="Y188" s="61" t="str">
        <f t="shared" si="74"/>
        <v/>
      </c>
      <c r="Z188" s="61"/>
      <c r="AA188" s="61" t="str">
        <f t="shared" si="75"/>
        <v/>
      </c>
      <c r="AB188" s="61" t="str">
        <f t="shared" si="76"/>
        <v/>
      </c>
      <c r="AC188" s="61" t="str">
        <f t="shared" si="77"/>
        <v/>
      </c>
      <c r="AD188" s="61"/>
      <c r="AE188" s="61" t="str">
        <f t="shared" si="78"/>
        <v/>
      </c>
      <c r="AF188" s="61" t="str">
        <f t="shared" si="79"/>
        <v/>
      </c>
      <c r="AG188" s="61" t="str">
        <f t="shared" si="80"/>
        <v/>
      </c>
    </row>
    <row r="189" spans="1:33" x14ac:dyDescent="0.25">
      <c r="A189" s="40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57" t="str">
        <f t="shared" si="68"/>
        <v/>
      </c>
      <c r="O189" s="16" t="str">
        <f>IF(A189="","",IF(N189="",INDEX(_ゴミ箱_Backup!$B$89:$D$89,1,MATCH(言語切替!$B$3,_ゴミ箱_Backup!$B$1:$D$1,0)),IF(N189&gt;=1,INDEX(_ゴミ箱_Backup!$B$93:$D$93,1,MATCH(言語切替!$B$3,_ゴミ箱_Backup!$B$1:$D$1,0)),IF(N189&gt;=0.8,INDEX(_ゴミ箱_Backup!$B$91:$D$91,1,MATCH(言語切替!$B$3,_ゴミ箱_Backup!$B$1:$D$1,0)),INDEX(_ゴミ箱_Backup!$B$94:$D$94,1,MATCH(言語切替!$B$3,_ゴミ箱_Backup!$B$1:$D$1,0))))))</f>
        <v/>
      </c>
      <c r="P189" s="42"/>
      <c r="Q189" s="41"/>
      <c r="R189" s="43"/>
      <c r="S189" s="61" t="str">
        <f t="shared" si="69"/>
        <v/>
      </c>
      <c r="T189" s="61" t="str">
        <f t="shared" si="70"/>
        <v/>
      </c>
      <c r="U189" s="61" t="str">
        <f t="shared" si="71"/>
        <v/>
      </c>
      <c r="V189" s="61" t="str">
        <f t="shared" si="72"/>
        <v/>
      </c>
      <c r="W189" s="61" t="str">
        <f t="shared" si="73"/>
        <v/>
      </c>
      <c r="X189" s="61"/>
      <c r="Y189" s="61" t="str">
        <f t="shared" si="74"/>
        <v/>
      </c>
      <c r="Z189" s="61"/>
      <c r="AA189" s="61" t="str">
        <f t="shared" si="75"/>
        <v/>
      </c>
      <c r="AB189" s="61" t="str">
        <f t="shared" si="76"/>
        <v/>
      </c>
      <c r="AC189" s="61" t="str">
        <f t="shared" si="77"/>
        <v/>
      </c>
      <c r="AD189" s="61"/>
      <c r="AE189" s="61" t="str">
        <f t="shared" si="78"/>
        <v/>
      </c>
      <c r="AF189" s="61" t="str">
        <f t="shared" si="79"/>
        <v/>
      </c>
      <c r="AG189" s="61" t="str">
        <f t="shared" si="80"/>
        <v/>
      </c>
    </row>
    <row r="190" spans="1:33" x14ac:dyDescent="0.25">
      <c r="A190" s="36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56" t="str">
        <f t="shared" si="68"/>
        <v/>
      </c>
      <c r="O190" s="13" t="str">
        <f>IF(A190="","",IF(N190="",INDEX(_ゴミ箱_Backup!$B$89:$D$89,1,MATCH(言語切替!$B$3,_ゴミ箱_Backup!$B$1:$D$1,0)),IF(N190&gt;=1,INDEX(_ゴミ箱_Backup!$B$93:$D$93,1,MATCH(言語切替!$B$3,_ゴミ箱_Backup!$B$1:$D$1,0)),IF(N190&gt;=0.8,INDEX(_ゴミ箱_Backup!$B$91:$D$91,1,MATCH(言語切替!$B$3,_ゴミ箱_Backup!$B$1:$D$1,0)),INDEX(_ゴミ箱_Backup!$B$94:$D$94,1,MATCH(言語切替!$B$3,_ゴミ箱_Backup!$B$1:$D$1,0))))))</f>
        <v/>
      </c>
      <c r="P190" s="38"/>
      <c r="Q190" s="37"/>
      <c r="R190" s="39"/>
      <c r="S190" s="61" t="str">
        <f t="shared" si="69"/>
        <v/>
      </c>
      <c r="T190" s="61" t="str">
        <f t="shared" si="70"/>
        <v/>
      </c>
      <c r="U190" s="61" t="str">
        <f t="shared" si="71"/>
        <v/>
      </c>
      <c r="V190" s="61" t="str">
        <f t="shared" si="72"/>
        <v/>
      </c>
      <c r="W190" s="61" t="str">
        <f t="shared" si="73"/>
        <v/>
      </c>
      <c r="X190" s="61"/>
      <c r="Y190" s="61" t="str">
        <f t="shared" si="74"/>
        <v/>
      </c>
      <c r="Z190" s="61"/>
      <c r="AA190" s="61" t="str">
        <f t="shared" si="75"/>
        <v/>
      </c>
      <c r="AB190" s="61" t="str">
        <f t="shared" si="76"/>
        <v/>
      </c>
      <c r="AC190" s="61" t="str">
        <f t="shared" si="77"/>
        <v/>
      </c>
      <c r="AD190" s="61"/>
      <c r="AE190" s="61" t="str">
        <f t="shared" si="78"/>
        <v/>
      </c>
      <c r="AF190" s="61" t="str">
        <f t="shared" si="79"/>
        <v/>
      </c>
      <c r="AG190" s="61" t="str">
        <f t="shared" si="80"/>
        <v/>
      </c>
    </row>
    <row r="191" spans="1:33" x14ac:dyDescent="0.25">
      <c r="A191" s="40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57" t="str">
        <f t="shared" si="68"/>
        <v/>
      </c>
      <c r="O191" s="16" t="str">
        <f>IF(A191="","",IF(N191="",INDEX(_ゴミ箱_Backup!$B$89:$D$89,1,MATCH(言語切替!$B$3,_ゴミ箱_Backup!$B$1:$D$1,0)),IF(N191&gt;=1,INDEX(_ゴミ箱_Backup!$B$93:$D$93,1,MATCH(言語切替!$B$3,_ゴミ箱_Backup!$B$1:$D$1,0)),IF(N191&gt;=0.8,INDEX(_ゴミ箱_Backup!$B$91:$D$91,1,MATCH(言語切替!$B$3,_ゴミ箱_Backup!$B$1:$D$1,0)),INDEX(_ゴミ箱_Backup!$B$94:$D$94,1,MATCH(言語切替!$B$3,_ゴミ箱_Backup!$B$1:$D$1,0))))))</f>
        <v/>
      </c>
      <c r="P191" s="42"/>
      <c r="Q191" s="41"/>
      <c r="R191" s="43"/>
      <c r="S191" s="61" t="str">
        <f t="shared" si="69"/>
        <v/>
      </c>
      <c r="T191" s="61" t="str">
        <f t="shared" si="70"/>
        <v/>
      </c>
      <c r="U191" s="61" t="str">
        <f t="shared" si="71"/>
        <v/>
      </c>
      <c r="V191" s="61" t="str">
        <f t="shared" si="72"/>
        <v/>
      </c>
      <c r="W191" s="61" t="str">
        <f t="shared" si="73"/>
        <v/>
      </c>
      <c r="X191" s="61"/>
      <c r="Y191" s="61" t="str">
        <f t="shared" si="74"/>
        <v/>
      </c>
      <c r="Z191" s="61"/>
      <c r="AA191" s="61" t="str">
        <f t="shared" si="75"/>
        <v/>
      </c>
      <c r="AB191" s="61" t="str">
        <f t="shared" si="76"/>
        <v/>
      </c>
      <c r="AC191" s="61" t="str">
        <f t="shared" si="77"/>
        <v/>
      </c>
      <c r="AD191" s="61"/>
      <c r="AE191" s="61" t="str">
        <f t="shared" si="78"/>
        <v/>
      </c>
      <c r="AF191" s="61" t="str">
        <f t="shared" si="79"/>
        <v/>
      </c>
      <c r="AG191" s="61" t="str">
        <f t="shared" si="80"/>
        <v/>
      </c>
    </row>
    <row r="192" spans="1:33" x14ac:dyDescent="0.25">
      <c r="A192" s="36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56" t="str">
        <f t="shared" si="68"/>
        <v/>
      </c>
      <c r="O192" s="13" t="str">
        <f>IF(A192="","",IF(N192="",INDEX(_ゴミ箱_Backup!$B$89:$D$89,1,MATCH(言語切替!$B$3,_ゴミ箱_Backup!$B$1:$D$1,0)),IF(N192&gt;=1,INDEX(_ゴミ箱_Backup!$B$93:$D$93,1,MATCH(言語切替!$B$3,_ゴミ箱_Backup!$B$1:$D$1,0)),IF(N192&gt;=0.8,INDEX(_ゴミ箱_Backup!$B$91:$D$91,1,MATCH(言語切替!$B$3,_ゴミ箱_Backup!$B$1:$D$1,0)),INDEX(_ゴミ箱_Backup!$B$94:$D$94,1,MATCH(言語切替!$B$3,_ゴミ箱_Backup!$B$1:$D$1,0))))))</f>
        <v/>
      </c>
      <c r="P192" s="38"/>
      <c r="Q192" s="37"/>
      <c r="R192" s="39"/>
      <c r="S192" s="61" t="str">
        <f t="shared" si="69"/>
        <v/>
      </c>
      <c r="T192" s="61" t="str">
        <f t="shared" si="70"/>
        <v/>
      </c>
      <c r="U192" s="61" t="str">
        <f t="shared" si="71"/>
        <v/>
      </c>
      <c r="V192" s="61" t="str">
        <f t="shared" si="72"/>
        <v/>
      </c>
      <c r="W192" s="61" t="str">
        <f t="shared" si="73"/>
        <v/>
      </c>
      <c r="X192" s="61"/>
      <c r="Y192" s="61" t="str">
        <f t="shared" si="74"/>
        <v/>
      </c>
      <c r="Z192" s="61"/>
      <c r="AA192" s="61" t="str">
        <f t="shared" si="75"/>
        <v/>
      </c>
      <c r="AB192" s="61" t="str">
        <f t="shared" si="76"/>
        <v/>
      </c>
      <c r="AC192" s="61" t="str">
        <f t="shared" si="77"/>
        <v/>
      </c>
      <c r="AD192" s="61"/>
      <c r="AE192" s="61" t="str">
        <f t="shared" si="78"/>
        <v/>
      </c>
      <c r="AF192" s="61" t="str">
        <f t="shared" si="79"/>
        <v/>
      </c>
      <c r="AG192" s="61" t="str">
        <f t="shared" si="80"/>
        <v/>
      </c>
    </row>
    <row r="193" spans="1:33" x14ac:dyDescent="0.25">
      <c r="A193" s="40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57" t="str">
        <f t="shared" si="68"/>
        <v/>
      </c>
      <c r="O193" s="16" t="str">
        <f>IF(A193="","",IF(N193="",INDEX(_ゴミ箱_Backup!$B$89:$D$89,1,MATCH(言語切替!$B$3,_ゴミ箱_Backup!$B$1:$D$1,0)),IF(N193&gt;=1,INDEX(_ゴミ箱_Backup!$B$93:$D$93,1,MATCH(言語切替!$B$3,_ゴミ箱_Backup!$B$1:$D$1,0)),IF(N193&gt;=0.8,INDEX(_ゴミ箱_Backup!$B$91:$D$91,1,MATCH(言語切替!$B$3,_ゴミ箱_Backup!$B$1:$D$1,0)),INDEX(_ゴミ箱_Backup!$B$94:$D$94,1,MATCH(言語切替!$B$3,_ゴミ箱_Backup!$B$1:$D$1,0))))))</f>
        <v/>
      </c>
      <c r="P193" s="42"/>
      <c r="Q193" s="41"/>
      <c r="R193" s="43"/>
      <c r="S193" s="61" t="str">
        <f t="shared" si="69"/>
        <v/>
      </c>
      <c r="T193" s="61" t="str">
        <f t="shared" si="70"/>
        <v/>
      </c>
      <c r="U193" s="61" t="str">
        <f t="shared" si="71"/>
        <v/>
      </c>
      <c r="V193" s="61" t="str">
        <f t="shared" si="72"/>
        <v/>
      </c>
      <c r="W193" s="61" t="str">
        <f t="shared" si="73"/>
        <v/>
      </c>
      <c r="X193" s="61"/>
      <c r="Y193" s="61" t="str">
        <f t="shared" si="74"/>
        <v/>
      </c>
      <c r="Z193" s="61"/>
      <c r="AA193" s="61" t="str">
        <f t="shared" si="75"/>
        <v/>
      </c>
      <c r="AB193" s="61" t="str">
        <f t="shared" si="76"/>
        <v/>
      </c>
      <c r="AC193" s="61" t="str">
        <f t="shared" si="77"/>
        <v/>
      </c>
      <c r="AD193" s="61"/>
      <c r="AE193" s="61" t="str">
        <f t="shared" si="78"/>
        <v/>
      </c>
      <c r="AF193" s="61" t="str">
        <f t="shared" si="79"/>
        <v/>
      </c>
      <c r="AG193" s="61" t="str">
        <f t="shared" si="80"/>
        <v/>
      </c>
    </row>
    <row r="194" spans="1:33" x14ac:dyDescent="0.25">
      <c r="A194" s="36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56" t="str">
        <f t="shared" si="68"/>
        <v/>
      </c>
      <c r="O194" s="13" t="str">
        <f>IF(A194="","",IF(N194="",INDEX(_ゴミ箱_Backup!$B$89:$D$89,1,MATCH(言語切替!$B$3,_ゴミ箱_Backup!$B$1:$D$1,0)),IF(N194&gt;=1,INDEX(_ゴミ箱_Backup!$B$93:$D$93,1,MATCH(言語切替!$B$3,_ゴミ箱_Backup!$B$1:$D$1,0)),IF(N194&gt;=0.8,INDEX(_ゴミ箱_Backup!$B$91:$D$91,1,MATCH(言語切替!$B$3,_ゴミ箱_Backup!$B$1:$D$1,0)),INDEX(_ゴミ箱_Backup!$B$94:$D$94,1,MATCH(言語切替!$B$3,_ゴミ箱_Backup!$B$1:$D$1,0))))))</f>
        <v/>
      </c>
      <c r="P194" s="38"/>
      <c r="Q194" s="37"/>
      <c r="R194" s="39"/>
      <c r="S194" s="61" t="str">
        <f t="shared" si="69"/>
        <v/>
      </c>
      <c r="T194" s="61" t="str">
        <f t="shared" si="70"/>
        <v/>
      </c>
      <c r="U194" s="61" t="str">
        <f t="shared" si="71"/>
        <v/>
      </c>
      <c r="V194" s="61" t="str">
        <f t="shared" si="72"/>
        <v/>
      </c>
      <c r="W194" s="61" t="str">
        <f t="shared" si="73"/>
        <v/>
      </c>
      <c r="X194" s="61"/>
      <c r="Y194" s="61" t="str">
        <f t="shared" si="74"/>
        <v/>
      </c>
      <c r="Z194" s="61"/>
      <c r="AA194" s="61" t="str">
        <f t="shared" si="75"/>
        <v/>
      </c>
      <c r="AB194" s="61" t="str">
        <f t="shared" si="76"/>
        <v/>
      </c>
      <c r="AC194" s="61" t="str">
        <f t="shared" si="77"/>
        <v/>
      </c>
      <c r="AD194" s="61"/>
      <c r="AE194" s="61" t="str">
        <f t="shared" si="78"/>
        <v/>
      </c>
      <c r="AF194" s="61" t="str">
        <f t="shared" si="79"/>
        <v/>
      </c>
      <c r="AG194" s="61" t="str">
        <f t="shared" si="80"/>
        <v/>
      </c>
    </row>
    <row r="195" spans="1:33" x14ac:dyDescent="0.25">
      <c r="A195" s="40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57" t="str">
        <f t="shared" si="68"/>
        <v/>
      </c>
      <c r="O195" s="16" t="str">
        <f>IF(A195="","",IF(N195="",INDEX(_ゴミ箱_Backup!$B$89:$D$89,1,MATCH(言語切替!$B$3,_ゴミ箱_Backup!$B$1:$D$1,0)),IF(N195&gt;=1,INDEX(_ゴミ箱_Backup!$B$93:$D$93,1,MATCH(言語切替!$B$3,_ゴミ箱_Backup!$B$1:$D$1,0)),IF(N195&gt;=0.8,INDEX(_ゴミ箱_Backup!$B$91:$D$91,1,MATCH(言語切替!$B$3,_ゴミ箱_Backup!$B$1:$D$1,0)),INDEX(_ゴミ箱_Backup!$B$94:$D$94,1,MATCH(言語切替!$B$3,_ゴミ箱_Backup!$B$1:$D$1,0))))))</f>
        <v/>
      </c>
      <c r="P195" s="42"/>
      <c r="Q195" s="41"/>
      <c r="R195" s="43"/>
      <c r="S195" s="61" t="str">
        <f t="shared" si="69"/>
        <v/>
      </c>
      <c r="T195" s="61" t="str">
        <f t="shared" si="70"/>
        <v/>
      </c>
      <c r="U195" s="61" t="str">
        <f t="shared" si="71"/>
        <v/>
      </c>
      <c r="V195" s="61" t="str">
        <f t="shared" si="72"/>
        <v/>
      </c>
      <c r="W195" s="61" t="str">
        <f t="shared" si="73"/>
        <v/>
      </c>
      <c r="X195" s="61"/>
      <c r="Y195" s="61" t="str">
        <f t="shared" si="74"/>
        <v/>
      </c>
      <c r="Z195" s="61"/>
      <c r="AA195" s="61" t="str">
        <f t="shared" si="75"/>
        <v/>
      </c>
      <c r="AB195" s="61" t="str">
        <f t="shared" si="76"/>
        <v/>
      </c>
      <c r="AC195" s="61" t="str">
        <f t="shared" si="77"/>
        <v/>
      </c>
      <c r="AD195" s="61"/>
      <c r="AE195" s="61" t="str">
        <f t="shared" si="78"/>
        <v/>
      </c>
      <c r="AF195" s="61" t="str">
        <f t="shared" si="79"/>
        <v/>
      </c>
      <c r="AG195" s="61" t="str">
        <f t="shared" si="80"/>
        <v/>
      </c>
    </row>
    <row r="196" spans="1:33" x14ac:dyDescent="0.25">
      <c r="A196" s="36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56" t="str">
        <f t="shared" si="68"/>
        <v/>
      </c>
      <c r="O196" s="13" t="str">
        <f>IF(A196="","",IF(N196="",INDEX(_ゴミ箱_Backup!$B$89:$D$89,1,MATCH(言語切替!$B$3,_ゴミ箱_Backup!$B$1:$D$1,0)),IF(N196&gt;=1,INDEX(_ゴミ箱_Backup!$B$93:$D$93,1,MATCH(言語切替!$B$3,_ゴミ箱_Backup!$B$1:$D$1,0)),IF(N196&gt;=0.8,INDEX(_ゴミ箱_Backup!$B$91:$D$91,1,MATCH(言語切替!$B$3,_ゴミ箱_Backup!$B$1:$D$1,0)),INDEX(_ゴミ箱_Backup!$B$94:$D$94,1,MATCH(言語切替!$B$3,_ゴミ箱_Backup!$B$1:$D$1,0))))))</f>
        <v/>
      </c>
      <c r="P196" s="38"/>
      <c r="Q196" s="37"/>
      <c r="R196" s="39"/>
      <c r="S196" s="61" t="str">
        <f t="shared" si="69"/>
        <v/>
      </c>
      <c r="T196" s="61" t="str">
        <f t="shared" si="70"/>
        <v/>
      </c>
      <c r="U196" s="61" t="str">
        <f t="shared" si="71"/>
        <v/>
      </c>
      <c r="V196" s="61" t="str">
        <f t="shared" si="72"/>
        <v/>
      </c>
      <c r="W196" s="61" t="str">
        <f t="shared" si="73"/>
        <v/>
      </c>
      <c r="X196" s="61"/>
      <c r="Y196" s="61" t="str">
        <f t="shared" si="74"/>
        <v/>
      </c>
      <c r="Z196" s="61"/>
      <c r="AA196" s="61" t="str">
        <f t="shared" si="75"/>
        <v/>
      </c>
      <c r="AB196" s="61" t="str">
        <f t="shared" si="76"/>
        <v/>
      </c>
      <c r="AC196" s="61" t="str">
        <f t="shared" si="77"/>
        <v/>
      </c>
      <c r="AD196" s="61"/>
      <c r="AE196" s="61" t="str">
        <f t="shared" si="78"/>
        <v/>
      </c>
      <c r="AF196" s="61" t="str">
        <f t="shared" si="79"/>
        <v/>
      </c>
      <c r="AG196" s="61" t="str">
        <f t="shared" si="80"/>
        <v/>
      </c>
    </row>
    <row r="197" spans="1:33" x14ac:dyDescent="0.25">
      <c r="A197" s="40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57" t="str">
        <f t="shared" ref="N197:N204" si="81">IF(OR(L197="",M197=""),"",IF(L197=0,"",M197/L197))</f>
        <v/>
      </c>
      <c r="O197" s="16" t="str">
        <f>IF(A197="","",IF(N197="",INDEX(_ゴミ箱_Backup!$B$89:$D$89,1,MATCH(言語切替!$B$3,_ゴミ箱_Backup!$B$1:$D$1,0)),IF(N197&gt;=1,INDEX(_ゴミ箱_Backup!$B$93:$D$93,1,MATCH(言語切替!$B$3,_ゴミ箱_Backup!$B$1:$D$1,0)),IF(N197&gt;=0.8,INDEX(_ゴミ箱_Backup!$B$91:$D$91,1,MATCH(言語切替!$B$3,_ゴミ箱_Backup!$B$1:$D$1,0)),INDEX(_ゴミ箱_Backup!$B$94:$D$94,1,MATCH(言語切替!$B$3,_ゴミ箱_Backup!$B$1:$D$1,0))))))</f>
        <v/>
      </c>
      <c r="P197" s="42"/>
      <c r="Q197" s="41"/>
      <c r="R197" s="43"/>
      <c r="S197" s="61" t="str">
        <f t="shared" ref="S197:S204" si="82">IF(D197="","",IFERROR(_xlfn.TRANSLATE(D197,,"ja"),""))</f>
        <v/>
      </c>
      <c r="T197" s="61" t="str">
        <f t="shared" ref="T197:T204" si="83">IF(D197="","",IFERROR(_xlfn.TRANSLATE(D197,,"zh-Hans"),""))</f>
        <v/>
      </c>
      <c r="U197" s="61" t="str">
        <f t="shared" ref="U197:U204" si="84">IF(D197="","",IFERROR(_xlfn.TRANSLATE(D197,,"vi"),""))</f>
        <v/>
      </c>
      <c r="V197" s="61" t="str">
        <f t="shared" ref="V197:V204" si="85">IF(E197="","",IFERROR(_xlfn.TRANSLATE(E197,,"ja"),""))</f>
        <v/>
      </c>
      <c r="W197" s="61" t="str">
        <f t="shared" ref="W197:W204" si="86">IF(E197="","",IFERROR(_xlfn.TRANSLATE(E197,,"zh-Hans"),""))</f>
        <v/>
      </c>
      <c r="X197" s="61"/>
      <c r="Y197" s="61" t="str">
        <f t="shared" ref="Y197:Y204" si="87">IF(F197="","",IFERROR(_xlfn.TRANSLATE(F197,,"ja"),""))</f>
        <v/>
      </c>
      <c r="Z197" s="61"/>
      <c r="AA197" s="61" t="str">
        <f t="shared" ref="AA197:AA204" si="88">IF(F197="","",IFERROR(_xlfn.TRANSLATE(F197,,"vi"),""))</f>
        <v/>
      </c>
      <c r="AB197" s="61" t="str">
        <f t="shared" ref="AB197:AB204" si="89">IF(Q197="","",IFERROR(_xlfn.TRANSLATE(Q197,,"ja"),""))</f>
        <v/>
      </c>
      <c r="AC197" s="61" t="str">
        <f t="shared" ref="AC197:AC204" si="90">IF(Q197="","",IFERROR(_xlfn.TRANSLATE(Q197,,"zh-Hans"),""))</f>
        <v/>
      </c>
      <c r="AD197" s="61"/>
      <c r="AE197" s="61" t="str">
        <f t="shared" ref="AE197:AE204" si="91">IF(R197="","",IFERROR(_xlfn.TRANSLATE(R197,,"ja"),""))</f>
        <v/>
      </c>
      <c r="AF197" s="61" t="str">
        <f t="shared" ref="AF197:AF204" si="92">IF(R197="","",IFERROR(_xlfn.TRANSLATE(R197,,"zh-Hans"),""))</f>
        <v/>
      </c>
      <c r="AG197" s="61" t="str">
        <f t="shared" ref="AG197:AG204" si="93">IF(R197="","",IFERROR(_xlfn.TRANSLATE(R197,,"vi"),""))</f>
        <v/>
      </c>
    </row>
    <row r="198" spans="1:33" x14ac:dyDescent="0.25">
      <c r="A198" s="36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56" t="str">
        <f t="shared" si="81"/>
        <v/>
      </c>
      <c r="O198" s="13" t="str">
        <f>IF(A198="","",IF(N198="",INDEX(_ゴミ箱_Backup!$B$89:$D$89,1,MATCH(言語切替!$B$3,_ゴミ箱_Backup!$B$1:$D$1,0)),IF(N198&gt;=1,INDEX(_ゴミ箱_Backup!$B$93:$D$93,1,MATCH(言語切替!$B$3,_ゴミ箱_Backup!$B$1:$D$1,0)),IF(N198&gt;=0.8,INDEX(_ゴミ箱_Backup!$B$91:$D$91,1,MATCH(言語切替!$B$3,_ゴミ箱_Backup!$B$1:$D$1,0)),INDEX(_ゴミ箱_Backup!$B$94:$D$94,1,MATCH(言語切替!$B$3,_ゴミ箱_Backup!$B$1:$D$1,0))))))</f>
        <v/>
      </c>
      <c r="P198" s="38"/>
      <c r="Q198" s="37"/>
      <c r="R198" s="39"/>
      <c r="S198" s="61" t="str">
        <f t="shared" si="82"/>
        <v/>
      </c>
      <c r="T198" s="61" t="str">
        <f t="shared" si="83"/>
        <v/>
      </c>
      <c r="U198" s="61" t="str">
        <f t="shared" si="84"/>
        <v/>
      </c>
      <c r="V198" s="61" t="str">
        <f t="shared" si="85"/>
        <v/>
      </c>
      <c r="W198" s="61" t="str">
        <f t="shared" si="86"/>
        <v/>
      </c>
      <c r="X198" s="61"/>
      <c r="Y198" s="61" t="str">
        <f t="shared" si="87"/>
        <v/>
      </c>
      <c r="Z198" s="61"/>
      <c r="AA198" s="61" t="str">
        <f t="shared" si="88"/>
        <v/>
      </c>
      <c r="AB198" s="61" t="str">
        <f t="shared" si="89"/>
        <v/>
      </c>
      <c r="AC198" s="61" t="str">
        <f t="shared" si="90"/>
        <v/>
      </c>
      <c r="AD198" s="61"/>
      <c r="AE198" s="61" t="str">
        <f t="shared" si="91"/>
        <v/>
      </c>
      <c r="AF198" s="61" t="str">
        <f t="shared" si="92"/>
        <v/>
      </c>
      <c r="AG198" s="61" t="str">
        <f t="shared" si="93"/>
        <v/>
      </c>
    </row>
    <row r="199" spans="1:33" x14ac:dyDescent="0.25">
      <c r="A199" s="40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57" t="str">
        <f t="shared" si="81"/>
        <v/>
      </c>
      <c r="O199" s="16" t="str">
        <f>IF(A199="","",IF(N199="",INDEX(_ゴミ箱_Backup!$B$89:$D$89,1,MATCH(言語切替!$B$3,_ゴミ箱_Backup!$B$1:$D$1,0)),IF(N199&gt;=1,INDEX(_ゴミ箱_Backup!$B$93:$D$93,1,MATCH(言語切替!$B$3,_ゴミ箱_Backup!$B$1:$D$1,0)),IF(N199&gt;=0.8,INDEX(_ゴミ箱_Backup!$B$91:$D$91,1,MATCH(言語切替!$B$3,_ゴミ箱_Backup!$B$1:$D$1,0)),INDEX(_ゴミ箱_Backup!$B$94:$D$94,1,MATCH(言語切替!$B$3,_ゴミ箱_Backup!$B$1:$D$1,0))))))</f>
        <v/>
      </c>
      <c r="P199" s="42"/>
      <c r="Q199" s="41"/>
      <c r="R199" s="43"/>
      <c r="S199" s="61" t="str">
        <f t="shared" si="82"/>
        <v/>
      </c>
      <c r="T199" s="61" t="str">
        <f t="shared" si="83"/>
        <v/>
      </c>
      <c r="U199" s="61" t="str">
        <f t="shared" si="84"/>
        <v/>
      </c>
      <c r="V199" s="61" t="str">
        <f t="shared" si="85"/>
        <v/>
      </c>
      <c r="W199" s="61" t="str">
        <f t="shared" si="86"/>
        <v/>
      </c>
      <c r="X199" s="61"/>
      <c r="Y199" s="61" t="str">
        <f t="shared" si="87"/>
        <v/>
      </c>
      <c r="Z199" s="61"/>
      <c r="AA199" s="61" t="str">
        <f t="shared" si="88"/>
        <v/>
      </c>
      <c r="AB199" s="61" t="str">
        <f t="shared" si="89"/>
        <v/>
      </c>
      <c r="AC199" s="61" t="str">
        <f t="shared" si="90"/>
        <v/>
      </c>
      <c r="AD199" s="61"/>
      <c r="AE199" s="61" t="str">
        <f t="shared" si="91"/>
        <v/>
      </c>
      <c r="AF199" s="61" t="str">
        <f t="shared" si="92"/>
        <v/>
      </c>
      <c r="AG199" s="61" t="str">
        <f t="shared" si="93"/>
        <v/>
      </c>
    </row>
    <row r="200" spans="1:33" x14ac:dyDescent="0.25">
      <c r="A200" s="36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56" t="str">
        <f t="shared" si="81"/>
        <v/>
      </c>
      <c r="O200" s="13" t="str">
        <f>IF(A200="","",IF(N200="",INDEX(_ゴミ箱_Backup!$B$89:$D$89,1,MATCH(言語切替!$B$3,_ゴミ箱_Backup!$B$1:$D$1,0)),IF(N200&gt;=1,INDEX(_ゴミ箱_Backup!$B$93:$D$93,1,MATCH(言語切替!$B$3,_ゴミ箱_Backup!$B$1:$D$1,0)),IF(N200&gt;=0.8,INDEX(_ゴミ箱_Backup!$B$91:$D$91,1,MATCH(言語切替!$B$3,_ゴミ箱_Backup!$B$1:$D$1,0)),INDEX(_ゴミ箱_Backup!$B$94:$D$94,1,MATCH(言語切替!$B$3,_ゴミ箱_Backup!$B$1:$D$1,0))))))</f>
        <v/>
      </c>
      <c r="P200" s="38"/>
      <c r="Q200" s="37"/>
      <c r="R200" s="39"/>
      <c r="S200" s="61" t="str">
        <f t="shared" si="82"/>
        <v/>
      </c>
      <c r="T200" s="61" t="str">
        <f t="shared" si="83"/>
        <v/>
      </c>
      <c r="U200" s="61" t="str">
        <f t="shared" si="84"/>
        <v/>
      </c>
      <c r="V200" s="61" t="str">
        <f t="shared" si="85"/>
        <v/>
      </c>
      <c r="W200" s="61" t="str">
        <f t="shared" si="86"/>
        <v/>
      </c>
      <c r="X200" s="61"/>
      <c r="Y200" s="61" t="str">
        <f t="shared" si="87"/>
        <v/>
      </c>
      <c r="Z200" s="61"/>
      <c r="AA200" s="61" t="str">
        <f t="shared" si="88"/>
        <v/>
      </c>
      <c r="AB200" s="61" t="str">
        <f t="shared" si="89"/>
        <v/>
      </c>
      <c r="AC200" s="61" t="str">
        <f t="shared" si="90"/>
        <v/>
      </c>
      <c r="AD200" s="61"/>
      <c r="AE200" s="61" t="str">
        <f t="shared" si="91"/>
        <v/>
      </c>
      <c r="AF200" s="61" t="str">
        <f t="shared" si="92"/>
        <v/>
      </c>
      <c r="AG200" s="61" t="str">
        <f t="shared" si="93"/>
        <v/>
      </c>
    </row>
    <row r="201" spans="1:33" x14ac:dyDescent="0.25">
      <c r="A201" s="40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57" t="str">
        <f t="shared" si="81"/>
        <v/>
      </c>
      <c r="O201" s="16" t="str">
        <f>IF(A201="","",IF(N201="",INDEX(_ゴミ箱_Backup!$B$89:$D$89,1,MATCH(言語切替!$B$3,_ゴミ箱_Backup!$B$1:$D$1,0)),IF(N201&gt;=1,INDEX(_ゴミ箱_Backup!$B$93:$D$93,1,MATCH(言語切替!$B$3,_ゴミ箱_Backup!$B$1:$D$1,0)),IF(N201&gt;=0.8,INDEX(_ゴミ箱_Backup!$B$91:$D$91,1,MATCH(言語切替!$B$3,_ゴミ箱_Backup!$B$1:$D$1,0)),INDEX(_ゴミ箱_Backup!$B$94:$D$94,1,MATCH(言語切替!$B$3,_ゴミ箱_Backup!$B$1:$D$1,0))))))</f>
        <v/>
      </c>
      <c r="P201" s="42"/>
      <c r="Q201" s="41"/>
      <c r="R201" s="43"/>
      <c r="S201" s="61" t="str">
        <f t="shared" si="82"/>
        <v/>
      </c>
      <c r="T201" s="61" t="str">
        <f t="shared" si="83"/>
        <v/>
      </c>
      <c r="U201" s="61" t="str">
        <f t="shared" si="84"/>
        <v/>
      </c>
      <c r="V201" s="61" t="str">
        <f t="shared" si="85"/>
        <v/>
      </c>
      <c r="W201" s="61" t="str">
        <f t="shared" si="86"/>
        <v/>
      </c>
      <c r="X201" s="61"/>
      <c r="Y201" s="61" t="str">
        <f t="shared" si="87"/>
        <v/>
      </c>
      <c r="Z201" s="61"/>
      <c r="AA201" s="61" t="str">
        <f t="shared" si="88"/>
        <v/>
      </c>
      <c r="AB201" s="61" t="str">
        <f t="shared" si="89"/>
        <v/>
      </c>
      <c r="AC201" s="61" t="str">
        <f t="shared" si="90"/>
        <v/>
      </c>
      <c r="AD201" s="61"/>
      <c r="AE201" s="61" t="str">
        <f t="shared" si="91"/>
        <v/>
      </c>
      <c r="AF201" s="61" t="str">
        <f t="shared" si="92"/>
        <v/>
      </c>
      <c r="AG201" s="61" t="str">
        <f t="shared" si="93"/>
        <v/>
      </c>
    </row>
    <row r="202" spans="1:33" x14ac:dyDescent="0.25">
      <c r="A202" s="36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56" t="str">
        <f t="shared" si="81"/>
        <v/>
      </c>
      <c r="O202" s="13" t="str">
        <f>IF(A202="","",IF(N202="",INDEX(_ゴミ箱_Backup!$B$89:$D$89,1,MATCH(言語切替!$B$3,_ゴミ箱_Backup!$B$1:$D$1,0)),IF(N202&gt;=1,INDEX(_ゴミ箱_Backup!$B$93:$D$93,1,MATCH(言語切替!$B$3,_ゴミ箱_Backup!$B$1:$D$1,0)),IF(N202&gt;=0.8,INDEX(_ゴミ箱_Backup!$B$91:$D$91,1,MATCH(言語切替!$B$3,_ゴミ箱_Backup!$B$1:$D$1,0)),INDEX(_ゴミ箱_Backup!$B$94:$D$94,1,MATCH(言語切替!$B$3,_ゴミ箱_Backup!$B$1:$D$1,0))))))</f>
        <v/>
      </c>
      <c r="P202" s="38"/>
      <c r="Q202" s="37"/>
      <c r="R202" s="39"/>
      <c r="S202" s="61" t="str">
        <f t="shared" si="82"/>
        <v/>
      </c>
      <c r="T202" s="61" t="str">
        <f t="shared" si="83"/>
        <v/>
      </c>
      <c r="U202" s="61" t="str">
        <f t="shared" si="84"/>
        <v/>
      </c>
      <c r="V202" s="61" t="str">
        <f t="shared" si="85"/>
        <v/>
      </c>
      <c r="W202" s="61" t="str">
        <f t="shared" si="86"/>
        <v/>
      </c>
      <c r="X202" s="61"/>
      <c r="Y202" s="61" t="str">
        <f t="shared" si="87"/>
        <v/>
      </c>
      <c r="Z202" s="61"/>
      <c r="AA202" s="61" t="str">
        <f t="shared" si="88"/>
        <v/>
      </c>
      <c r="AB202" s="61" t="str">
        <f t="shared" si="89"/>
        <v/>
      </c>
      <c r="AC202" s="61" t="str">
        <f t="shared" si="90"/>
        <v/>
      </c>
      <c r="AD202" s="61"/>
      <c r="AE202" s="61" t="str">
        <f t="shared" si="91"/>
        <v/>
      </c>
      <c r="AF202" s="61" t="str">
        <f t="shared" si="92"/>
        <v/>
      </c>
      <c r="AG202" s="61" t="str">
        <f t="shared" si="93"/>
        <v/>
      </c>
    </row>
    <row r="203" spans="1:33" x14ac:dyDescent="0.25">
      <c r="A203" s="40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57" t="str">
        <f t="shared" si="81"/>
        <v/>
      </c>
      <c r="O203" s="16" t="str">
        <f>IF(A203="","",IF(N203="",INDEX(_ゴミ箱_Backup!$B$89:$D$89,1,MATCH(言語切替!$B$3,_ゴミ箱_Backup!$B$1:$D$1,0)),IF(N203&gt;=1,INDEX(_ゴミ箱_Backup!$B$93:$D$93,1,MATCH(言語切替!$B$3,_ゴミ箱_Backup!$B$1:$D$1,0)),IF(N203&gt;=0.8,INDEX(_ゴミ箱_Backup!$B$91:$D$91,1,MATCH(言語切替!$B$3,_ゴミ箱_Backup!$B$1:$D$1,0)),INDEX(_ゴミ箱_Backup!$B$94:$D$94,1,MATCH(言語切替!$B$3,_ゴミ箱_Backup!$B$1:$D$1,0))))))</f>
        <v/>
      </c>
      <c r="P203" s="42"/>
      <c r="Q203" s="41"/>
      <c r="R203" s="43"/>
      <c r="S203" s="61" t="str">
        <f t="shared" si="82"/>
        <v/>
      </c>
      <c r="T203" s="61" t="str">
        <f t="shared" si="83"/>
        <v/>
      </c>
      <c r="U203" s="61" t="str">
        <f t="shared" si="84"/>
        <v/>
      </c>
      <c r="V203" s="61" t="str">
        <f t="shared" si="85"/>
        <v/>
      </c>
      <c r="W203" s="61" t="str">
        <f t="shared" si="86"/>
        <v/>
      </c>
      <c r="X203" s="61"/>
      <c r="Y203" s="61" t="str">
        <f t="shared" si="87"/>
        <v/>
      </c>
      <c r="Z203" s="61"/>
      <c r="AA203" s="61" t="str">
        <f t="shared" si="88"/>
        <v/>
      </c>
      <c r="AB203" s="61" t="str">
        <f t="shared" si="89"/>
        <v/>
      </c>
      <c r="AC203" s="61" t="str">
        <f t="shared" si="90"/>
        <v/>
      </c>
      <c r="AD203" s="61"/>
      <c r="AE203" s="61" t="str">
        <f t="shared" si="91"/>
        <v/>
      </c>
      <c r="AF203" s="61" t="str">
        <f t="shared" si="92"/>
        <v/>
      </c>
      <c r="AG203" s="61" t="str">
        <f t="shared" si="93"/>
        <v/>
      </c>
    </row>
    <row r="204" spans="1:33" x14ac:dyDescent="0.25">
      <c r="A204" s="44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58" t="str">
        <f t="shared" si="81"/>
        <v/>
      </c>
      <c r="O204" s="19" t="str">
        <f>IF(A204="","",IF(N204="",INDEX(_ゴミ箱_Backup!$B$89:$D$89,1,MATCH(言語切替!$B$3,_ゴミ箱_Backup!$B$1:$D$1,0)),IF(N204&gt;=1,INDEX(_ゴミ箱_Backup!$B$93:$D$93,1,MATCH(言語切替!$B$3,_ゴミ箱_Backup!$B$1:$D$1,0)),IF(N204&gt;=0.8,INDEX(_ゴミ箱_Backup!$B$91:$D$91,1,MATCH(言語切替!$B$3,_ゴミ箱_Backup!$B$1:$D$1,0)),INDEX(_ゴミ箱_Backup!$B$94:$D$94,1,MATCH(言語切替!$B$3,_ゴミ箱_Backup!$B$1:$D$1,0))))))</f>
        <v/>
      </c>
      <c r="P204" s="46"/>
      <c r="Q204" s="45"/>
      <c r="R204" s="48"/>
      <c r="S204" s="61" t="str">
        <f t="shared" si="82"/>
        <v/>
      </c>
      <c r="T204" s="61" t="str">
        <f t="shared" si="83"/>
        <v/>
      </c>
      <c r="U204" s="61" t="str">
        <f t="shared" si="84"/>
        <v/>
      </c>
      <c r="V204" s="61" t="str">
        <f t="shared" si="85"/>
        <v/>
      </c>
      <c r="W204" s="61" t="str">
        <f t="shared" si="86"/>
        <v/>
      </c>
      <c r="X204" s="61"/>
      <c r="Y204" s="61" t="str">
        <f t="shared" si="87"/>
        <v/>
      </c>
      <c r="Z204" s="61"/>
      <c r="AA204" s="61" t="str">
        <f t="shared" si="88"/>
        <v/>
      </c>
      <c r="AB204" s="61" t="str">
        <f t="shared" si="89"/>
        <v/>
      </c>
      <c r="AC204" s="61" t="str">
        <f t="shared" si="90"/>
        <v/>
      </c>
      <c r="AD204" s="61"/>
      <c r="AE204" s="61" t="str">
        <f t="shared" si="91"/>
        <v/>
      </c>
      <c r="AF204" s="61" t="str">
        <f t="shared" si="92"/>
        <v/>
      </c>
      <c r="AG204" s="61" t="str">
        <f t="shared" si="93"/>
        <v/>
      </c>
    </row>
  </sheetData>
  <autoFilter ref="A4:R204" xr:uid="{00000000-0001-0000-0600-000000000000}"/>
  <mergeCells count="2">
    <mergeCell ref="A2:N2"/>
    <mergeCell ref="A1:N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0000000}">
          <x14:formula1>
            <xm:f>'02_マスタ'!$A$5:$A$14</xm:f>
          </x14:formula1>
          <xm:sqref>B5:B204</xm:sqref>
        </x14:dataValidation>
        <x14:dataValidation type="list" allowBlank="1" xr:uid="{00000000-0002-0000-0600-000001000000}">
          <x14:formula1>
            <xm:f>'02_マスタ'!$K$5:$K$8</xm:f>
          </x14:formula1>
          <xm:sqref>C5:C204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04"/>
  <sheetViews>
    <sheetView showGridLines="0" zoomScale="85" workbookViewId="0">
      <pane ySplit="4" topLeftCell="A5" activePane="bottomLeft" state="frozen"/>
      <selection sqref="A1:XFD1048576"/>
      <selection pane="bottomLeft" activeCell="A5" sqref="A5"/>
    </sheetView>
  </sheetViews>
  <sheetFormatPr defaultColWidth="8.75" defaultRowHeight="15.75" x14ac:dyDescent="0.25"/>
  <cols>
    <col min="1" max="2" width="12" style="1" customWidth="1"/>
    <col min="3" max="3" width="18" style="1" customWidth="1"/>
    <col min="4" max="4" width="22" style="1" customWidth="1"/>
    <col min="5" max="5" width="50" style="1" customWidth="1"/>
    <col min="6" max="6" width="36" style="1" customWidth="1"/>
    <col min="7" max="7" width="18" style="1" customWidth="1"/>
    <col min="8" max="8" width="24" style="1" customWidth="1"/>
    <col min="9" max="17" width="28.625" style="1" customWidth="1"/>
    <col min="18" max="16384" width="8.75" style="1"/>
  </cols>
  <sheetData>
    <row r="1" spans="1:17" ht="27.95" customHeight="1" x14ac:dyDescent="0.25">
      <c r="A1" s="71" t="e">
        <f>INDEX(_ゴミ箱_Backup!$B$117:$D$247,MATCH("REV_TITLE",_ゴミ箱_Backup!$A$117:$A$247,0),MATCH(言語切替!$B$3,_ゴミ箱_Backup!$B$1:$D$1,0))</f>
        <v>#N/A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7" ht="27.95" customHeight="1" x14ac:dyDescent="0.25">
      <c r="A2" s="72" t="e">
        <f>INDEX(_ゴミ箱_Backup!$B$117:$D$247,MATCH("REV_DESC",_ゴミ箱_Backup!$A$117:$A$247,0),MATCH(言語切替!$B$3,_ゴミ箱_Backup!$B$1:$D$1,0))</f>
        <v>#N/A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7" x14ac:dyDescent="0.25">
      <c r="A3" s="1" t="e">
        <f>INDEX([1]_翻訳マスタ!$B$2:$D$300,MATCH("PARA_HOWTO",[1]_翻訳マスタ!$A$2:$A$300,0),MATCH(言語切替!$B$3,[1]_翻訳マスタ!$B$1:$D$1,0))</f>
        <v>#N/A</v>
      </c>
    </row>
    <row r="4" spans="1:17" x14ac:dyDescent="0.25">
      <c r="A4" s="6" t="e">
        <f>INDEX(_ゴミ箱_Backup!$B$117:$D$247,MATCH("REV_COL_NO",_ゴミ箱_Backup!$A$117:$A$247,0),MATCH(言語切替!$B$3,_ゴミ箱_Backup!$B$1:$D$1,0))</f>
        <v>#N/A</v>
      </c>
      <c r="B4" s="7" t="e">
        <f>INDEX(_ゴミ箱_Backup!$B$117:$D$247,MATCH("REV_COL_DATE",_ゴミ箱_Backup!$A$117:$A$247,0),MATCH(言語切替!$B$3,_ゴミ箱_Backup!$B$1:$D$1,0))</f>
        <v>#N/A</v>
      </c>
      <c r="C4" s="7" t="e">
        <f>INDEX(_ゴミ箱_Backup!$B$117:$D$247,MATCH("REV_COL_AUTHOR",_ゴミ箱_Backup!$A$117:$A$247,0),MATCH(言語切替!$B$3,_ゴミ箱_Backup!$B$1:$D$1,0))</f>
        <v>#N/A</v>
      </c>
      <c r="D4" s="7" t="e">
        <f>INDEX(_ゴミ箱_Backup!$B$117:$D$247,MATCH("REV_COL_TARGET",_ゴミ箱_Backup!$A$117:$A$247,0),MATCH(言語切替!$B$3,_ゴミ箱_Backup!$B$1:$D$1,0))</f>
        <v>#N/A</v>
      </c>
      <c r="E4" s="7" t="e">
        <f>INDEX(_ゴミ箱_Backup!$B$117:$D$247,MATCH("REV_COL_CONTENT",_ゴミ箱_Backup!$A$117:$A$247,0),MATCH(言語切替!$B$3,_ゴミ箱_Backup!$B$1:$D$1,0))</f>
        <v>#N/A</v>
      </c>
      <c r="F4" s="7" t="e">
        <f>INDEX(_ゴミ箱_Backup!$B$117:$D$247,MATCH("REV_COL_REASON",_ゴミ箱_Backup!$A$117:$A$247,0),MATCH(言語切替!$B$3,_ゴミ箱_Backup!$B$1:$D$1,0))</f>
        <v>#N/A</v>
      </c>
      <c r="G4" s="7" t="e">
        <f>INDEX(_ゴミ箱_Backup!$B$117:$D$247,MATCH("REV_COL_APPROVER",_ゴミ箱_Backup!$A$117:$A$247,0),MATCH(言語切替!$B$3,_ゴミ箱_Backup!$B$1:$D$1,0))</f>
        <v>#N/A</v>
      </c>
      <c r="H4" s="8" t="e">
        <f>INDEX(_ゴミ箱_Backup!$B$117:$D$247,MATCH("REV_COL_NOTE",_ゴミ箱_Backup!$A$117:$A$247,0),MATCH(言語切替!$B$3,_ゴミ箱_Backup!$B$1:$D$1,0))</f>
        <v>#N/A</v>
      </c>
      <c r="I4" s="60" t="e">
        <f>INDEX(_ゴミ箱_Backup!$B$2:$D$300,MATCH("REV_COL_CONTENT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J4" s="60" t="e">
        <f>INDEX(_ゴミ箱_Backup!$B$2:$D$300,MATCH("REV_COL_CONTENT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K4" s="60" t="e">
        <f>INDEX(_ゴミ箱_Backup!$B$2:$D$300,MATCH("REV_COL_CONTENT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  <c r="L4" s="60" t="e">
        <f>INDEX(_ゴミ箱_Backup!$B$2:$D$300,MATCH("REV_COL_REASON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M4" s="60" t="e">
        <f>INDEX(_ゴミ箱_Backup!$B$2:$D$300,MATCH("REV_COL_REASON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N4" s="60" t="e">
        <f>INDEX(_ゴミ箱_Backup!$B$2:$D$300,MATCH("REV_COL_REASON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  <c r="O4" s="60" t="e">
        <f>INDEX(_ゴミ箱_Backup!$B$2:$D$300,MATCH("REV_COL_NOTE",_ゴミ箱_Backup!$A$2:$A$300,0),MATCH(言語切替!$B$3,_ゴミ箱_Backup!$B$1:$D$1,0))&amp;INDEX(_ゴミ箱_Backup!$B$2:$D$300,MATCH("NEW_JP_SUFFIX",_ゴミ箱_Backup!$A$2:$A$300,0),MATCH(言語切替!$B$3,_ゴミ箱_Backup!$B$1:$D$1,0))</f>
        <v>#N/A</v>
      </c>
      <c r="P4" s="60" t="e">
        <f>INDEX(_ゴミ箱_Backup!$B$2:$D$300,MATCH("REV_COL_NOTE",_ゴミ箱_Backup!$A$2:$A$300,0),MATCH(言語切替!$B$3,_ゴミ箱_Backup!$B$1:$D$1,0))&amp;INDEX(_ゴミ箱_Backup!$B$2:$D$300,MATCH("NEW_CN_SUFFIX",_ゴミ箱_Backup!$A$2:$A$300,0),MATCH(言語切替!$B$3,_ゴミ箱_Backup!$B$1:$D$1,0))</f>
        <v>#N/A</v>
      </c>
      <c r="Q4" s="60" t="e">
        <f>INDEX(_ゴミ箱_Backup!$B$2:$D$300,MATCH("REV_COL_NOTE",_ゴミ箱_Backup!$A$2:$A$300,0),MATCH(言語切替!$B$3,_ゴミ箱_Backup!$B$1:$D$1,0))&amp;INDEX(_ゴミ箱_Backup!$B$2:$D$300,MATCH("NEW_VI_SUFFIX",_ゴミ箱_Backup!$A$2:$A$300,0),MATCH(言語切替!$B$3,_ゴミ箱_Backup!$B$1:$D$1,0))</f>
        <v>#N/A</v>
      </c>
    </row>
    <row r="5" spans="1:17" x14ac:dyDescent="0.25">
      <c r="A5" s="21" t="s">
        <v>228</v>
      </c>
      <c r="B5" s="23">
        <v>46288</v>
      </c>
      <c r="C5" s="22" t="e">
        <f>INDEX(_ゴミ箱_Backup!$B$117:$D$247,MATCH("ROLE_PMO",_ゴミ箱_Backup!$A$117:$A$247,0),MATCH(言語切替!$B$3,_ゴミ箱_Backup!$B$1:$D$1,0))</f>
        <v>#N/A</v>
      </c>
      <c r="D5" s="22" t="e">
        <f>'02_マスタ'!$A$5</f>
        <v>#N/A</v>
      </c>
      <c r="E5" s="22" t="e">
        <f>INDEX(_ゴミ箱_Backup!$B$117:$D$247,MATCH("REV_EX1_CONTENT",_ゴミ箱_Backup!$A$117:$A$247,0),MATCH(言語切替!$B$3,_ゴミ箱_Backup!$B$1:$D$1,0))</f>
        <v>#N/A</v>
      </c>
      <c r="F5" s="22" t="e">
        <f>INDEX(_ゴミ箱_Backup!$B$117:$D$247,MATCH("REV_EX1_REASON",_ゴミ箱_Backup!$A$117:$A$247,0),MATCH(言語切替!$B$3,_ゴミ箱_Backup!$B$1:$D$1,0))</f>
        <v>#N/A</v>
      </c>
      <c r="G5" s="22"/>
      <c r="H5" s="25" t="e">
        <f>INDEX(_ゴミ箱_Backup!$B$117:$D$247,MATCH("COMMON_EXAMPLE",_ゴミ箱_Backup!$A$117:$A$247,0),MATCH(言語切替!$B$3,_ゴミ箱_Backup!$B$1:$D$1,0))</f>
        <v>#N/A</v>
      </c>
      <c r="I5" s="61" t="e">
        <f t="shared" ref="I5:I36" si="0">IF(E5="","",IFERROR(_xlfn.TRANSLATE(E5,,"ja"),""))</f>
        <v>#N/A</v>
      </c>
      <c r="J5" s="61" t="e">
        <f t="shared" ref="J5:J36" si="1">IF(E5="","",IFERROR(_xlfn.TRANSLATE(E5,,"zh-Hans"),""))</f>
        <v>#N/A</v>
      </c>
      <c r="K5" s="61" t="e">
        <f t="shared" ref="K5:K36" si="2">IF(E5="","",IFERROR(_xlfn.TRANSLATE(E5,,"vi"),""))</f>
        <v>#N/A</v>
      </c>
      <c r="L5" s="61" t="e">
        <f t="shared" ref="L5:L36" si="3">IF(F5="","",IFERROR(_xlfn.TRANSLATE(F5,,"ja"),""))</f>
        <v>#N/A</v>
      </c>
      <c r="M5" s="61" t="e">
        <f t="shared" ref="M5:M36" si="4">IF(F5="","",IFERROR(_xlfn.TRANSLATE(F5,,"zh-Hans"),""))</f>
        <v>#N/A</v>
      </c>
      <c r="N5" s="61" t="e">
        <f t="shared" ref="N5:N36" si="5">IF(F5="","",IFERROR(_xlfn.TRANSLATE(F5,,"vi"),""))</f>
        <v>#N/A</v>
      </c>
      <c r="O5" s="61" t="e">
        <f t="shared" ref="O5:O36" si="6">IF(H5="","",IFERROR(_xlfn.TRANSLATE(H5,,"ja"),""))</f>
        <v>#N/A</v>
      </c>
      <c r="P5" s="61" t="e">
        <f t="shared" ref="P5:P36" si="7">IF(H5="","",IFERROR(_xlfn.TRANSLATE(H5,,"zh-Hans"),""))</f>
        <v>#N/A</v>
      </c>
      <c r="Q5" s="61" t="e">
        <f t="shared" ref="Q5:Q36" si="8">IF(H5="","",IFERROR(_xlfn.TRANSLATE(H5,,"vi"),""))</f>
        <v>#N/A</v>
      </c>
    </row>
    <row r="6" spans="1:17" x14ac:dyDescent="0.25">
      <c r="A6" s="36"/>
      <c r="B6" s="38"/>
      <c r="C6" s="37"/>
      <c r="D6" s="37"/>
      <c r="E6" s="37"/>
      <c r="F6" s="37"/>
      <c r="G6" s="37"/>
      <c r="H6" s="39"/>
      <c r="I6" s="61" t="str">
        <f t="shared" si="0"/>
        <v/>
      </c>
      <c r="J6" s="61" t="str">
        <f t="shared" si="1"/>
        <v/>
      </c>
      <c r="K6" s="61" t="str">
        <f t="shared" si="2"/>
        <v/>
      </c>
      <c r="L6" s="61" t="str">
        <f t="shared" si="3"/>
        <v/>
      </c>
      <c r="M6" s="61" t="str">
        <f t="shared" si="4"/>
        <v/>
      </c>
      <c r="N6" s="61" t="str">
        <f t="shared" si="5"/>
        <v/>
      </c>
      <c r="O6" s="61" t="str">
        <f t="shared" si="6"/>
        <v/>
      </c>
      <c r="P6" s="61" t="str">
        <f t="shared" si="7"/>
        <v/>
      </c>
      <c r="Q6" s="61" t="str">
        <f t="shared" si="8"/>
        <v/>
      </c>
    </row>
    <row r="7" spans="1:17" x14ac:dyDescent="0.25">
      <c r="A7" s="40"/>
      <c r="B7" s="42"/>
      <c r="C7" s="41"/>
      <c r="D7" s="41"/>
      <c r="E7" s="41"/>
      <c r="F7" s="41"/>
      <c r="G7" s="41"/>
      <c r="H7" s="43"/>
      <c r="I7" s="61" t="str">
        <f t="shared" si="0"/>
        <v/>
      </c>
      <c r="J7" s="61" t="str">
        <f t="shared" si="1"/>
        <v/>
      </c>
      <c r="K7" s="61" t="str">
        <f t="shared" si="2"/>
        <v/>
      </c>
      <c r="L7" s="61" t="str">
        <f t="shared" si="3"/>
        <v/>
      </c>
      <c r="M7" s="61" t="str">
        <f t="shared" si="4"/>
        <v/>
      </c>
      <c r="N7" s="61" t="str">
        <f t="shared" si="5"/>
        <v/>
      </c>
      <c r="O7" s="61" t="str">
        <f t="shared" si="6"/>
        <v/>
      </c>
      <c r="P7" s="61" t="str">
        <f t="shared" si="7"/>
        <v/>
      </c>
      <c r="Q7" s="61" t="str">
        <f t="shared" si="8"/>
        <v/>
      </c>
    </row>
    <row r="8" spans="1:17" x14ac:dyDescent="0.25">
      <c r="A8" s="36"/>
      <c r="B8" s="38"/>
      <c r="C8" s="37"/>
      <c r="D8" s="37"/>
      <c r="E8" s="37"/>
      <c r="F8" s="37"/>
      <c r="G8" s="37"/>
      <c r="H8" s="39"/>
      <c r="I8" s="61" t="str">
        <f t="shared" si="0"/>
        <v/>
      </c>
      <c r="J8" s="61" t="str">
        <f t="shared" si="1"/>
        <v/>
      </c>
      <c r="K8" s="61" t="str">
        <f t="shared" si="2"/>
        <v/>
      </c>
      <c r="L8" s="61" t="str">
        <f t="shared" si="3"/>
        <v/>
      </c>
      <c r="M8" s="61" t="str">
        <f t="shared" si="4"/>
        <v/>
      </c>
      <c r="N8" s="61" t="str">
        <f t="shared" si="5"/>
        <v/>
      </c>
      <c r="O8" s="61" t="str">
        <f t="shared" si="6"/>
        <v/>
      </c>
      <c r="P8" s="61" t="str">
        <f t="shared" si="7"/>
        <v/>
      </c>
      <c r="Q8" s="61" t="str">
        <f t="shared" si="8"/>
        <v/>
      </c>
    </row>
    <row r="9" spans="1:17" x14ac:dyDescent="0.25">
      <c r="A9" s="40"/>
      <c r="B9" s="42"/>
      <c r="C9" s="41"/>
      <c r="D9" s="41"/>
      <c r="E9" s="41"/>
      <c r="F9" s="41"/>
      <c r="G9" s="41"/>
      <c r="H9" s="43"/>
      <c r="I9" s="61" t="str">
        <f t="shared" si="0"/>
        <v/>
      </c>
      <c r="J9" s="61" t="str">
        <f t="shared" si="1"/>
        <v/>
      </c>
      <c r="K9" s="61" t="str">
        <f t="shared" si="2"/>
        <v/>
      </c>
      <c r="L9" s="61" t="str">
        <f t="shared" si="3"/>
        <v/>
      </c>
      <c r="M9" s="61" t="str">
        <f t="shared" si="4"/>
        <v/>
      </c>
      <c r="N9" s="61" t="str">
        <f t="shared" si="5"/>
        <v/>
      </c>
      <c r="O9" s="61" t="str">
        <f t="shared" si="6"/>
        <v/>
      </c>
      <c r="P9" s="61" t="str">
        <f t="shared" si="7"/>
        <v/>
      </c>
      <c r="Q9" s="61" t="str">
        <f t="shared" si="8"/>
        <v/>
      </c>
    </row>
    <row r="10" spans="1:17" x14ac:dyDescent="0.25">
      <c r="A10" s="36"/>
      <c r="B10" s="38"/>
      <c r="C10" s="37"/>
      <c r="D10" s="37"/>
      <c r="E10" s="37"/>
      <c r="F10" s="37"/>
      <c r="G10" s="37"/>
      <c r="H10" s="39"/>
      <c r="I10" s="61" t="str">
        <f t="shared" si="0"/>
        <v/>
      </c>
      <c r="J10" s="61" t="str">
        <f t="shared" si="1"/>
        <v/>
      </c>
      <c r="K10" s="61" t="str">
        <f t="shared" si="2"/>
        <v/>
      </c>
      <c r="L10" s="61" t="str">
        <f t="shared" si="3"/>
        <v/>
      </c>
      <c r="M10" s="61" t="str">
        <f t="shared" si="4"/>
        <v/>
      </c>
      <c r="N10" s="61" t="str">
        <f t="shared" si="5"/>
        <v/>
      </c>
      <c r="O10" s="61" t="str">
        <f t="shared" si="6"/>
        <v/>
      </c>
      <c r="P10" s="61" t="str">
        <f t="shared" si="7"/>
        <v/>
      </c>
      <c r="Q10" s="61" t="str">
        <f t="shared" si="8"/>
        <v/>
      </c>
    </row>
    <row r="11" spans="1:17" x14ac:dyDescent="0.25">
      <c r="A11" s="40"/>
      <c r="B11" s="42"/>
      <c r="C11" s="41"/>
      <c r="D11" s="41"/>
      <c r="E11" s="41"/>
      <c r="F11" s="41"/>
      <c r="G11" s="41"/>
      <c r="H11" s="43"/>
      <c r="I11" s="61" t="str">
        <f t="shared" si="0"/>
        <v/>
      </c>
      <c r="J11" s="61" t="str">
        <f t="shared" si="1"/>
        <v/>
      </c>
      <c r="K11" s="61" t="str">
        <f t="shared" si="2"/>
        <v/>
      </c>
      <c r="L11" s="61" t="str">
        <f t="shared" si="3"/>
        <v/>
      </c>
      <c r="M11" s="61" t="str">
        <f t="shared" si="4"/>
        <v/>
      </c>
      <c r="N11" s="61" t="str">
        <f t="shared" si="5"/>
        <v/>
      </c>
      <c r="O11" s="61" t="str">
        <f t="shared" si="6"/>
        <v/>
      </c>
      <c r="P11" s="61" t="str">
        <f t="shared" si="7"/>
        <v/>
      </c>
      <c r="Q11" s="61" t="str">
        <f t="shared" si="8"/>
        <v/>
      </c>
    </row>
    <row r="12" spans="1:17" x14ac:dyDescent="0.25">
      <c r="A12" s="36"/>
      <c r="B12" s="38"/>
      <c r="C12" s="37"/>
      <c r="D12" s="37"/>
      <c r="E12" s="37"/>
      <c r="F12" s="37"/>
      <c r="G12" s="37"/>
      <c r="H12" s="39"/>
      <c r="I12" s="61" t="str">
        <f t="shared" si="0"/>
        <v/>
      </c>
      <c r="J12" s="61" t="str">
        <f t="shared" si="1"/>
        <v/>
      </c>
      <c r="K12" s="61" t="str">
        <f t="shared" si="2"/>
        <v/>
      </c>
      <c r="L12" s="61" t="str">
        <f t="shared" si="3"/>
        <v/>
      </c>
      <c r="M12" s="61" t="str">
        <f t="shared" si="4"/>
        <v/>
      </c>
      <c r="N12" s="61" t="str">
        <f t="shared" si="5"/>
        <v/>
      </c>
      <c r="O12" s="61" t="str">
        <f t="shared" si="6"/>
        <v/>
      </c>
      <c r="P12" s="61" t="str">
        <f t="shared" si="7"/>
        <v/>
      </c>
      <c r="Q12" s="61" t="str">
        <f t="shared" si="8"/>
        <v/>
      </c>
    </row>
    <row r="13" spans="1:17" x14ac:dyDescent="0.25">
      <c r="A13" s="40"/>
      <c r="B13" s="42"/>
      <c r="C13" s="41"/>
      <c r="D13" s="41"/>
      <c r="E13" s="41"/>
      <c r="F13" s="41"/>
      <c r="G13" s="41"/>
      <c r="H13" s="43"/>
      <c r="I13" s="61" t="str">
        <f t="shared" si="0"/>
        <v/>
      </c>
      <c r="J13" s="61" t="str">
        <f t="shared" si="1"/>
        <v/>
      </c>
      <c r="K13" s="61" t="str">
        <f t="shared" si="2"/>
        <v/>
      </c>
      <c r="L13" s="61" t="str">
        <f t="shared" si="3"/>
        <v/>
      </c>
      <c r="M13" s="61" t="str">
        <f t="shared" si="4"/>
        <v/>
      </c>
      <c r="N13" s="61" t="str">
        <f t="shared" si="5"/>
        <v/>
      </c>
      <c r="O13" s="61" t="str">
        <f t="shared" si="6"/>
        <v/>
      </c>
      <c r="P13" s="61" t="str">
        <f t="shared" si="7"/>
        <v/>
      </c>
      <c r="Q13" s="61" t="str">
        <f t="shared" si="8"/>
        <v/>
      </c>
    </row>
    <row r="14" spans="1:17" x14ac:dyDescent="0.25">
      <c r="A14" s="36"/>
      <c r="B14" s="38"/>
      <c r="C14" s="37"/>
      <c r="D14" s="37"/>
      <c r="E14" s="37"/>
      <c r="F14" s="37"/>
      <c r="G14" s="37"/>
      <c r="H14" s="39"/>
      <c r="I14" s="61" t="str">
        <f t="shared" si="0"/>
        <v/>
      </c>
      <c r="J14" s="61" t="str">
        <f t="shared" si="1"/>
        <v/>
      </c>
      <c r="K14" s="61" t="str">
        <f t="shared" si="2"/>
        <v/>
      </c>
      <c r="L14" s="61" t="str">
        <f t="shared" si="3"/>
        <v/>
      </c>
      <c r="M14" s="61" t="str">
        <f t="shared" si="4"/>
        <v/>
      </c>
      <c r="N14" s="61" t="str">
        <f t="shared" si="5"/>
        <v/>
      </c>
      <c r="O14" s="61" t="str">
        <f t="shared" si="6"/>
        <v/>
      </c>
      <c r="P14" s="61" t="str">
        <f t="shared" si="7"/>
        <v/>
      </c>
      <c r="Q14" s="61" t="str">
        <f t="shared" si="8"/>
        <v/>
      </c>
    </row>
    <row r="15" spans="1:17" x14ac:dyDescent="0.25">
      <c r="A15" s="40"/>
      <c r="B15" s="42"/>
      <c r="C15" s="41"/>
      <c r="D15" s="41"/>
      <c r="E15" s="41"/>
      <c r="F15" s="41"/>
      <c r="G15" s="41"/>
      <c r="H15" s="43"/>
      <c r="I15" s="61" t="str">
        <f t="shared" si="0"/>
        <v/>
      </c>
      <c r="J15" s="61" t="str">
        <f t="shared" si="1"/>
        <v/>
      </c>
      <c r="K15" s="61" t="str">
        <f t="shared" si="2"/>
        <v/>
      </c>
      <c r="L15" s="61" t="str">
        <f t="shared" si="3"/>
        <v/>
      </c>
      <c r="M15" s="61" t="str">
        <f t="shared" si="4"/>
        <v/>
      </c>
      <c r="N15" s="61" t="str">
        <f t="shared" si="5"/>
        <v/>
      </c>
      <c r="O15" s="61" t="str">
        <f t="shared" si="6"/>
        <v/>
      </c>
      <c r="P15" s="61" t="str">
        <f t="shared" si="7"/>
        <v/>
      </c>
      <c r="Q15" s="61" t="str">
        <f t="shared" si="8"/>
        <v/>
      </c>
    </row>
    <row r="16" spans="1:17" x14ac:dyDescent="0.25">
      <c r="A16" s="36"/>
      <c r="B16" s="38"/>
      <c r="C16" s="37"/>
      <c r="D16" s="37"/>
      <c r="E16" s="37"/>
      <c r="F16" s="37"/>
      <c r="G16" s="37"/>
      <c r="H16" s="39"/>
      <c r="I16" s="61" t="str">
        <f t="shared" si="0"/>
        <v/>
      </c>
      <c r="J16" s="61" t="str">
        <f t="shared" si="1"/>
        <v/>
      </c>
      <c r="K16" s="61" t="str">
        <f t="shared" si="2"/>
        <v/>
      </c>
      <c r="L16" s="61" t="str">
        <f t="shared" si="3"/>
        <v/>
      </c>
      <c r="M16" s="61" t="str">
        <f t="shared" si="4"/>
        <v/>
      </c>
      <c r="N16" s="61" t="str">
        <f t="shared" si="5"/>
        <v/>
      </c>
      <c r="O16" s="61" t="str">
        <f t="shared" si="6"/>
        <v/>
      </c>
      <c r="P16" s="61" t="str">
        <f t="shared" si="7"/>
        <v/>
      </c>
      <c r="Q16" s="61" t="str">
        <f t="shared" si="8"/>
        <v/>
      </c>
    </row>
    <row r="17" spans="1:17" x14ac:dyDescent="0.25">
      <c r="A17" s="40"/>
      <c r="B17" s="42"/>
      <c r="C17" s="41"/>
      <c r="D17" s="41"/>
      <c r="E17" s="41"/>
      <c r="F17" s="41"/>
      <c r="G17" s="41"/>
      <c r="H17" s="43"/>
      <c r="I17" s="61" t="str">
        <f t="shared" si="0"/>
        <v/>
      </c>
      <c r="J17" s="61" t="str">
        <f t="shared" si="1"/>
        <v/>
      </c>
      <c r="K17" s="61" t="str">
        <f t="shared" si="2"/>
        <v/>
      </c>
      <c r="L17" s="61" t="str">
        <f t="shared" si="3"/>
        <v/>
      </c>
      <c r="M17" s="61" t="str">
        <f t="shared" si="4"/>
        <v/>
      </c>
      <c r="N17" s="61" t="str">
        <f t="shared" si="5"/>
        <v/>
      </c>
      <c r="O17" s="61" t="str">
        <f t="shared" si="6"/>
        <v/>
      </c>
      <c r="P17" s="61" t="str">
        <f t="shared" si="7"/>
        <v/>
      </c>
      <c r="Q17" s="61" t="str">
        <f t="shared" si="8"/>
        <v/>
      </c>
    </row>
    <row r="18" spans="1:17" x14ac:dyDescent="0.25">
      <c r="A18" s="36"/>
      <c r="B18" s="38"/>
      <c r="C18" s="37"/>
      <c r="D18" s="37"/>
      <c r="E18" s="37"/>
      <c r="F18" s="37"/>
      <c r="G18" s="37"/>
      <c r="H18" s="39"/>
      <c r="I18" s="61" t="str">
        <f t="shared" si="0"/>
        <v/>
      </c>
      <c r="J18" s="61" t="str">
        <f t="shared" si="1"/>
        <v/>
      </c>
      <c r="K18" s="61" t="str">
        <f t="shared" si="2"/>
        <v/>
      </c>
      <c r="L18" s="61" t="str">
        <f t="shared" si="3"/>
        <v/>
      </c>
      <c r="M18" s="61" t="str">
        <f t="shared" si="4"/>
        <v/>
      </c>
      <c r="N18" s="61" t="str">
        <f t="shared" si="5"/>
        <v/>
      </c>
      <c r="O18" s="61" t="str">
        <f t="shared" si="6"/>
        <v/>
      </c>
      <c r="P18" s="61" t="str">
        <f t="shared" si="7"/>
        <v/>
      </c>
      <c r="Q18" s="61" t="str">
        <f t="shared" si="8"/>
        <v/>
      </c>
    </row>
    <row r="19" spans="1:17" x14ac:dyDescent="0.25">
      <c r="A19" s="40"/>
      <c r="B19" s="42"/>
      <c r="C19" s="41"/>
      <c r="D19" s="41"/>
      <c r="E19" s="41"/>
      <c r="F19" s="41"/>
      <c r="G19" s="41"/>
      <c r="H19" s="43"/>
      <c r="I19" s="61" t="str">
        <f t="shared" si="0"/>
        <v/>
      </c>
      <c r="J19" s="61" t="str">
        <f t="shared" si="1"/>
        <v/>
      </c>
      <c r="K19" s="61" t="str">
        <f t="shared" si="2"/>
        <v/>
      </c>
      <c r="L19" s="61" t="str">
        <f t="shared" si="3"/>
        <v/>
      </c>
      <c r="M19" s="61" t="str">
        <f t="shared" si="4"/>
        <v/>
      </c>
      <c r="N19" s="61" t="str">
        <f t="shared" si="5"/>
        <v/>
      </c>
      <c r="O19" s="61" t="str">
        <f t="shared" si="6"/>
        <v/>
      </c>
      <c r="P19" s="61" t="str">
        <f t="shared" si="7"/>
        <v/>
      </c>
      <c r="Q19" s="61" t="str">
        <f t="shared" si="8"/>
        <v/>
      </c>
    </row>
    <row r="20" spans="1:17" x14ac:dyDescent="0.25">
      <c r="A20" s="36"/>
      <c r="B20" s="38"/>
      <c r="C20" s="37"/>
      <c r="D20" s="37"/>
      <c r="E20" s="37"/>
      <c r="F20" s="37"/>
      <c r="G20" s="37"/>
      <c r="H20" s="39"/>
      <c r="I20" s="61" t="str">
        <f t="shared" si="0"/>
        <v/>
      </c>
      <c r="J20" s="61" t="str">
        <f t="shared" si="1"/>
        <v/>
      </c>
      <c r="K20" s="61" t="str">
        <f t="shared" si="2"/>
        <v/>
      </c>
      <c r="L20" s="61" t="str">
        <f t="shared" si="3"/>
        <v/>
      </c>
      <c r="M20" s="61" t="str">
        <f t="shared" si="4"/>
        <v/>
      </c>
      <c r="N20" s="61" t="str">
        <f t="shared" si="5"/>
        <v/>
      </c>
      <c r="O20" s="61" t="str">
        <f t="shared" si="6"/>
        <v/>
      </c>
      <c r="P20" s="61" t="str">
        <f t="shared" si="7"/>
        <v/>
      </c>
      <c r="Q20" s="61" t="str">
        <f t="shared" si="8"/>
        <v/>
      </c>
    </row>
    <row r="21" spans="1:17" x14ac:dyDescent="0.25">
      <c r="A21" s="40"/>
      <c r="B21" s="42"/>
      <c r="C21" s="41"/>
      <c r="D21" s="41"/>
      <c r="E21" s="41"/>
      <c r="F21" s="41"/>
      <c r="G21" s="41"/>
      <c r="H21" s="43"/>
      <c r="I21" s="61" t="str">
        <f t="shared" si="0"/>
        <v/>
      </c>
      <c r="J21" s="61" t="str">
        <f t="shared" si="1"/>
        <v/>
      </c>
      <c r="K21" s="61" t="str">
        <f t="shared" si="2"/>
        <v/>
      </c>
      <c r="L21" s="61" t="str">
        <f t="shared" si="3"/>
        <v/>
      </c>
      <c r="M21" s="61" t="str">
        <f t="shared" si="4"/>
        <v/>
      </c>
      <c r="N21" s="61" t="str">
        <f t="shared" si="5"/>
        <v/>
      </c>
      <c r="O21" s="61" t="str">
        <f t="shared" si="6"/>
        <v/>
      </c>
      <c r="P21" s="61" t="str">
        <f t="shared" si="7"/>
        <v/>
      </c>
      <c r="Q21" s="61" t="str">
        <f t="shared" si="8"/>
        <v/>
      </c>
    </row>
    <row r="22" spans="1:17" x14ac:dyDescent="0.25">
      <c r="A22" s="36"/>
      <c r="B22" s="38"/>
      <c r="C22" s="37"/>
      <c r="D22" s="37"/>
      <c r="E22" s="37"/>
      <c r="F22" s="37"/>
      <c r="G22" s="37"/>
      <c r="H22" s="39"/>
      <c r="I22" s="61" t="str">
        <f t="shared" si="0"/>
        <v/>
      </c>
      <c r="J22" s="61" t="str">
        <f t="shared" si="1"/>
        <v/>
      </c>
      <c r="K22" s="61" t="str">
        <f t="shared" si="2"/>
        <v/>
      </c>
      <c r="L22" s="61" t="str">
        <f t="shared" si="3"/>
        <v/>
      </c>
      <c r="M22" s="61" t="str">
        <f t="shared" si="4"/>
        <v/>
      </c>
      <c r="N22" s="61" t="str">
        <f t="shared" si="5"/>
        <v/>
      </c>
      <c r="O22" s="61" t="str">
        <f t="shared" si="6"/>
        <v/>
      </c>
      <c r="P22" s="61" t="str">
        <f t="shared" si="7"/>
        <v/>
      </c>
      <c r="Q22" s="61" t="str">
        <f t="shared" si="8"/>
        <v/>
      </c>
    </row>
    <row r="23" spans="1:17" x14ac:dyDescent="0.25">
      <c r="A23" s="40"/>
      <c r="B23" s="42"/>
      <c r="C23" s="41"/>
      <c r="D23" s="41"/>
      <c r="E23" s="41"/>
      <c r="F23" s="41"/>
      <c r="G23" s="41"/>
      <c r="H23" s="43"/>
      <c r="I23" s="61" t="str">
        <f t="shared" si="0"/>
        <v/>
      </c>
      <c r="J23" s="61" t="str">
        <f t="shared" si="1"/>
        <v/>
      </c>
      <c r="K23" s="61" t="str">
        <f t="shared" si="2"/>
        <v/>
      </c>
      <c r="L23" s="61" t="str">
        <f t="shared" si="3"/>
        <v/>
      </c>
      <c r="M23" s="61" t="str">
        <f t="shared" si="4"/>
        <v/>
      </c>
      <c r="N23" s="61" t="str">
        <f t="shared" si="5"/>
        <v/>
      </c>
      <c r="O23" s="61" t="str">
        <f t="shared" si="6"/>
        <v/>
      </c>
      <c r="P23" s="61" t="str">
        <f t="shared" si="7"/>
        <v/>
      </c>
      <c r="Q23" s="61" t="str">
        <f t="shared" si="8"/>
        <v/>
      </c>
    </row>
    <row r="24" spans="1:17" x14ac:dyDescent="0.25">
      <c r="A24" s="36"/>
      <c r="B24" s="38"/>
      <c r="C24" s="37"/>
      <c r="D24" s="37"/>
      <c r="E24" s="37"/>
      <c r="F24" s="37"/>
      <c r="G24" s="37"/>
      <c r="H24" s="39"/>
      <c r="I24" s="61" t="str">
        <f t="shared" si="0"/>
        <v/>
      </c>
      <c r="J24" s="61" t="str">
        <f t="shared" si="1"/>
        <v/>
      </c>
      <c r="K24" s="61" t="str">
        <f t="shared" si="2"/>
        <v/>
      </c>
      <c r="L24" s="61" t="str">
        <f t="shared" si="3"/>
        <v/>
      </c>
      <c r="M24" s="61" t="str">
        <f t="shared" si="4"/>
        <v/>
      </c>
      <c r="N24" s="61" t="str">
        <f t="shared" si="5"/>
        <v/>
      </c>
      <c r="O24" s="61" t="str">
        <f t="shared" si="6"/>
        <v/>
      </c>
      <c r="P24" s="61" t="str">
        <f t="shared" si="7"/>
        <v/>
      </c>
      <c r="Q24" s="61" t="str">
        <f t="shared" si="8"/>
        <v/>
      </c>
    </row>
    <row r="25" spans="1:17" x14ac:dyDescent="0.25">
      <c r="A25" s="40"/>
      <c r="B25" s="42"/>
      <c r="C25" s="41"/>
      <c r="D25" s="41"/>
      <c r="E25" s="41"/>
      <c r="F25" s="41"/>
      <c r="G25" s="41"/>
      <c r="H25" s="43"/>
      <c r="I25" s="61" t="str">
        <f t="shared" si="0"/>
        <v/>
      </c>
      <c r="J25" s="61" t="str">
        <f t="shared" si="1"/>
        <v/>
      </c>
      <c r="K25" s="61" t="str">
        <f t="shared" si="2"/>
        <v/>
      </c>
      <c r="L25" s="61" t="str">
        <f t="shared" si="3"/>
        <v/>
      </c>
      <c r="M25" s="61" t="str">
        <f t="shared" si="4"/>
        <v/>
      </c>
      <c r="N25" s="61" t="str">
        <f t="shared" si="5"/>
        <v/>
      </c>
      <c r="O25" s="61" t="str">
        <f t="shared" si="6"/>
        <v/>
      </c>
      <c r="P25" s="61" t="str">
        <f t="shared" si="7"/>
        <v/>
      </c>
      <c r="Q25" s="61" t="str">
        <f t="shared" si="8"/>
        <v/>
      </c>
    </row>
    <row r="26" spans="1:17" x14ac:dyDescent="0.25">
      <c r="A26" s="36"/>
      <c r="B26" s="38"/>
      <c r="C26" s="37"/>
      <c r="D26" s="37"/>
      <c r="E26" s="37"/>
      <c r="F26" s="37"/>
      <c r="G26" s="37"/>
      <c r="H26" s="39"/>
      <c r="I26" s="61" t="str">
        <f t="shared" si="0"/>
        <v/>
      </c>
      <c r="J26" s="61" t="str">
        <f t="shared" si="1"/>
        <v/>
      </c>
      <c r="K26" s="61" t="str">
        <f t="shared" si="2"/>
        <v/>
      </c>
      <c r="L26" s="61" t="str">
        <f t="shared" si="3"/>
        <v/>
      </c>
      <c r="M26" s="61" t="str">
        <f t="shared" si="4"/>
        <v/>
      </c>
      <c r="N26" s="61" t="str">
        <f t="shared" si="5"/>
        <v/>
      </c>
      <c r="O26" s="61" t="str">
        <f t="shared" si="6"/>
        <v/>
      </c>
      <c r="P26" s="61" t="str">
        <f t="shared" si="7"/>
        <v/>
      </c>
      <c r="Q26" s="61" t="str">
        <f t="shared" si="8"/>
        <v/>
      </c>
    </row>
    <row r="27" spans="1:17" x14ac:dyDescent="0.25">
      <c r="A27" s="40"/>
      <c r="B27" s="42"/>
      <c r="C27" s="41"/>
      <c r="D27" s="41"/>
      <c r="E27" s="41"/>
      <c r="F27" s="41"/>
      <c r="G27" s="41"/>
      <c r="H27" s="43"/>
      <c r="I27" s="61" t="str">
        <f t="shared" si="0"/>
        <v/>
      </c>
      <c r="J27" s="61" t="str">
        <f t="shared" si="1"/>
        <v/>
      </c>
      <c r="K27" s="61" t="str">
        <f t="shared" si="2"/>
        <v/>
      </c>
      <c r="L27" s="61" t="str">
        <f t="shared" si="3"/>
        <v/>
      </c>
      <c r="M27" s="61" t="str">
        <f t="shared" si="4"/>
        <v/>
      </c>
      <c r="N27" s="61" t="str">
        <f t="shared" si="5"/>
        <v/>
      </c>
      <c r="O27" s="61" t="str">
        <f t="shared" si="6"/>
        <v/>
      </c>
      <c r="P27" s="61" t="str">
        <f t="shared" si="7"/>
        <v/>
      </c>
      <c r="Q27" s="61" t="str">
        <f t="shared" si="8"/>
        <v/>
      </c>
    </row>
    <row r="28" spans="1:17" x14ac:dyDescent="0.25">
      <c r="A28" s="36"/>
      <c r="B28" s="38"/>
      <c r="C28" s="37"/>
      <c r="D28" s="37"/>
      <c r="E28" s="37"/>
      <c r="F28" s="37"/>
      <c r="G28" s="37"/>
      <c r="H28" s="39"/>
      <c r="I28" s="61" t="str">
        <f t="shared" si="0"/>
        <v/>
      </c>
      <c r="J28" s="61" t="str">
        <f t="shared" si="1"/>
        <v/>
      </c>
      <c r="K28" s="61" t="str">
        <f t="shared" si="2"/>
        <v/>
      </c>
      <c r="L28" s="61" t="str">
        <f t="shared" si="3"/>
        <v/>
      </c>
      <c r="M28" s="61" t="str">
        <f t="shared" si="4"/>
        <v/>
      </c>
      <c r="N28" s="61" t="str">
        <f t="shared" si="5"/>
        <v/>
      </c>
      <c r="O28" s="61" t="str">
        <f t="shared" si="6"/>
        <v/>
      </c>
      <c r="P28" s="61" t="str">
        <f t="shared" si="7"/>
        <v/>
      </c>
      <c r="Q28" s="61" t="str">
        <f t="shared" si="8"/>
        <v/>
      </c>
    </row>
    <row r="29" spans="1:17" x14ac:dyDescent="0.25">
      <c r="A29" s="40"/>
      <c r="B29" s="42"/>
      <c r="C29" s="41"/>
      <c r="D29" s="41"/>
      <c r="E29" s="41"/>
      <c r="F29" s="41"/>
      <c r="G29" s="41"/>
      <c r="H29" s="43"/>
      <c r="I29" s="61" t="str">
        <f t="shared" si="0"/>
        <v/>
      </c>
      <c r="J29" s="61" t="str">
        <f t="shared" si="1"/>
        <v/>
      </c>
      <c r="K29" s="61" t="str">
        <f t="shared" si="2"/>
        <v/>
      </c>
      <c r="L29" s="61" t="str">
        <f t="shared" si="3"/>
        <v/>
      </c>
      <c r="M29" s="61" t="str">
        <f t="shared" si="4"/>
        <v/>
      </c>
      <c r="N29" s="61" t="str">
        <f t="shared" si="5"/>
        <v/>
      </c>
      <c r="O29" s="61" t="str">
        <f t="shared" si="6"/>
        <v/>
      </c>
      <c r="P29" s="61" t="str">
        <f t="shared" si="7"/>
        <v/>
      </c>
      <c r="Q29" s="61" t="str">
        <f t="shared" si="8"/>
        <v/>
      </c>
    </row>
    <row r="30" spans="1:17" x14ac:dyDescent="0.25">
      <c r="A30" s="36"/>
      <c r="B30" s="38"/>
      <c r="C30" s="37"/>
      <c r="D30" s="37"/>
      <c r="E30" s="37"/>
      <c r="F30" s="37"/>
      <c r="G30" s="37"/>
      <c r="H30" s="39"/>
      <c r="I30" s="61" t="str">
        <f t="shared" si="0"/>
        <v/>
      </c>
      <c r="J30" s="61" t="str">
        <f t="shared" si="1"/>
        <v/>
      </c>
      <c r="K30" s="61" t="str">
        <f t="shared" si="2"/>
        <v/>
      </c>
      <c r="L30" s="61" t="str">
        <f t="shared" si="3"/>
        <v/>
      </c>
      <c r="M30" s="61" t="str">
        <f t="shared" si="4"/>
        <v/>
      </c>
      <c r="N30" s="61" t="str">
        <f t="shared" si="5"/>
        <v/>
      </c>
      <c r="O30" s="61" t="str">
        <f t="shared" si="6"/>
        <v/>
      </c>
      <c r="P30" s="61" t="str">
        <f t="shared" si="7"/>
        <v/>
      </c>
      <c r="Q30" s="61" t="str">
        <f t="shared" si="8"/>
        <v/>
      </c>
    </row>
    <row r="31" spans="1:17" x14ac:dyDescent="0.25">
      <c r="A31" s="40"/>
      <c r="B31" s="42"/>
      <c r="C31" s="41"/>
      <c r="D31" s="41"/>
      <c r="E31" s="41"/>
      <c r="F31" s="41"/>
      <c r="G31" s="41"/>
      <c r="H31" s="43"/>
      <c r="I31" s="61" t="str">
        <f t="shared" si="0"/>
        <v/>
      </c>
      <c r="J31" s="61" t="str">
        <f t="shared" si="1"/>
        <v/>
      </c>
      <c r="K31" s="61" t="str">
        <f t="shared" si="2"/>
        <v/>
      </c>
      <c r="L31" s="61" t="str">
        <f t="shared" si="3"/>
        <v/>
      </c>
      <c r="M31" s="61" t="str">
        <f t="shared" si="4"/>
        <v/>
      </c>
      <c r="N31" s="61" t="str">
        <f t="shared" si="5"/>
        <v/>
      </c>
      <c r="O31" s="61" t="str">
        <f t="shared" si="6"/>
        <v/>
      </c>
      <c r="P31" s="61" t="str">
        <f t="shared" si="7"/>
        <v/>
      </c>
      <c r="Q31" s="61" t="str">
        <f t="shared" si="8"/>
        <v/>
      </c>
    </row>
    <row r="32" spans="1:17" x14ac:dyDescent="0.25">
      <c r="A32" s="36"/>
      <c r="B32" s="38"/>
      <c r="C32" s="37"/>
      <c r="D32" s="37"/>
      <c r="E32" s="37"/>
      <c r="F32" s="37"/>
      <c r="G32" s="37"/>
      <c r="H32" s="39"/>
      <c r="I32" s="61" t="str">
        <f t="shared" si="0"/>
        <v/>
      </c>
      <c r="J32" s="61" t="str">
        <f t="shared" si="1"/>
        <v/>
      </c>
      <c r="K32" s="61" t="str">
        <f t="shared" si="2"/>
        <v/>
      </c>
      <c r="L32" s="61" t="str">
        <f t="shared" si="3"/>
        <v/>
      </c>
      <c r="M32" s="61" t="str">
        <f t="shared" si="4"/>
        <v/>
      </c>
      <c r="N32" s="61" t="str">
        <f t="shared" si="5"/>
        <v/>
      </c>
      <c r="O32" s="61" t="str">
        <f t="shared" si="6"/>
        <v/>
      </c>
      <c r="P32" s="61" t="str">
        <f t="shared" si="7"/>
        <v/>
      </c>
      <c r="Q32" s="61" t="str">
        <f t="shared" si="8"/>
        <v/>
      </c>
    </row>
    <row r="33" spans="1:17" x14ac:dyDescent="0.25">
      <c r="A33" s="40"/>
      <c r="B33" s="42"/>
      <c r="C33" s="41"/>
      <c r="D33" s="41"/>
      <c r="E33" s="41"/>
      <c r="F33" s="41"/>
      <c r="G33" s="41"/>
      <c r="H33" s="43"/>
      <c r="I33" s="61" t="str">
        <f t="shared" si="0"/>
        <v/>
      </c>
      <c r="J33" s="61" t="str">
        <f t="shared" si="1"/>
        <v/>
      </c>
      <c r="K33" s="61" t="str">
        <f t="shared" si="2"/>
        <v/>
      </c>
      <c r="L33" s="61" t="str">
        <f t="shared" si="3"/>
        <v/>
      </c>
      <c r="M33" s="61" t="str">
        <f t="shared" si="4"/>
        <v/>
      </c>
      <c r="N33" s="61" t="str">
        <f t="shared" si="5"/>
        <v/>
      </c>
      <c r="O33" s="61" t="str">
        <f t="shared" si="6"/>
        <v/>
      </c>
      <c r="P33" s="61" t="str">
        <f t="shared" si="7"/>
        <v/>
      </c>
      <c r="Q33" s="61" t="str">
        <f t="shared" si="8"/>
        <v/>
      </c>
    </row>
    <row r="34" spans="1:17" x14ac:dyDescent="0.25">
      <c r="A34" s="36"/>
      <c r="B34" s="38"/>
      <c r="C34" s="37"/>
      <c r="D34" s="37"/>
      <c r="E34" s="37"/>
      <c r="F34" s="37"/>
      <c r="G34" s="37"/>
      <c r="H34" s="39"/>
      <c r="I34" s="61" t="str">
        <f t="shared" si="0"/>
        <v/>
      </c>
      <c r="J34" s="61" t="str">
        <f t="shared" si="1"/>
        <v/>
      </c>
      <c r="K34" s="61" t="str">
        <f t="shared" si="2"/>
        <v/>
      </c>
      <c r="L34" s="61" t="str">
        <f t="shared" si="3"/>
        <v/>
      </c>
      <c r="M34" s="61" t="str">
        <f t="shared" si="4"/>
        <v/>
      </c>
      <c r="N34" s="61" t="str">
        <f t="shared" si="5"/>
        <v/>
      </c>
      <c r="O34" s="61" t="str">
        <f t="shared" si="6"/>
        <v/>
      </c>
      <c r="P34" s="61" t="str">
        <f t="shared" si="7"/>
        <v/>
      </c>
      <c r="Q34" s="61" t="str">
        <f t="shared" si="8"/>
        <v/>
      </c>
    </row>
    <row r="35" spans="1:17" x14ac:dyDescent="0.25">
      <c r="A35" s="40"/>
      <c r="B35" s="42"/>
      <c r="C35" s="41"/>
      <c r="D35" s="41"/>
      <c r="E35" s="41"/>
      <c r="F35" s="41"/>
      <c r="G35" s="41"/>
      <c r="H35" s="43"/>
      <c r="I35" s="61" t="str">
        <f t="shared" si="0"/>
        <v/>
      </c>
      <c r="J35" s="61" t="str">
        <f t="shared" si="1"/>
        <v/>
      </c>
      <c r="K35" s="61" t="str">
        <f t="shared" si="2"/>
        <v/>
      </c>
      <c r="L35" s="61" t="str">
        <f t="shared" si="3"/>
        <v/>
      </c>
      <c r="M35" s="61" t="str">
        <f t="shared" si="4"/>
        <v/>
      </c>
      <c r="N35" s="61" t="str">
        <f t="shared" si="5"/>
        <v/>
      </c>
      <c r="O35" s="61" t="str">
        <f t="shared" si="6"/>
        <v/>
      </c>
      <c r="P35" s="61" t="str">
        <f t="shared" si="7"/>
        <v/>
      </c>
      <c r="Q35" s="61" t="str">
        <f t="shared" si="8"/>
        <v/>
      </c>
    </row>
    <row r="36" spans="1:17" x14ac:dyDescent="0.25">
      <c r="A36" s="36"/>
      <c r="B36" s="38"/>
      <c r="C36" s="37"/>
      <c r="D36" s="37"/>
      <c r="E36" s="37"/>
      <c r="F36" s="37"/>
      <c r="G36" s="37"/>
      <c r="H36" s="39"/>
      <c r="I36" s="61" t="str">
        <f t="shared" si="0"/>
        <v/>
      </c>
      <c r="J36" s="61" t="str">
        <f t="shared" si="1"/>
        <v/>
      </c>
      <c r="K36" s="61" t="str">
        <f t="shared" si="2"/>
        <v/>
      </c>
      <c r="L36" s="61" t="str">
        <f t="shared" si="3"/>
        <v/>
      </c>
      <c r="M36" s="61" t="str">
        <f t="shared" si="4"/>
        <v/>
      </c>
      <c r="N36" s="61" t="str">
        <f t="shared" si="5"/>
        <v/>
      </c>
      <c r="O36" s="61" t="str">
        <f t="shared" si="6"/>
        <v/>
      </c>
      <c r="P36" s="61" t="str">
        <f t="shared" si="7"/>
        <v/>
      </c>
      <c r="Q36" s="61" t="str">
        <f t="shared" si="8"/>
        <v/>
      </c>
    </row>
    <row r="37" spans="1:17" x14ac:dyDescent="0.25">
      <c r="A37" s="40"/>
      <c r="B37" s="42"/>
      <c r="C37" s="41"/>
      <c r="D37" s="41"/>
      <c r="E37" s="41"/>
      <c r="F37" s="41"/>
      <c r="G37" s="41"/>
      <c r="H37" s="43"/>
      <c r="I37" s="61" t="str">
        <f t="shared" ref="I37:I68" si="9">IF(E37="","",IFERROR(_xlfn.TRANSLATE(E37,,"ja"),""))</f>
        <v/>
      </c>
      <c r="J37" s="61" t="str">
        <f t="shared" ref="J37:J68" si="10">IF(E37="","",IFERROR(_xlfn.TRANSLATE(E37,,"zh-Hans"),""))</f>
        <v/>
      </c>
      <c r="K37" s="61" t="str">
        <f t="shared" ref="K37:K68" si="11">IF(E37="","",IFERROR(_xlfn.TRANSLATE(E37,,"vi"),""))</f>
        <v/>
      </c>
      <c r="L37" s="61" t="str">
        <f t="shared" ref="L37:L68" si="12">IF(F37="","",IFERROR(_xlfn.TRANSLATE(F37,,"ja"),""))</f>
        <v/>
      </c>
      <c r="M37" s="61" t="str">
        <f t="shared" ref="M37:M55" si="13">IF(F37="","",IFERROR(_xlfn.TRANSLATE(F37,,"zh-Hans"),""))</f>
        <v/>
      </c>
      <c r="N37" s="61" t="str">
        <f t="shared" ref="N37:N68" si="14">IF(F37="","",IFERROR(_xlfn.TRANSLATE(F37,,"vi"),""))</f>
        <v/>
      </c>
      <c r="O37" s="61" t="str">
        <f t="shared" ref="O37:O68" si="15">IF(H37="","",IFERROR(_xlfn.TRANSLATE(H37,,"ja"),""))</f>
        <v/>
      </c>
      <c r="P37" s="61" t="str">
        <f t="shared" ref="P37:P68" si="16">IF(H37="","",IFERROR(_xlfn.TRANSLATE(H37,,"zh-Hans"),""))</f>
        <v/>
      </c>
      <c r="Q37" s="61" t="str">
        <f t="shared" ref="Q37:Q68" si="17">IF(H37="","",IFERROR(_xlfn.TRANSLATE(H37,,"vi"),""))</f>
        <v/>
      </c>
    </row>
    <row r="38" spans="1:17" x14ac:dyDescent="0.25">
      <c r="A38" s="36"/>
      <c r="B38" s="38"/>
      <c r="C38" s="37"/>
      <c r="D38" s="37"/>
      <c r="E38" s="37"/>
      <c r="F38" s="37"/>
      <c r="G38" s="37"/>
      <c r="H38" s="39"/>
      <c r="I38" s="61" t="str">
        <f t="shared" si="9"/>
        <v/>
      </c>
      <c r="J38" s="61" t="str">
        <f t="shared" si="10"/>
        <v/>
      </c>
      <c r="K38" s="61" t="str">
        <f t="shared" si="11"/>
        <v/>
      </c>
      <c r="L38" s="61" t="str">
        <f t="shared" si="12"/>
        <v/>
      </c>
      <c r="M38" s="61" t="str">
        <f t="shared" si="13"/>
        <v/>
      </c>
      <c r="N38" s="61" t="str">
        <f t="shared" si="14"/>
        <v/>
      </c>
      <c r="O38" s="61" t="str">
        <f t="shared" si="15"/>
        <v/>
      </c>
      <c r="P38" s="61" t="str">
        <f t="shared" si="16"/>
        <v/>
      </c>
      <c r="Q38" s="61" t="str">
        <f t="shared" si="17"/>
        <v/>
      </c>
    </row>
    <row r="39" spans="1:17" x14ac:dyDescent="0.25">
      <c r="A39" s="40"/>
      <c r="B39" s="42"/>
      <c r="C39" s="41"/>
      <c r="D39" s="41"/>
      <c r="E39" s="41"/>
      <c r="F39" s="41"/>
      <c r="G39" s="41"/>
      <c r="H39" s="43"/>
      <c r="I39" s="61" t="str">
        <f t="shared" si="9"/>
        <v/>
      </c>
      <c r="J39" s="61" t="str">
        <f t="shared" si="10"/>
        <v/>
      </c>
      <c r="K39" s="61" t="str">
        <f t="shared" si="11"/>
        <v/>
      </c>
      <c r="L39" s="61" t="str">
        <f t="shared" si="12"/>
        <v/>
      </c>
      <c r="M39" s="61" t="str">
        <f t="shared" si="13"/>
        <v/>
      </c>
      <c r="N39" s="61" t="str">
        <f t="shared" si="14"/>
        <v/>
      </c>
      <c r="O39" s="61" t="str">
        <f t="shared" si="15"/>
        <v/>
      </c>
      <c r="P39" s="61" t="str">
        <f t="shared" si="16"/>
        <v/>
      </c>
      <c r="Q39" s="61" t="str">
        <f t="shared" si="17"/>
        <v/>
      </c>
    </row>
    <row r="40" spans="1:17" x14ac:dyDescent="0.25">
      <c r="A40" s="36"/>
      <c r="B40" s="38"/>
      <c r="C40" s="37"/>
      <c r="D40" s="37"/>
      <c r="E40" s="37"/>
      <c r="F40" s="37"/>
      <c r="G40" s="37"/>
      <c r="H40" s="39"/>
      <c r="I40" s="61" t="str">
        <f t="shared" si="9"/>
        <v/>
      </c>
      <c r="J40" s="61" t="str">
        <f t="shared" si="10"/>
        <v/>
      </c>
      <c r="K40" s="61" t="str">
        <f t="shared" si="11"/>
        <v/>
      </c>
      <c r="L40" s="61" t="str">
        <f t="shared" si="12"/>
        <v/>
      </c>
      <c r="M40" s="61" t="str">
        <f t="shared" si="13"/>
        <v/>
      </c>
      <c r="N40" s="61" t="str">
        <f t="shared" si="14"/>
        <v/>
      </c>
      <c r="O40" s="61" t="str">
        <f t="shared" si="15"/>
        <v/>
      </c>
      <c r="P40" s="61" t="str">
        <f t="shared" si="16"/>
        <v/>
      </c>
      <c r="Q40" s="61" t="str">
        <f t="shared" si="17"/>
        <v/>
      </c>
    </row>
    <row r="41" spans="1:17" x14ac:dyDescent="0.25">
      <c r="A41" s="40"/>
      <c r="B41" s="42"/>
      <c r="C41" s="41"/>
      <c r="D41" s="41"/>
      <c r="E41" s="41"/>
      <c r="F41" s="41"/>
      <c r="G41" s="41"/>
      <c r="H41" s="43"/>
      <c r="I41" s="61" t="str">
        <f t="shared" si="9"/>
        <v/>
      </c>
      <c r="J41" s="61" t="str">
        <f t="shared" si="10"/>
        <v/>
      </c>
      <c r="K41" s="61" t="str">
        <f t="shared" si="11"/>
        <v/>
      </c>
      <c r="L41" s="61" t="str">
        <f t="shared" si="12"/>
        <v/>
      </c>
      <c r="M41" s="61" t="str">
        <f t="shared" si="13"/>
        <v/>
      </c>
      <c r="N41" s="61" t="str">
        <f t="shared" si="14"/>
        <v/>
      </c>
      <c r="O41" s="61" t="str">
        <f t="shared" si="15"/>
        <v/>
      </c>
      <c r="P41" s="61" t="str">
        <f t="shared" si="16"/>
        <v/>
      </c>
      <c r="Q41" s="61" t="str">
        <f t="shared" si="17"/>
        <v/>
      </c>
    </row>
    <row r="42" spans="1:17" x14ac:dyDescent="0.25">
      <c r="A42" s="36"/>
      <c r="B42" s="38"/>
      <c r="C42" s="37"/>
      <c r="D42" s="37"/>
      <c r="E42" s="37"/>
      <c r="F42" s="37"/>
      <c r="G42" s="37"/>
      <c r="H42" s="39"/>
      <c r="I42" s="61" t="str">
        <f t="shared" si="9"/>
        <v/>
      </c>
      <c r="J42" s="61" t="str">
        <f t="shared" si="10"/>
        <v/>
      </c>
      <c r="K42" s="61" t="str">
        <f t="shared" si="11"/>
        <v/>
      </c>
      <c r="L42" s="61" t="str">
        <f t="shared" si="12"/>
        <v/>
      </c>
      <c r="M42" s="61" t="str">
        <f t="shared" si="13"/>
        <v/>
      </c>
      <c r="N42" s="61" t="str">
        <f t="shared" si="14"/>
        <v/>
      </c>
      <c r="O42" s="61" t="str">
        <f t="shared" si="15"/>
        <v/>
      </c>
      <c r="P42" s="61" t="str">
        <f t="shared" si="16"/>
        <v/>
      </c>
      <c r="Q42" s="61" t="str">
        <f t="shared" si="17"/>
        <v/>
      </c>
    </row>
    <row r="43" spans="1:17" x14ac:dyDescent="0.25">
      <c r="A43" s="40"/>
      <c r="B43" s="42"/>
      <c r="C43" s="41"/>
      <c r="D43" s="41"/>
      <c r="E43" s="41"/>
      <c r="F43" s="41"/>
      <c r="G43" s="41"/>
      <c r="H43" s="43"/>
      <c r="I43" s="61" t="str">
        <f t="shared" si="9"/>
        <v/>
      </c>
      <c r="J43" s="61" t="str">
        <f t="shared" si="10"/>
        <v/>
      </c>
      <c r="K43" s="61" t="str">
        <f t="shared" si="11"/>
        <v/>
      </c>
      <c r="L43" s="61" t="str">
        <f t="shared" si="12"/>
        <v/>
      </c>
      <c r="M43" s="61" t="str">
        <f t="shared" si="13"/>
        <v/>
      </c>
      <c r="N43" s="61" t="str">
        <f t="shared" si="14"/>
        <v/>
      </c>
      <c r="O43" s="61" t="str">
        <f t="shared" si="15"/>
        <v/>
      </c>
      <c r="P43" s="61" t="str">
        <f t="shared" si="16"/>
        <v/>
      </c>
      <c r="Q43" s="61" t="str">
        <f t="shared" si="17"/>
        <v/>
      </c>
    </row>
    <row r="44" spans="1:17" x14ac:dyDescent="0.25">
      <c r="A44" s="36"/>
      <c r="B44" s="38"/>
      <c r="C44" s="37"/>
      <c r="D44" s="37"/>
      <c r="E44" s="37"/>
      <c r="F44" s="37"/>
      <c r="G44" s="37"/>
      <c r="H44" s="39"/>
      <c r="I44" s="61" t="str">
        <f t="shared" si="9"/>
        <v/>
      </c>
      <c r="J44" s="61" t="str">
        <f t="shared" si="10"/>
        <v/>
      </c>
      <c r="K44" s="61" t="str">
        <f t="shared" si="11"/>
        <v/>
      </c>
      <c r="L44" s="61" t="str">
        <f t="shared" si="12"/>
        <v/>
      </c>
      <c r="M44" s="61" t="str">
        <f t="shared" si="13"/>
        <v/>
      </c>
      <c r="N44" s="61" t="str">
        <f t="shared" si="14"/>
        <v/>
      </c>
      <c r="O44" s="61" t="str">
        <f t="shared" si="15"/>
        <v/>
      </c>
      <c r="P44" s="61" t="str">
        <f t="shared" si="16"/>
        <v/>
      </c>
      <c r="Q44" s="61" t="str">
        <f t="shared" si="17"/>
        <v/>
      </c>
    </row>
    <row r="45" spans="1:17" x14ac:dyDescent="0.25">
      <c r="A45" s="40"/>
      <c r="B45" s="42"/>
      <c r="C45" s="41"/>
      <c r="D45" s="41"/>
      <c r="E45" s="41"/>
      <c r="F45" s="41"/>
      <c r="G45" s="41"/>
      <c r="H45" s="43"/>
      <c r="I45" s="61" t="str">
        <f t="shared" si="9"/>
        <v/>
      </c>
      <c r="J45" s="61" t="str">
        <f t="shared" si="10"/>
        <v/>
      </c>
      <c r="K45" s="61" t="str">
        <f t="shared" si="11"/>
        <v/>
      </c>
      <c r="L45" s="61" t="str">
        <f t="shared" si="12"/>
        <v/>
      </c>
      <c r="M45" s="61" t="str">
        <f t="shared" si="13"/>
        <v/>
      </c>
      <c r="N45" s="61" t="str">
        <f t="shared" si="14"/>
        <v/>
      </c>
      <c r="O45" s="61" t="str">
        <f t="shared" si="15"/>
        <v/>
      </c>
      <c r="P45" s="61" t="str">
        <f t="shared" si="16"/>
        <v/>
      </c>
      <c r="Q45" s="61" t="str">
        <f t="shared" si="17"/>
        <v/>
      </c>
    </row>
    <row r="46" spans="1:17" x14ac:dyDescent="0.25">
      <c r="A46" s="36"/>
      <c r="B46" s="38"/>
      <c r="C46" s="37"/>
      <c r="D46" s="37"/>
      <c r="E46" s="37"/>
      <c r="F46" s="37"/>
      <c r="G46" s="37"/>
      <c r="H46" s="39"/>
      <c r="I46" s="61" t="str">
        <f t="shared" si="9"/>
        <v/>
      </c>
      <c r="J46" s="61" t="str">
        <f t="shared" si="10"/>
        <v/>
      </c>
      <c r="K46" s="61" t="str">
        <f t="shared" si="11"/>
        <v/>
      </c>
      <c r="L46" s="61" t="str">
        <f t="shared" si="12"/>
        <v/>
      </c>
      <c r="M46" s="61" t="str">
        <f t="shared" si="13"/>
        <v/>
      </c>
      <c r="N46" s="61" t="str">
        <f t="shared" si="14"/>
        <v/>
      </c>
      <c r="O46" s="61" t="str">
        <f t="shared" si="15"/>
        <v/>
      </c>
      <c r="P46" s="61" t="str">
        <f t="shared" si="16"/>
        <v/>
      </c>
      <c r="Q46" s="61" t="str">
        <f t="shared" si="17"/>
        <v/>
      </c>
    </row>
    <row r="47" spans="1:17" x14ac:dyDescent="0.25">
      <c r="A47" s="40"/>
      <c r="B47" s="42"/>
      <c r="C47" s="41"/>
      <c r="D47" s="41"/>
      <c r="E47" s="41"/>
      <c r="F47" s="41"/>
      <c r="G47" s="41"/>
      <c r="H47" s="43"/>
      <c r="I47" s="61" t="str">
        <f t="shared" si="9"/>
        <v/>
      </c>
      <c r="J47" s="61" t="str">
        <f t="shared" si="10"/>
        <v/>
      </c>
      <c r="K47" s="61" t="str">
        <f t="shared" si="11"/>
        <v/>
      </c>
      <c r="L47" s="61" t="str">
        <f t="shared" si="12"/>
        <v/>
      </c>
      <c r="M47" s="61" t="str">
        <f t="shared" si="13"/>
        <v/>
      </c>
      <c r="N47" s="61" t="str">
        <f t="shared" si="14"/>
        <v/>
      </c>
      <c r="O47" s="61" t="str">
        <f t="shared" si="15"/>
        <v/>
      </c>
      <c r="P47" s="61" t="str">
        <f t="shared" si="16"/>
        <v/>
      </c>
      <c r="Q47" s="61" t="str">
        <f t="shared" si="17"/>
        <v/>
      </c>
    </row>
    <row r="48" spans="1:17" x14ac:dyDescent="0.25">
      <c r="A48" s="36"/>
      <c r="B48" s="38"/>
      <c r="C48" s="37"/>
      <c r="D48" s="37"/>
      <c r="E48" s="37"/>
      <c r="F48" s="37"/>
      <c r="G48" s="37"/>
      <c r="H48" s="39"/>
      <c r="I48" s="61" t="str">
        <f t="shared" si="9"/>
        <v/>
      </c>
      <c r="J48" s="61" t="str">
        <f t="shared" si="10"/>
        <v/>
      </c>
      <c r="K48" s="61" t="str">
        <f t="shared" si="11"/>
        <v/>
      </c>
      <c r="L48" s="61" t="str">
        <f t="shared" si="12"/>
        <v/>
      </c>
      <c r="M48" s="61" t="str">
        <f t="shared" si="13"/>
        <v/>
      </c>
      <c r="N48" s="61" t="str">
        <f t="shared" si="14"/>
        <v/>
      </c>
      <c r="O48" s="61" t="str">
        <f t="shared" si="15"/>
        <v/>
      </c>
      <c r="P48" s="61" t="str">
        <f t="shared" si="16"/>
        <v/>
      </c>
      <c r="Q48" s="61" t="str">
        <f t="shared" si="17"/>
        <v/>
      </c>
    </row>
    <row r="49" spans="1:17" x14ac:dyDescent="0.25">
      <c r="A49" s="40"/>
      <c r="B49" s="42"/>
      <c r="C49" s="41"/>
      <c r="D49" s="41"/>
      <c r="E49" s="41"/>
      <c r="F49" s="41"/>
      <c r="G49" s="41"/>
      <c r="H49" s="43"/>
      <c r="I49" s="61" t="str">
        <f t="shared" si="9"/>
        <v/>
      </c>
      <c r="J49" s="61" t="str">
        <f t="shared" si="10"/>
        <v/>
      </c>
      <c r="K49" s="61" t="str">
        <f t="shared" si="11"/>
        <v/>
      </c>
      <c r="L49" s="61" t="str">
        <f t="shared" si="12"/>
        <v/>
      </c>
      <c r="M49" s="61" t="str">
        <f t="shared" si="13"/>
        <v/>
      </c>
      <c r="N49" s="61" t="str">
        <f t="shared" si="14"/>
        <v/>
      </c>
      <c r="O49" s="61" t="str">
        <f t="shared" si="15"/>
        <v/>
      </c>
      <c r="P49" s="61" t="str">
        <f t="shared" si="16"/>
        <v/>
      </c>
      <c r="Q49" s="61" t="str">
        <f t="shared" si="17"/>
        <v/>
      </c>
    </row>
    <row r="50" spans="1:17" x14ac:dyDescent="0.25">
      <c r="A50" s="36"/>
      <c r="B50" s="38"/>
      <c r="C50" s="37"/>
      <c r="D50" s="37"/>
      <c r="E50" s="37"/>
      <c r="F50" s="37"/>
      <c r="G50" s="37"/>
      <c r="H50" s="39"/>
      <c r="I50" s="61" t="str">
        <f t="shared" si="9"/>
        <v/>
      </c>
      <c r="J50" s="61" t="str">
        <f t="shared" si="10"/>
        <v/>
      </c>
      <c r="K50" s="61" t="str">
        <f t="shared" si="11"/>
        <v/>
      </c>
      <c r="L50" s="61" t="str">
        <f t="shared" si="12"/>
        <v/>
      </c>
      <c r="M50" s="61" t="str">
        <f t="shared" si="13"/>
        <v/>
      </c>
      <c r="N50" s="61" t="str">
        <f t="shared" si="14"/>
        <v/>
      </c>
      <c r="O50" s="61" t="str">
        <f t="shared" si="15"/>
        <v/>
      </c>
      <c r="P50" s="61" t="str">
        <f t="shared" si="16"/>
        <v/>
      </c>
      <c r="Q50" s="61" t="str">
        <f t="shared" si="17"/>
        <v/>
      </c>
    </row>
    <row r="51" spans="1:17" x14ac:dyDescent="0.25">
      <c r="A51" s="40"/>
      <c r="B51" s="42"/>
      <c r="C51" s="41"/>
      <c r="D51" s="41"/>
      <c r="E51" s="41"/>
      <c r="F51" s="41"/>
      <c r="G51" s="41"/>
      <c r="H51" s="43"/>
      <c r="I51" s="61" t="str">
        <f t="shared" si="9"/>
        <v/>
      </c>
      <c r="J51" s="61" t="str">
        <f t="shared" si="10"/>
        <v/>
      </c>
      <c r="K51" s="61" t="str">
        <f t="shared" si="11"/>
        <v/>
      </c>
      <c r="L51" s="61" t="str">
        <f t="shared" si="12"/>
        <v/>
      </c>
      <c r="M51" s="61" t="str">
        <f t="shared" si="13"/>
        <v/>
      </c>
      <c r="N51" s="61" t="str">
        <f t="shared" si="14"/>
        <v/>
      </c>
      <c r="O51" s="61" t="str">
        <f t="shared" si="15"/>
        <v/>
      </c>
      <c r="P51" s="61" t="str">
        <f t="shared" si="16"/>
        <v/>
      </c>
      <c r="Q51" s="61" t="str">
        <f t="shared" si="17"/>
        <v/>
      </c>
    </row>
    <row r="52" spans="1:17" x14ac:dyDescent="0.25">
      <c r="A52" s="36"/>
      <c r="B52" s="38"/>
      <c r="C52" s="37"/>
      <c r="D52" s="37"/>
      <c r="E52" s="37"/>
      <c r="F52" s="37"/>
      <c r="G52" s="37"/>
      <c r="H52" s="39"/>
      <c r="I52" s="61" t="str">
        <f t="shared" si="9"/>
        <v/>
      </c>
      <c r="J52" s="61" t="str">
        <f t="shared" si="10"/>
        <v/>
      </c>
      <c r="K52" s="61" t="str">
        <f t="shared" si="11"/>
        <v/>
      </c>
      <c r="L52" s="61" t="str">
        <f t="shared" si="12"/>
        <v/>
      </c>
      <c r="M52" s="61" t="str">
        <f t="shared" si="13"/>
        <v/>
      </c>
      <c r="N52" s="61" t="str">
        <f t="shared" si="14"/>
        <v/>
      </c>
      <c r="O52" s="61" t="str">
        <f t="shared" si="15"/>
        <v/>
      </c>
      <c r="P52" s="61" t="str">
        <f t="shared" si="16"/>
        <v/>
      </c>
      <c r="Q52" s="61" t="str">
        <f t="shared" si="17"/>
        <v/>
      </c>
    </row>
    <row r="53" spans="1:17" x14ac:dyDescent="0.25">
      <c r="A53" s="40"/>
      <c r="B53" s="42"/>
      <c r="C53" s="41"/>
      <c r="D53" s="41"/>
      <c r="E53" s="41"/>
      <c r="F53" s="41"/>
      <c r="G53" s="41"/>
      <c r="H53" s="43"/>
      <c r="I53" s="61" t="str">
        <f t="shared" si="9"/>
        <v/>
      </c>
      <c r="J53" s="61" t="str">
        <f t="shared" si="10"/>
        <v/>
      </c>
      <c r="K53" s="61" t="str">
        <f t="shared" si="11"/>
        <v/>
      </c>
      <c r="L53" s="61" t="str">
        <f t="shared" si="12"/>
        <v/>
      </c>
      <c r="M53" s="61" t="str">
        <f t="shared" si="13"/>
        <v/>
      </c>
      <c r="N53" s="61" t="str">
        <f t="shared" si="14"/>
        <v/>
      </c>
      <c r="O53" s="61" t="str">
        <f t="shared" si="15"/>
        <v/>
      </c>
      <c r="P53" s="61" t="str">
        <f t="shared" si="16"/>
        <v/>
      </c>
      <c r="Q53" s="61" t="str">
        <f t="shared" si="17"/>
        <v/>
      </c>
    </row>
    <row r="54" spans="1:17" x14ac:dyDescent="0.25">
      <c r="A54" s="36"/>
      <c r="B54" s="38"/>
      <c r="C54" s="37"/>
      <c r="D54" s="37"/>
      <c r="E54" s="37"/>
      <c r="F54" s="37"/>
      <c r="G54" s="37"/>
      <c r="H54" s="39"/>
      <c r="I54" s="61" t="str">
        <f t="shared" si="9"/>
        <v/>
      </c>
      <c r="J54" s="61" t="str">
        <f t="shared" si="10"/>
        <v/>
      </c>
      <c r="K54" s="61" t="str">
        <f t="shared" si="11"/>
        <v/>
      </c>
      <c r="L54" s="61" t="str">
        <f t="shared" si="12"/>
        <v/>
      </c>
      <c r="M54" s="61" t="str">
        <f t="shared" si="13"/>
        <v/>
      </c>
      <c r="N54" s="61" t="str">
        <f t="shared" si="14"/>
        <v/>
      </c>
      <c r="O54" s="61" t="str">
        <f t="shared" si="15"/>
        <v/>
      </c>
      <c r="P54" s="61" t="str">
        <f t="shared" si="16"/>
        <v/>
      </c>
      <c r="Q54" s="61" t="str">
        <f t="shared" si="17"/>
        <v/>
      </c>
    </row>
    <row r="55" spans="1:17" x14ac:dyDescent="0.25">
      <c r="A55" s="40"/>
      <c r="B55" s="42"/>
      <c r="C55" s="41"/>
      <c r="D55" s="41"/>
      <c r="E55" s="41"/>
      <c r="F55" s="41"/>
      <c r="G55" s="41"/>
      <c r="H55" s="43"/>
      <c r="I55" s="61" t="str">
        <f t="shared" si="9"/>
        <v/>
      </c>
      <c r="J55" s="61" t="str">
        <f t="shared" si="10"/>
        <v/>
      </c>
      <c r="K55" s="61" t="str">
        <f t="shared" si="11"/>
        <v/>
      </c>
      <c r="L55" s="61" t="str">
        <f t="shared" si="12"/>
        <v/>
      </c>
      <c r="M55" s="61" t="str">
        <f t="shared" si="13"/>
        <v/>
      </c>
      <c r="N55" s="61" t="str">
        <f t="shared" si="14"/>
        <v/>
      </c>
      <c r="O55" s="61" t="str">
        <f t="shared" si="15"/>
        <v/>
      </c>
      <c r="P55" s="61" t="str">
        <f t="shared" si="16"/>
        <v/>
      </c>
      <c r="Q55" s="61" t="str">
        <f t="shared" si="17"/>
        <v/>
      </c>
    </row>
    <row r="56" spans="1:17" x14ac:dyDescent="0.25">
      <c r="A56" s="36"/>
      <c r="B56" s="38"/>
      <c r="C56" s="37"/>
      <c r="D56" s="37"/>
      <c r="E56" s="37"/>
      <c r="F56" s="37"/>
      <c r="G56" s="37"/>
      <c r="H56" s="39"/>
      <c r="I56" s="61" t="str">
        <f t="shared" si="9"/>
        <v/>
      </c>
      <c r="J56" s="61" t="str">
        <f t="shared" si="10"/>
        <v/>
      </c>
      <c r="K56" s="61" t="str">
        <f t="shared" si="11"/>
        <v/>
      </c>
      <c r="L56" s="61" t="str">
        <f t="shared" si="12"/>
        <v/>
      </c>
      <c r="M56" s="61"/>
      <c r="N56" s="61" t="str">
        <f t="shared" si="14"/>
        <v/>
      </c>
      <c r="O56" s="61" t="str">
        <f t="shared" si="15"/>
        <v/>
      </c>
      <c r="P56" s="61" t="str">
        <f t="shared" si="16"/>
        <v/>
      </c>
      <c r="Q56" s="61" t="str">
        <f t="shared" si="17"/>
        <v/>
      </c>
    </row>
    <row r="57" spans="1:17" x14ac:dyDescent="0.25">
      <c r="A57" s="40"/>
      <c r="B57" s="42"/>
      <c r="C57" s="41"/>
      <c r="D57" s="41"/>
      <c r="E57" s="41"/>
      <c r="F57" s="41"/>
      <c r="G57" s="41"/>
      <c r="H57" s="43"/>
      <c r="I57" s="61" t="str">
        <f t="shared" si="9"/>
        <v/>
      </c>
      <c r="J57" s="61" t="str">
        <f t="shared" si="10"/>
        <v/>
      </c>
      <c r="K57" s="61" t="str">
        <f t="shared" si="11"/>
        <v/>
      </c>
      <c r="L57" s="61" t="str">
        <f t="shared" si="12"/>
        <v/>
      </c>
      <c r="M57" s="61"/>
      <c r="N57" s="61" t="str">
        <f t="shared" si="14"/>
        <v/>
      </c>
      <c r="O57" s="61" t="str">
        <f t="shared" si="15"/>
        <v/>
      </c>
      <c r="P57" s="61" t="str">
        <f t="shared" si="16"/>
        <v/>
      </c>
      <c r="Q57" s="61" t="str">
        <f t="shared" si="17"/>
        <v/>
      </c>
    </row>
    <row r="58" spans="1:17" x14ac:dyDescent="0.25">
      <c r="A58" s="36"/>
      <c r="B58" s="38"/>
      <c r="C58" s="37"/>
      <c r="D58" s="37"/>
      <c r="E58" s="37"/>
      <c r="F58" s="37"/>
      <c r="G58" s="37"/>
      <c r="H58" s="39"/>
      <c r="I58" s="61" t="str">
        <f t="shared" si="9"/>
        <v/>
      </c>
      <c r="J58" s="61" t="str">
        <f t="shared" si="10"/>
        <v/>
      </c>
      <c r="K58" s="61" t="str">
        <f t="shared" si="11"/>
        <v/>
      </c>
      <c r="L58" s="61" t="str">
        <f t="shared" si="12"/>
        <v/>
      </c>
      <c r="M58" s="61"/>
      <c r="N58" s="61" t="str">
        <f t="shared" si="14"/>
        <v/>
      </c>
      <c r="O58" s="61" t="str">
        <f t="shared" si="15"/>
        <v/>
      </c>
      <c r="P58" s="61" t="str">
        <f t="shared" si="16"/>
        <v/>
      </c>
      <c r="Q58" s="61" t="str">
        <f t="shared" si="17"/>
        <v/>
      </c>
    </row>
    <row r="59" spans="1:17" x14ac:dyDescent="0.25">
      <c r="A59" s="40"/>
      <c r="B59" s="42"/>
      <c r="C59" s="41"/>
      <c r="D59" s="41"/>
      <c r="E59" s="41"/>
      <c r="F59" s="41"/>
      <c r="G59" s="41"/>
      <c r="H59" s="43"/>
      <c r="I59" s="61" t="str">
        <f t="shared" si="9"/>
        <v/>
      </c>
      <c r="J59" s="61" t="str">
        <f t="shared" si="10"/>
        <v/>
      </c>
      <c r="K59" s="61" t="str">
        <f t="shared" si="11"/>
        <v/>
      </c>
      <c r="L59" s="61" t="str">
        <f t="shared" si="12"/>
        <v/>
      </c>
      <c r="M59" s="61"/>
      <c r="N59" s="61" t="str">
        <f t="shared" si="14"/>
        <v/>
      </c>
      <c r="O59" s="61" t="str">
        <f t="shared" si="15"/>
        <v/>
      </c>
      <c r="P59" s="61" t="str">
        <f t="shared" si="16"/>
        <v/>
      </c>
      <c r="Q59" s="61" t="str">
        <f t="shared" si="17"/>
        <v/>
      </c>
    </row>
    <row r="60" spans="1:17" x14ac:dyDescent="0.25">
      <c r="A60" s="36"/>
      <c r="B60" s="38"/>
      <c r="C60" s="37"/>
      <c r="D60" s="37"/>
      <c r="E60" s="37"/>
      <c r="F60" s="37"/>
      <c r="G60" s="37"/>
      <c r="H60" s="39"/>
      <c r="I60" s="61" t="str">
        <f t="shared" si="9"/>
        <v/>
      </c>
      <c r="J60" s="61" t="str">
        <f t="shared" si="10"/>
        <v/>
      </c>
      <c r="K60" s="61" t="str">
        <f t="shared" si="11"/>
        <v/>
      </c>
      <c r="L60" s="61" t="str">
        <f t="shared" si="12"/>
        <v/>
      </c>
      <c r="M60" s="61"/>
      <c r="N60" s="61" t="str">
        <f t="shared" si="14"/>
        <v/>
      </c>
      <c r="O60" s="61" t="str">
        <f t="shared" si="15"/>
        <v/>
      </c>
      <c r="P60" s="61" t="str">
        <f t="shared" si="16"/>
        <v/>
      </c>
      <c r="Q60" s="61" t="str">
        <f t="shared" si="17"/>
        <v/>
      </c>
    </row>
    <row r="61" spans="1:17" x14ac:dyDescent="0.25">
      <c r="A61" s="40"/>
      <c r="B61" s="42"/>
      <c r="C61" s="41"/>
      <c r="D61" s="41"/>
      <c r="E61" s="41"/>
      <c r="F61" s="41"/>
      <c r="G61" s="41"/>
      <c r="H61" s="43"/>
      <c r="I61" s="61" t="str">
        <f t="shared" si="9"/>
        <v/>
      </c>
      <c r="J61" s="61" t="str">
        <f t="shared" si="10"/>
        <v/>
      </c>
      <c r="K61" s="61" t="str">
        <f t="shared" si="11"/>
        <v/>
      </c>
      <c r="L61" s="61" t="str">
        <f t="shared" si="12"/>
        <v/>
      </c>
      <c r="M61" s="61"/>
      <c r="N61" s="61" t="str">
        <f t="shared" si="14"/>
        <v/>
      </c>
      <c r="O61" s="61" t="str">
        <f t="shared" si="15"/>
        <v/>
      </c>
      <c r="P61" s="61" t="str">
        <f t="shared" si="16"/>
        <v/>
      </c>
      <c r="Q61" s="61" t="str">
        <f t="shared" si="17"/>
        <v/>
      </c>
    </row>
    <row r="62" spans="1:17" x14ac:dyDescent="0.25">
      <c r="A62" s="36"/>
      <c r="B62" s="38"/>
      <c r="C62" s="37"/>
      <c r="D62" s="37"/>
      <c r="E62" s="37"/>
      <c r="F62" s="37"/>
      <c r="G62" s="37"/>
      <c r="H62" s="39"/>
      <c r="I62" s="61" t="str">
        <f t="shared" si="9"/>
        <v/>
      </c>
      <c r="J62" s="61" t="str">
        <f t="shared" si="10"/>
        <v/>
      </c>
      <c r="K62" s="61" t="str">
        <f t="shared" si="11"/>
        <v/>
      </c>
      <c r="L62" s="61" t="str">
        <f t="shared" si="12"/>
        <v/>
      </c>
      <c r="M62" s="61"/>
      <c r="N62" s="61" t="str">
        <f t="shared" si="14"/>
        <v/>
      </c>
      <c r="O62" s="61" t="str">
        <f t="shared" si="15"/>
        <v/>
      </c>
      <c r="P62" s="61" t="str">
        <f t="shared" si="16"/>
        <v/>
      </c>
      <c r="Q62" s="61" t="str">
        <f t="shared" si="17"/>
        <v/>
      </c>
    </row>
    <row r="63" spans="1:17" x14ac:dyDescent="0.25">
      <c r="A63" s="40"/>
      <c r="B63" s="42"/>
      <c r="C63" s="41"/>
      <c r="D63" s="41"/>
      <c r="E63" s="41"/>
      <c r="F63" s="41"/>
      <c r="G63" s="41"/>
      <c r="H63" s="43"/>
      <c r="I63" s="61" t="str">
        <f t="shared" si="9"/>
        <v/>
      </c>
      <c r="J63" s="61" t="str">
        <f t="shared" si="10"/>
        <v/>
      </c>
      <c r="K63" s="61" t="str">
        <f t="shared" si="11"/>
        <v/>
      </c>
      <c r="L63" s="61" t="str">
        <f t="shared" si="12"/>
        <v/>
      </c>
      <c r="M63" s="61"/>
      <c r="N63" s="61" t="str">
        <f t="shared" si="14"/>
        <v/>
      </c>
      <c r="O63" s="61" t="str">
        <f t="shared" si="15"/>
        <v/>
      </c>
      <c r="P63" s="61" t="str">
        <f t="shared" si="16"/>
        <v/>
      </c>
      <c r="Q63" s="61" t="str">
        <f t="shared" si="17"/>
        <v/>
      </c>
    </row>
    <row r="64" spans="1:17" x14ac:dyDescent="0.25">
      <c r="A64" s="36"/>
      <c r="B64" s="38"/>
      <c r="C64" s="37"/>
      <c r="D64" s="37"/>
      <c r="E64" s="37"/>
      <c r="F64" s="37"/>
      <c r="G64" s="37"/>
      <c r="H64" s="39"/>
      <c r="I64" s="61" t="str">
        <f t="shared" si="9"/>
        <v/>
      </c>
      <c r="J64" s="61" t="str">
        <f t="shared" si="10"/>
        <v/>
      </c>
      <c r="K64" s="61" t="str">
        <f t="shared" si="11"/>
        <v/>
      </c>
      <c r="L64" s="61" t="str">
        <f t="shared" si="12"/>
        <v/>
      </c>
      <c r="M64" s="61"/>
      <c r="N64" s="61" t="str">
        <f t="shared" si="14"/>
        <v/>
      </c>
      <c r="O64" s="61" t="str">
        <f t="shared" si="15"/>
        <v/>
      </c>
      <c r="P64" s="61" t="str">
        <f t="shared" si="16"/>
        <v/>
      </c>
      <c r="Q64" s="61" t="str">
        <f t="shared" si="17"/>
        <v/>
      </c>
    </row>
    <row r="65" spans="1:17" x14ac:dyDescent="0.25">
      <c r="A65" s="40"/>
      <c r="B65" s="42"/>
      <c r="C65" s="41"/>
      <c r="D65" s="41"/>
      <c r="E65" s="41"/>
      <c r="F65" s="41"/>
      <c r="G65" s="41"/>
      <c r="H65" s="43"/>
      <c r="I65" s="61" t="str">
        <f t="shared" si="9"/>
        <v/>
      </c>
      <c r="J65" s="61" t="str">
        <f t="shared" si="10"/>
        <v/>
      </c>
      <c r="K65" s="61" t="str">
        <f t="shared" si="11"/>
        <v/>
      </c>
      <c r="L65" s="61" t="str">
        <f t="shared" si="12"/>
        <v/>
      </c>
      <c r="M65" s="61"/>
      <c r="N65" s="61" t="str">
        <f t="shared" si="14"/>
        <v/>
      </c>
      <c r="O65" s="61" t="str">
        <f t="shared" si="15"/>
        <v/>
      </c>
      <c r="P65" s="61" t="str">
        <f t="shared" si="16"/>
        <v/>
      </c>
      <c r="Q65" s="61" t="str">
        <f t="shared" si="17"/>
        <v/>
      </c>
    </row>
    <row r="66" spans="1:17" x14ac:dyDescent="0.25">
      <c r="A66" s="36"/>
      <c r="B66" s="38"/>
      <c r="C66" s="37"/>
      <c r="D66" s="37"/>
      <c r="E66" s="37"/>
      <c r="F66" s="37"/>
      <c r="G66" s="37"/>
      <c r="H66" s="39"/>
      <c r="I66" s="61" t="str">
        <f t="shared" si="9"/>
        <v/>
      </c>
      <c r="J66" s="61" t="str">
        <f t="shared" si="10"/>
        <v/>
      </c>
      <c r="K66" s="61" t="str">
        <f t="shared" si="11"/>
        <v/>
      </c>
      <c r="L66" s="61" t="str">
        <f t="shared" si="12"/>
        <v/>
      </c>
      <c r="M66" s="61"/>
      <c r="N66" s="61" t="str">
        <f t="shared" si="14"/>
        <v/>
      </c>
      <c r="O66" s="61" t="str">
        <f t="shared" si="15"/>
        <v/>
      </c>
      <c r="P66" s="61" t="str">
        <f t="shared" si="16"/>
        <v/>
      </c>
      <c r="Q66" s="61" t="str">
        <f t="shared" si="17"/>
        <v/>
      </c>
    </row>
    <row r="67" spans="1:17" x14ac:dyDescent="0.25">
      <c r="A67" s="40"/>
      <c r="B67" s="42"/>
      <c r="C67" s="41"/>
      <c r="D67" s="41"/>
      <c r="E67" s="41"/>
      <c r="F67" s="41"/>
      <c r="G67" s="41"/>
      <c r="H67" s="43"/>
      <c r="I67" s="61" t="str">
        <f t="shared" si="9"/>
        <v/>
      </c>
      <c r="J67" s="61" t="str">
        <f t="shared" si="10"/>
        <v/>
      </c>
      <c r="K67" s="61" t="str">
        <f t="shared" si="11"/>
        <v/>
      </c>
      <c r="L67" s="61" t="str">
        <f t="shared" si="12"/>
        <v/>
      </c>
      <c r="M67" s="61"/>
      <c r="N67" s="61" t="str">
        <f t="shared" si="14"/>
        <v/>
      </c>
      <c r="O67" s="61" t="str">
        <f t="shared" si="15"/>
        <v/>
      </c>
      <c r="P67" s="61" t="str">
        <f t="shared" si="16"/>
        <v/>
      </c>
      <c r="Q67" s="61" t="str">
        <f t="shared" si="17"/>
        <v/>
      </c>
    </row>
    <row r="68" spans="1:17" x14ac:dyDescent="0.25">
      <c r="A68" s="36"/>
      <c r="B68" s="38"/>
      <c r="C68" s="37"/>
      <c r="D68" s="37"/>
      <c r="E68" s="37"/>
      <c r="F68" s="37"/>
      <c r="G68" s="37"/>
      <c r="H68" s="39"/>
      <c r="I68" s="61" t="str">
        <f t="shared" si="9"/>
        <v/>
      </c>
      <c r="J68" s="61" t="str">
        <f t="shared" si="10"/>
        <v/>
      </c>
      <c r="K68" s="61" t="str">
        <f t="shared" si="11"/>
        <v/>
      </c>
      <c r="L68" s="61" t="str">
        <f t="shared" si="12"/>
        <v/>
      </c>
      <c r="M68" s="61"/>
      <c r="N68" s="61" t="str">
        <f t="shared" si="14"/>
        <v/>
      </c>
      <c r="O68" s="61" t="str">
        <f t="shared" si="15"/>
        <v/>
      </c>
      <c r="P68" s="61" t="str">
        <f t="shared" si="16"/>
        <v/>
      </c>
      <c r="Q68" s="61" t="str">
        <f t="shared" si="17"/>
        <v/>
      </c>
    </row>
    <row r="69" spans="1:17" x14ac:dyDescent="0.25">
      <c r="A69" s="40"/>
      <c r="B69" s="42"/>
      <c r="C69" s="41"/>
      <c r="D69" s="41"/>
      <c r="E69" s="41"/>
      <c r="F69" s="41"/>
      <c r="G69" s="41"/>
      <c r="H69" s="43"/>
      <c r="I69" s="61" t="str">
        <f t="shared" ref="I69:I104" si="18">IF(E69="","",IFERROR(_xlfn.TRANSLATE(E69,,"ja"),""))</f>
        <v/>
      </c>
      <c r="J69" s="61" t="str">
        <f t="shared" ref="J69:J104" si="19">IF(E69="","",IFERROR(_xlfn.TRANSLATE(E69,,"zh-Hans"),""))</f>
        <v/>
      </c>
      <c r="K69" s="61" t="str">
        <f t="shared" ref="K69:K104" si="20">IF(E69="","",IFERROR(_xlfn.TRANSLATE(E69,,"vi"),""))</f>
        <v/>
      </c>
      <c r="L69" s="61" t="str">
        <f t="shared" ref="L69:L104" si="21">IF(F69="","",IFERROR(_xlfn.TRANSLATE(F69,,"ja"),""))</f>
        <v/>
      </c>
      <c r="M69" s="61"/>
      <c r="N69" s="61" t="str">
        <f t="shared" ref="N69:N104" si="22">IF(F69="","",IFERROR(_xlfn.TRANSLATE(F69,,"vi"),""))</f>
        <v/>
      </c>
      <c r="O69" s="61" t="str">
        <f t="shared" ref="O69:O104" si="23">IF(H69="","",IFERROR(_xlfn.TRANSLATE(H69,,"ja"),""))</f>
        <v/>
      </c>
      <c r="P69" s="61" t="str">
        <f t="shared" ref="P69:P104" si="24">IF(H69="","",IFERROR(_xlfn.TRANSLATE(H69,,"zh-Hans"),""))</f>
        <v/>
      </c>
      <c r="Q69" s="61" t="str">
        <f t="shared" ref="Q69:Q104" si="25">IF(H69="","",IFERROR(_xlfn.TRANSLATE(H69,,"vi"),""))</f>
        <v/>
      </c>
    </row>
    <row r="70" spans="1:17" x14ac:dyDescent="0.25">
      <c r="A70" s="36"/>
      <c r="B70" s="38"/>
      <c r="C70" s="37"/>
      <c r="D70" s="37"/>
      <c r="E70" s="37"/>
      <c r="F70" s="37"/>
      <c r="G70" s="37"/>
      <c r="H70" s="39"/>
      <c r="I70" s="61" t="str">
        <f t="shared" si="18"/>
        <v/>
      </c>
      <c r="J70" s="61" t="str">
        <f t="shared" si="19"/>
        <v/>
      </c>
      <c r="K70" s="61" t="str">
        <f t="shared" si="20"/>
        <v/>
      </c>
      <c r="L70" s="61" t="str">
        <f t="shared" si="21"/>
        <v/>
      </c>
      <c r="M70" s="61"/>
      <c r="N70" s="61" t="str">
        <f t="shared" si="22"/>
        <v/>
      </c>
      <c r="O70" s="61" t="str">
        <f t="shared" si="23"/>
        <v/>
      </c>
      <c r="P70" s="61" t="str">
        <f t="shared" si="24"/>
        <v/>
      </c>
      <c r="Q70" s="61" t="str">
        <f t="shared" si="25"/>
        <v/>
      </c>
    </row>
    <row r="71" spans="1:17" x14ac:dyDescent="0.25">
      <c r="A71" s="40"/>
      <c r="B71" s="42"/>
      <c r="C71" s="41"/>
      <c r="D71" s="41"/>
      <c r="E71" s="41"/>
      <c r="F71" s="41"/>
      <c r="G71" s="41"/>
      <c r="H71" s="43"/>
      <c r="I71" s="61" t="str">
        <f t="shared" si="18"/>
        <v/>
      </c>
      <c r="J71" s="61" t="str">
        <f t="shared" si="19"/>
        <v/>
      </c>
      <c r="K71" s="61" t="str">
        <f t="shared" si="20"/>
        <v/>
      </c>
      <c r="L71" s="61" t="str">
        <f t="shared" si="21"/>
        <v/>
      </c>
      <c r="M71" s="61"/>
      <c r="N71" s="61" t="str">
        <f t="shared" si="22"/>
        <v/>
      </c>
      <c r="O71" s="61" t="str">
        <f t="shared" si="23"/>
        <v/>
      </c>
      <c r="P71" s="61" t="str">
        <f t="shared" si="24"/>
        <v/>
      </c>
      <c r="Q71" s="61" t="str">
        <f t="shared" si="25"/>
        <v/>
      </c>
    </row>
    <row r="72" spans="1:17" x14ac:dyDescent="0.25">
      <c r="A72" s="36"/>
      <c r="B72" s="38"/>
      <c r="C72" s="37"/>
      <c r="D72" s="37"/>
      <c r="E72" s="37"/>
      <c r="F72" s="37"/>
      <c r="G72" s="37"/>
      <c r="H72" s="39"/>
      <c r="I72" s="61" t="str">
        <f t="shared" si="18"/>
        <v/>
      </c>
      <c r="J72" s="61" t="str">
        <f t="shared" si="19"/>
        <v/>
      </c>
      <c r="K72" s="61" t="str">
        <f t="shared" si="20"/>
        <v/>
      </c>
      <c r="L72" s="61" t="str">
        <f t="shared" si="21"/>
        <v/>
      </c>
      <c r="M72" s="61"/>
      <c r="N72" s="61" t="str">
        <f t="shared" si="22"/>
        <v/>
      </c>
      <c r="O72" s="61" t="str">
        <f t="shared" si="23"/>
        <v/>
      </c>
      <c r="P72" s="61" t="str">
        <f t="shared" si="24"/>
        <v/>
      </c>
      <c r="Q72" s="61" t="str">
        <f t="shared" si="25"/>
        <v/>
      </c>
    </row>
    <row r="73" spans="1:17" x14ac:dyDescent="0.25">
      <c r="A73" s="40"/>
      <c r="B73" s="42"/>
      <c r="C73" s="41"/>
      <c r="D73" s="41"/>
      <c r="E73" s="41"/>
      <c r="F73" s="41"/>
      <c r="G73" s="41"/>
      <c r="H73" s="43"/>
      <c r="I73" s="61" t="str">
        <f t="shared" si="18"/>
        <v/>
      </c>
      <c r="J73" s="61" t="str">
        <f t="shared" si="19"/>
        <v/>
      </c>
      <c r="K73" s="61" t="str">
        <f t="shared" si="20"/>
        <v/>
      </c>
      <c r="L73" s="61" t="str">
        <f t="shared" si="21"/>
        <v/>
      </c>
      <c r="M73" s="61"/>
      <c r="N73" s="61" t="str">
        <f t="shared" si="22"/>
        <v/>
      </c>
      <c r="O73" s="61" t="str">
        <f t="shared" si="23"/>
        <v/>
      </c>
      <c r="P73" s="61" t="str">
        <f t="shared" si="24"/>
        <v/>
      </c>
      <c r="Q73" s="61" t="str">
        <f t="shared" si="25"/>
        <v/>
      </c>
    </row>
    <row r="74" spans="1:17" x14ac:dyDescent="0.25">
      <c r="A74" s="36"/>
      <c r="B74" s="38"/>
      <c r="C74" s="37"/>
      <c r="D74" s="37"/>
      <c r="E74" s="37"/>
      <c r="F74" s="37"/>
      <c r="G74" s="37"/>
      <c r="H74" s="39"/>
      <c r="I74" s="61" t="str">
        <f t="shared" si="18"/>
        <v/>
      </c>
      <c r="J74" s="61" t="str">
        <f t="shared" si="19"/>
        <v/>
      </c>
      <c r="K74" s="61" t="str">
        <f t="shared" si="20"/>
        <v/>
      </c>
      <c r="L74" s="61" t="str">
        <f t="shared" si="21"/>
        <v/>
      </c>
      <c r="M74" s="61"/>
      <c r="N74" s="61" t="str">
        <f t="shared" si="22"/>
        <v/>
      </c>
      <c r="O74" s="61" t="str">
        <f t="shared" si="23"/>
        <v/>
      </c>
      <c r="P74" s="61" t="str">
        <f t="shared" si="24"/>
        <v/>
      </c>
      <c r="Q74" s="61" t="str">
        <f t="shared" si="25"/>
        <v/>
      </c>
    </row>
    <row r="75" spans="1:17" x14ac:dyDescent="0.25">
      <c r="A75" s="40"/>
      <c r="B75" s="42"/>
      <c r="C75" s="41"/>
      <c r="D75" s="41"/>
      <c r="E75" s="41"/>
      <c r="F75" s="41"/>
      <c r="G75" s="41"/>
      <c r="H75" s="43"/>
      <c r="I75" s="61" t="str">
        <f t="shared" si="18"/>
        <v/>
      </c>
      <c r="J75" s="61" t="str">
        <f t="shared" si="19"/>
        <v/>
      </c>
      <c r="K75" s="61" t="str">
        <f t="shared" si="20"/>
        <v/>
      </c>
      <c r="L75" s="61" t="str">
        <f t="shared" si="21"/>
        <v/>
      </c>
      <c r="M75" s="61"/>
      <c r="N75" s="61" t="str">
        <f t="shared" si="22"/>
        <v/>
      </c>
      <c r="O75" s="61" t="str">
        <f t="shared" si="23"/>
        <v/>
      </c>
      <c r="P75" s="61" t="str">
        <f t="shared" si="24"/>
        <v/>
      </c>
      <c r="Q75" s="61" t="str">
        <f t="shared" si="25"/>
        <v/>
      </c>
    </row>
    <row r="76" spans="1:17" x14ac:dyDescent="0.25">
      <c r="A76" s="36"/>
      <c r="B76" s="38"/>
      <c r="C76" s="37"/>
      <c r="D76" s="37"/>
      <c r="E76" s="37"/>
      <c r="F76" s="37"/>
      <c r="G76" s="37"/>
      <c r="H76" s="39"/>
      <c r="I76" s="61" t="str">
        <f t="shared" si="18"/>
        <v/>
      </c>
      <c r="J76" s="61" t="str">
        <f t="shared" si="19"/>
        <v/>
      </c>
      <c r="K76" s="61" t="str">
        <f t="shared" si="20"/>
        <v/>
      </c>
      <c r="L76" s="61" t="str">
        <f t="shared" si="21"/>
        <v/>
      </c>
      <c r="M76" s="61"/>
      <c r="N76" s="61" t="str">
        <f t="shared" si="22"/>
        <v/>
      </c>
      <c r="O76" s="61" t="str">
        <f t="shared" si="23"/>
        <v/>
      </c>
      <c r="P76" s="61" t="str">
        <f t="shared" si="24"/>
        <v/>
      </c>
      <c r="Q76" s="61" t="str">
        <f t="shared" si="25"/>
        <v/>
      </c>
    </row>
    <row r="77" spans="1:17" x14ac:dyDescent="0.25">
      <c r="A77" s="40"/>
      <c r="B77" s="42"/>
      <c r="C77" s="41"/>
      <c r="D77" s="41"/>
      <c r="E77" s="41"/>
      <c r="F77" s="41"/>
      <c r="G77" s="41"/>
      <c r="H77" s="43"/>
      <c r="I77" s="61" t="str">
        <f t="shared" si="18"/>
        <v/>
      </c>
      <c r="J77" s="61" t="str">
        <f t="shared" si="19"/>
        <v/>
      </c>
      <c r="K77" s="61" t="str">
        <f t="shared" si="20"/>
        <v/>
      </c>
      <c r="L77" s="61" t="str">
        <f t="shared" si="21"/>
        <v/>
      </c>
      <c r="M77" s="61"/>
      <c r="N77" s="61" t="str">
        <f t="shared" si="22"/>
        <v/>
      </c>
      <c r="O77" s="61" t="str">
        <f t="shared" si="23"/>
        <v/>
      </c>
      <c r="P77" s="61" t="str">
        <f t="shared" si="24"/>
        <v/>
      </c>
      <c r="Q77" s="61" t="str">
        <f t="shared" si="25"/>
        <v/>
      </c>
    </row>
    <row r="78" spans="1:17" x14ac:dyDescent="0.25">
      <c r="A78" s="36"/>
      <c r="B78" s="38"/>
      <c r="C78" s="37"/>
      <c r="D78" s="37"/>
      <c r="E78" s="37"/>
      <c r="F78" s="37"/>
      <c r="G78" s="37"/>
      <c r="H78" s="39"/>
      <c r="I78" s="61" t="str">
        <f t="shared" si="18"/>
        <v/>
      </c>
      <c r="J78" s="61" t="str">
        <f t="shared" si="19"/>
        <v/>
      </c>
      <c r="K78" s="61" t="str">
        <f t="shared" si="20"/>
        <v/>
      </c>
      <c r="L78" s="61" t="str">
        <f t="shared" si="21"/>
        <v/>
      </c>
      <c r="M78" s="61"/>
      <c r="N78" s="61" t="str">
        <f t="shared" si="22"/>
        <v/>
      </c>
      <c r="O78" s="61" t="str">
        <f t="shared" si="23"/>
        <v/>
      </c>
      <c r="P78" s="61" t="str">
        <f t="shared" si="24"/>
        <v/>
      </c>
      <c r="Q78" s="61" t="str">
        <f t="shared" si="25"/>
        <v/>
      </c>
    </row>
    <row r="79" spans="1:17" x14ac:dyDescent="0.25">
      <c r="A79" s="40"/>
      <c r="B79" s="42"/>
      <c r="C79" s="41"/>
      <c r="D79" s="41"/>
      <c r="E79" s="41"/>
      <c r="F79" s="41"/>
      <c r="G79" s="41"/>
      <c r="H79" s="43"/>
      <c r="I79" s="61" t="str">
        <f t="shared" si="18"/>
        <v/>
      </c>
      <c r="J79" s="61" t="str">
        <f t="shared" si="19"/>
        <v/>
      </c>
      <c r="K79" s="61" t="str">
        <f t="shared" si="20"/>
        <v/>
      </c>
      <c r="L79" s="61" t="str">
        <f t="shared" si="21"/>
        <v/>
      </c>
      <c r="M79" s="61"/>
      <c r="N79" s="61" t="str">
        <f t="shared" si="22"/>
        <v/>
      </c>
      <c r="O79" s="61" t="str">
        <f t="shared" si="23"/>
        <v/>
      </c>
      <c r="P79" s="61" t="str">
        <f t="shared" si="24"/>
        <v/>
      </c>
      <c r="Q79" s="61" t="str">
        <f t="shared" si="25"/>
        <v/>
      </c>
    </row>
    <row r="80" spans="1:17" x14ac:dyDescent="0.25">
      <c r="A80" s="36"/>
      <c r="B80" s="38"/>
      <c r="C80" s="37"/>
      <c r="D80" s="37"/>
      <c r="E80" s="37"/>
      <c r="F80" s="37"/>
      <c r="G80" s="37"/>
      <c r="H80" s="39"/>
      <c r="I80" s="61" t="str">
        <f t="shared" si="18"/>
        <v/>
      </c>
      <c r="J80" s="61" t="str">
        <f t="shared" si="19"/>
        <v/>
      </c>
      <c r="K80" s="61" t="str">
        <f t="shared" si="20"/>
        <v/>
      </c>
      <c r="L80" s="61" t="str">
        <f t="shared" si="21"/>
        <v/>
      </c>
      <c r="M80" s="61"/>
      <c r="N80" s="61" t="str">
        <f t="shared" si="22"/>
        <v/>
      </c>
      <c r="O80" s="61" t="str">
        <f t="shared" si="23"/>
        <v/>
      </c>
      <c r="P80" s="61" t="str">
        <f t="shared" si="24"/>
        <v/>
      </c>
      <c r="Q80" s="61" t="str">
        <f t="shared" si="25"/>
        <v/>
      </c>
    </row>
    <row r="81" spans="1:17" x14ac:dyDescent="0.25">
      <c r="A81" s="40"/>
      <c r="B81" s="42"/>
      <c r="C81" s="41"/>
      <c r="D81" s="41"/>
      <c r="E81" s="41"/>
      <c r="F81" s="41"/>
      <c r="G81" s="41"/>
      <c r="H81" s="43"/>
      <c r="I81" s="61" t="str">
        <f t="shared" si="18"/>
        <v/>
      </c>
      <c r="J81" s="61" t="str">
        <f t="shared" si="19"/>
        <v/>
      </c>
      <c r="K81" s="61" t="str">
        <f t="shared" si="20"/>
        <v/>
      </c>
      <c r="L81" s="61" t="str">
        <f t="shared" si="21"/>
        <v/>
      </c>
      <c r="M81" s="61"/>
      <c r="N81" s="61" t="str">
        <f t="shared" si="22"/>
        <v/>
      </c>
      <c r="O81" s="61" t="str">
        <f t="shared" si="23"/>
        <v/>
      </c>
      <c r="P81" s="61" t="str">
        <f t="shared" si="24"/>
        <v/>
      </c>
      <c r="Q81" s="61" t="str">
        <f t="shared" si="25"/>
        <v/>
      </c>
    </row>
    <row r="82" spans="1:17" x14ac:dyDescent="0.25">
      <c r="A82" s="36"/>
      <c r="B82" s="38"/>
      <c r="C82" s="37"/>
      <c r="D82" s="37"/>
      <c r="E82" s="37"/>
      <c r="F82" s="37"/>
      <c r="G82" s="37"/>
      <c r="H82" s="39"/>
      <c r="I82" s="61" t="str">
        <f t="shared" si="18"/>
        <v/>
      </c>
      <c r="J82" s="61" t="str">
        <f t="shared" si="19"/>
        <v/>
      </c>
      <c r="K82" s="61" t="str">
        <f t="shared" si="20"/>
        <v/>
      </c>
      <c r="L82" s="61" t="str">
        <f t="shared" si="21"/>
        <v/>
      </c>
      <c r="M82" s="61"/>
      <c r="N82" s="61" t="str">
        <f t="shared" si="22"/>
        <v/>
      </c>
      <c r="O82" s="61" t="str">
        <f t="shared" si="23"/>
        <v/>
      </c>
      <c r="P82" s="61" t="str">
        <f t="shared" si="24"/>
        <v/>
      </c>
      <c r="Q82" s="61" t="str">
        <f t="shared" si="25"/>
        <v/>
      </c>
    </row>
    <row r="83" spans="1:17" x14ac:dyDescent="0.25">
      <c r="A83" s="40"/>
      <c r="B83" s="42"/>
      <c r="C83" s="41"/>
      <c r="D83" s="41"/>
      <c r="E83" s="41"/>
      <c r="F83" s="41"/>
      <c r="G83" s="41"/>
      <c r="H83" s="43"/>
      <c r="I83" s="61" t="str">
        <f t="shared" si="18"/>
        <v/>
      </c>
      <c r="J83" s="61" t="str">
        <f t="shared" si="19"/>
        <v/>
      </c>
      <c r="K83" s="61" t="str">
        <f t="shared" si="20"/>
        <v/>
      </c>
      <c r="L83" s="61" t="str">
        <f t="shared" si="21"/>
        <v/>
      </c>
      <c r="M83" s="61"/>
      <c r="N83" s="61" t="str">
        <f t="shared" si="22"/>
        <v/>
      </c>
      <c r="O83" s="61" t="str">
        <f t="shared" si="23"/>
        <v/>
      </c>
      <c r="P83" s="61" t="str">
        <f t="shared" si="24"/>
        <v/>
      </c>
      <c r="Q83" s="61" t="str">
        <f t="shared" si="25"/>
        <v/>
      </c>
    </row>
    <row r="84" spans="1:17" x14ac:dyDescent="0.25">
      <c r="A84" s="36"/>
      <c r="B84" s="38"/>
      <c r="C84" s="37"/>
      <c r="D84" s="37"/>
      <c r="E84" s="37"/>
      <c r="F84" s="37"/>
      <c r="G84" s="37"/>
      <c r="H84" s="39"/>
      <c r="I84" s="61" t="str">
        <f t="shared" si="18"/>
        <v/>
      </c>
      <c r="J84" s="61" t="str">
        <f t="shared" si="19"/>
        <v/>
      </c>
      <c r="K84" s="61" t="str">
        <f t="shared" si="20"/>
        <v/>
      </c>
      <c r="L84" s="61" t="str">
        <f t="shared" si="21"/>
        <v/>
      </c>
      <c r="M84" s="61"/>
      <c r="N84" s="61" t="str">
        <f t="shared" si="22"/>
        <v/>
      </c>
      <c r="O84" s="61" t="str">
        <f t="shared" si="23"/>
        <v/>
      </c>
      <c r="P84" s="61" t="str">
        <f t="shared" si="24"/>
        <v/>
      </c>
      <c r="Q84" s="61" t="str">
        <f t="shared" si="25"/>
        <v/>
      </c>
    </row>
    <row r="85" spans="1:17" x14ac:dyDescent="0.25">
      <c r="A85" s="40"/>
      <c r="B85" s="42"/>
      <c r="C85" s="41"/>
      <c r="D85" s="41"/>
      <c r="E85" s="41"/>
      <c r="F85" s="41"/>
      <c r="G85" s="41"/>
      <c r="H85" s="43"/>
      <c r="I85" s="61" t="str">
        <f t="shared" si="18"/>
        <v/>
      </c>
      <c r="J85" s="61" t="str">
        <f t="shared" si="19"/>
        <v/>
      </c>
      <c r="K85" s="61" t="str">
        <f t="shared" si="20"/>
        <v/>
      </c>
      <c r="L85" s="61" t="str">
        <f t="shared" si="21"/>
        <v/>
      </c>
      <c r="M85" s="61"/>
      <c r="N85" s="61" t="str">
        <f t="shared" si="22"/>
        <v/>
      </c>
      <c r="O85" s="61" t="str">
        <f t="shared" si="23"/>
        <v/>
      </c>
      <c r="P85" s="61" t="str">
        <f t="shared" si="24"/>
        <v/>
      </c>
      <c r="Q85" s="61" t="str">
        <f t="shared" si="25"/>
        <v/>
      </c>
    </row>
    <row r="86" spans="1:17" x14ac:dyDescent="0.25">
      <c r="A86" s="36"/>
      <c r="B86" s="38"/>
      <c r="C86" s="37"/>
      <c r="D86" s="37"/>
      <c r="E86" s="37"/>
      <c r="F86" s="37"/>
      <c r="G86" s="37"/>
      <c r="H86" s="39"/>
      <c r="I86" s="61" t="str">
        <f t="shared" si="18"/>
        <v/>
      </c>
      <c r="J86" s="61" t="str">
        <f t="shared" si="19"/>
        <v/>
      </c>
      <c r="K86" s="61" t="str">
        <f t="shared" si="20"/>
        <v/>
      </c>
      <c r="L86" s="61" t="str">
        <f t="shared" si="21"/>
        <v/>
      </c>
      <c r="M86" s="61"/>
      <c r="N86" s="61" t="str">
        <f t="shared" si="22"/>
        <v/>
      </c>
      <c r="O86" s="61" t="str">
        <f t="shared" si="23"/>
        <v/>
      </c>
      <c r="P86" s="61" t="str">
        <f t="shared" si="24"/>
        <v/>
      </c>
      <c r="Q86" s="61" t="str">
        <f t="shared" si="25"/>
        <v/>
      </c>
    </row>
    <row r="87" spans="1:17" x14ac:dyDescent="0.25">
      <c r="A87" s="40"/>
      <c r="B87" s="42"/>
      <c r="C87" s="41"/>
      <c r="D87" s="41"/>
      <c r="E87" s="41"/>
      <c r="F87" s="41"/>
      <c r="G87" s="41"/>
      <c r="H87" s="43"/>
      <c r="I87" s="61" t="str">
        <f t="shared" si="18"/>
        <v/>
      </c>
      <c r="J87" s="61" t="str">
        <f t="shared" si="19"/>
        <v/>
      </c>
      <c r="K87" s="61" t="str">
        <f t="shared" si="20"/>
        <v/>
      </c>
      <c r="L87" s="61" t="str">
        <f t="shared" si="21"/>
        <v/>
      </c>
      <c r="M87" s="61"/>
      <c r="N87" s="61" t="str">
        <f t="shared" si="22"/>
        <v/>
      </c>
      <c r="O87" s="61" t="str">
        <f t="shared" si="23"/>
        <v/>
      </c>
      <c r="P87" s="61" t="str">
        <f t="shared" si="24"/>
        <v/>
      </c>
      <c r="Q87" s="61" t="str">
        <f t="shared" si="25"/>
        <v/>
      </c>
    </row>
    <row r="88" spans="1:17" x14ac:dyDescent="0.25">
      <c r="A88" s="36"/>
      <c r="B88" s="38"/>
      <c r="C88" s="37"/>
      <c r="D88" s="37"/>
      <c r="E88" s="37"/>
      <c r="F88" s="37"/>
      <c r="G88" s="37"/>
      <c r="H88" s="39"/>
      <c r="I88" s="61" t="str">
        <f t="shared" si="18"/>
        <v/>
      </c>
      <c r="J88" s="61" t="str">
        <f t="shared" si="19"/>
        <v/>
      </c>
      <c r="K88" s="61" t="str">
        <f t="shared" si="20"/>
        <v/>
      </c>
      <c r="L88" s="61" t="str">
        <f t="shared" si="21"/>
        <v/>
      </c>
      <c r="M88" s="61"/>
      <c r="N88" s="61" t="str">
        <f t="shared" si="22"/>
        <v/>
      </c>
      <c r="O88" s="61" t="str">
        <f t="shared" si="23"/>
        <v/>
      </c>
      <c r="P88" s="61" t="str">
        <f t="shared" si="24"/>
        <v/>
      </c>
      <c r="Q88" s="61" t="str">
        <f t="shared" si="25"/>
        <v/>
      </c>
    </row>
    <row r="89" spans="1:17" x14ac:dyDescent="0.25">
      <c r="A89" s="40"/>
      <c r="B89" s="42"/>
      <c r="C89" s="41"/>
      <c r="D89" s="41"/>
      <c r="E89" s="41"/>
      <c r="F89" s="41"/>
      <c r="G89" s="41"/>
      <c r="H89" s="43"/>
      <c r="I89" s="61" t="str">
        <f t="shared" si="18"/>
        <v/>
      </c>
      <c r="J89" s="61" t="str">
        <f t="shared" si="19"/>
        <v/>
      </c>
      <c r="K89" s="61" t="str">
        <f t="shared" si="20"/>
        <v/>
      </c>
      <c r="L89" s="61" t="str">
        <f t="shared" si="21"/>
        <v/>
      </c>
      <c r="M89" s="61"/>
      <c r="N89" s="61" t="str">
        <f t="shared" si="22"/>
        <v/>
      </c>
      <c r="O89" s="61" t="str">
        <f t="shared" si="23"/>
        <v/>
      </c>
      <c r="P89" s="61" t="str">
        <f t="shared" si="24"/>
        <v/>
      </c>
      <c r="Q89" s="61" t="str">
        <f t="shared" si="25"/>
        <v/>
      </c>
    </row>
    <row r="90" spans="1:17" x14ac:dyDescent="0.25">
      <c r="A90" s="36"/>
      <c r="B90" s="38"/>
      <c r="C90" s="37"/>
      <c r="D90" s="37"/>
      <c r="E90" s="37"/>
      <c r="F90" s="37"/>
      <c r="G90" s="37"/>
      <c r="H90" s="39"/>
      <c r="I90" s="61" t="str">
        <f t="shared" si="18"/>
        <v/>
      </c>
      <c r="J90" s="61" t="str">
        <f t="shared" si="19"/>
        <v/>
      </c>
      <c r="K90" s="61" t="str">
        <f t="shared" si="20"/>
        <v/>
      </c>
      <c r="L90" s="61" t="str">
        <f t="shared" si="21"/>
        <v/>
      </c>
      <c r="M90" s="61"/>
      <c r="N90" s="61" t="str">
        <f t="shared" si="22"/>
        <v/>
      </c>
      <c r="O90" s="61" t="str">
        <f t="shared" si="23"/>
        <v/>
      </c>
      <c r="P90" s="61" t="str">
        <f t="shared" si="24"/>
        <v/>
      </c>
      <c r="Q90" s="61" t="str">
        <f t="shared" si="25"/>
        <v/>
      </c>
    </row>
    <row r="91" spans="1:17" x14ac:dyDescent="0.25">
      <c r="A91" s="40"/>
      <c r="B91" s="42"/>
      <c r="C91" s="41"/>
      <c r="D91" s="41"/>
      <c r="E91" s="41"/>
      <c r="F91" s="41"/>
      <c r="G91" s="41"/>
      <c r="H91" s="43"/>
      <c r="I91" s="61" t="str">
        <f t="shared" si="18"/>
        <v/>
      </c>
      <c r="J91" s="61" t="str">
        <f t="shared" si="19"/>
        <v/>
      </c>
      <c r="K91" s="61" t="str">
        <f t="shared" si="20"/>
        <v/>
      </c>
      <c r="L91" s="61" t="str">
        <f t="shared" si="21"/>
        <v/>
      </c>
      <c r="M91" s="61"/>
      <c r="N91" s="61" t="str">
        <f t="shared" si="22"/>
        <v/>
      </c>
      <c r="O91" s="61" t="str">
        <f t="shared" si="23"/>
        <v/>
      </c>
      <c r="P91" s="61" t="str">
        <f t="shared" si="24"/>
        <v/>
      </c>
      <c r="Q91" s="61" t="str">
        <f t="shared" si="25"/>
        <v/>
      </c>
    </row>
    <row r="92" spans="1:17" x14ac:dyDescent="0.25">
      <c r="A92" s="36"/>
      <c r="B92" s="38"/>
      <c r="C92" s="37"/>
      <c r="D92" s="37"/>
      <c r="E92" s="37"/>
      <c r="F92" s="37"/>
      <c r="G92" s="37"/>
      <c r="H92" s="39"/>
      <c r="I92" s="61" t="str">
        <f t="shared" si="18"/>
        <v/>
      </c>
      <c r="J92" s="61" t="str">
        <f t="shared" si="19"/>
        <v/>
      </c>
      <c r="K92" s="61" t="str">
        <f t="shared" si="20"/>
        <v/>
      </c>
      <c r="L92" s="61" t="str">
        <f t="shared" si="21"/>
        <v/>
      </c>
      <c r="M92" s="61"/>
      <c r="N92" s="61" t="str">
        <f t="shared" si="22"/>
        <v/>
      </c>
      <c r="O92" s="61" t="str">
        <f t="shared" si="23"/>
        <v/>
      </c>
      <c r="P92" s="61" t="str">
        <f t="shared" si="24"/>
        <v/>
      </c>
      <c r="Q92" s="61" t="str">
        <f t="shared" si="25"/>
        <v/>
      </c>
    </row>
    <row r="93" spans="1:17" x14ac:dyDescent="0.25">
      <c r="A93" s="40"/>
      <c r="B93" s="42"/>
      <c r="C93" s="41"/>
      <c r="D93" s="41"/>
      <c r="E93" s="41"/>
      <c r="F93" s="41"/>
      <c r="G93" s="41"/>
      <c r="H93" s="43"/>
      <c r="I93" s="61" t="str">
        <f t="shared" si="18"/>
        <v/>
      </c>
      <c r="J93" s="61" t="str">
        <f t="shared" si="19"/>
        <v/>
      </c>
      <c r="K93" s="61" t="str">
        <f t="shared" si="20"/>
        <v/>
      </c>
      <c r="L93" s="61" t="str">
        <f t="shared" si="21"/>
        <v/>
      </c>
      <c r="M93" s="61"/>
      <c r="N93" s="61" t="str">
        <f t="shared" si="22"/>
        <v/>
      </c>
      <c r="O93" s="61" t="str">
        <f t="shared" si="23"/>
        <v/>
      </c>
      <c r="P93" s="61" t="str">
        <f t="shared" si="24"/>
        <v/>
      </c>
      <c r="Q93" s="61" t="str">
        <f t="shared" si="25"/>
        <v/>
      </c>
    </row>
    <row r="94" spans="1:17" x14ac:dyDescent="0.25">
      <c r="A94" s="36"/>
      <c r="B94" s="38"/>
      <c r="C94" s="37"/>
      <c r="D94" s="37"/>
      <c r="E94" s="37"/>
      <c r="F94" s="37"/>
      <c r="G94" s="37"/>
      <c r="H94" s="39"/>
      <c r="I94" s="61" t="str">
        <f t="shared" si="18"/>
        <v/>
      </c>
      <c r="J94" s="61" t="str">
        <f t="shared" si="19"/>
        <v/>
      </c>
      <c r="K94" s="61" t="str">
        <f t="shared" si="20"/>
        <v/>
      </c>
      <c r="L94" s="61" t="str">
        <f t="shared" si="21"/>
        <v/>
      </c>
      <c r="M94" s="61"/>
      <c r="N94" s="61" t="str">
        <f t="shared" si="22"/>
        <v/>
      </c>
      <c r="O94" s="61" t="str">
        <f t="shared" si="23"/>
        <v/>
      </c>
      <c r="P94" s="61" t="str">
        <f t="shared" si="24"/>
        <v/>
      </c>
      <c r="Q94" s="61" t="str">
        <f t="shared" si="25"/>
        <v/>
      </c>
    </row>
    <row r="95" spans="1:17" x14ac:dyDescent="0.25">
      <c r="A95" s="40"/>
      <c r="B95" s="42"/>
      <c r="C95" s="41"/>
      <c r="D95" s="41"/>
      <c r="E95" s="41"/>
      <c r="F95" s="41"/>
      <c r="G95" s="41"/>
      <c r="H95" s="43"/>
      <c r="I95" s="61" t="str">
        <f t="shared" si="18"/>
        <v/>
      </c>
      <c r="J95" s="61" t="str">
        <f t="shared" si="19"/>
        <v/>
      </c>
      <c r="K95" s="61" t="str">
        <f t="shared" si="20"/>
        <v/>
      </c>
      <c r="L95" s="61" t="str">
        <f t="shared" si="21"/>
        <v/>
      </c>
      <c r="M95" s="61"/>
      <c r="N95" s="61" t="str">
        <f t="shared" si="22"/>
        <v/>
      </c>
      <c r="O95" s="61" t="str">
        <f t="shared" si="23"/>
        <v/>
      </c>
      <c r="P95" s="61" t="str">
        <f t="shared" si="24"/>
        <v/>
      </c>
      <c r="Q95" s="61" t="str">
        <f t="shared" si="25"/>
        <v/>
      </c>
    </row>
    <row r="96" spans="1:17" x14ac:dyDescent="0.25">
      <c r="A96" s="36"/>
      <c r="B96" s="38"/>
      <c r="C96" s="37"/>
      <c r="D96" s="37"/>
      <c r="E96" s="37"/>
      <c r="F96" s="37"/>
      <c r="G96" s="37"/>
      <c r="H96" s="39"/>
      <c r="I96" s="61" t="str">
        <f t="shared" si="18"/>
        <v/>
      </c>
      <c r="J96" s="61" t="str">
        <f t="shared" si="19"/>
        <v/>
      </c>
      <c r="K96" s="61" t="str">
        <f t="shared" si="20"/>
        <v/>
      </c>
      <c r="L96" s="61" t="str">
        <f t="shared" si="21"/>
        <v/>
      </c>
      <c r="M96" s="61"/>
      <c r="N96" s="61" t="str">
        <f t="shared" si="22"/>
        <v/>
      </c>
      <c r="O96" s="61" t="str">
        <f t="shared" si="23"/>
        <v/>
      </c>
      <c r="P96" s="61" t="str">
        <f t="shared" si="24"/>
        <v/>
      </c>
      <c r="Q96" s="61" t="str">
        <f t="shared" si="25"/>
        <v/>
      </c>
    </row>
    <row r="97" spans="1:17" x14ac:dyDescent="0.25">
      <c r="A97" s="40"/>
      <c r="B97" s="42"/>
      <c r="C97" s="41"/>
      <c r="D97" s="41"/>
      <c r="E97" s="41"/>
      <c r="F97" s="41"/>
      <c r="G97" s="41"/>
      <c r="H97" s="43"/>
      <c r="I97" s="61" t="str">
        <f t="shared" si="18"/>
        <v/>
      </c>
      <c r="J97" s="61" t="str">
        <f t="shared" si="19"/>
        <v/>
      </c>
      <c r="K97" s="61" t="str">
        <f t="shared" si="20"/>
        <v/>
      </c>
      <c r="L97" s="61" t="str">
        <f t="shared" si="21"/>
        <v/>
      </c>
      <c r="M97" s="61"/>
      <c r="N97" s="61" t="str">
        <f t="shared" si="22"/>
        <v/>
      </c>
      <c r="O97" s="61" t="str">
        <f t="shared" si="23"/>
        <v/>
      </c>
      <c r="P97" s="61" t="str">
        <f t="shared" si="24"/>
        <v/>
      </c>
      <c r="Q97" s="61" t="str">
        <f t="shared" si="25"/>
        <v/>
      </c>
    </row>
    <row r="98" spans="1:17" x14ac:dyDescent="0.25">
      <c r="A98" s="36"/>
      <c r="B98" s="38"/>
      <c r="C98" s="37"/>
      <c r="D98" s="37"/>
      <c r="E98" s="37"/>
      <c r="F98" s="37"/>
      <c r="G98" s="37"/>
      <c r="H98" s="39"/>
      <c r="I98" s="61" t="str">
        <f t="shared" si="18"/>
        <v/>
      </c>
      <c r="J98" s="61" t="str">
        <f t="shared" si="19"/>
        <v/>
      </c>
      <c r="K98" s="61" t="str">
        <f t="shared" si="20"/>
        <v/>
      </c>
      <c r="L98" s="61" t="str">
        <f t="shared" si="21"/>
        <v/>
      </c>
      <c r="M98" s="61"/>
      <c r="N98" s="61" t="str">
        <f t="shared" si="22"/>
        <v/>
      </c>
      <c r="O98" s="61" t="str">
        <f t="shared" si="23"/>
        <v/>
      </c>
      <c r="P98" s="61" t="str">
        <f t="shared" si="24"/>
        <v/>
      </c>
      <c r="Q98" s="61" t="str">
        <f t="shared" si="25"/>
        <v/>
      </c>
    </row>
    <row r="99" spans="1:17" x14ac:dyDescent="0.25">
      <c r="A99" s="40"/>
      <c r="B99" s="42"/>
      <c r="C99" s="41"/>
      <c r="D99" s="41"/>
      <c r="E99" s="41"/>
      <c r="F99" s="41"/>
      <c r="G99" s="41"/>
      <c r="H99" s="43"/>
      <c r="I99" s="61" t="str">
        <f t="shared" si="18"/>
        <v/>
      </c>
      <c r="J99" s="61" t="str">
        <f t="shared" si="19"/>
        <v/>
      </c>
      <c r="K99" s="61" t="str">
        <f t="shared" si="20"/>
        <v/>
      </c>
      <c r="L99" s="61" t="str">
        <f t="shared" si="21"/>
        <v/>
      </c>
      <c r="M99" s="61"/>
      <c r="N99" s="61" t="str">
        <f t="shared" si="22"/>
        <v/>
      </c>
      <c r="O99" s="61" t="str">
        <f t="shared" si="23"/>
        <v/>
      </c>
      <c r="P99" s="61" t="str">
        <f t="shared" si="24"/>
        <v/>
      </c>
      <c r="Q99" s="61" t="str">
        <f t="shared" si="25"/>
        <v/>
      </c>
    </row>
    <row r="100" spans="1:17" x14ac:dyDescent="0.25">
      <c r="A100" s="36"/>
      <c r="B100" s="38"/>
      <c r="C100" s="37"/>
      <c r="D100" s="37"/>
      <c r="E100" s="37"/>
      <c r="F100" s="37"/>
      <c r="G100" s="37"/>
      <c r="H100" s="39"/>
      <c r="I100" s="61" t="str">
        <f t="shared" si="18"/>
        <v/>
      </c>
      <c r="J100" s="61" t="str">
        <f t="shared" si="19"/>
        <v/>
      </c>
      <c r="K100" s="61" t="str">
        <f t="shared" si="20"/>
        <v/>
      </c>
      <c r="L100" s="61" t="str">
        <f t="shared" si="21"/>
        <v/>
      </c>
      <c r="M100" s="61"/>
      <c r="N100" s="61" t="str">
        <f t="shared" si="22"/>
        <v/>
      </c>
      <c r="O100" s="61" t="str">
        <f t="shared" si="23"/>
        <v/>
      </c>
      <c r="P100" s="61" t="str">
        <f t="shared" si="24"/>
        <v/>
      </c>
      <c r="Q100" s="61" t="str">
        <f t="shared" si="25"/>
        <v/>
      </c>
    </row>
    <row r="101" spans="1:17" x14ac:dyDescent="0.25">
      <c r="A101" s="40"/>
      <c r="B101" s="42"/>
      <c r="C101" s="41"/>
      <c r="D101" s="41"/>
      <c r="E101" s="41"/>
      <c r="F101" s="41"/>
      <c r="G101" s="41"/>
      <c r="H101" s="43"/>
      <c r="I101" s="61" t="str">
        <f t="shared" si="18"/>
        <v/>
      </c>
      <c r="J101" s="61" t="str">
        <f t="shared" si="19"/>
        <v/>
      </c>
      <c r="K101" s="61" t="str">
        <f t="shared" si="20"/>
        <v/>
      </c>
      <c r="L101" s="61" t="str">
        <f t="shared" si="21"/>
        <v/>
      </c>
      <c r="M101" s="61"/>
      <c r="N101" s="61" t="str">
        <f t="shared" si="22"/>
        <v/>
      </c>
      <c r="O101" s="61" t="str">
        <f t="shared" si="23"/>
        <v/>
      </c>
      <c r="P101" s="61" t="str">
        <f t="shared" si="24"/>
        <v/>
      </c>
      <c r="Q101" s="61" t="str">
        <f t="shared" si="25"/>
        <v/>
      </c>
    </row>
    <row r="102" spans="1:17" x14ac:dyDescent="0.25">
      <c r="A102" s="36"/>
      <c r="B102" s="38"/>
      <c r="C102" s="37"/>
      <c r="D102" s="37"/>
      <c r="E102" s="37"/>
      <c r="F102" s="37"/>
      <c r="G102" s="37"/>
      <c r="H102" s="39"/>
      <c r="I102" s="61" t="str">
        <f t="shared" si="18"/>
        <v/>
      </c>
      <c r="J102" s="61" t="str">
        <f t="shared" si="19"/>
        <v/>
      </c>
      <c r="K102" s="61" t="str">
        <f t="shared" si="20"/>
        <v/>
      </c>
      <c r="L102" s="61" t="str">
        <f t="shared" si="21"/>
        <v/>
      </c>
      <c r="M102" s="61"/>
      <c r="N102" s="61" t="str">
        <f t="shared" si="22"/>
        <v/>
      </c>
      <c r="O102" s="61" t="str">
        <f t="shared" si="23"/>
        <v/>
      </c>
      <c r="P102" s="61" t="str">
        <f t="shared" si="24"/>
        <v/>
      </c>
      <c r="Q102" s="61" t="str">
        <f t="shared" si="25"/>
        <v/>
      </c>
    </row>
    <row r="103" spans="1:17" x14ac:dyDescent="0.25">
      <c r="A103" s="40"/>
      <c r="B103" s="42"/>
      <c r="C103" s="41"/>
      <c r="D103" s="41"/>
      <c r="E103" s="41"/>
      <c r="F103" s="41"/>
      <c r="G103" s="41"/>
      <c r="H103" s="43"/>
      <c r="I103" s="61" t="str">
        <f t="shared" si="18"/>
        <v/>
      </c>
      <c r="J103" s="61" t="str">
        <f t="shared" si="19"/>
        <v/>
      </c>
      <c r="K103" s="61" t="str">
        <f t="shared" si="20"/>
        <v/>
      </c>
      <c r="L103" s="61" t="str">
        <f t="shared" si="21"/>
        <v/>
      </c>
      <c r="M103" s="61"/>
      <c r="N103" s="61" t="str">
        <f t="shared" si="22"/>
        <v/>
      </c>
      <c r="O103" s="61" t="str">
        <f t="shared" si="23"/>
        <v/>
      </c>
      <c r="P103" s="61" t="str">
        <f t="shared" si="24"/>
        <v/>
      </c>
      <c r="Q103" s="61" t="str">
        <f t="shared" si="25"/>
        <v/>
      </c>
    </row>
    <row r="104" spans="1:17" x14ac:dyDescent="0.25">
      <c r="A104" s="44"/>
      <c r="B104" s="46"/>
      <c r="C104" s="45"/>
      <c r="D104" s="45"/>
      <c r="E104" s="45"/>
      <c r="F104" s="45"/>
      <c r="G104" s="45"/>
      <c r="H104" s="48"/>
      <c r="I104" s="61" t="str">
        <f t="shared" si="18"/>
        <v/>
      </c>
      <c r="J104" s="61" t="str">
        <f t="shared" si="19"/>
        <v/>
      </c>
      <c r="K104" s="61" t="str">
        <f t="shared" si="20"/>
        <v/>
      </c>
      <c r="L104" s="61" t="str">
        <f t="shared" si="21"/>
        <v/>
      </c>
      <c r="M104" s="61"/>
      <c r="N104" s="61" t="str">
        <f t="shared" si="22"/>
        <v/>
      </c>
      <c r="O104" s="61" t="str">
        <f t="shared" si="23"/>
        <v/>
      </c>
      <c r="P104" s="61" t="str">
        <f t="shared" si="24"/>
        <v/>
      </c>
      <c r="Q104" s="61" t="str">
        <f t="shared" si="25"/>
        <v/>
      </c>
    </row>
  </sheetData>
  <autoFilter ref="A4:H104" xr:uid="{00000000-0001-0000-0700-000000000000}"/>
  <mergeCells count="2">
    <mergeCell ref="A2:N2"/>
    <mergeCell ref="A1:N1"/>
  </mergeCells>
  <phoneticPr fontId="1"/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EDF8-B216-4BF5-8A7E-D8BC32863AD2}">
  <dimension ref="A1:G265"/>
  <sheetViews>
    <sheetView tabSelected="1" topLeftCell="A100" workbookViewId="0">
      <selection activeCell="J108" sqref="J108"/>
    </sheetView>
  </sheetViews>
  <sheetFormatPr defaultRowHeight="13.5" x14ac:dyDescent="0.15"/>
  <cols>
    <col min="1" max="4" width="20.625" customWidth="1"/>
    <col min="5" max="5" width="60.625" customWidth="1"/>
    <col min="6" max="7" width="20.625" customWidth="1"/>
  </cols>
  <sheetData>
    <row r="1" spans="1:7" x14ac:dyDescent="0.15">
      <c r="A1" s="63" t="e">
        <f>INDEX([1]_翻訳マスタ!$B$2:$D$300,MATCH("GOMI_NO",[1]_翻訳マスタ!$A$2:$A$300,0),MATCH(言語切替!$B$3,[1]_翻訳マスタ!$B$1:$D$1,0))</f>
        <v>#N/A</v>
      </c>
      <c r="B1" s="63" t="e">
        <f>INDEX([1]_翻訳マスタ!$B$2:$D$300,MATCH("GOMI_DATE",[1]_翻訳マスタ!$A$2:$A$300,0),MATCH(言語切替!$B$3,[1]_翻訳マスタ!$B$1:$D$1,0))</f>
        <v>#N/A</v>
      </c>
      <c r="C1" s="63" t="e">
        <f>INDEX([1]_翻訳マスタ!$B$2:$D$300,MATCH("GOMI_SHEET",[1]_翻訳マスタ!$A$2:$A$300,0),MATCH(言語切替!$B$3,[1]_翻訳マスタ!$B$1:$D$1,0))</f>
        <v>#N/A</v>
      </c>
      <c r="D1" s="63" t="e">
        <f>INDEX([1]_翻訳マスタ!$B$2:$D$300,MATCH("GOMI_ID",[1]_翻訳マスタ!$A$2:$A$300,0),MATCH(言語切替!$B$3,[1]_翻訳マスタ!$B$1:$D$1,0))</f>
        <v>#N/A</v>
      </c>
      <c r="E1" s="63" t="e">
        <f>INDEX([1]_翻訳マスタ!$B$2:$D$300,MATCH("GOMI_SNAP",[1]_翻訳マスタ!$A$2:$A$300,0),MATCH(言語切替!$B$3,[1]_翻訳マスタ!$B$1:$D$1,0))</f>
        <v>#N/A</v>
      </c>
      <c r="F1" s="63" t="e">
        <f>INDEX([1]_翻訳マスタ!$B$2:$D$300,MATCH("GOMI_BY",[1]_翻訳マスタ!$A$2:$A$300,0),MATCH(言語切替!$B$3,[1]_翻訳マスタ!$B$1:$D$1,0))</f>
        <v>#N/A</v>
      </c>
      <c r="G1" s="63" t="e">
        <f>INDEX([1]_翻訳マスタ!$B$2:$D$300,MATCH("GOMI_REASON",[1]_翻訳マスタ!$A$2:$A$300,0),MATCH(言語切替!$B$3,[1]_翻訳マスタ!$B$1:$D$1,0))</f>
        <v>#N/A</v>
      </c>
    </row>
    <row r="2" spans="1:7" x14ac:dyDescent="0.15">
      <c r="A2" t="s">
        <v>235</v>
      </c>
      <c r="B2" t="s">
        <v>0</v>
      </c>
      <c r="C2" t="s">
        <v>236</v>
      </c>
      <c r="D2" t="s">
        <v>237</v>
      </c>
    </row>
    <row r="3" spans="1:7" x14ac:dyDescent="0.15">
      <c r="A3" t="s">
        <v>238</v>
      </c>
      <c r="B3" t="s">
        <v>1</v>
      </c>
      <c r="C3" t="s">
        <v>239</v>
      </c>
      <c r="D3" t="s">
        <v>240</v>
      </c>
    </row>
    <row r="4" spans="1:7" x14ac:dyDescent="0.15">
      <c r="A4" t="s">
        <v>241</v>
      </c>
      <c r="B4" t="s">
        <v>2</v>
      </c>
      <c r="C4" t="s">
        <v>242</v>
      </c>
      <c r="D4" t="s">
        <v>243</v>
      </c>
    </row>
    <row r="5" spans="1:7" x14ac:dyDescent="0.15">
      <c r="A5" t="s">
        <v>244</v>
      </c>
      <c r="B5" t="s">
        <v>5</v>
      </c>
      <c r="C5" t="s">
        <v>245</v>
      </c>
      <c r="D5" t="s">
        <v>246</v>
      </c>
    </row>
    <row r="6" spans="1:7" x14ac:dyDescent="0.15">
      <c r="A6" t="s">
        <v>247</v>
      </c>
      <c r="B6" t="s">
        <v>8</v>
      </c>
      <c r="C6" t="s">
        <v>248</v>
      </c>
      <c r="D6" t="s">
        <v>249</v>
      </c>
    </row>
    <row r="7" spans="1:7" x14ac:dyDescent="0.15">
      <c r="A7" t="s">
        <v>250</v>
      </c>
      <c r="B7" t="s">
        <v>11</v>
      </c>
      <c r="C7" t="s">
        <v>251</v>
      </c>
      <c r="D7" t="s">
        <v>252</v>
      </c>
    </row>
    <row r="8" spans="1:7" x14ac:dyDescent="0.15">
      <c r="A8" t="s">
        <v>253</v>
      </c>
      <c r="B8" t="s">
        <v>13</v>
      </c>
      <c r="C8" t="s">
        <v>254</v>
      </c>
      <c r="D8" t="s">
        <v>255</v>
      </c>
    </row>
    <row r="9" spans="1:7" x14ac:dyDescent="0.15">
      <c r="A9" t="s">
        <v>256</v>
      </c>
      <c r="B9" t="s">
        <v>3</v>
      </c>
      <c r="C9" t="s">
        <v>257</v>
      </c>
      <c r="D9" t="s">
        <v>258</v>
      </c>
    </row>
    <row r="10" spans="1:7" x14ac:dyDescent="0.15">
      <c r="A10" t="s">
        <v>259</v>
      </c>
      <c r="B10" t="s">
        <v>4</v>
      </c>
      <c r="C10" t="s">
        <v>4</v>
      </c>
      <c r="D10" t="s">
        <v>260</v>
      </c>
    </row>
    <row r="11" spans="1:7" x14ac:dyDescent="0.15">
      <c r="A11" t="s">
        <v>261</v>
      </c>
      <c r="B11" t="s">
        <v>7</v>
      </c>
      <c r="C11" t="s">
        <v>262</v>
      </c>
      <c r="D11" t="s">
        <v>263</v>
      </c>
    </row>
    <row r="12" spans="1:7" x14ac:dyDescent="0.15">
      <c r="A12" t="s">
        <v>264</v>
      </c>
      <c r="B12" t="s">
        <v>10</v>
      </c>
      <c r="C12" t="s">
        <v>265</v>
      </c>
      <c r="D12" t="s">
        <v>266</v>
      </c>
    </row>
    <row r="13" spans="1:7" x14ac:dyDescent="0.15">
      <c r="A13" t="s">
        <v>267</v>
      </c>
      <c r="B13" t="s">
        <v>12</v>
      </c>
      <c r="C13" t="s">
        <v>268</v>
      </c>
      <c r="D13" t="s">
        <v>269</v>
      </c>
    </row>
    <row r="14" spans="1:7" x14ac:dyDescent="0.15">
      <c r="A14" t="s">
        <v>270</v>
      </c>
      <c r="B14" t="s">
        <v>15</v>
      </c>
      <c r="C14" t="s">
        <v>271</v>
      </c>
      <c r="D14" t="s">
        <v>272</v>
      </c>
    </row>
    <row r="15" spans="1:7" x14ac:dyDescent="0.15">
      <c r="A15" t="s">
        <v>273</v>
      </c>
      <c r="B15" t="s">
        <v>17</v>
      </c>
      <c r="C15" t="s">
        <v>274</v>
      </c>
      <c r="D15" t="s">
        <v>275</v>
      </c>
    </row>
    <row r="16" spans="1:7" x14ac:dyDescent="0.15">
      <c r="A16" t="s">
        <v>276</v>
      </c>
      <c r="B16" t="s">
        <v>20</v>
      </c>
      <c r="C16" t="s">
        <v>277</v>
      </c>
      <c r="D16" t="s">
        <v>278</v>
      </c>
    </row>
    <row r="17" spans="1:4" x14ac:dyDescent="0.15">
      <c r="A17" t="s">
        <v>279</v>
      </c>
      <c r="B17" t="s">
        <v>23</v>
      </c>
      <c r="C17" t="s">
        <v>280</v>
      </c>
      <c r="D17" t="s">
        <v>281</v>
      </c>
    </row>
    <row r="18" spans="1:4" x14ac:dyDescent="0.15">
      <c r="A18" t="s">
        <v>282</v>
      </c>
      <c r="B18" t="s">
        <v>18</v>
      </c>
      <c r="C18" t="s">
        <v>283</v>
      </c>
      <c r="D18" t="s">
        <v>284</v>
      </c>
    </row>
    <row r="19" spans="1:4" x14ac:dyDescent="0.15">
      <c r="A19" t="s">
        <v>285</v>
      </c>
      <c r="B19" t="s">
        <v>21</v>
      </c>
      <c r="C19" t="s">
        <v>286</v>
      </c>
      <c r="D19" t="s">
        <v>287</v>
      </c>
    </row>
    <row r="20" spans="1:4" x14ac:dyDescent="0.15">
      <c r="A20" t="s">
        <v>288</v>
      </c>
      <c r="B20" t="s">
        <v>24</v>
      </c>
      <c r="C20" t="s">
        <v>289</v>
      </c>
      <c r="D20" t="s">
        <v>290</v>
      </c>
    </row>
    <row r="21" spans="1:4" x14ac:dyDescent="0.15">
      <c r="A21" t="s">
        <v>291</v>
      </c>
      <c r="B21" t="s">
        <v>25</v>
      </c>
      <c r="C21" t="s">
        <v>292</v>
      </c>
      <c r="D21" t="s">
        <v>293</v>
      </c>
    </row>
    <row r="22" spans="1:4" x14ac:dyDescent="0.15">
      <c r="A22" t="s">
        <v>294</v>
      </c>
      <c r="B22" t="s">
        <v>26</v>
      </c>
      <c r="C22" t="s">
        <v>295</v>
      </c>
      <c r="D22" t="s">
        <v>296</v>
      </c>
    </row>
    <row r="23" spans="1:4" x14ac:dyDescent="0.15">
      <c r="A23" t="s">
        <v>297</v>
      </c>
      <c r="B23" t="s">
        <v>27</v>
      </c>
      <c r="C23" t="s">
        <v>298</v>
      </c>
      <c r="D23" t="s">
        <v>299</v>
      </c>
    </row>
    <row r="24" spans="1:4" x14ac:dyDescent="0.15">
      <c r="A24" t="s">
        <v>300</v>
      </c>
      <c r="B24" t="s">
        <v>28</v>
      </c>
      <c r="C24" t="s">
        <v>301</v>
      </c>
      <c r="D24" t="s">
        <v>302</v>
      </c>
    </row>
    <row r="25" spans="1:4" x14ac:dyDescent="0.15">
      <c r="A25" t="s">
        <v>303</v>
      </c>
      <c r="B25" t="s">
        <v>29</v>
      </c>
      <c r="C25" t="s">
        <v>304</v>
      </c>
      <c r="D25" t="s">
        <v>305</v>
      </c>
    </row>
    <row r="26" spans="1:4" x14ac:dyDescent="0.15">
      <c r="A26" t="s">
        <v>306</v>
      </c>
      <c r="B26" t="s">
        <v>30</v>
      </c>
      <c r="C26" t="s">
        <v>307</v>
      </c>
      <c r="D26" t="s">
        <v>308</v>
      </c>
    </row>
    <row r="27" spans="1:4" x14ac:dyDescent="0.15">
      <c r="A27" t="s">
        <v>309</v>
      </c>
      <c r="B27" t="s">
        <v>31</v>
      </c>
      <c r="C27" t="s">
        <v>310</v>
      </c>
      <c r="D27" t="s">
        <v>311</v>
      </c>
    </row>
    <row r="28" spans="1:4" x14ac:dyDescent="0.15">
      <c r="A28" t="s">
        <v>312</v>
      </c>
      <c r="B28" t="s">
        <v>32</v>
      </c>
      <c r="C28" t="s">
        <v>313</v>
      </c>
      <c r="D28" t="s">
        <v>314</v>
      </c>
    </row>
    <row r="29" spans="1:4" x14ac:dyDescent="0.15">
      <c r="A29" t="s">
        <v>315</v>
      </c>
      <c r="B29" t="s">
        <v>33</v>
      </c>
      <c r="C29" t="s">
        <v>316</v>
      </c>
      <c r="D29" t="s">
        <v>317</v>
      </c>
    </row>
    <row r="30" spans="1:4" x14ac:dyDescent="0.15">
      <c r="A30" t="s">
        <v>318</v>
      </c>
      <c r="B30" t="s">
        <v>34</v>
      </c>
      <c r="C30" t="s">
        <v>319</v>
      </c>
      <c r="D30" t="s">
        <v>320</v>
      </c>
    </row>
    <row r="31" spans="1:4" x14ac:dyDescent="0.15">
      <c r="A31" t="s">
        <v>321</v>
      </c>
      <c r="B31" t="s">
        <v>35</v>
      </c>
      <c r="C31" t="s">
        <v>322</v>
      </c>
      <c r="D31" t="s">
        <v>323</v>
      </c>
    </row>
    <row r="32" spans="1:4" x14ac:dyDescent="0.15">
      <c r="A32" t="s">
        <v>324</v>
      </c>
      <c r="B32" t="s">
        <v>36</v>
      </c>
      <c r="C32" t="s">
        <v>325</v>
      </c>
      <c r="D32" t="s">
        <v>326</v>
      </c>
    </row>
    <row r="33" spans="1:5" x14ac:dyDescent="0.15">
      <c r="A33" t="s">
        <v>345</v>
      </c>
      <c r="B33" t="s">
        <v>37</v>
      </c>
      <c r="C33" t="s">
        <v>346</v>
      </c>
      <c r="D33" t="s">
        <v>347</v>
      </c>
      <c r="E33" t="e">
        <f>INDEX(B33:D33,1,MATCH(言語切替!$B$3,$B$1:$D$1,0))</f>
        <v>#N/A</v>
      </c>
    </row>
    <row r="34" spans="1:5" x14ac:dyDescent="0.15">
      <c r="A34" t="s">
        <v>348</v>
      </c>
      <c r="B34" t="s">
        <v>38</v>
      </c>
      <c r="C34" t="s">
        <v>349</v>
      </c>
      <c r="D34" t="s">
        <v>350</v>
      </c>
      <c r="E34" t="e">
        <f>INDEX(B34:D34,1,MATCH(言語切替!$B$3,$B$1:$D$1,0))</f>
        <v>#N/A</v>
      </c>
    </row>
    <row r="35" spans="1:5" x14ac:dyDescent="0.15">
      <c r="A35" t="s">
        <v>351</v>
      </c>
      <c r="B35" t="s">
        <v>39</v>
      </c>
      <c r="C35" t="s">
        <v>352</v>
      </c>
      <c r="D35" t="s">
        <v>353</v>
      </c>
      <c r="E35" t="e">
        <f>INDEX(B35:D35,1,MATCH(言語切替!$B$3,$B$1:$D$1,0))</f>
        <v>#N/A</v>
      </c>
    </row>
    <row r="36" spans="1:5" x14ac:dyDescent="0.15">
      <c r="A36" t="s">
        <v>354</v>
      </c>
      <c r="B36" t="s">
        <v>40</v>
      </c>
      <c r="C36" t="s">
        <v>355</v>
      </c>
      <c r="D36" t="s">
        <v>356</v>
      </c>
      <c r="E36" t="e">
        <f>INDEX(B36:D36,1,MATCH(言語切替!$B$3,$B$1:$D$1,0))</f>
        <v>#N/A</v>
      </c>
    </row>
    <row r="37" spans="1:5" x14ac:dyDescent="0.15">
      <c r="A37" t="s">
        <v>357</v>
      </c>
      <c r="B37" t="s">
        <v>41</v>
      </c>
      <c r="C37" t="s">
        <v>358</v>
      </c>
      <c r="D37" t="s">
        <v>359</v>
      </c>
      <c r="E37" t="e">
        <f>INDEX(B37:D37,1,MATCH(言語切替!$B$3,$B$1:$D$1,0))</f>
        <v>#N/A</v>
      </c>
    </row>
    <row r="38" spans="1:5" x14ac:dyDescent="0.15">
      <c r="A38" t="s">
        <v>360</v>
      </c>
      <c r="B38" t="s">
        <v>42</v>
      </c>
      <c r="C38" t="s">
        <v>361</v>
      </c>
      <c r="D38" t="s">
        <v>362</v>
      </c>
      <c r="E38" t="e">
        <f>INDEX(B38:D38,1,MATCH(言語切替!$B$3,$B$1:$D$1,0))</f>
        <v>#N/A</v>
      </c>
    </row>
    <row r="39" spans="1:5" x14ac:dyDescent="0.15">
      <c r="A39" t="s">
        <v>363</v>
      </c>
      <c r="B39" t="s">
        <v>43</v>
      </c>
      <c r="C39" t="s">
        <v>364</v>
      </c>
      <c r="D39" t="s">
        <v>365</v>
      </c>
      <c r="E39" t="e">
        <f>INDEX(B39:D39,1,MATCH(言語切替!$B$3,$B$1:$D$1,0))</f>
        <v>#N/A</v>
      </c>
    </row>
    <row r="40" spans="1:5" x14ac:dyDescent="0.15">
      <c r="A40" t="s">
        <v>366</v>
      </c>
      <c r="B40" t="s">
        <v>44</v>
      </c>
      <c r="C40" t="s">
        <v>44</v>
      </c>
      <c r="D40" t="s">
        <v>44</v>
      </c>
      <c r="E40" t="e">
        <f>INDEX(B40:D40,1,MATCH(言語切替!$B$3,$B$1:$D$1,0))</f>
        <v>#N/A</v>
      </c>
    </row>
    <row r="41" spans="1:5" x14ac:dyDescent="0.15">
      <c r="A41" t="s">
        <v>367</v>
      </c>
      <c r="B41" t="s">
        <v>45</v>
      </c>
      <c r="C41" t="s">
        <v>368</v>
      </c>
      <c r="D41" t="s">
        <v>369</v>
      </c>
      <c r="E41" t="e">
        <f>INDEX(B41:D41,1,MATCH(言語切替!$B$3,$B$1:$D$1,0))</f>
        <v>#N/A</v>
      </c>
    </row>
    <row r="42" spans="1:5" x14ac:dyDescent="0.15">
      <c r="A42" t="s">
        <v>370</v>
      </c>
      <c r="B42" t="s">
        <v>46</v>
      </c>
      <c r="C42" t="s">
        <v>371</v>
      </c>
      <c r="D42" t="s">
        <v>372</v>
      </c>
      <c r="E42" t="e">
        <f>INDEX(B42:D42,1,MATCH(言語切替!$B$3,$B$1:$D$1,0))</f>
        <v>#N/A</v>
      </c>
    </row>
    <row r="43" spans="1:5" x14ac:dyDescent="0.15">
      <c r="A43" t="s">
        <v>373</v>
      </c>
      <c r="B43" t="s">
        <v>47</v>
      </c>
      <c r="C43" t="s">
        <v>374</v>
      </c>
      <c r="D43" t="s">
        <v>375</v>
      </c>
      <c r="E43" t="e">
        <f>INDEX(B43:D43,1,MATCH(言語切替!$B$3,$B$1:$D$1,0))</f>
        <v>#N/A</v>
      </c>
    </row>
    <row r="44" spans="1:5" x14ac:dyDescent="0.15">
      <c r="A44" t="s">
        <v>376</v>
      </c>
      <c r="B44" t="s">
        <v>377</v>
      </c>
      <c r="C44" t="s">
        <v>378</v>
      </c>
      <c r="D44" t="s">
        <v>379</v>
      </c>
      <c r="E44" t="e">
        <f>INDEX(B44:D44,1,MATCH(言語切替!$B$3,$B$1:$D$1,0))</f>
        <v>#N/A</v>
      </c>
    </row>
    <row r="45" spans="1:5" x14ac:dyDescent="0.15">
      <c r="A45" t="s">
        <v>380</v>
      </c>
      <c r="B45" t="s">
        <v>381</v>
      </c>
      <c r="C45" t="s">
        <v>382</v>
      </c>
      <c r="D45" t="s">
        <v>383</v>
      </c>
      <c r="E45" t="e">
        <f>INDEX(B45:D45,1,MATCH(言語切替!$B$3,$B$1:$D$1,0))</f>
        <v>#N/A</v>
      </c>
    </row>
    <row r="46" spans="1:5" x14ac:dyDescent="0.15">
      <c r="A46" t="s">
        <v>384</v>
      </c>
      <c r="B46" t="s">
        <v>48</v>
      </c>
      <c r="C46" t="s">
        <v>385</v>
      </c>
      <c r="D46" t="s">
        <v>914</v>
      </c>
    </row>
    <row r="47" spans="1:5" x14ac:dyDescent="0.15">
      <c r="A47" t="s">
        <v>389</v>
      </c>
      <c r="B47" t="s">
        <v>51</v>
      </c>
      <c r="C47" t="s">
        <v>390</v>
      </c>
      <c r="D47" t="s">
        <v>391</v>
      </c>
    </row>
    <row r="48" spans="1:5" x14ac:dyDescent="0.15">
      <c r="A48" t="s">
        <v>392</v>
      </c>
      <c r="B48" t="s">
        <v>52</v>
      </c>
      <c r="C48" t="s">
        <v>393</v>
      </c>
      <c r="D48" t="s">
        <v>394</v>
      </c>
    </row>
    <row r="49" spans="1:4" x14ac:dyDescent="0.15">
      <c r="A49" t="s">
        <v>395</v>
      </c>
      <c r="B49" t="s">
        <v>44</v>
      </c>
      <c r="C49" t="s">
        <v>44</v>
      </c>
      <c r="D49" t="s">
        <v>44</v>
      </c>
    </row>
    <row r="50" spans="1:4" x14ac:dyDescent="0.15">
      <c r="A50" t="s">
        <v>396</v>
      </c>
      <c r="B50" t="s">
        <v>53</v>
      </c>
      <c r="C50" t="s">
        <v>397</v>
      </c>
      <c r="D50" t="s">
        <v>398</v>
      </c>
    </row>
    <row r="51" spans="1:4" x14ac:dyDescent="0.15">
      <c r="A51" t="s">
        <v>399</v>
      </c>
      <c r="B51" t="s">
        <v>54</v>
      </c>
      <c r="C51" t="s">
        <v>400</v>
      </c>
      <c r="D51" t="s">
        <v>401</v>
      </c>
    </row>
    <row r="52" spans="1:4" x14ac:dyDescent="0.15">
      <c r="A52" t="s">
        <v>402</v>
      </c>
      <c r="B52" t="s">
        <v>55</v>
      </c>
      <c r="C52" t="s">
        <v>403</v>
      </c>
      <c r="D52" t="s">
        <v>404</v>
      </c>
    </row>
    <row r="53" spans="1:4" x14ac:dyDescent="0.15">
      <c r="A53" t="s">
        <v>405</v>
      </c>
      <c r="B53" t="s">
        <v>56</v>
      </c>
      <c r="C53" t="s">
        <v>406</v>
      </c>
      <c r="D53" t="s">
        <v>407</v>
      </c>
    </row>
    <row r="54" spans="1:4" x14ac:dyDescent="0.15">
      <c r="A54" t="s">
        <v>408</v>
      </c>
      <c r="B54" t="s">
        <v>57</v>
      </c>
      <c r="C54" t="s">
        <v>409</v>
      </c>
      <c r="D54" t="s">
        <v>410</v>
      </c>
    </row>
    <row r="55" spans="1:4" x14ac:dyDescent="0.15">
      <c r="A55" t="s">
        <v>411</v>
      </c>
      <c r="B55" t="s">
        <v>58</v>
      </c>
      <c r="C55" t="s">
        <v>58</v>
      </c>
      <c r="D55" t="s">
        <v>412</v>
      </c>
    </row>
    <row r="56" spans="1:4" x14ac:dyDescent="0.15">
      <c r="A56" t="s">
        <v>413</v>
      </c>
      <c r="B56" t="s">
        <v>48</v>
      </c>
      <c r="C56" t="s">
        <v>385</v>
      </c>
      <c r="D56" t="s">
        <v>553</v>
      </c>
    </row>
    <row r="57" spans="1:4" x14ac:dyDescent="0.15">
      <c r="A57" t="s">
        <v>414</v>
      </c>
      <c r="B57" t="s">
        <v>328</v>
      </c>
      <c r="C57" t="s">
        <v>328</v>
      </c>
      <c r="D57" t="s">
        <v>328</v>
      </c>
    </row>
    <row r="58" spans="1:4" x14ac:dyDescent="0.15">
      <c r="A58" t="s">
        <v>415</v>
      </c>
      <c r="B58" t="s">
        <v>330</v>
      </c>
      <c r="C58" t="s">
        <v>330</v>
      </c>
      <c r="D58" t="s">
        <v>330</v>
      </c>
    </row>
    <row r="59" spans="1:4" x14ac:dyDescent="0.15">
      <c r="A59" t="s">
        <v>416</v>
      </c>
      <c r="B59" t="s">
        <v>332</v>
      </c>
      <c r="C59" t="s">
        <v>332</v>
      </c>
      <c r="D59" t="s">
        <v>332</v>
      </c>
    </row>
    <row r="60" spans="1:4" x14ac:dyDescent="0.15">
      <c r="A60" t="s">
        <v>417</v>
      </c>
      <c r="B60" t="s">
        <v>334</v>
      </c>
      <c r="C60" t="s">
        <v>334</v>
      </c>
      <c r="D60" t="s">
        <v>334</v>
      </c>
    </row>
    <row r="61" spans="1:4" x14ac:dyDescent="0.15">
      <c r="A61" t="s">
        <v>418</v>
      </c>
      <c r="B61" t="s">
        <v>336</v>
      </c>
      <c r="C61" t="s">
        <v>336</v>
      </c>
      <c r="D61" t="s">
        <v>336</v>
      </c>
    </row>
    <row r="62" spans="1:4" x14ac:dyDescent="0.15">
      <c r="A62" t="s">
        <v>419</v>
      </c>
      <c r="B62" t="s">
        <v>338</v>
      </c>
      <c r="C62" t="s">
        <v>338</v>
      </c>
      <c r="D62" t="s">
        <v>338</v>
      </c>
    </row>
    <row r="63" spans="1:4" x14ac:dyDescent="0.15">
      <c r="A63" t="s">
        <v>420</v>
      </c>
      <c r="B63" t="s">
        <v>340</v>
      </c>
      <c r="C63" t="s">
        <v>340</v>
      </c>
      <c r="D63" t="s">
        <v>340</v>
      </c>
    </row>
    <row r="64" spans="1:4" x14ac:dyDescent="0.15">
      <c r="A64" t="s">
        <v>421</v>
      </c>
      <c r="B64" t="s">
        <v>140</v>
      </c>
      <c r="C64" t="s">
        <v>140</v>
      </c>
      <c r="D64" t="s">
        <v>140</v>
      </c>
    </row>
    <row r="65" spans="1:4" x14ac:dyDescent="0.15">
      <c r="A65" t="s">
        <v>422</v>
      </c>
      <c r="B65" t="s">
        <v>343</v>
      </c>
      <c r="C65" t="s">
        <v>343</v>
      </c>
      <c r="D65" t="s">
        <v>343</v>
      </c>
    </row>
    <row r="66" spans="1:4" x14ac:dyDescent="0.15">
      <c r="A66" t="s">
        <v>423</v>
      </c>
      <c r="B66" t="s">
        <v>59</v>
      </c>
      <c r="C66" t="s">
        <v>59</v>
      </c>
      <c r="D66" t="s">
        <v>424</v>
      </c>
    </row>
    <row r="67" spans="1:4" x14ac:dyDescent="0.15">
      <c r="A67" t="s">
        <v>425</v>
      </c>
      <c r="B67" t="s">
        <v>65</v>
      </c>
      <c r="C67" t="s">
        <v>65</v>
      </c>
      <c r="D67" t="s">
        <v>65</v>
      </c>
    </row>
    <row r="68" spans="1:4" x14ac:dyDescent="0.15">
      <c r="A68" t="s">
        <v>426</v>
      </c>
      <c r="B68" t="s">
        <v>71</v>
      </c>
      <c r="C68" t="s">
        <v>71</v>
      </c>
      <c r="D68" t="s">
        <v>71</v>
      </c>
    </row>
    <row r="69" spans="1:4" x14ac:dyDescent="0.15">
      <c r="A69" t="s">
        <v>427</v>
      </c>
      <c r="B69" t="s">
        <v>77</v>
      </c>
      <c r="C69" t="s">
        <v>77</v>
      </c>
      <c r="D69" t="s">
        <v>77</v>
      </c>
    </row>
    <row r="70" spans="1:4" x14ac:dyDescent="0.15">
      <c r="A70" t="s">
        <v>428</v>
      </c>
      <c r="B70" t="s">
        <v>60</v>
      </c>
      <c r="C70" t="s">
        <v>429</v>
      </c>
      <c r="D70" t="s">
        <v>430</v>
      </c>
    </row>
    <row r="71" spans="1:4" x14ac:dyDescent="0.15">
      <c r="A71" t="s">
        <v>431</v>
      </c>
      <c r="B71" t="s">
        <v>66</v>
      </c>
      <c r="C71" t="s">
        <v>432</v>
      </c>
      <c r="D71" t="s">
        <v>433</v>
      </c>
    </row>
    <row r="72" spans="1:4" x14ac:dyDescent="0.15">
      <c r="A72" t="s">
        <v>434</v>
      </c>
      <c r="B72" t="s">
        <v>72</v>
      </c>
      <c r="C72" t="s">
        <v>435</v>
      </c>
      <c r="D72" t="s">
        <v>436</v>
      </c>
    </row>
    <row r="73" spans="1:4" x14ac:dyDescent="0.15">
      <c r="A73" t="s">
        <v>437</v>
      </c>
      <c r="B73" t="s">
        <v>78</v>
      </c>
      <c r="C73" t="s">
        <v>438</v>
      </c>
      <c r="D73" t="s">
        <v>439</v>
      </c>
    </row>
    <row r="74" spans="1:4" x14ac:dyDescent="0.15">
      <c r="A74" t="s">
        <v>440</v>
      </c>
      <c r="B74" t="s">
        <v>82</v>
      </c>
      <c r="C74" t="s">
        <v>441</v>
      </c>
      <c r="D74" t="s">
        <v>442</v>
      </c>
    </row>
    <row r="75" spans="1:4" x14ac:dyDescent="0.15">
      <c r="A75" t="s">
        <v>443</v>
      </c>
      <c r="B75" t="s">
        <v>84</v>
      </c>
      <c r="C75" t="s">
        <v>444</v>
      </c>
      <c r="D75" t="s">
        <v>445</v>
      </c>
    </row>
    <row r="76" spans="1:4" x14ac:dyDescent="0.15">
      <c r="A76" t="s">
        <v>446</v>
      </c>
      <c r="B76" t="s">
        <v>86</v>
      </c>
      <c r="C76" t="s">
        <v>447</v>
      </c>
      <c r="D76" t="s">
        <v>448</v>
      </c>
    </row>
    <row r="77" spans="1:4" x14ac:dyDescent="0.15">
      <c r="A77" t="s">
        <v>449</v>
      </c>
      <c r="B77" t="s">
        <v>87</v>
      </c>
      <c r="C77" t="s">
        <v>450</v>
      </c>
      <c r="D77" t="s">
        <v>451</v>
      </c>
    </row>
    <row r="78" spans="1:4" x14ac:dyDescent="0.15">
      <c r="A78" t="s">
        <v>452</v>
      </c>
      <c r="B78" t="s">
        <v>61</v>
      </c>
      <c r="C78" t="s">
        <v>61</v>
      </c>
      <c r="D78" t="s">
        <v>61</v>
      </c>
    </row>
    <row r="79" spans="1:4" x14ac:dyDescent="0.15">
      <c r="A79" t="s">
        <v>453</v>
      </c>
      <c r="B79" t="s">
        <v>67</v>
      </c>
      <c r="C79" t="s">
        <v>67</v>
      </c>
      <c r="D79" t="s">
        <v>67</v>
      </c>
    </row>
    <row r="80" spans="1:4" x14ac:dyDescent="0.15">
      <c r="A80" t="s">
        <v>454</v>
      </c>
      <c r="B80" t="s">
        <v>73</v>
      </c>
      <c r="C80" t="s">
        <v>73</v>
      </c>
      <c r="D80" t="s">
        <v>73</v>
      </c>
    </row>
    <row r="81" spans="1:4" x14ac:dyDescent="0.15">
      <c r="A81" t="s">
        <v>455</v>
      </c>
      <c r="B81" t="s">
        <v>62</v>
      </c>
      <c r="C81" t="s">
        <v>456</v>
      </c>
      <c r="D81" t="s">
        <v>457</v>
      </c>
    </row>
    <row r="82" spans="1:4" x14ac:dyDescent="0.15">
      <c r="A82" t="s">
        <v>458</v>
      </c>
      <c r="B82" t="s">
        <v>68</v>
      </c>
      <c r="C82" t="s">
        <v>68</v>
      </c>
      <c r="D82" t="s">
        <v>68</v>
      </c>
    </row>
    <row r="83" spans="1:4" x14ac:dyDescent="0.15">
      <c r="A83" t="s">
        <v>459</v>
      </c>
      <c r="B83" t="s">
        <v>74</v>
      </c>
      <c r="C83" t="s">
        <v>460</v>
      </c>
      <c r="D83" t="s">
        <v>461</v>
      </c>
    </row>
    <row r="84" spans="1:4" x14ac:dyDescent="0.15">
      <c r="A84" t="s">
        <v>462</v>
      </c>
      <c r="B84" t="s">
        <v>79</v>
      </c>
      <c r="C84" t="s">
        <v>463</v>
      </c>
      <c r="D84" t="s">
        <v>464</v>
      </c>
    </row>
    <row r="85" spans="1:4" x14ac:dyDescent="0.15">
      <c r="A85" t="s">
        <v>465</v>
      </c>
      <c r="B85" t="s">
        <v>63</v>
      </c>
      <c r="C85" t="s">
        <v>466</v>
      </c>
      <c r="D85" t="s">
        <v>467</v>
      </c>
    </row>
    <row r="86" spans="1:4" x14ac:dyDescent="0.15">
      <c r="A86" t="s">
        <v>468</v>
      </c>
      <c r="B86" t="s">
        <v>69</v>
      </c>
      <c r="C86" t="s">
        <v>469</v>
      </c>
      <c r="D86" t="s">
        <v>470</v>
      </c>
    </row>
    <row r="87" spans="1:4" x14ac:dyDescent="0.15">
      <c r="A87" t="s">
        <v>471</v>
      </c>
      <c r="B87" t="s">
        <v>75</v>
      </c>
      <c r="C87" t="s">
        <v>472</v>
      </c>
      <c r="D87" t="s">
        <v>473</v>
      </c>
    </row>
    <row r="88" spans="1:4" x14ac:dyDescent="0.15">
      <c r="A88" t="s">
        <v>474</v>
      </c>
      <c r="B88" t="s">
        <v>80</v>
      </c>
      <c r="C88" t="s">
        <v>475</v>
      </c>
      <c r="D88" t="s">
        <v>476</v>
      </c>
    </row>
    <row r="89" spans="1:4" x14ac:dyDescent="0.15">
      <c r="A89" t="s">
        <v>477</v>
      </c>
      <c r="B89" t="s">
        <v>64</v>
      </c>
      <c r="C89" t="s">
        <v>478</v>
      </c>
      <c r="D89" t="s">
        <v>479</v>
      </c>
    </row>
    <row r="90" spans="1:4" x14ac:dyDescent="0.15">
      <c r="A90" t="s">
        <v>480</v>
      </c>
      <c r="B90" t="s">
        <v>70</v>
      </c>
      <c r="C90" t="s">
        <v>481</v>
      </c>
      <c r="D90" t="s">
        <v>482</v>
      </c>
    </row>
    <row r="91" spans="1:4" x14ac:dyDescent="0.15">
      <c r="A91" t="s">
        <v>483</v>
      </c>
      <c r="B91" t="s">
        <v>76</v>
      </c>
      <c r="C91" t="s">
        <v>76</v>
      </c>
      <c r="D91" t="s">
        <v>484</v>
      </c>
    </row>
    <row r="92" spans="1:4" x14ac:dyDescent="0.15">
      <c r="A92" t="s">
        <v>485</v>
      </c>
      <c r="B92" t="s">
        <v>81</v>
      </c>
      <c r="C92" t="s">
        <v>486</v>
      </c>
      <c r="D92" t="s">
        <v>487</v>
      </c>
    </row>
    <row r="93" spans="1:4" x14ac:dyDescent="0.15">
      <c r="A93" t="s">
        <v>488</v>
      </c>
      <c r="B93" t="s">
        <v>83</v>
      </c>
      <c r="C93" t="s">
        <v>489</v>
      </c>
      <c r="D93" t="s">
        <v>490</v>
      </c>
    </row>
    <row r="94" spans="1:4" x14ac:dyDescent="0.15">
      <c r="A94" t="s">
        <v>491</v>
      </c>
      <c r="B94" t="s">
        <v>85</v>
      </c>
      <c r="C94" t="s">
        <v>492</v>
      </c>
      <c r="D94" t="s">
        <v>493</v>
      </c>
    </row>
    <row r="95" spans="1:4" x14ac:dyDescent="0.15">
      <c r="A95" t="s">
        <v>494</v>
      </c>
      <c r="B95" t="s">
        <v>88</v>
      </c>
      <c r="C95" t="s">
        <v>495</v>
      </c>
      <c r="D95" t="s">
        <v>496</v>
      </c>
    </row>
    <row r="96" spans="1:4" x14ac:dyDescent="0.15">
      <c r="A96" t="s">
        <v>497</v>
      </c>
      <c r="B96" t="s">
        <v>386</v>
      </c>
      <c r="C96" t="s">
        <v>498</v>
      </c>
      <c r="D96" t="s">
        <v>499</v>
      </c>
    </row>
    <row r="97" spans="1:4" x14ac:dyDescent="0.15">
      <c r="A97" t="s">
        <v>500</v>
      </c>
      <c r="B97" t="s">
        <v>387</v>
      </c>
      <c r="C97" t="s">
        <v>501</v>
      </c>
      <c r="D97" t="s">
        <v>502</v>
      </c>
    </row>
    <row r="98" spans="1:4" x14ac:dyDescent="0.15">
      <c r="A98" t="s">
        <v>503</v>
      </c>
      <c r="B98" t="s">
        <v>388</v>
      </c>
      <c r="C98" t="s">
        <v>504</v>
      </c>
      <c r="D98" t="s">
        <v>505</v>
      </c>
    </row>
    <row r="99" spans="1:4" x14ac:dyDescent="0.15">
      <c r="A99" t="s">
        <v>506</v>
      </c>
      <c r="B99" t="s">
        <v>89</v>
      </c>
      <c r="C99" t="s">
        <v>507</v>
      </c>
      <c r="D99" t="s">
        <v>508</v>
      </c>
    </row>
    <row r="100" spans="1:4" x14ac:dyDescent="0.15">
      <c r="A100" t="s">
        <v>509</v>
      </c>
      <c r="B100" t="s">
        <v>90</v>
      </c>
      <c r="C100" t="s">
        <v>510</v>
      </c>
      <c r="D100" t="s">
        <v>511</v>
      </c>
    </row>
    <row r="101" spans="1:4" x14ac:dyDescent="0.15">
      <c r="A101" t="s">
        <v>512</v>
      </c>
      <c r="B101" t="s">
        <v>91</v>
      </c>
      <c r="C101" t="s">
        <v>91</v>
      </c>
      <c r="D101" t="s">
        <v>91</v>
      </c>
    </row>
    <row r="102" spans="1:4" x14ac:dyDescent="0.15">
      <c r="A102" t="s">
        <v>513</v>
      </c>
      <c r="B102" t="s">
        <v>44</v>
      </c>
      <c r="C102" t="s">
        <v>44</v>
      </c>
      <c r="D102" t="s">
        <v>44</v>
      </c>
    </row>
    <row r="103" spans="1:4" x14ac:dyDescent="0.15">
      <c r="A103" t="s">
        <v>514</v>
      </c>
      <c r="B103" t="s">
        <v>53</v>
      </c>
      <c r="C103" t="s">
        <v>397</v>
      </c>
      <c r="D103" t="s">
        <v>398</v>
      </c>
    </row>
    <row r="104" spans="1:4" x14ac:dyDescent="0.15">
      <c r="A104" t="s">
        <v>515</v>
      </c>
      <c r="B104" t="s">
        <v>92</v>
      </c>
      <c r="C104" t="s">
        <v>516</v>
      </c>
      <c r="D104" t="s">
        <v>517</v>
      </c>
    </row>
    <row r="105" spans="1:4" x14ac:dyDescent="0.15">
      <c r="A105" t="s">
        <v>518</v>
      </c>
      <c r="B105" t="s">
        <v>93</v>
      </c>
      <c r="C105" t="s">
        <v>519</v>
      </c>
      <c r="D105" t="s">
        <v>520</v>
      </c>
    </row>
    <row r="106" spans="1:4" x14ac:dyDescent="0.15">
      <c r="A106" t="s">
        <v>521</v>
      </c>
      <c r="B106" t="s">
        <v>94</v>
      </c>
      <c r="C106" t="s">
        <v>522</v>
      </c>
      <c r="D106" t="s">
        <v>523</v>
      </c>
    </row>
    <row r="107" spans="1:4" x14ac:dyDescent="0.15">
      <c r="A107" t="s">
        <v>524</v>
      </c>
      <c r="B107" t="s">
        <v>95</v>
      </c>
      <c r="C107" t="s">
        <v>525</v>
      </c>
      <c r="D107" t="s">
        <v>526</v>
      </c>
    </row>
    <row r="108" spans="1:4" x14ac:dyDescent="0.15">
      <c r="A108" t="s">
        <v>527</v>
      </c>
      <c r="B108" t="s">
        <v>96</v>
      </c>
      <c r="C108" t="s">
        <v>528</v>
      </c>
      <c r="D108" t="s">
        <v>529</v>
      </c>
    </row>
    <row r="109" spans="1:4" x14ac:dyDescent="0.15">
      <c r="A109" t="s">
        <v>530</v>
      </c>
      <c r="B109" t="s">
        <v>97</v>
      </c>
      <c r="C109" t="s">
        <v>531</v>
      </c>
      <c r="D109" t="s">
        <v>532</v>
      </c>
    </row>
    <row r="110" spans="1:4" x14ac:dyDescent="0.15">
      <c r="A110" t="s">
        <v>533</v>
      </c>
      <c r="B110" t="s">
        <v>98</v>
      </c>
      <c r="C110" t="s">
        <v>534</v>
      </c>
      <c r="D110" t="s">
        <v>535</v>
      </c>
    </row>
    <row r="111" spans="1:4" x14ac:dyDescent="0.15">
      <c r="A111" t="s">
        <v>536</v>
      </c>
      <c r="B111" t="s">
        <v>99</v>
      </c>
      <c r="C111" t="s">
        <v>537</v>
      </c>
      <c r="D111" t="s">
        <v>538</v>
      </c>
    </row>
    <row r="112" spans="1:4" x14ac:dyDescent="0.15">
      <c r="A112" t="s">
        <v>539</v>
      </c>
      <c r="B112" t="s">
        <v>54</v>
      </c>
      <c r="C112" t="s">
        <v>400</v>
      </c>
      <c r="D112" t="s">
        <v>401</v>
      </c>
    </row>
    <row r="113" spans="1:4" x14ac:dyDescent="0.15">
      <c r="A113" t="s">
        <v>540</v>
      </c>
      <c r="B113" t="s">
        <v>100</v>
      </c>
      <c r="C113" t="s">
        <v>541</v>
      </c>
      <c r="D113" t="s">
        <v>542</v>
      </c>
    </row>
    <row r="114" spans="1:4" x14ac:dyDescent="0.15">
      <c r="A114" t="s">
        <v>543</v>
      </c>
      <c r="B114" t="s">
        <v>101</v>
      </c>
      <c r="C114" t="s">
        <v>544</v>
      </c>
      <c r="D114" t="s">
        <v>545</v>
      </c>
    </row>
    <row r="115" spans="1:4" x14ac:dyDescent="0.15">
      <c r="A115" t="s">
        <v>546</v>
      </c>
      <c r="B115" t="s">
        <v>102</v>
      </c>
      <c r="C115" t="s">
        <v>547</v>
      </c>
      <c r="D115" t="s">
        <v>548</v>
      </c>
    </row>
    <row r="116" spans="1:4" x14ac:dyDescent="0.15">
      <c r="A116" t="s">
        <v>549</v>
      </c>
      <c r="B116" t="s">
        <v>103</v>
      </c>
      <c r="C116" t="s">
        <v>550</v>
      </c>
      <c r="D116" t="s">
        <v>551</v>
      </c>
    </row>
    <row r="117" spans="1:4" x14ac:dyDescent="0.15">
      <c r="A117" t="s">
        <v>554</v>
      </c>
      <c r="B117" t="s">
        <v>555</v>
      </c>
      <c r="C117" t="s">
        <v>556</v>
      </c>
      <c r="D117" t="s">
        <v>557</v>
      </c>
    </row>
    <row r="118" spans="1:4" x14ac:dyDescent="0.15">
      <c r="A118" t="s">
        <v>558</v>
      </c>
      <c r="B118" t="s">
        <v>559</v>
      </c>
      <c r="C118" t="s">
        <v>560</v>
      </c>
      <c r="D118" t="s">
        <v>561</v>
      </c>
    </row>
    <row r="119" spans="1:4" x14ac:dyDescent="0.15">
      <c r="A119" t="s">
        <v>562</v>
      </c>
      <c r="B119" t="s">
        <v>563</v>
      </c>
      <c r="C119" t="s">
        <v>564</v>
      </c>
      <c r="D119" t="s">
        <v>565</v>
      </c>
    </row>
    <row r="120" spans="1:4" x14ac:dyDescent="0.15">
      <c r="A120" t="s">
        <v>566</v>
      </c>
      <c r="B120" t="s">
        <v>108</v>
      </c>
      <c r="C120" t="s">
        <v>567</v>
      </c>
      <c r="D120" t="s">
        <v>568</v>
      </c>
    </row>
    <row r="121" spans="1:4" x14ac:dyDescent="0.15">
      <c r="A121" t="s">
        <v>569</v>
      </c>
      <c r="B121" t="s">
        <v>174</v>
      </c>
      <c r="C121" t="s">
        <v>570</v>
      </c>
      <c r="D121" t="s">
        <v>571</v>
      </c>
    </row>
    <row r="122" spans="1:4" x14ac:dyDescent="0.15">
      <c r="A122" t="s">
        <v>572</v>
      </c>
      <c r="B122" t="s">
        <v>107</v>
      </c>
      <c r="C122" t="s">
        <v>573</v>
      </c>
      <c r="D122" t="s">
        <v>574</v>
      </c>
    </row>
    <row r="123" spans="1:4" x14ac:dyDescent="0.15">
      <c r="A123" t="s">
        <v>575</v>
      </c>
      <c r="B123" t="s">
        <v>112</v>
      </c>
      <c r="C123" t="s">
        <v>112</v>
      </c>
      <c r="D123" t="s">
        <v>576</v>
      </c>
    </row>
    <row r="124" spans="1:4" x14ac:dyDescent="0.15">
      <c r="A124" t="s">
        <v>577</v>
      </c>
      <c r="B124" t="s">
        <v>173</v>
      </c>
      <c r="C124" t="s">
        <v>173</v>
      </c>
      <c r="D124" t="s">
        <v>578</v>
      </c>
    </row>
    <row r="125" spans="1:4" x14ac:dyDescent="0.15">
      <c r="A125" t="s">
        <v>579</v>
      </c>
      <c r="B125" t="s">
        <v>151</v>
      </c>
      <c r="C125" t="s">
        <v>580</v>
      </c>
      <c r="D125" t="s">
        <v>581</v>
      </c>
    </row>
    <row r="126" spans="1:4" x14ac:dyDescent="0.15">
      <c r="A126" t="s">
        <v>582</v>
      </c>
      <c r="B126" t="s">
        <v>583</v>
      </c>
      <c r="C126" t="s">
        <v>584</v>
      </c>
      <c r="D126" t="s">
        <v>585</v>
      </c>
    </row>
    <row r="127" spans="1:4" x14ac:dyDescent="0.15">
      <c r="A127" t="s">
        <v>586</v>
      </c>
      <c r="B127" t="s">
        <v>105</v>
      </c>
      <c r="C127" t="s">
        <v>587</v>
      </c>
      <c r="D127" t="s">
        <v>588</v>
      </c>
    </row>
    <row r="128" spans="1:4" x14ac:dyDescent="0.15">
      <c r="A128" t="s">
        <v>589</v>
      </c>
      <c r="B128" t="s">
        <v>110</v>
      </c>
      <c r="C128" t="s">
        <v>590</v>
      </c>
      <c r="D128" t="s">
        <v>591</v>
      </c>
    </row>
    <row r="129" spans="1:4" x14ac:dyDescent="0.15">
      <c r="A129" t="s">
        <v>592</v>
      </c>
      <c r="B129" t="s">
        <v>114</v>
      </c>
      <c r="C129" t="s">
        <v>593</v>
      </c>
      <c r="D129" t="s">
        <v>594</v>
      </c>
    </row>
    <row r="130" spans="1:4" x14ac:dyDescent="0.15">
      <c r="A130" t="s">
        <v>595</v>
      </c>
      <c r="B130" t="s">
        <v>106</v>
      </c>
      <c r="C130" t="s">
        <v>596</v>
      </c>
      <c r="D130" t="s">
        <v>597</v>
      </c>
    </row>
    <row r="131" spans="1:4" x14ac:dyDescent="0.15">
      <c r="A131" t="s">
        <v>598</v>
      </c>
      <c r="B131" t="s">
        <v>111</v>
      </c>
      <c r="C131" t="s">
        <v>599</v>
      </c>
      <c r="D131" t="s">
        <v>600</v>
      </c>
    </row>
    <row r="132" spans="1:4" x14ac:dyDescent="0.15">
      <c r="A132" t="s">
        <v>601</v>
      </c>
      <c r="B132" t="s">
        <v>115</v>
      </c>
      <c r="C132" t="s">
        <v>602</v>
      </c>
      <c r="D132" t="s">
        <v>603</v>
      </c>
    </row>
    <row r="133" spans="1:4" x14ac:dyDescent="0.15">
      <c r="A133" t="s">
        <v>604</v>
      </c>
      <c r="B133" t="s">
        <v>116</v>
      </c>
      <c r="C133" t="s">
        <v>605</v>
      </c>
      <c r="D133" t="s">
        <v>606</v>
      </c>
    </row>
    <row r="134" spans="1:4" x14ac:dyDescent="0.15">
      <c r="A134" t="s">
        <v>607</v>
      </c>
      <c r="B134" t="s">
        <v>117</v>
      </c>
      <c r="C134" t="s">
        <v>608</v>
      </c>
      <c r="D134" t="s">
        <v>609</v>
      </c>
    </row>
    <row r="135" spans="1:4" x14ac:dyDescent="0.15">
      <c r="A135" t="s">
        <v>610</v>
      </c>
      <c r="B135" t="s">
        <v>118</v>
      </c>
      <c r="C135" t="s">
        <v>118</v>
      </c>
      <c r="D135" t="s">
        <v>118</v>
      </c>
    </row>
    <row r="136" spans="1:4" x14ac:dyDescent="0.15">
      <c r="A136" t="s">
        <v>611</v>
      </c>
      <c r="B136" t="s">
        <v>56</v>
      </c>
      <c r="C136" t="s">
        <v>612</v>
      </c>
      <c r="D136" t="s">
        <v>407</v>
      </c>
    </row>
    <row r="137" spans="1:4" x14ac:dyDescent="0.15">
      <c r="A137" t="s">
        <v>613</v>
      </c>
      <c r="B137" t="s">
        <v>44</v>
      </c>
      <c r="C137" t="s">
        <v>44</v>
      </c>
      <c r="D137" t="s">
        <v>44</v>
      </c>
    </row>
    <row r="138" spans="1:4" x14ac:dyDescent="0.15">
      <c r="A138" t="s">
        <v>614</v>
      </c>
      <c r="B138" t="s">
        <v>53</v>
      </c>
      <c r="C138" t="s">
        <v>397</v>
      </c>
      <c r="D138" t="s">
        <v>398</v>
      </c>
    </row>
    <row r="139" spans="1:4" x14ac:dyDescent="0.15">
      <c r="A139" t="s">
        <v>615</v>
      </c>
      <c r="B139" t="s">
        <v>119</v>
      </c>
      <c r="C139" t="s">
        <v>616</v>
      </c>
      <c r="D139" t="s">
        <v>617</v>
      </c>
    </row>
    <row r="140" spans="1:4" x14ac:dyDescent="0.15">
      <c r="A140" t="s">
        <v>618</v>
      </c>
      <c r="B140" t="s">
        <v>120</v>
      </c>
      <c r="C140" t="s">
        <v>619</v>
      </c>
      <c r="D140" t="s">
        <v>620</v>
      </c>
    </row>
    <row r="141" spans="1:4" x14ac:dyDescent="0.15">
      <c r="A141" t="s">
        <v>621</v>
      </c>
      <c r="B141" t="s">
        <v>121</v>
      </c>
      <c r="C141" t="s">
        <v>622</v>
      </c>
      <c r="D141" t="s">
        <v>623</v>
      </c>
    </row>
    <row r="142" spans="1:4" x14ac:dyDescent="0.15">
      <c r="A142" t="s">
        <v>624</v>
      </c>
      <c r="B142" t="s">
        <v>122</v>
      </c>
      <c r="C142" t="s">
        <v>522</v>
      </c>
      <c r="D142" t="s">
        <v>625</v>
      </c>
    </row>
    <row r="143" spans="1:4" x14ac:dyDescent="0.15">
      <c r="A143" t="s">
        <v>626</v>
      </c>
      <c r="B143" t="s">
        <v>123</v>
      </c>
      <c r="C143" t="s">
        <v>627</v>
      </c>
      <c r="D143" t="s">
        <v>628</v>
      </c>
    </row>
    <row r="144" spans="1:4" x14ac:dyDescent="0.15">
      <c r="A144" t="s">
        <v>629</v>
      </c>
      <c r="B144" t="s">
        <v>124</v>
      </c>
      <c r="C144" t="s">
        <v>630</v>
      </c>
      <c r="D144" t="s">
        <v>631</v>
      </c>
    </row>
    <row r="145" spans="1:4" x14ac:dyDescent="0.15">
      <c r="A145" t="s">
        <v>632</v>
      </c>
      <c r="B145" t="s">
        <v>125</v>
      </c>
      <c r="C145" t="s">
        <v>633</v>
      </c>
      <c r="D145" t="s">
        <v>634</v>
      </c>
    </row>
    <row r="146" spans="1:4" x14ac:dyDescent="0.15">
      <c r="A146" t="s">
        <v>635</v>
      </c>
      <c r="B146" t="s">
        <v>55</v>
      </c>
      <c r="C146" t="s">
        <v>403</v>
      </c>
      <c r="D146" t="s">
        <v>404</v>
      </c>
    </row>
    <row r="147" spans="1:4" x14ac:dyDescent="0.15">
      <c r="A147" t="s">
        <v>636</v>
      </c>
      <c r="B147" t="s">
        <v>54</v>
      </c>
      <c r="C147" t="s">
        <v>400</v>
      </c>
      <c r="D147" t="s">
        <v>401</v>
      </c>
    </row>
    <row r="148" spans="1:4" x14ac:dyDescent="0.15">
      <c r="A148" t="s">
        <v>637</v>
      </c>
      <c r="B148" t="s">
        <v>126</v>
      </c>
      <c r="C148" t="s">
        <v>638</v>
      </c>
      <c r="D148" t="s">
        <v>639</v>
      </c>
    </row>
    <row r="149" spans="1:4" x14ac:dyDescent="0.15">
      <c r="A149" t="s">
        <v>640</v>
      </c>
      <c r="B149" t="s">
        <v>127</v>
      </c>
      <c r="C149" t="s">
        <v>641</v>
      </c>
      <c r="D149" t="s">
        <v>642</v>
      </c>
    </row>
    <row r="150" spans="1:4" x14ac:dyDescent="0.15">
      <c r="A150" t="s">
        <v>643</v>
      </c>
      <c r="B150" t="s">
        <v>128</v>
      </c>
      <c r="C150" t="s">
        <v>644</v>
      </c>
      <c r="D150" t="s">
        <v>645</v>
      </c>
    </row>
    <row r="151" spans="1:4" x14ac:dyDescent="0.15">
      <c r="A151" t="s">
        <v>646</v>
      </c>
      <c r="B151" t="s">
        <v>102</v>
      </c>
      <c r="C151" t="s">
        <v>547</v>
      </c>
      <c r="D151" t="s">
        <v>548</v>
      </c>
    </row>
    <row r="152" spans="1:4" x14ac:dyDescent="0.15">
      <c r="A152" t="s">
        <v>647</v>
      </c>
      <c r="B152" t="s">
        <v>100</v>
      </c>
      <c r="C152" t="s">
        <v>541</v>
      </c>
      <c r="D152" t="s">
        <v>542</v>
      </c>
    </row>
    <row r="153" spans="1:4" x14ac:dyDescent="0.15">
      <c r="A153" t="s">
        <v>648</v>
      </c>
      <c r="B153" t="s">
        <v>129</v>
      </c>
      <c r="C153" t="s">
        <v>649</v>
      </c>
      <c r="D153" t="s">
        <v>650</v>
      </c>
    </row>
    <row r="154" spans="1:4" x14ac:dyDescent="0.15">
      <c r="A154" t="s">
        <v>651</v>
      </c>
      <c r="B154" t="s">
        <v>130</v>
      </c>
      <c r="C154" t="s">
        <v>652</v>
      </c>
      <c r="D154" t="s">
        <v>653</v>
      </c>
    </row>
    <row r="155" spans="1:4" x14ac:dyDescent="0.15">
      <c r="A155" t="s">
        <v>654</v>
      </c>
      <c r="B155" t="s">
        <v>132</v>
      </c>
      <c r="C155" t="s">
        <v>655</v>
      </c>
      <c r="D155" t="s">
        <v>656</v>
      </c>
    </row>
    <row r="156" spans="1:4" x14ac:dyDescent="0.15">
      <c r="A156" t="s">
        <v>657</v>
      </c>
      <c r="B156" t="s">
        <v>133</v>
      </c>
      <c r="C156" t="s">
        <v>658</v>
      </c>
      <c r="D156" t="s">
        <v>659</v>
      </c>
    </row>
    <row r="157" spans="1:4" x14ac:dyDescent="0.15">
      <c r="A157" t="s">
        <v>660</v>
      </c>
      <c r="B157" t="s">
        <v>134</v>
      </c>
      <c r="C157" t="s">
        <v>661</v>
      </c>
      <c r="D157" t="s">
        <v>662</v>
      </c>
    </row>
    <row r="158" spans="1:4" x14ac:dyDescent="0.15">
      <c r="A158" t="s">
        <v>663</v>
      </c>
      <c r="B158" t="s">
        <v>135</v>
      </c>
      <c r="C158" t="s">
        <v>664</v>
      </c>
      <c r="D158" t="s">
        <v>665</v>
      </c>
    </row>
    <row r="159" spans="1:4" x14ac:dyDescent="0.15">
      <c r="A159" t="s">
        <v>666</v>
      </c>
      <c r="B159" t="s">
        <v>137</v>
      </c>
      <c r="C159" t="s">
        <v>667</v>
      </c>
      <c r="D159" t="s">
        <v>668</v>
      </c>
    </row>
    <row r="160" spans="1:4" x14ac:dyDescent="0.15">
      <c r="A160" t="s">
        <v>669</v>
      </c>
      <c r="B160" t="s">
        <v>138</v>
      </c>
      <c r="C160" t="s">
        <v>670</v>
      </c>
      <c r="D160" t="s">
        <v>671</v>
      </c>
    </row>
    <row r="161" spans="1:4" x14ac:dyDescent="0.15">
      <c r="A161" t="s">
        <v>672</v>
      </c>
      <c r="B161" t="s">
        <v>139</v>
      </c>
      <c r="C161" t="s">
        <v>673</v>
      </c>
      <c r="D161" t="s">
        <v>674</v>
      </c>
    </row>
    <row r="162" spans="1:4" x14ac:dyDescent="0.15">
      <c r="A162" t="s">
        <v>675</v>
      </c>
      <c r="B162" t="s">
        <v>50</v>
      </c>
      <c r="C162" t="s">
        <v>676</v>
      </c>
      <c r="D162" t="s">
        <v>677</v>
      </c>
    </row>
    <row r="163" spans="1:4" x14ac:dyDescent="0.15">
      <c r="A163" t="s">
        <v>678</v>
      </c>
      <c r="B163" t="s">
        <v>141</v>
      </c>
      <c r="C163" t="s">
        <v>679</v>
      </c>
      <c r="D163" t="s">
        <v>680</v>
      </c>
    </row>
    <row r="164" spans="1:4" x14ac:dyDescent="0.15">
      <c r="A164" t="s">
        <v>681</v>
      </c>
      <c r="B164" t="s">
        <v>143</v>
      </c>
      <c r="C164" t="s">
        <v>682</v>
      </c>
      <c r="D164" t="s">
        <v>683</v>
      </c>
    </row>
    <row r="165" spans="1:4" x14ac:dyDescent="0.15">
      <c r="A165" t="s">
        <v>684</v>
      </c>
      <c r="B165" t="s">
        <v>144</v>
      </c>
      <c r="C165" t="s">
        <v>685</v>
      </c>
      <c r="D165" t="s">
        <v>686</v>
      </c>
    </row>
    <row r="166" spans="1:4" x14ac:dyDescent="0.15">
      <c r="A166" t="s">
        <v>687</v>
      </c>
      <c r="B166" t="s">
        <v>145</v>
      </c>
      <c r="C166" t="s">
        <v>688</v>
      </c>
      <c r="D166" t="s">
        <v>689</v>
      </c>
    </row>
    <row r="167" spans="1:4" x14ac:dyDescent="0.15">
      <c r="A167" t="s">
        <v>690</v>
      </c>
      <c r="B167" t="s">
        <v>146</v>
      </c>
      <c r="C167" t="s">
        <v>691</v>
      </c>
      <c r="D167" t="s">
        <v>692</v>
      </c>
    </row>
    <row r="168" spans="1:4" x14ac:dyDescent="0.15">
      <c r="A168" t="s">
        <v>693</v>
      </c>
      <c r="B168" t="s">
        <v>148</v>
      </c>
      <c r="C168" t="s">
        <v>694</v>
      </c>
      <c r="D168" t="s">
        <v>695</v>
      </c>
    </row>
    <row r="169" spans="1:4" x14ac:dyDescent="0.15">
      <c r="A169" t="s">
        <v>696</v>
      </c>
      <c r="B169" t="s">
        <v>149</v>
      </c>
      <c r="C169" t="s">
        <v>697</v>
      </c>
      <c r="D169" t="s">
        <v>698</v>
      </c>
    </row>
    <row r="170" spans="1:4" x14ac:dyDescent="0.15">
      <c r="A170" t="s">
        <v>699</v>
      </c>
      <c r="B170" t="s">
        <v>150</v>
      </c>
      <c r="C170" t="s">
        <v>700</v>
      </c>
      <c r="D170" t="s">
        <v>701</v>
      </c>
    </row>
    <row r="171" spans="1:4" x14ac:dyDescent="0.15">
      <c r="A171" t="s">
        <v>702</v>
      </c>
      <c r="B171" t="s">
        <v>49</v>
      </c>
      <c r="C171" t="s">
        <v>703</v>
      </c>
      <c r="D171" t="s">
        <v>704</v>
      </c>
    </row>
    <row r="172" spans="1:4" x14ac:dyDescent="0.15">
      <c r="A172" t="s">
        <v>705</v>
      </c>
      <c r="B172" t="s">
        <v>152</v>
      </c>
      <c r="C172" t="s">
        <v>706</v>
      </c>
      <c r="D172" t="s">
        <v>707</v>
      </c>
    </row>
    <row r="173" spans="1:4" x14ac:dyDescent="0.15">
      <c r="A173" t="s">
        <v>708</v>
      </c>
      <c r="B173" t="s">
        <v>153</v>
      </c>
      <c r="C173" t="s">
        <v>709</v>
      </c>
      <c r="D173" t="s">
        <v>710</v>
      </c>
    </row>
    <row r="174" spans="1:4" x14ac:dyDescent="0.15">
      <c r="A174" t="s">
        <v>711</v>
      </c>
      <c r="B174" t="s">
        <v>154</v>
      </c>
      <c r="C174" t="s">
        <v>712</v>
      </c>
      <c r="D174" t="s">
        <v>713</v>
      </c>
    </row>
    <row r="175" spans="1:4" x14ac:dyDescent="0.15">
      <c r="A175" t="s">
        <v>714</v>
      </c>
      <c r="B175" t="s">
        <v>155</v>
      </c>
      <c r="C175" t="s">
        <v>715</v>
      </c>
      <c r="D175" t="s">
        <v>716</v>
      </c>
    </row>
    <row r="176" spans="1:4" x14ac:dyDescent="0.15">
      <c r="A176" t="s">
        <v>717</v>
      </c>
      <c r="B176" t="s">
        <v>156</v>
      </c>
      <c r="C176" t="s">
        <v>718</v>
      </c>
      <c r="D176" t="s">
        <v>719</v>
      </c>
    </row>
    <row r="177" spans="1:4" x14ac:dyDescent="0.15">
      <c r="A177" t="s">
        <v>720</v>
      </c>
      <c r="B177" t="s">
        <v>157</v>
      </c>
      <c r="C177" t="s">
        <v>721</v>
      </c>
      <c r="D177" t="s">
        <v>722</v>
      </c>
    </row>
    <row r="178" spans="1:4" x14ac:dyDescent="0.15">
      <c r="A178" t="s">
        <v>723</v>
      </c>
      <c r="B178" t="s">
        <v>119</v>
      </c>
      <c r="C178" t="s">
        <v>616</v>
      </c>
      <c r="D178" t="s">
        <v>617</v>
      </c>
    </row>
    <row r="179" spans="1:4" x14ac:dyDescent="0.15">
      <c r="A179" t="s">
        <v>724</v>
      </c>
      <c r="B179" t="s">
        <v>158</v>
      </c>
      <c r="C179" t="s">
        <v>725</v>
      </c>
      <c r="D179" t="s">
        <v>726</v>
      </c>
    </row>
    <row r="180" spans="1:4" x14ac:dyDescent="0.15">
      <c r="A180" t="s">
        <v>727</v>
      </c>
      <c r="B180" t="s">
        <v>159</v>
      </c>
      <c r="C180" t="s">
        <v>728</v>
      </c>
      <c r="D180" t="s">
        <v>729</v>
      </c>
    </row>
    <row r="181" spans="1:4" x14ac:dyDescent="0.15">
      <c r="A181" t="s">
        <v>730</v>
      </c>
      <c r="B181" t="s">
        <v>160</v>
      </c>
      <c r="C181" t="s">
        <v>731</v>
      </c>
      <c r="D181" t="s">
        <v>732</v>
      </c>
    </row>
    <row r="182" spans="1:4" x14ac:dyDescent="0.15">
      <c r="A182" t="s">
        <v>733</v>
      </c>
      <c r="B182" t="s">
        <v>161</v>
      </c>
      <c r="C182" t="s">
        <v>734</v>
      </c>
      <c r="D182" t="s">
        <v>735</v>
      </c>
    </row>
    <row r="183" spans="1:4" x14ac:dyDescent="0.15">
      <c r="A183" t="s">
        <v>736</v>
      </c>
      <c r="B183" t="s">
        <v>162</v>
      </c>
      <c r="C183" t="s">
        <v>737</v>
      </c>
      <c r="D183" t="s">
        <v>738</v>
      </c>
    </row>
    <row r="184" spans="1:4" x14ac:dyDescent="0.15">
      <c r="A184" t="s">
        <v>739</v>
      </c>
      <c r="B184" t="s">
        <v>163</v>
      </c>
      <c r="C184" t="s">
        <v>740</v>
      </c>
      <c r="D184" t="s">
        <v>741</v>
      </c>
    </row>
    <row r="185" spans="1:4" x14ac:dyDescent="0.15">
      <c r="A185" t="s">
        <v>742</v>
      </c>
      <c r="B185" t="s">
        <v>164</v>
      </c>
      <c r="C185" t="s">
        <v>743</v>
      </c>
      <c r="D185" t="s">
        <v>744</v>
      </c>
    </row>
    <row r="186" spans="1:4" x14ac:dyDescent="0.15">
      <c r="A186" t="s">
        <v>745</v>
      </c>
      <c r="B186" t="s">
        <v>165</v>
      </c>
      <c r="C186" t="s">
        <v>746</v>
      </c>
      <c r="D186" t="s">
        <v>747</v>
      </c>
    </row>
    <row r="187" spans="1:4" x14ac:dyDescent="0.15">
      <c r="A187" t="s">
        <v>748</v>
      </c>
      <c r="B187" t="s">
        <v>166</v>
      </c>
      <c r="C187" t="s">
        <v>749</v>
      </c>
      <c r="D187" t="s">
        <v>750</v>
      </c>
    </row>
    <row r="188" spans="1:4" x14ac:dyDescent="0.15">
      <c r="A188" t="s">
        <v>751</v>
      </c>
      <c r="B188" t="s">
        <v>167</v>
      </c>
      <c r="C188" t="s">
        <v>752</v>
      </c>
      <c r="D188" t="s">
        <v>753</v>
      </c>
    </row>
    <row r="189" spans="1:4" x14ac:dyDescent="0.15">
      <c r="A189" t="s">
        <v>754</v>
      </c>
      <c r="B189" t="s">
        <v>103</v>
      </c>
      <c r="C189" t="s">
        <v>550</v>
      </c>
      <c r="D189" t="s">
        <v>551</v>
      </c>
    </row>
    <row r="190" spans="1:4" x14ac:dyDescent="0.15">
      <c r="A190" t="s">
        <v>755</v>
      </c>
      <c r="B190" t="s">
        <v>169</v>
      </c>
      <c r="C190" t="s">
        <v>756</v>
      </c>
      <c r="D190" t="s">
        <v>757</v>
      </c>
    </row>
    <row r="191" spans="1:4" x14ac:dyDescent="0.15">
      <c r="A191" t="s">
        <v>758</v>
      </c>
      <c r="B191" t="s">
        <v>170</v>
      </c>
      <c r="C191" t="s">
        <v>759</v>
      </c>
      <c r="D191" t="s">
        <v>760</v>
      </c>
    </row>
    <row r="192" spans="1:4" x14ac:dyDescent="0.15">
      <c r="A192" t="s">
        <v>761</v>
      </c>
      <c r="B192" t="s">
        <v>171</v>
      </c>
      <c r="C192" t="s">
        <v>762</v>
      </c>
      <c r="D192" t="s">
        <v>763</v>
      </c>
    </row>
    <row r="193" spans="1:4" x14ac:dyDescent="0.15">
      <c r="A193" t="s">
        <v>764</v>
      </c>
      <c r="B193" t="s">
        <v>172</v>
      </c>
      <c r="C193" t="s">
        <v>765</v>
      </c>
      <c r="D193" t="s">
        <v>766</v>
      </c>
    </row>
    <row r="194" spans="1:4" x14ac:dyDescent="0.15">
      <c r="A194" t="s">
        <v>767</v>
      </c>
      <c r="B194" t="s">
        <v>175</v>
      </c>
      <c r="C194" t="s">
        <v>175</v>
      </c>
      <c r="D194" t="s">
        <v>768</v>
      </c>
    </row>
    <row r="195" spans="1:4" x14ac:dyDescent="0.15">
      <c r="A195" t="s">
        <v>769</v>
      </c>
      <c r="B195" t="s">
        <v>176</v>
      </c>
      <c r="C195" t="s">
        <v>770</v>
      </c>
      <c r="D195" t="s">
        <v>771</v>
      </c>
    </row>
    <row r="196" spans="1:4" x14ac:dyDescent="0.15">
      <c r="A196" t="s">
        <v>772</v>
      </c>
      <c r="B196" t="s">
        <v>177</v>
      </c>
      <c r="C196" t="s">
        <v>177</v>
      </c>
      <c r="D196" t="s">
        <v>773</v>
      </c>
    </row>
    <row r="197" spans="1:4" x14ac:dyDescent="0.15">
      <c r="A197" t="s">
        <v>774</v>
      </c>
      <c r="B197" t="s">
        <v>44</v>
      </c>
      <c r="C197" t="s">
        <v>44</v>
      </c>
      <c r="D197" t="s">
        <v>44</v>
      </c>
    </row>
    <row r="198" spans="1:4" x14ac:dyDescent="0.15">
      <c r="A198" t="s">
        <v>775</v>
      </c>
      <c r="B198" t="s">
        <v>178</v>
      </c>
      <c r="C198" t="s">
        <v>776</v>
      </c>
      <c r="D198" t="s">
        <v>777</v>
      </c>
    </row>
    <row r="199" spans="1:4" x14ac:dyDescent="0.15">
      <c r="A199" t="s">
        <v>778</v>
      </c>
      <c r="B199" t="s">
        <v>179</v>
      </c>
      <c r="C199" t="s">
        <v>779</v>
      </c>
      <c r="D199" t="s">
        <v>780</v>
      </c>
    </row>
    <row r="200" spans="1:4" x14ac:dyDescent="0.15">
      <c r="A200" t="s">
        <v>781</v>
      </c>
      <c r="B200" t="s">
        <v>180</v>
      </c>
      <c r="C200" t="s">
        <v>180</v>
      </c>
      <c r="D200" t="s">
        <v>782</v>
      </c>
    </row>
    <row r="201" spans="1:4" x14ac:dyDescent="0.15">
      <c r="A201" t="s">
        <v>783</v>
      </c>
      <c r="B201" t="s">
        <v>181</v>
      </c>
      <c r="C201" t="s">
        <v>784</v>
      </c>
      <c r="D201" t="s">
        <v>785</v>
      </c>
    </row>
    <row r="202" spans="1:4" x14ac:dyDescent="0.15">
      <c r="A202" t="s">
        <v>786</v>
      </c>
      <c r="B202" t="s">
        <v>182</v>
      </c>
      <c r="C202" t="s">
        <v>787</v>
      </c>
      <c r="D202" t="s">
        <v>788</v>
      </c>
    </row>
    <row r="203" spans="1:4" x14ac:dyDescent="0.15">
      <c r="A203" t="s">
        <v>789</v>
      </c>
      <c r="B203" t="s">
        <v>183</v>
      </c>
      <c r="C203" t="s">
        <v>790</v>
      </c>
      <c r="D203" t="s">
        <v>791</v>
      </c>
    </row>
    <row r="204" spans="1:4" x14ac:dyDescent="0.15">
      <c r="A204" t="s">
        <v>792</v>
      </c>
      <c r="B204" t="s">
        <v>184</v>
      </c>
      <c r="C204" t="s">
        <v>793</v>
      </c>
      <c r="D204" t="s">
        <v>794</v>
      </c>
    </row>
    <row r="205" spans="1:4" x14ac:dyDescent="0.15">
      <c r="A205" t="s">
        <v>795</v>
      </c>
      <c r="B205" t="s">
        <v>122</v>
      </c>
      <c r="C205" t="s">
        <v>522</v>
      </c>
      <c r="D205" t="s">
        <v>625</v>
      </c>
    </row>
    <row r="206" spans="1:4" x14ac:dyDescent="0.15">
      <c r="A206" t="s">
        <v>796</v>
      </c>
      <c r="B206" t="s">
        <v>185</v>
      </c>
      <c r="C206" t="s">
        <v>797</v>
      </c>
      <c r="D206" t="s">
        <v>798</v>
      </c>
    </row>
    <row r="207" spans="1:4" x14ac:dyDescent="0.15">
      <c r="A207" t="s">
        <v>799</v>
      </c>
      <c r="B207" t="s">
        <v>186</v>
      </c>
      <c r="C207" t="s">
        <v>800</v>
      </c>
      <c r="D207" t="s">
        <v>801</v>
      </c>
    </row>
    <row r="208" spans="1:4" x14ac:dyDescent="0.15">
      <c r="A208" t="s">
        <v>802</v>
      </c>
      <c r="B208" t="s">
        <v>187</v>
      </c>
      <c r="C208" t="s">
        <v>803</v>
      </c>
      <c r="D208" t="s">
        <v>804</v>
      </c>
    </row>
    <row r="209" spans="1:4" x14ac:dyDescent="0.15">
      <c r="A209" t="s">
        <v>805</v>
      </c>
      <c r="B209" t="s">
        <v>188</v>
      </c>
      <c r="C209" t="s">
        <v>806</v>
      </c>
      <c r="D209" t="s">
        <v>807</v>
      </c>
    </row>
    <row r="210" spans="1:4" x14ac:dyDescent="0.15">
      <c r="A210" t="s">
        <v>808</v>
      </c>
      <c r="B210" t="s">
        <v>58</v>
      </c>
      <c r="C210" t="s">
        <v>58</v>
      </c>
      <c r="D210" t="s">
        <v>412</v>
      </c>
    </row>
    <row r="211" spans="1:4" x14ac:dyDescent="0.15">
      <c r="A211" t="s">
        <v>809</v>
      </c>
      <c r="B211" t="s">
        <v>189</v>
      </c>
      <c r="C211" t="s">
        <v>810</v>
      </c>
      <c r="D211" t="s">
        <v>811</v>
      </c>
    </row>
    <row r="212" spans="1:4" x14ac:dyDescent="0.15">
      <c r="A212" t="s">
        <v>812</v>
      </c>
      <c r="B212" t="s">
        <v>121</v>
      </c>
      <c r="C212" t="s">
        <v>622</v>
      </c>
      <c r="D212" t="s">
        <v>623</v>
      </c>
    </row>
    <row r="213" spans="1:4" x14ac:dyDescent="0.15">
      <c r="A213" t="s">
        <v>813</v>
      </c>
      <c r="B213" t="s">
        <v>103</v>
      </c>
      <c r="C213" t="s">
        <v>550</v>
      </c>
      <c r="D213" t="s">
        <v>551</v>
      </c>
    </row>
    <row r="214" spans="1:4" x14ac:dyDescent="0.15">
      <c r="A214" t="s">
        <v>814</v>
      </c>
      <c r="B214" t="s">
        <v>208</v>
      </c>
      <c r="C214" t="s">
        <v>815</v>
      </c>
      <c r="D214" t="s">
        <v>816</v>
      </c>
    </row>
    <row r="215" spans="1:4" x14ac:dyDescent="0.15">
      <c r="A215" t="s">
        <v>817</v>
      </c>
      <c r="B215" t="s">
        <v>215</v>
      </c>
      <c r="C215" t="s">
        <v>818</v>
      </c>
      <c r="D215" t="s">
        <v>819</v>
      </c>
    </row>
    <row r="216" spans="1:4" x14ac:dyDescent="0.15">
      <c r="A216" t="s">
        <v>820</v>
      </c>
      <c r="B216" t="s">
        <v>195</v>
      </c>
      <c r="C216" t="s">
        <v>821</v>
      </c>
      <c r="D216" t="s">
        <v>822</v>
      </c>
    </row>
    <row r="217" spans="1:4" x14ac:dyDescent="0.15">
      <c r="A217" t="s">
        <v>823</v>
      </c>
      <c r="B217" t="s">
        <v>216</v>
      </c>
      <c r="C217" t="s">
        <v>824</v>
      </c>
      <c r="D217" t="s">
        <v>825</v>
      </c>
    </row>
    <row r="218" spans="1:4" x14ac:dyDescent="0.15">
      <c r="A218" t="s">
        <v>826</v>
      </c>
      <c r="B218" t="s">
        <v>209</v>
      </c>
      <c r="C218" t="s">
        <v>827</v>
      </c>
      <c r="D218" t="s">
        <v>828</v>
      </c>
    </row>
    <row r="219" spans="1:4" x14ac:dyDescent="0.15">
      <c r="A219" t="s">
        <v>829</v>
      </c>
      <c r="B219" t="s">
        <v>217</v>
      </c>
      <c r="C219" t="s">
        <v>830</v>
      </c>
      <c r="D219" t="s">
        <v>831</v>
      </c>
    </row>
    <row r="220" spans="1:4" x14ac:dyDescent="0.15">
      <c r="A220" t="s">
        <v>832</v>
      </c>
      <c r="B220" t="s">
        <v>191</v>
      </c>
      <c r="C220" t="s">
        <v>833</v>
      </c>
      <c r="D220" t="s">
        <v>834</v>
      </c>
    </row>
    <row r="221" spans="1:4" x14ac:dyDescent="0.15">
      <c r="A221" t="s">
        <v>835</v>
      </c>
      <c r="B221" t="s">
        <v>192</v>
      </c>
      <c r="C221" t="s">
        <v>836</v>
      </c>
      <c r="D221" t="s">
        <v>837</v>
      </c>
    </row>
    <row r="222" spans="1:4" x14ac:dyDescent="0.15">
      <c r="A222" t="s">
        <v>838</v>
      </c>
      <c r="B222" t="s">
        <v>193</v>
      </c>
      <c r="C222" t="s">
        <v>839</v>
      </c>
      <c r="D222" t="s">
        <v>840</v>
      </c>
    </row>
    <row r="223" spans="1:4" x14ac:dyDescent="0.15">
      <c r="A223" t="s">
        <v>841</v>
      </c>
      <c r="B223" t="s">
        <v>197</v>
      </c>
      <c r="C223" t="s">
        <v>842</v>
      </c>
      <c r="D223" t="s">
        <v>843</v>
      </c>
    </row>
    <row r="224" spans="1:4" x14ac:dyDescent="0.15">
      <c r="A224" t="s">
        <v>844</v>
      </c>
      <c r="B224" t="s">
        <v>199</v>
      </c>
      <c r="C224" t="s">
        <v>845</v>
      </c>
      <c r="D224" t="s">
        <v>846</v>
      </c>
    </row>
    <row r="225" spans="1:4" x14ac:dyDescent="0.15">
      <c r="A225" t="s">
        <v>847</v>
      </c>
      <c r="B225" t="s">
        <v>200</v>
      </c>
      <c r="C225" t="s">
        <v>848</v>
      </c>
      <c r="D225" t="s">
        <v>849</v>
      </c>
    </row>
    <row r="226" spans="1:4" x14ac:dyDescent="0.15">
      <c r="A226" t="s">
        <v>850</v>
      </c>
      <c r="B226" t="s">
        <v>201</v>
      </c>
      <c r="C226" t="s">
        <v>851</v>
      </c>
      <c r="D226" t="s">
        <v>852</v>
      </c>
    </row>
    <row r="227" spans="1:4" x14ac:dyDescent="0.15">
      <c r="A227" t="s">
        <v>853</v>
      </c>
      <c r="B227" t="s">
        <v>203</v>
      </c>
      <c r="C227" t="s">
        <v>854</v>
      </c>
      <c r="D227" t="s">
        <v>855</v>
      </c>
    </row>
    <row r="228" spans="1:4" x14ac:dyDescent="0.15">
      <c r="A228" t="s">
        <v>856</v>
      </c>
      <c r="B228" t="s">
        <v>205</v>
      </c>
      <c r="C228" t="s">
        <v>857</v>
      </c>
      <c r="D228" t="s">
        <v>858</v>
      </c>
    </row>
    <row r="229" spans="1:4" x14ac:dyDescent="0.15">
      <c r="A229" t="s">
        <v>859</v>
      </c>
      <c r="B229" t="s">
        <v>206</v>
      </c>
      <c r="C229" t="s">
        <v>860</v>
      </c>
      <c r="D229" t="s">
        <v>861</v>
      </c>
    </row>
    <row r="230" spans="1:4" x14ac:dyDescent="0.15">
      <c r="A230" t="s">
        <v>862</v>
      </c>
      <c r="B230" t="s">
        <v>207</v>
      </c>
      <c r="C230" t="s">
        <v>863</v>
      </c>
      <c r="D230" t="s">
        <v>864</v>
      </c>
    </row>
    <row r="231" spans="1:4" x14ac:dyDescent="0.15">
      <c r="A231" t="s">
        <v>865</v>
      </c>
      <c r="B231" t="s">
        <v>210</v>
      </c>
      <c r="C231" t="s">
        <v>866</v>
      </c>
      <c r="D231" t="s">
        <v>867</v>
      </c>
    </row>
    <row r="232" spans="1:4" x14ac:dyDescent="0.15">
      <c r="A232" t="s">
        <v>868</v>
      </c>
      <c r="B232" t="s">
        <v>212</v>
      </c>
      <c r="C232" t="s">
        <v>869</v>
      </c>
      <c r="D232" t="s">
        <v>870</v>
      </c>
    </row>
    <row r="233" spans="1:4" x14ac:dyDescent="0.15">
      <c r="A233" t="s">
        <v>871</v>
      </c>
      <c r="B233" t="s">
        <v>213</v>
      </c>
      <c r="C233" t="s">
        <v>872</v>
      </c>
      <c r="D233" t="s">
        <v>873</v>
      </c>
    </row>
    <row r="234" spans="1:4" x14ac:dyDescent="0.15">
      <c r="A234" t="s">
        <v>874</v>
      </c>
      <c r="B234" t="s">
        <v>214</v>
      </c>
      <c r="C234" t="s">
        <v>875</v>
      </c>
      <c r="D234" t="s">
        <v>876</v>
      </c>
    </row>
    <row r="235" spans="1:4" x14ac:dyDescent="0.15">
      <c r="A235" t="s">
        <v>877</v>
      </c>
      <c r="B235" t="s">
        <v>218</v>
      </c>
      <c r="C235" t="s">
        <v>878</v>
      </c>
      <c r="D235" t="s">
        <v>879</v>
      </c>
    </row>
    <row r="236" spans="1:4" x14ac:dyDescent="0.15">
      <c r="A236" t="s">
        <v>880</v>
      </c>
      <c r="B236" t="s">
        <v>219</v>
      </c>
      <c r="C236" t="s">
        <v>881</v>
      </c>
      <c r="D236" t="s">
        <v>882</v>
      </c>
    </row>
    <row r="237" spans="1:4" x14ac:dyDescent="0.15">
      <c r="A237" t="s">
        <v>883</v>
      </c>
      <c r="B237" t="s">
        <v>220</v>
      </c>
      <c r="C237" t="s">
        <v>884</v>
      </c>
      <c r="D237" t="s">
        <v>885</v>
      </c>
    </row>
    <row r="238" spans="1:4" x14ac:dyDescent="0.15">
      <c r="A238" t="s">
        <v>886</v>
      </c>
      <c r="B238" t="s">
        <v>221</v>
      </c>
      <c r="C238" t="s">
        <v>887</v>
      </c>
      <c r="D238" t="s">
        <v>888</v>
      </c>
    </row>
    <row r="239" spans="1:4" x14ac:dyDescent="0.15">
      <c r="A239" t="s">
        <v>889</v>
      </c>
      <c r="B239" t="s">
        <v>222</v>
      </c>
      <c r="C239" t="s">
        <v>890</v>
      </c>
      <c r="D239" t="s">
        <v>891</v>
      </c>
    </row>
    <row r="240" spans="1:4" x14ac:dyDescent="0.15">
      <c r="A240" t="s">
        <v>892</v>
      </c>
      <c r="B240" t="s">
        <v>223</v>
      </c>
      <c r="C240" t="s">
        <v>893</v>
      </c>
      <c r="D240" t="s">
        <v>894</v>
      </c>
    </row>
    <row r="241" spans="1:4" x14ac:dyDescent="0.15">
      <c r="A241" t="s">
        <v>895</v>
      </c>
      <c r="B241" t="s">
        <v>224</v>
      </c>
      <c r="C241" t="s">
        <v>896</v>
      </c>
      <c r="D241" t="s">
        <v>897</v>
      </c>
    </row>
    <row r="242" spans="1:4" x14ac:dyDescent="0.15">
      <c r="A242" t="s">
        <v>898</v>
      </c>
      <c r="B242" t="s">
        <v>225</v>
      </c>
      <c r="C242" t="s">
        <v>899</v>
      </c>
      <c r="D242" t="s">
        <v>900</v>
      </c>
    </row>
    <row r="243" spans="1:4" x14ac:dyDescent="0.15">
      <c r="A243" t="s">
        <v>901</v>
      </c>
      <c r="B243" t="s">
        <v>226</v>
      </c>
      <c r="C243" t="s">
        <v>902</v>
      </c>
      <c r="D243" t="s">
        <v>903</v>
      </c>
    </row>
    <row r="244" spans="1:4" x14ac:dyDescent="0.15">
      <c r="A244" t="s">
        <v>904</v>
      </c>
      <c r="B244" t="s">
        <v>227</v>
      </c>
      <c r="C244" t="s">
        <v>905</v>
      </c>
      <c r="D244" t="s">
        <v>906</v>
      </c>
    </row>
    <row r="245" spans="1:4" x14ac:dyDescent="0.15">
      <c r="A245" t="s">
        <v>907</v>
      </c>
      <c r="B245" t="s">
        <v>103</v>
      </c>
      <c r="C245" t="s">
        <v>550</v>
      </c>
      <c r="D245" t="s">
        <v>551</v>
      </c>
    </row>
    <row r="246" spans="1:4" x14ac:dyDescent="0.15">
      <c r="A246" t="s">
        <v>908</v>
      </c>
      <c r="B246" t="s">
        <v>229</v>
      </c>
      <c r="C246" t="s">
        <v>909</v>
      </c>
      <c r="D246" t="s">
        <v>910</v>
      </c>
    </row>
    <row r="247" spans="1:4" x14ac:dyDescent="0.15">
      <c r="A247" t="s">
        <v>911</v>
      </c>
      <c r="B247" t="s">
        <v>230</v>
      </c>
      <c r="C247" t="s">
        <v>912</v>
      </c>
      <c r="D247" t="s">
        <v>913</v>
      </c>
    </row>
    <row r="248" spans="1:4" x14ac:dyDescent="0.15">
      <c r="A248" t="s">
        <v>915</v>
      </c>
      <c r="B248" t="s">
        <v>916</v>
      </c>
      <c r="C248" t="s">
        <v>917</v>
      </c>
      <c r="D248" t="s">
        <v>918</v>
      </c>
    </row>
    <row r="249" spans="1:4" x14ac:dyDescent="0.15">
      <c r="A249" t="s">
        <v>919</v>
      </c>
      <c r="B249" t="s">
        <v>920</v>
      </c>
      <c r="C249" t="s">
        <v>921</v>
      </c>
      <c r="D249" t="s">
        <v>922</v>
      </c>
    </row>
    <row r="250" spans="1:4" x14ac:dyDescent="0.15">
      <c r="A250" t="s">
        <v>923</v>
      </c>
      <c r="B250" t="s">
        <v>924</v>
      </c>
      <c r="C250" t="s">
        <v>925</v>
      </c>
      <c r="D250" t="s">
        <v>926</v>
      </c>
    </row>
    <row r="251" spans="1:4" x14ac:dyDescent="0.15">
      <c r="A251" t="s">
        <v>927</v>
      </c>
      <c r="B251" t="s">
        <v>928</v>
      </c>
      <c r="C251" t="s">
        <v>929</v>
      </c>
      <c r="D251" t="s">
        <v>930</v>
      </c>
    </row>
    <row r="252" spans="1:4" x14ac:dyDescent="0.15">
      <c r="A252" t="s">
        <v>931</v>
      </c>
      <c r="B252" t="s">
        <v>932</v>
      </c>
      <c r="C252" t="s">
        <v>932</v>
      </c>
      <c r="D252" t="s">
        <v>933</v>
      </c>
    </row>
    <row r="253" spans="1:4" x14ac:dyDescent="0.15">
      <c r="A253" t="s">
        <v>934</v>
      </c>
      <c r="B253" t="s">
        <v>935</v>
      </c>
      <c r="C253" t="s">
        <v>936</v>
      </c>
      <c r="D253" t="s">
        <v>937</v>
      </c>
    </row>
    <row r="254" spans="1:4" x14ac:dyDescent="0.15">
      <c r="A254" t="s">
        <v>938</v>
      </c>
      <c r="B254" t="s">
        <v>939</v>
      </c>
      <c r="C254" t="s">
        <v>940</v>
      </c>
      <c r="D254" t="s">
        <v>941</v>
      </c>
    </row>
    <row r="255" spans="1:4" x14ac:dyDescent="0.15">
      <c r="A255" t="s">
        <v>942</v>
      </c>
      <c r="B255" t="s">
        <v>943</v>
      </c>
      <c r="C255" t="s">
        <v>944</v>
      </c>
      <c r="D255" t="s">
        <v>945</v>
      </c>
    </row>
    <row r="256" spans="1:4" x14ac:dyDescent="0.15">
      <c r="A256" t="s">
        <v>946</v>
      </c>
      <c r="B256" t="s">
        <v>947</v>
      </c>
      <c r="C256" t="s">
        <v>948</v>
      </c>
      <c r="D256" t="s">
        <v>949</v>
      </c>
    </row>
    <row r="257" spans="1:4" x14ac:dyDescent="0.15">
      <c r="A257" t="s">
        <v>950</v>
      </c>
      <c r="B257" t="s">
        <v>951</v>
      </c>
      <c r="C257" t="s">
        <v>952</v>
      </c>
      <c r="D257" t="s">
        <v>953</v>
      </c>
    </row>
    <row r="258" spans="1:4" x14ac:dyDescent="0.15">
      <c r="A258" t="s">
        <v>954</v>
      </c>
      <c r="B258" t="s">
        <v>224</v>
      </c>
      <c r="C258" t="s">
        <v>896</v>
      </c>
      <c r="D258" t="s">
        <v>258</v>
      </c>
    </row>
    <row r="259" spans="1:4" x14ac:dyDescent="0.15">
      <c r="A259" t="s">
        <v>955</v>
      </c>
      <c r="B259" t="s">
        <v>956</v>
      </c>
      <c r="C259" t="s">
        <v>957</v>
      </c>
      <c r="D259" t="s">
        <v>958</v>
      </c>
    </row>
    <row r="260" spans="1:4" x14ac:dyDescent="0.15">
      <c r="A260" t="s">
        <v>959</v>
      </c>
      <c r="B260" t="s">
        <v>960</v>
      </c>
      <c r="C260" t="s">
        <v>961</v>
      </c>
      <c r="D260" t="s">
        <v>962</v>
      </c>
    </row>
    <row r="261" spans="1:4" x14ac:dyDescent="0.15">
      <c r="A261" t="s">
        <v>963</v>
      </c>
      <c r="B261" t="s">
        <v>964</v>
      </c>
      <c r="C261" t="s">
        <v>965</v>
      </c>
      <c r="D261" t="s">
        <v>966</v>
      </c>
    </row>
    <row r="262" spans="1:4" x14ac:dyDescent="0.15">
      <c r="A262" t="s">
        <v>967</v>
      </c>
      <c r="B262" t="s">
        <v>968</v>
      </c>
      <c r="C262" t="s">
        <v>969</v>
      </c>
      <c r="D262" t="s">
        <v>970</v>
      </c>
    </row>
    <row r="263" spans="1:4" x14ac:dyDescent="0.15">
      <c r="A263" t="s">
        <v>971</v>
      </c>
      <c r="B263" t="s">
        <v>972</v>
      </c>
      <c r="C263" t="s">
        <v>972</v>
      </c>
      <c r="D263" t="s">
        <v>972</v>
      </c>
    </row>
    <row r="264" spans="1:4" x14ac:dyDescent="0.15">
      <c r="A264" t="s">
        <v>973</v>
      </c>
      <c r="B264" t="s">
        <v>974</v>
      </c>
      <c r="C264" t="s">
        <v>974</v>
      </c>
      <c r="D264" t="s">
        <v>974</v>
      </c>
    </row>
    <row r="265" spans="1:4" x14ac:dyDescent="0.15">
      <c r="A265" t="s">
        <v>975</v>
      </c>
      <c r="B265" t="s">
        <v>976</v>
      </c>
      <c r="C265" t="s">
        <v>976</v>
      </c>
      <c r="D265" t="s">
        <v>976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言語切替</vt:lpstr>
      <vt:lpstr>00_運用ルール</vt:lpstr>
      <vt:lpstr>01_全体サマリー</vt:lpstr>
      <vt:lpstr>02_マスタ</vt:lpstr>
      <vt:lpstr>03_WBS</vt:lpstr>
      <vt:lpstr>04_課題ToDo</vt:lpstr>
      <vt:lpstr>05_決定事項</vt:lpstr>
      <vt:lpstr>06_KPI</vt:lpstr>
      <vt:lpstr>07_更新履歴</vt:lpstr>
      <vt:lpstr>_ゴミ箱_Backup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Hanazaki，Hitoshi(花﨑準)</dc:creator>
  <cp:keywords/>
  <dc:description/>
  <cp:lastModifiedBy>Bùi Đức Vinh(Bui Duc Vinh)</cp:lastModifiedBy>
  <cp:revision/>
  <dcterms:created xsi:type="dcterms:W3CDTF">2026-09-23T04:48:13Z</dcterms:created>
  <dcterms:modified xsi:type="dcterms:W3CDTF">2026-09-29T09:38:27Z</dcterms:modified>
  <cp:category/>
  <cp:contentStatus/>
</cp:coreProperties>
</file>