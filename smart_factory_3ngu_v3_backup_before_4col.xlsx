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ndbox\file_thu_ky\"/>
    </mc:Choice>
  </mc:AlternateContent>
  <xr:revisionPtr revIDLastSave="0" documentId="13_ncr:1_{1FEB1E64-32D8-4EEA-81A3-6B9D34780BD9}" xr6:coauthVersionLast="47" xr6:coauthVersionMax="47" xr10:uidLastSave="{00000000-0000-0000-0000-000000000000}"/>
  <bookViews>
    <workbookView xWindow="-120" yWindow="-120" windowWidth="20730" windowHeight="11040" tabRatio="713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r:id="rId8"/>
    <sheet name="07_更新履歴" sheetId="8" r:id="rId9"/>
    <sheet name="_ゴミ箱_Backup" sheetId="12" r:id="rId10"/>
    <sheet name="_翻訳マスタ" sheetId="11" r:id="rId11"/>
  </sheets>
  <definedNames>
    <definedName name="_xlnm._FilterDatabase" localSheetId="2" hidden="1">'01_全体サマリー'!$A$9:$G$19</definedName>
    <definedName name="_xlnm._FilterDatabase" localSheetId="4" hidden="1">'03_WBS'!$A$4:$R$204</definedName>
    <definedName name="_xlnm._FilterDatabase" localSheetId="5" hidden="1">'04_課題ToDo'!$A$4:$AD$304</definedName>
    <definedName name="_xlnm._FilterDatabase" localSheetId="6" hidden="1">'05_決定事項'!$A$4:$W$204</definedName>
    <definedName name="_xlnm._FilterDatabase" localSheetId="7" hidden="1">'06_KPI'!$A$4:$Z$204</definedName>
    <definedName name="_xlnm._FilterDatabase" localSheetId="8" hidden="1">'07_更新履歴'!$A$4:$L$104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8" l="1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T24" i="4"/>
  <c r="S24" i="4"/>
  <c r="T23" i="4"/>
  <c r="S23" i="4"/>
  <c r="T22" i="4"/>
  <c r="S22" i="4"/>
  <c r="T21" i="4"/>
  <c r="S21" i="4"/>
  <c r="T20" i="4"/>
  <c r="S20" i="4"/>
  <c r="T19" i="4"/>
  <c r="S19" i="4"/>
  <c r="T18" i="4"/>
  <c r="S18" i="4"/>
  <c r="T17" i="4"/>
  <c r="S17" i="4"/>
  <c r="T16" i="4"/>
  <c r="S16" i="4"/>
  <c r="T15" i="4"/>
  <c r="S15" i="4"/>
  <c r="T14" i="4"/>
  <c r="S14" i="4"/>
  <c r="T13" i="4"/>
  <c r="S13" i="4"/>
  <c r="T12" i="4"/>
  <c r="S12" i="4"/>
  <c r="T11" i="4"/>
  <c r="S11" i="4"/>
  <c r="T10" i="4"/>
  <c r="S10" i="4"/>
  <c r="T9" i="4"/>
  <c r="S9" i="4"/>
  <c r="T8" i="4"/>
  <c r="S8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Y24" i="6"/>
  <c r="X24" i="6"/>
  <c r="Y23" i="6"/>
  <c r="X23" i="6"/>
  <c r="Y22" i="6"/>
  <c r="X22" i="6"/>
  <c r="Y21" i="6"/>
  <c r="X21" i="6"/>
  <c r="Y20" i="6"/>
  <c r="X20" i="6"/>
  <c r="Y19" i="6"/>
  <c r="X19" i="6"/>
  <c r="Y18" i="6"/>
  <c r="X18" i="6"/>
  <c r="Y17" i="6"/>
  <c r="X17" i="6"/>
  <c r="Y16" i="6"/>
  <c r="X16" i="6"/>
  <c r="Y15" i="6"/>
  <c r="X15" i="6"/>
  <c r="Y14" i="6"/>
  <c r="X14" i="6"/>
  <c r="Y13" i="6"/>
  <c r="X13" i="6"/>
  <c r="Y12" i="6"/>
  <c r="X12" i="6"/>
  <c r="Y11" i="6"/>
  <c r="X11" i="6"/>
  <c r="Y10" i="6"/>
  <c r="X10" i="6"/>
  <c r="Y9" i="6"/>
  <c r="X9" i="6"/>
  <c r="Y8" i="6"/>
  <c r="X8" i="6"/>
  <c r="Y7" i="6"/>
  <c r="X7" i="6"/>
  <c r="Y6" i="6"/>
  <c r="X6" i="6"/>
  <c r="R24" i="6"/>
  <c r="Q24" i="6"/>
  <c r="R23" i="6"/>
  <c r="Q23" i="6"/>
  <c r="R22" i="6"/>
  <c r="Q22" i="6"/>
  <c r="R21" i="6"/>
  <c r="Q21" i="6"/>
  <c r="R20" i="6"/>
  <c r="Q20" i="6"/>
  <c r="R19" i="6"/>
  <c r="Q19" i="6"/>
  <c r="R18" i="6"/>
  <c r="Q18" i="6"/>
  <c r="R17" i="6"/>
  <c r="Q17" i="6"/>
  <c r="R16" i="6"/>
  <c r="Q16" i="6"/>
  <c r="R15" i="6"/>
  <c r="Q15" i="6"/>
  <c r="R14" i="6"/>
  <c r="Q14" i="6"/>
  <c r="R13" i="6"/>
  <c r="Q13" i="6"/>
  <c r="R12" i="6"/>
  <c r="Q12" i="6"/>
  <c r="R11" i="6"/>
  <c r="Q11" i="6"/>
  <c r="R10" i="6"/>
  <c r="Q10" i="6"/>
  <c r="R9" i="6"/>
  <c r="Q9" i="6"/>
  <c r="R8" i="6"/>
  <c r="Q8" i="6"/>
  <c r="R7" i="6"/>
  <c r="Q7" i="6"/>
  <c r="R6" i="6"/>
  <c r="Q6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Z24" i="5"/>
  <c r="Y24" i="5"/>
  <c r="Z23" i="5"/>
  <c r="Y23" i="5"/>
  <c r="Z22" i="5"/>
  <c r="Y22" i="5"/>
  <c r="Z21" i="5"/>
  <c r="Y21" i="5"/>
  <c r="Z20" i="5"/>
  <c r="Y20" i="5"/>
  <c r="Z19" i="5"/>
  <c r="Y19" i="5"/>
  <c r="Z18" i="5"/>
  <c r="Y18" i="5"/>
  <c r="Z17" i="5"/>
  <c r="Y17" i="5"/>
  <c r="Z16" i="5"/>
  <c r="Y16" i="5"/>
  <c r="Z15" i="5"/>
  <c r="Y15" i="5"/>
  <c r="Z14" i="5"/>
  <c r="Y14" i="5"/>
  <c r="Z13" i="5"/>
  <c r="Y13" i="5"/>
  <c r="Z12" i="5"/>
  <c r="Y12" i="5"/>
  <c r="Z11" i="5"/>
  <c r="Y11" i="5"/>
  <c r="Z10" i="5"/>
  <c r="Y10" i="5"/>
  <c r="Z9" i="5"/>
  <c r="Y9" i="5"/>
  <c r="Z8" i="5"/>
  <c r="Y8" i="5"/>
  <c r="Z7" i="5"/>
  <c r="Y7" i="5"/>
  <c r="Z6" i="5"/>
  <c r="Y6" i="5"/>
  <c r="Z5" i="5"/>
  <c r="Y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V13" i="5"/>
  <c r="W12" i="5"/>
  <c r="V12" i="5"/>
  <c r="W11" i="5"/>
  <c r="V11" i="5"/>
  <c r="W10" i="5"/>
  <c r="V10" i="5"/>
  <c r="W9" i="5"/>
  <c r="V9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AB24" i="7"/>
  <c r="AA24" i="7"/>
  <c r="AB23" i="7"/>
  <c r="AA23" i="7"/>
  <c r="AB22" i="7"/>
  <c r="AA22" i="7"/>
  <c r="AB21" i="7"/>
  <c r="AA21" i="7"/>
  <c r="AB20" i="7"/>
  <c r="AA20" i="7"/>
  <c r="AB19" i="7"/>
  <c r="AA19" i="7"/>
  <c r="AB18" i="7"/>
  <c r="AA18" i="7"/>
  <c r="AB17" i="7"/>
  <c r="AA17" i="7"/>
  <c r="AB16" i="7"/>
  <c r="AA16" i="7"/>
  <c r="AB15" i="7"/>
  <c r="AA15" i="7"/>
  <c r="AB14" i="7"/>
  <c r="AA14" i="7"/>
  <c r="AB13" i="7"/>
  <c r="AA13" i="7"/>
  <c r="AB12" i="7"/>
  <c r="AA12" i="7"/>
  <c r="AB11" i="7"/>
  <c r="AA11" i="7"/>
  <c r="AB10" i="7"/>
  <c r="AA10" i="7"/>
  <c r="AB9" i="7"/>
  <c r="AA9" i="7"/>
  <c r="Y24" i="7"/>
  <c r="X24" i="7"/>
  <c r="Y23" i="7"/>
  <c r="X23" i="7"/>
  <c r="Y22" i="7"/>
  <c r="X22" i="7"/>
  <c r="Y21" i="7"/>
  <c r="X21" i="7"/>
  <c r="Y20" i="7"/>
  <c r="X20" i="7"/>
  <c r="Y19" i="7"/>
  <c r="X19" i="7"/>
  <c r="Y18" i="7"/>
  <c r="X18" i="7"/>
  <c r="Y17" i="7"/>
  <c r="X17" i="7"/>
  <c r="Y16" i="7"/>
  <c r="X16" i="7"/>
  <c r="Y15" i="7"/>
  <c r="X15" i="7"/>
  <c r="Y14" i="7"/>
  <c r="X14" i="7"/>
  <c r="Y13" i="7"/>
  <c r="X13" i="7"/>
  <c r="Y12" i="7"/>
  <c r="X12" i="7"/>
  <c r="Y11" i="7"/>
  <c r="X11" i="7"/>
  <c r="Y10" i="7"/>
  <c r="X10" i="7"/>
  <c r="Y9" i="7"/>
  <c r="X9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L5" i="8"/>
  <c r="N4" i="8"/>
  <c r="M4" i="8"/>
  <c r="L4" i="8"/>
  <c r="H5" i="8"/>
  <c r="J4" i="8"/>
  <c r="I4" i="8"/>
  <c r="H4" i="8"/>
  <c r="E5" i="8"/>
  <c r="G4" i="8"/>
  <c r="F4" i="8"/>
  <c r="E4" i="8"/>
  <c r="R7" i="4"/>
  <c r="R6" i="4"/>
  <c r="R5" i="4"/>
  <c r="T4" i="4"/>
  <c r="S4" i="4"/>
  <c r="R4" i="4"/>
  <c r="E7" i="4"/>
  <c r="E6" i="4"/>
  <c r="E5" i="4"/>
  <c r="G4" i="4"/>
  <c r="F4" i="4"/>
  <c r="E4" i="4"/>
  <c r="W5" i="6"/>
  <c r="Y4" i="6"/>
  <c r="X4" i="6"/>
  <c r="W4" i="6"/>
  <c r="P5" i="6"/>
  <c r="R4" i="6"/>
  <c r="Q4" i="6"/>
  <c r="P4" i="6"/>
  <c r="J5" i="6"/>
  <c r="L4" i="6"/>
  <c r="K4" i="6"/>
  <c r="J4" i="6"/>
  <c r="G5" i="6"/>
  <c r="I4" i="6"/>
  <c r="H4" i="6"/>
  <c r="G4" i="6"/>
  <c r="D5" i="6"/>
  <c r="F4" i="6"/>
  <c r="E4" i="6"/>
  <c r="D4" i="6"/>
  <c r="Z4" i="5"/>
  <c r="Y4" i="5"/>
  <c r="X4" i="5"/>
  <c r="U8" i="5"/>
  <c r="U7" i="5"/>
  <c r="U6" i="5"/>
  <c r="U5" i="5"/>
  <c r="W4" i="5"/>
  <c r="V4" i="5"/>
  <c r="U4" i="5"/>
  <c r="K8" i="5"/>
  <c r="K7" i="5"/>
  <c r="K6" i="5"/>
  <c r="K5" i="5"/>
  <c r="M4" i="5"/>
  <c r="L4" i="5"/>
  <c r="K4" i="5"/>
  <c r="H8" i="5"/>
  <c r="H7" i="5"/>
  <c r="H6" i="5"/>
  <c r="H5" i="5"/>
  <c r="J4" i="5"/>
  <c r="I4" i="5"/>
  <c r="H4" i="5"/>
  <c r="E8" i="5"/>
  <c r="E7" i="5"/>
  <c r="E6" i="5"/>
  <c r="E5" i="5"/>
  <c r="G4" i="5"/>
  <c r="F4" i="5"/>
  <c r="E4" i="5"/>
  <c r="Z8" i="7"/>
  <c r="Z7" i="7"/>
  <c r="Z6" i="7"/>
  <c r="Z5" i="7"/>
  <c r="AB4" i="7"/>
  <c r="AA4" i="7"/>
  <c r="Z4" i="7"/>
  <c r="W8" i="7"/>
  <c r="W7" i="7"/>
  <c r="W6" i="7"/>
  <c r="W5" i="7"/>
  <c r="Y4" i="7"/>
  <c r="X4" i="7"/>
  <c r="W4" i="7"/>
  <c r="J8" i="7"/>
  <c r="J7" i="7"/>
  <c r="J6" i="7"/>
  <c r="J5" i="7"/>
  <c r="L4" i="7"/>
  <c r="K4" i="7"/>
  <c r="J4" i="7"/>
  <c r="G8" i="7"/>
  <c r="G7" i="7"/>
  <c r="G6" i="7"/>
  <c r="G5" i="7"/>
  <c r="I4" i="7"/>
  <c r="H4" i="7"/>
  <c r="G4" i="7"/>
  <c r="D8" i="7"/>
  <c r="D7" i="7"/>
  <c r="D6" i="7"/>
  <c r="D5" i="7"/>
  <c r="F4" i="7"/>
  <c r="E4" i="7"/>
  <c r="D4" i="7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C5" i="8"/>
  <c r="K4" i="8"/>
  <c r="D4" i="8"/>
  <c r="C4" i="8"/>
  <c r="B4" i="8"/>
  <c r="A4" i="8"/>
  <c r="A3" i="8"/>
  <c r="A2" i="8"/>
  <c r="A1" i="8"/>
  <c r="U204" i="7"/>
  <c r="T204" i="7"/>
  <c r="U203" i="7"/>
  <c r="T203" i="7"/>
  <c r="U202" i="7"/>
  <c r="T202" i="7"/>
  <c r="U201" i="7"/>
  <c r="T201" i="7"/>
  <c r="U200" i="7"/>
  <c r="T200" i="7"/>
  <c r="U199" i="7"/>
  <c r="T199" i="7"/>
  <c r="U198" i="7"/>
  <c r="T198" i="7"/>
  <c r="U197" i="7"/>
  <c r="T197" i="7"/>
  <c r="U196" i="7"/>
  <c r="T196" i="7"/>
  <c r="U195" i="7"/>
  <c r="T195" i="7"/>
  <c r="U194" i="7"/>
  <c r="T194" i="7"/>
  <c r="U193" i="7"/>
  <c r="T193" i="7"/>
  <c r="U192" i="7"/>
  <c r="T192" i="7"/>
  <c r="U191" i="7"/>
  <c r="T191" i="7"/>
  <c r="U190" i="7"/>
  <c r="T190" i="7"/>
  <c r="U189" i="7"/>
  <c r="T189" i="7"/>
  <c r="U188" i="7"/>
  <c r="T188" i="7"/>
  <c r="U187" i="7"/>
  <c r="T187" i="7"/>
  <c r="U186" i="7"/>
  <c r="T186" i="7"/>
  <c r="U185" i="7"/>
  <c r="T185" i="7"/>
  <c r="U184" i="7"/>
  <c r="T184" i="7"/>
  <c r="U183" i="7"/>
  <c r="T183" i="7"/>
  <c r="U182" i="7"/>
  <c r="T182" i="7"/>
  <c r="U181" i="7"/>
  <c r="T181" i="7"/>
  <c r="U180" i="7"/>
  <c r="T180" i="7"/>
  <c r="U179" i="7"/>
  <c r="T179" i="7"/>
  <c r="U178" i="7"/>
  <c r="T178" i="7"/>
  <c r="U177" i="7"/>
  <c r="T177" i="7"/>
  <c r="U176" i="7"/>
  <c r="T176" i="7"/>
  <c r="U175" i="7"/>
  <c r="T175" i="7"/>
  <c r="U174" i="7"/>
  <c r="T174" i="7"/>
  <c r="U173" i="7"/>
  <c r="T173" i="7"/>
  <c r="U172" i="7"/>
  <c r="T172" i="7"/>
  <c r="U171" i="7"/>
  <c r="T171" i="7"/>
  <c r="U170" i="7"/>
  <c r="T170" i="7"/>
  <c r="U169" i="7"/>
  <c r="T169" i="7"/>
  <c r="U168" i="7"/>
  <c r="T168" i="7"/>
  <c r="U167" i="7"/>
  <c r="T167" i="7"/>
  <c r="U166" i="7"/>
  <c r="T166" i="7"/>
  <c r="U165" i="7"/>
  <c r="T165" i="7"/>
  <c r="U164" i="7"/>
  <c r="T164" i="7"/>
  <c r="U163" i="7"/>
  <c r="T163" i="7"/>
  <c r="U162" i="7"/>
  <c r="T162" i="7"/>
  <c r="U161" i="7"/>
  <c r="T161" i="7"/>
  <c r="U160" i="7"/>
  <c r="T160" i="7"/>
  <c r="U159" i="7"/>
  <c r="T159" i="7"/>
  <c r="U158" i="7"/>
  <c r="T158" i="7"/>
  <c r="U157" i="7"/>
  <c r="T157" i="7"/>
  <c r="U156" i="7"/>
  <c r="T156" i="7"/>
  <c r="U155" i="7"/>
  <c r="T155" i="7"/>
  <c r="U154" i="7"/>
  <c r="T154" i="7"/>
  <c r="U153" i="7"/>
  <c r="T153" i="7"/>
  <c r="U152" i="7"/>
  <c r="T152" i="7"/>
  <c r="U151" i="7"/>
  <c r="T151" i="7"/>
  <c r="U150" i="7"/>
  <c r="T150" i="7"/>
  <c r="U149" i="7"/>
  <c r="T149" i="7"/>
  <c r="U148" i="7"/>
  <c r="T148" i="7"/>
  <c r="U147" i="7"/>
  <c r="T147" i="7"/>
  <c r="U146" i="7"/>
  <c r="T146" i="7"/>
  <c r="U145" i="7"/>
  <c r="T145" i="7"/>
  <c r="U144" i="7"/>
  <c r="T144" i="7"/>
  <c r="U143" i="7"/>
  <c r="T143" i="7"/>
  <c r="U142" i="7"/>
  <c r="T142" i="7"/>
  <c r="U141" i="7"/>
  <c r="T141" i="7"/>
  <c r="U140" i="7"/>
  <c r="T140" i="7"/>
  <c r="U139" i="7"/>
  <c r="T139" i="7"/>
  <c r="U138" i="7"/>
  <c r="T138" i="7"/>
  <c r="U137" i="7"/>
  <c r="T137" i="7"/>
  <c r="U136" i="7"/>
  <c r="T136" i="7"/>
  <c r="U135" i="7"/>
  <c r="T135" i="7"/>
  <c r="U134" i="7"/>
  <c r="T134" i="7"/>
  <c r="U133" i="7"/>
  <c r="T133" i="7"/>
  <c r="U132" i="7"/>
  <c r="T132" i="7"/>
  <c r="U131" i="7"/>
  <c r="T131" i="7"/>
  <c r="U130" i="7"/>
  <c r="T130" i="7"/>
  <c r="U129" i="7"/>
  <c r="T129" i="7"/>
  <c r="U128" i="7"/>
  <c r="T128" i="7"/>
  <c r="U127" i="7"/>
  <c r="T127" i="7"/>
  <c r="U126" i="7"/>
  <c r="T126" i="7"/>
  <c r="U125" i="7"/>
  <c r="T125" i="7"/>
  <c r="U124" i="7"/>
  <c r="T124" i="7"/>
  <c r="U123" i="7"/>
  <c r="T123" i="7"/>
  <c r="U122" i="7"/>
  <c r="T122" i="7"/>
  <c r="U121" i="7"/>
  <c r="T121" i="7"/>
  <c r="U120" i="7"/>
  <c r="T120" i="7"/>
  <c r="U119" i="7"/>
  <c r="T119" i="7"/>
  <c r="U118" i="7"/>
  <c r="T118" i="7"/>
  <c r="U117" i="7"/>
  <c r="T117" i="7"/>
  <c r="U116" i="7"/>
  <c r="T116" i="7"/>
  <c r="U115" i="7"/>
  <c r="T115" i="7"/>
  <c r="U114" i="7"/>
  <c r="T114" i="7"/>
  <c r="U113" i="7"/>
  <c r="T113" i="7"/>
  <c r="U112" i="7"/>
  <c r="T112" i="7"/>
  <c r="U111" i="7"/>
  <c r="T111" i="7"/>
  <c r="U110" i="7"/>
  <c r="T110" i="7"/>
  <c r="U109" i="7"/>
  <c r="T109" i="7"/>
  <c r="U108" i="7"/>
  <c r="T108" i="7"/>
  <c r="U107" i="7"/>
  <c r="T107" i="7"/>
  <c r="U106" i="7"/>
  <c r="T106" i="7"/>
  <c r="U105" i="7"/>
  <c r="T105" i="7"/>
  <c r="U104" i="7"/>
  <c r="T104" i="7"/>
  <c r="U103" i="7"/>
  <c r="T103" i="7"/>
  <c r="U102" i="7"/>
  <c r="T102" i="7"/>
  <c r="U101" i="7"/>
  <c r="T101" i="7"/>
  <c r="U100" i="7"/>
  <c r="T100" i="7"/>
  <c r="U99" i="7"/>
  <c r="T99" i="7"/>
  <c r="U98" i="7"/>
  <c r="T98" i="7"/>
  <c r="U97" i="7"/>
  <c r="T97" i="7"/>
  <c r="U96" i="7"/>
  <c r="T96" i="7"/>
  <c r="U95" i="7"/>
  <c r="T95" i="7"/>
  <c r="U94" i="7"/>
  <c r="T94" i="7"/>
  <c r="U93" i="7"/>
  <c r="T93" i="7"/>
  <c r="U92" i="7"/>
  <c r="T92" i="7"/>
  <c r="U91" i="7"/>
  <c r="T91" i="7"/>
  <c r="U90" i="7"/>
  <c r="T90" i="7"/>
  <c r="U89" i="7"/>
  <c r="T89" i="7"/>
  <c r="U88" i="7"/>
  <c r="T88" i="7"/>
  <c r="U87" i="7"/>
  <c r="T87" i="7"/>
  <c r="U86" i="7"/>
  <c r="T86" i="7"/>
  <c r="U85" i="7"/>
  <c r="T85" i="7"/>
  <c r="U84" i="7"/>
  <c r="T84" i="7"/>
  <c r="U83" i="7"/>
  <c r="T83" i="7"/>
  <c r="U82" i="7"/>
  <c r="T82" i="7"/>
  <c r="U81" i="7"/>
  <c r="T81" i="7"/>
  <c r="U80" i="7"/>
  <c r="T80" i="7"/>
  <c r="U79" i="7"/>
  <c r="T79" i="7"/>
  <c r="U78" i="7"/>
  <c r="T78" i="7"/>
  <c r="U77" i="7"/>
  <c r="T77" i="7"/>
  <c r="U76" i="7"/>
  <c r="T76" i="7"/>
  <c r="U75" i="7"/>
  <c r="T75" i="7"/>
  <c r="U74" i="7"/>
  <c r="T74" i="7"/>
  <c r="U73" i="7"/>
  <c r="T73" i="7"/>
  <c r="U72" i="7"/>
  <c r="T72" i="7"/>
  <c r="U71" i="7"/>
  <c r="T71" i="7"/>
  <c r="U70" i="7"/>
  <c r="T70" i="7"/>
  <c r="U69" i="7"/>
  <c r="T69" i="7"/>
  <c r="U68" i="7"/>
  <c r="T68" i="7"/>
  <c r="U67" i="7"/>
  <c r="T67" i="7"/>
  <c r="U66" i="7"/>
  <c r="T66" i="7"/>
  <c r="U65" i="7"/>
  <c r="T65" i="7"/>
  <c r="U64" i="7"/>
  <c r="T64" i="7"/>
  <c r="U63" i="7"/>
  <c r="T63" i="7"/>
  <c r="U62" i="7"/>
  <c r="T62" i="7"/>
  <c r="U61" i="7"/>
  <c r="T61" i="7"/>
  <c r="U60" i="7"/>
  <c r="T60" i="7"/>
  <c r="U59" i="7"/>
  <c r="T59" i="7"/>
  <c r="U58" i="7"/>
  <c r="T58" i="7"/>
  <c r="U57" i="7"/>
  <c r="T57" i="7"/>
  <c r="U56" i="7"/>
  <c r="T56" i="7"/>
  <c r="U55" i="7"/>
  <c r="T55" i="7"/>
  <c r="U54" i="7"/>
  <c r="T54" i="7"/>
  <c r="U53" i="7"/>
  <c r="T53" i="7"/>
  <c r="U52" i="7"/>
  <c r="T52" i="7"/>
  <c r="U51" i="7"/>
  <c r="T51" i="7"/>
  <c r="U50" i="7"/>
  <c r="T50" i="7"/>
  <c r="U49" i="7"/>
  <c r="T49" i="7"/>
  <c r="U48" i="7"/>
  <c r="T48" i="7"/>
  <c r="U47" i="7"/>
  <c r="T47" i="7"/>
  <c r="U46" i="7"/>
  <c r="T46" i="7"/>
  <c r="U45" i="7"/>
  <c r="T45" i="7"/>
  <c r="U44" i="7"/>
  <c r="T44" i="7"/>
  <c r="U43" i="7"/>
  <c r="T43" i="7"/>
  <c r="U42" i="7"/>
  <c r="T42" i="7"/>
  <c r="U41" i="7"/>
  <c r="T41" i="7"/>
  <c r="U40" i="7"/>
  <c r="T40" i="7"/>
  <c r="U39" i="7"/>
  <c r="T39" i="7"/>
  <c r="U38" i="7"/>
  <c r="T38" i="7"/>
  <c r="U37" i="7"/>
  <c r="T37" i="7"/>
  <c r="U36" i="7"/>
  <c r="T36" i="7"/>
  <c r="U35" i="7"/>
  <c r="T35" i="7"/>
  <c r="U34" i="7"/>
  <c r="T34" i="7"/>
  <c r="U33" i="7"/>
  <c r="T33" i="7"/>
  <c r="U32" i="7"/>
  <c r="T32" i="7"/>
  <c r="U31" i="7"/>
  <c r="T31" i="7"/>
  <c r="U30" i="7"/>
  <c r="T30" i="7"/>
  <c r="U29" i="7"/>
  <c r="T29" i="7"/>
  <c r="U28" i="7"/>
  <c r="T28" i="7"/>
  <c r="U27" i="7"/>
  <c r="T27" i="7"/>
  <c r="U26" i="7"/>
  <c r="T26" i="7"/>
  <c r="U25" i="7"/>
  <c r="T25" i="7"/>
  <c r="U24" i="7"/>
  <c r="T24" i="7"/>
  <c r="U23" i="7"/>
  <c r="T23" i="7"/>
  <c r="U22" i="7"/>
  <c r="T22" i="7"/>
  <c r="U21" i="7"/>
  <c r="T21" i="7"/>
  <c r="U20" i="7"/>
  <c r="T20" i="7"/>
  <c r="U19" i="7"/>
  <c r="T19" i="7"/>
  <c r="U18" i="7"/>
  <c r="T18" i="7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T8" i="7"/>
  <c r="U8" i="7" s="1"/>
  <c r="P8" i="7"/>
  <c r="O8" i="7"/>
  <c r="N8" i="7"/>
  <c r="M8" i="7"/>
  <c r="T7" i="7"/>
  <c r="U7" i="7" s="1"/>
  <c r="O7" i="7"/>
  <c r="N7" i="7"/>
  <c r="M7" i="7"/>
  <c r="T6" i="7"/>
  <c r="U6" i="7" s="1"/>
  <c r="N6" i="7"/>
  <c r="T5" i="7"/>
  <c r="U5" i="7" s="1"/>
  <c r="N5" i="7"/>
  <c r="V4" i="7"/>
  <c r="U4" i="7"/>
  <c r="T4" i="7"/>
  <c r="S4" i="7"/>
  <c r="R4" i="7"/>
  <c r="Q4" i="7"/>
  <c r="P4" i="7"/>
  <c r="O4" i="7"/>
  <c r="N4" i="7"/>
  <c r="M4" i="7"/>
  <c r="C4" i="7"/>
  <c r="B4" i="7"/>
  <c r="A4" i="7"/>
  <c r="A3" i="7"/>
  <c r="A2" i="7"/>
  <c r="A1" i="7"/>
  <c r="S5" i="6"/>
  <c r="M5" i="6"/>
  <c r="C5" i="6"/>
  <c r="V4" i="6"/>
  <c r="U4" i="6"/>
  <c r="T4" i="6"/>
  <c r="S4" i="6"/>
  <c r="O4" i="6"/>
  <c r="N4" i="6"/>
  <c r="M4" i="6"/>
  <c r="C4" i="6"/>
  <c r="B4" i="6"/>
  <c r="A4" i="6"/>
  <c r="A3" i="6"/>
  <c r="A2" i="6"/>
  <c r="A1" i="6"/>
  <c r="AC304" i="5"/>
  <c r="AB304" i="5"/>
  <c r="AC303" i="5"/>
  <c r="AB303" i="5"/>
  <c r="AC302" i="5"/>
  <c r="AB302" i="5"/>
  <c r="AC301" i="5"/>
  <c r="AB301" i="5"/>
  <c r="AC300" i="5"/>
  <c r="AB300" i="5"/>
  <c r="AC299" i="5"/>
  <c r="AB299" i="5"/>
  <c r="AC298" i="5"/>
  <c r="AB298" i="5"/>
  <c r="AC297" i="5"/>
  <c r="AB297" i="5"/>
  <c r="AC296" i="5"/>
  <c r="AB296" i="5"/>
  <c r="AC295" i="5"/>
  <c r="AB295" i="5"/>
  <c r="AC294" i="5"/>
  <c r="AB294" i="5"/>
  <c r="AC293" i="5"/>
  <c r="AB293" i="5"/>
  <c r="AC292" i="5"/>
  <c r="AB292" i="5"/>
  <c r="AC291" i="5"/>
  <c r="AB291" i="5"/>
  <c r="AC290" i="5"/>
  <c r="AB290" i="5"/>
  <c r="AC289" i="5"/>
  <c r="AB289" i="5"/>
  <c r="AC288" i="5"/>
  <c r="AB288" i="5"/>
  <c r="AC287" i="5"/>
  <c r="AB287" i="5"/>
  <c r="AC286" i="5"/>
  <c r="AB286" i="5"/>
  <c r="AC285" i="5"/>
  <c r="AB285" i="5"/>
  <c r="AC284" i="5"/>
  <c r="AB284" i="5"/>
  <c r="AC283" i="5"/>
  <c r="AB283" i="5"/>
  <c r="AC282" i="5"/>
  <c r="AB282" i="5"/>
  <c r="AC281" i="5"/>
  <c r="AB281" i="5"/>
  <c r="AC280" i="5"/>
  <c r="AB280" i="5"/>
  <c r="AC279" i="5"/>
  <c r="AB279" i="5"/>
  <c r="AC278" i="5"/>
  <c r="AB278" i="5"/>
  <c r="AC277" i="5"/>
  <c r="AB277" i="5"/>
  <c r="AC276" i="5"/>
  <c r="AB276" i="5"/>
  <c r="AC275" i="5"/>
  <c r="AB275" i="5"/>
  <c r="AC274" i="5"/>
  <c r="AB274" i="5"/>
  <c r="AC273" i="5"/>
  <c r="AB273" i="5"/>
  <c r="AC272" i="5"/>
  <c r="AB272" i="5"/>
  <c r="AC271" i="5"/>
  <c r="AB271" i="5"/>
  <c r="AC270" i="5"/>
  <c r="AB270" i="5"/>
  <c r="AC269" i="5"/>
  <c r="AB269" i="5"/>
  <c r="AC268" i="5"/>
  <c r="AB268" i="5"/>
  <c r="AC267" i="5"/>
  <c r="AB267" i="5"/>
  <c r="AC266" i="5"/>
  <c r="AB266" i="5"/>
  <c r="AC265" i="5"/>
  <c r="AB265" i="5"/>
  <c r="AC264" i="5"/>
  <c r="AB264" i="5"/>
  <c r="AC263" i="5"/>
  <c r="AB263" i="5"/>
  <c r="AC262" i="5"/>
  <c r="AB262" i="5"/>
  <c r="AC261" i="5"/>
  <c r="AB261" i="5"/>
  <c r="AC260" i="5"/>
  <c r="AB260" i="5"/>
  <c r="AC259" i="5"/>
  <c r="AB259" i="5"/>
  <c r="AC258" i="5"/>
  <c r="AB258" i="5"/>
  <c r="AC257" i="5"/>
  <c r="AB257" i="5"/>
  <c r="AC256" i="5"/>
  <c r="AB256" i="5"/>
  <c r="AC255" i="5"/>
  <c r="AB255" i="5"/>
  <c r="AC254" i="5"/>
  <c r="AB254" i="5"/>
  <c r="AC253" i="5"/>
  <c r="AB253" i="5"/>
  <c r="AC252" i="5"/>
  <c r="AB252" i="5"/>
  <c r="AC251" i="5"/>
  <c r="AB251" i="5"/>
  <c r="AC250" i="5"/>
  <c r="AB250" i="5"/>
  <c r="AC249" i="5"/>
  <c r="AB249" i="5"/>
  <c r="AC248" i="5"/>
  <c r="AB248" i="5"/>
  <c r="AC247" i="5"/>
  <c r="AB247" i="5"/>
  <c r="AC246" i="5"/>
  <c r="AB246" i="5"/>
  <c r="AC245" i="5"/>
  <c r="AB245" i="5"/>
  <c r="AC244" i="5"/>
  <c r="AB244" i="5"/>
  <c r="AC243" i="5"/>
  <c r="AB243" i="5"/>
  <c r="AC242" i="5"/>
  <c r="AB242" i="5"/>
  <c r="AC241" i="5"/>
  <c r="AB241" i="5"/>
  <c r="AC240" i="5"/>
  <c r="AB240" i="5"/>
  <c r="AC239" i="5"/>
  <c r="AB239" i="5"/>
  <c r="AC238" i="5"/>
  <c r="AB238" i="5"/>
  <c r="AC237" i="5"/>
  <c r="AB237" i="5"/>
  <c r="AC236" i="5"/>
  <c r="AB236" i="5"/>
  <c r="AC235" i="5"/>
  <c r="AB235" i="5"/>
  <c r="AC234" i="5"/>
  <c r="AB234" i="5"/>
  <c r="AC233" i="5"/>
  <c r="AB233" i="5"/>
  <c r="AC232" i="5"/>
  <c r="AB232" i="5"/>
  <c r="AC231" i="5"/>
  <c r="AB231" i="5"/>
  <c r="AC230" i="5"/>
  <c r="AB230" i="5"/>
  <c r="AC229" i="5"/>
  <c r="AB229" i="5"/>
  <c r="AC228" i="5"/>
  <c r="AB228" i="5"/>
  <c r="AC227" i="5"/>
  <c r="AB227" i="5"/>
  <c r="AC226" i="5"/>
  <c r="AB226" i="5"/>
  <c r="AC225" i="5"/>
  <c r="AB225" i="5"/>
  <c r="AC224" i="5"/>
  <c r="AB224" i="5"/>
  <c r="AC223" i="5"/>
  <c r="AB223" i="5"/>
  <c r="AC222" i="5"/>
  <c r="AB222" i="5"/>
  <c r="AC221" i="5"/>
  <c r="AB221" i="5"/>
  <c r="AC220" i="5"/>
  <c r="AB220" i="5"/>
  <c r="AC219" i="5"/>
  <c r="AB219" i="5"/>
  <c r="AC218" i="5"/>
  <c r="AB218" i="5"/>
  <c r="AC217" i="5"/>
  <c r="AB217" i="5"/>
  <c r="AC216" i="5"/>
  <c r="AB216" i="5"/>
  <c r="AC215" i="5"/>
  <c r="AB215" i="5"/>
  <c r="AC214" i="5"/>
  <c r="AB214" i="5"/>
  <c r="AC213" i="5"/>
  <c r="AB213" i="5"/>
  <c r="AC212" i="5"/>
  <c r="AB212" i="5"/>
  <c r="AC211" i="5"/>
  <c r="AB211" i="5"/>
  <c r="AC210" i="5"/>
  <c r="AB210" i="5"/>
  <c r="AC209" i="5"/>
  <c r="AB209" i="5"/>
  <c r="AC208" i="5"/>
  <c r="AB208" i="5"/>
  <c r="AC207" i="5"/>
  <c r="AB207" i="5"/>
  <c r="AC206" i="5"/>
  <c r="AB206" i="5"/>
  <c r="AC205" i="5"/>
  <c r="AB205" i="5"/>
  <c r="AC204" i="5"/>
  <c r="AB204" i="5"/>
  <c r="AC203" i="5"/>
  <c r="AB203" i="5"/>
  <c r="AC202" i="5"/>
  <c r="AB202" i="5"/>
  <c r="AC201" i="5"/>
  <c r="AB201" i="5"/>
  <c r="AC200" i="5"/>
  <c r="AB200" i="5"/>
  <c r="AC199" i="5"/>
  <c r="AB199" i="5"/>
  <c r="AC198" i="5"/>
  <c r="AB198" i="5"/>
  <c r="AC197" i="5"/>
  <c r="AB197" i="5"/>
  <c r="AC196" i="5"/>
  <c r="AB196" i="5"/>
  <c r="AC195" i="5"/>
  <c r="AB195" i="5"/>
  <c r="AC194" i="5"/>
  <c r="AB194" i="5"/>
  <c r="AC193" i="5"/>
  <c r="AB193" i="5"/>
  <c r="AC192" i="5"/>
  <c r="AB192" i="5"/>
  <c r="AC191" i="5"/>
  <c r="AB191" i="5"/>
  <c r="AC190" i="5"/>
  <c r="AB190" i="5"/>
  <c r="AC189" i="5"/>
  <c r="AB189" i="5"/>
  <c r="AC188" i="5"/>
  <c r="AB188" i="5"/>
  <c r="AC187" i="5"/>
  <c r="AB187" i="5"/>
  <c r="AC186" i="5"/>
  <c r="AB186" i="5"/>
  <c r="AC185" i="5"/>
  <c r="AB185" i="5"/>
  <c r="AC184" i="5"/>
  <c r="AB184" i="5"/>
  <c r="AC183" i="5"/>
  <c r="AB183" i="5"/>
  <c r="AC182" i="5"/>
  <c r="AB182" i="5"/>
  <c r="AC181" i="5"/>
  <c r="AB181" i="5"/>
  <c r="AC180" i="5"/>
  <c r="AB180" i="5"/>
  <c r="AC179" i="5"/>
  <c r="AB179" i="5"/>
  <c r="AC178" i="5"/>
  <c r="AB178" i="5"/>
  <c r="AC177" i="5"/>
  <c r="AB177" i="5"/>
  <c r="AC176" i="5"/>
  <c r="AB176" i="5"/>
  <c r="AC175" i="5"/>
  <c r="AB175" i="5"/>
  <c r="AC174" i="5"/>
  <c r="AB174" i="5"/>
  <c r="AC173" i="5"/>
  <c r="AB173" i="5"/>
  <c r="AC172" i="5"/>
  <c r="AB172" i="5"/>
  <c r="AC171" i="5"/>
  <c r="AB171" i="5"/>
  <c r="AC170" i="5"/>
  <c r="AB170" i="5"/>
  <c r="AC169" i="5"/>
  <c r="AB169" i="5"/>
  <c r="AC168" i="5"/>
  <c r="AB168" i="5"/>
  <c r="AC167" i="5"/>
  <c r="AB167" i="5"/>
  <c r="AC166" i="5"/>
  <c r="AB166" i="5"/>
  <c r="AC165" i="5"/>
  <c r="AB165" i="5"/>
  <c r="AC164" i="5"/>
  <c r="AB164" i="5"/>
  <c r="AC163" i="5"/>
  <c r="AB163" i="5"/>
  <c r="AC162" i="5"/>
  <c r="AB162" i="5"/>
  <c r="AC161" i="5"/>
  <c r="AB161" i="5"/>
  <c r="AC160" i="5"/>
  <c r="AB160" i="5"/>
  <c r="AC159" i="5"/>
  <c r="AB159" i="5"/>
  <c r="AC158" i="5"/>
  <c r="AB158" i="5"/>
  <c r="AC157" i="5"/>
  <c r="AB157" i="5"/>
  <c r="AC156" i="5"/>
  <c r="AB156" i="5"/>
  <c r="AC155" i="5"/>
  <c r="AB155" i="5"/>
  <c r="AC154" i="5"/>
  <c r="AB154" i="5"/>
  <c r="AC153" i="5"/>
  <c r="AB153" i="5"/>
  <c r="AC152" i="5"/>
  <c r="AB152" i="5"/>
  <c r="AC151" i="5"/>
  <c r="AB151" i="5"/>
  <c r="AC150" i="5"/>
  <c r="AB150" i="5"/>
  <c r="AC149" i="5"/>
  <c r="AB149" i="5"/>
  <c r="AC148" i="5"/>
  <c r="AB148" i="5"/>
  <c r="AC147" i="5"/>
  <c r="AB147" i="5"/>
  <c r="AC146" i="5"/>
  <c r="AB146" i="5"/>
  <c r="AC145" i="5"/>
  <c r="AB145" i="5"/>
  <c r="AC144" i="5"/>
  <c r="AB144" i="5"/>
  <c r="AC143" i="5"/>
  <c r="AB143" i="5"/>
  <c r="AC142" i="5"/>
  <c r="AB142" i="5"/>
  <c r="AC141" i="5"/>
  <c r="AB141" i="5"/>
  <c r="AC140" i="5"/>
  <c r="AB140" i="5"/>
  <c r="AC139" i="5"/>
  <c r="AB139" i="5"/>
  <c r="AC138" i="5"/>
  <c r="AB138" i="5"/>
  <c r="AC137" i="5"/>
  <c r="AB137" i="5"/>
  <c r="AC136" i="5"/>
  <c r="AB136" i="5"/>
  <c r="AC135" i="5"/>
  <c r="AB135" i="5"/>
  <c r="AC134" i="5"/>
  <c r="AB134" i="5"/>
  <c r="AC133" i="5"/>
  <c r="AB133" i="5"/>
  <c r="AC132" i="5"/>
  <c r="AB132" i="5"/>
  <c r="AC131" i="5"/>
  <c r="AB131" i="5"/>
  <c r="AC130" i="5"/>
  <c r="AB130" i="5"/>
  <c r="AC129" i="5"/>
  <c r="AB129" i="5"/>
  <c r="AC128" i="5"/>
  <c r="AB128" i="5"/>
  <c r="AC127" i="5"/>
  <c r="AB127" i="5"/>
  <c r="AC126" i="5"/>
  <c r="AB126" i="5"/>
  <c r="AC125" i="5"/>
  <c r="AB125" i="5"/>
  <c r="AC124" i="5"/>
  <c r="AB124" i="5"/>
  <c r="AC123" i="5"/>
  <c r="AB123" i="5"/>
  <c r="AC122" i="5"/>
  <c r="AB122" i="5"/>
  <c r="AC121" i="5"/>
  <c r="AB121" i="5"/>
  <c r="AC120" i="5"/>
  <c r="AB120" i="5"/>
  <c r="AC119" i="5"/>
  <c r="AB119" i="5"/>
  <c r="AC118" i="5"/>
  <c r="AB118" i="5"/>
  <c r="AC117" i="5"/>
  <c r="AB117" i="5"/>
  <c r="AC116" i="5"/>
  <c r="AB116" i="5"/>
  <c r="AC115" i="5"/>
  <c r="AB115" i="5"/>
  <c r="AC114" i="5"/>
  <c r="AB114" i="5"/>
  <c r="AC113" i="5"/>
  <c r="AB113" i="5"/>
  <c r="AC112" i="5"/>
  <c r="AB112" i="5"/>
  <c r="AC111" i="5"/>
  <c r="AB111" i="5"/>
  <c r="AC110" i="5"/>
  <c r="AB110" i="5"/>
  <c r="AC109" i="5"/>
  <c r="AB109" i="5"/>
  <c r="AC108" i="5"/>
  <c r="AB108" i="5"/>
  <c r="AC107" i="5"/>
  <c r="AB107" i="5"/>
  <c r="AC106" i="5"/>
  <c r="AB106" i="5"/>
  <c r="AC105" i="5"/>
  <c r="AB105" i="5"/>
  <c r="AC104" i="5"/>
  <c r="AB104" i="5"/>
  <c r="AC103" i="5"/>
  <c r="AB103" i="5"/>
  <c r="AC102" i="5"/>
  <c r="AB102" i="5"/>
  <c r="AC101" i="5"/>
  <c r="AB101" i="5"/>
  <c r="AC100" i="5"/>
  <c r="AB100" i="5"/>
  <c r="AC99" i="5"/>
  <c r="AB99" i="5"/>
  <c r="AC98" i="5"/>
  <c r="AB98" i="5"/>
  <c r="AC97" i="5"/>
  <c r="AB97" i="5"/>
  <c r="AC96" i="5"/>
  <c r="AB96" i="5"/>
  <c r="AC95" i="5"/>
  <c r="AB95" i="5"/>
  <c r="AC94" i="5"/>
  <c r="AB94" i="5"/>
  <c r="AC93" i="5"/>
  <c r="AB93" i="5"/>
  <c r="AC92" i="5"/>
  <c r="AB92" i="5"/>
  <c r="AC91" i="5"/>
  <c r="AB91" i="5"/>
  <c r="AC90" i="5"/>
  <c r="AB90" i="5"/>
  <c r="AC89" i="5"/>
  <c r="AB89" i="5"/>
  <c r="AC88" i="5"/>
  <c r="AB88" i="5"/>
  <c r="AC87" i="5"/>
  <c r="AB87" i="5"/>
  <c r="AC86" i="5"/>
  <c r="AB86" i="5"/>
  <c r="AC85" i="5"/>
  <c r="AB85" i="5"/>
  <c r="AC84" i="5"/>
  <c r="AB84" i="5"/>
  <c r="AC83" i="5"/>
  <c r="AB83" i="5"/>
  <c r="AC82" i="5"/>
  <c r="AB82" i="5"/>
  <c r="AC81" i="5"/>
  <c r="AB81" i="5"/>
  <c r="AC80" i="5"/>
  <c r="AB80" i="5"/>
  <c r="AC79" i="5"/>
  <c r="AB79" i="5"/>
  <c r="AC78" i="5"/>
  <c r="AB78" i="5"/>
  <c r="AC77" i="5"/>
  <c r="AB77" i="5"/>
  <c r="AC76" i="5"/>
  <c r="AB76" i="5"/>
  <c r="AC75" i="5"/>
  <c r="AB75" i="5"/>
  <c r="AC74" i="5"/>
  <c r="AB74" i="5"/>
  <c r="AC73" i="5"/>
  <c r="AB73" i="5"/>
  <c r="AC72" i="5"/>
  <c r="AB72" i="5"/>
  <c r="AC71" i="5"/>
  <c r="AB71" i="5"/>
  <c r="AC70" i="5"/>
  <c r="AB70" i="5"/>
  <c r="AC69" i="5"/>
  <c r="AB69" i="5"/>
  <c r="AC68" i="5"/>
  <c r="AB68" i="5"/>
  <c r="AC67" i="5"/>
  <c r="AB67" i="5"/>
  <c r="AC66" i="5"/>
  <c r="AB66" i="5"/>
  <c r="AC65" i="5"/>
  <c r="AB65" i="5"/>
  <c r="AC64" i="5"/>
  <c r="AB64" i="5"/>
  <c r="AC63" i="5"/>
  <c r="AB63" i="5"/>
  <c r="AC62" i="5"/>
  <c r="AB62" i="5"/>
  <c r="AC61" i="5"/>
  <c r="AB61" i="5"/>
  <c r="AC60" i="5"/>
  <c r="AB60" i="5"/>
  <c r="AC59" i="5"/>
  <c r="AB59" i="5"/>
  <c r="AC58" i="5"/>
  <c r="AB58" i="5"/>
  <c r="AC57" i="5"/>
  <c r="AB57" i="5"/>
  <c r="AC56" i="5"/>
  <c r="AB56" i="5"/>
  <c r="AC55" i="5"/>
  <c r="AB55" i="5"/>
  <c r="AC54" i="5"/>
  <c r="AB54" i="5"/>
  <c r="AC53" i="5"/>
  <c r="AB53" i="5"/>
  <c r="AC52" i="5"/>
  <c r="AB52" i="5"/>
  <c r="AC51" i="5"/>
  <c r="AB51" i="5"/>
  <c r="AC50" i="5"/>
  <c r="AB50" i="5"/>
  <c r="AC49" i="5"/>
  <c r="AB49" i="5"/>
  <c r="AC48" i="5"/>
  <c r="AB48" i="5"/>
  <c r="AC47" i="5"/>
  <c r="AB47" i="5"/>
  <c r="AC46" i="5"/>
  <c r="AB46" i="5"/>
  <c r="AC45" i="5"/>
  <c r="AB45" i="5"/>
  <c r="AC44" i="5"/>
  <c r="AB44" i="5"/>
  <c r="AC43" i="5"/>
  <c r="AB43" i="5"/>
  <c r="AC42" i="5"/>
  <c r="AB42" i="5"/>
  <c r="AC41" i="5"/>
  <c r="AB41" i="5"/>
  <c r="AC40" i="5"/>
  <c r="AB40" i="5"/>
  <c r="AC39" i="5"/>
  <c r="AB39" i="5"/>
  <c r="AC38" i="5"/>
  <c r="AB38" i="5"/>
  <c r="AC37" i="5"/>
  <c r="AB37" i="5"/>
  <c r="AC36" i="5"/>
  <c r="AB36" i="5"/>
  <c r="AC35" i="5"/>
  <c r="AB35" i="5"/>
  <c r="AC34" i="5"/>
  <c r="AB34" i="5"/>
  <c r="AC33" i="5"/>
  <c r="AB33" i="5"/>
  <c r="AC32" i="5"/>
  <c r="AB32" i="5"/>
  <c r="AC31" i="5"/>
  <c r="AB31" i="5"/>
  <c r="AC30" i="5"/>
  <c r="AB30" i="5"/>
  <c r="AC29" i="5"/>
  <c r="AB29" i="5"/>
  <c r="AC28" i="5"/>
  <c r="AB28" i="5"/>
  <c r="AC27" i="5"/>
  <c r="AB27" i="5"/>
  <c r="AC26" i="5"/>
  <c r="AB26" i="5"/>
  <c r="AC25" i="5"/>
  <c r="AB25" i="5"/>
  <c r="AC24" i="5"/>
  <c r="AB24" i="5"/>
  <c r="AC23" i="5"/>
  <c r="AB23" i="5"/>
  <c r="AC22" i="5"/>
  <c r="AB22" i="5"/>
  <c r="AC21" i="5"/>
  <c r="AB21" i="5"/>
  <c r="AC20" i="5"/>
  <c r="AB20" i="5"/>
  <c r="AC19" i="5"/>
  <c r="AB19" i="5"/>
  <c r="AC18" i="5"/>
  <c r="AB18" i="5"/>
  <c r="AC17" i="5"/>
  <c r="AB17" i="5"/>
  <c r="AC16" i="5"/>
  <c r="AB16" i="5"/>
  <c r="AC15" i="5"/>
  <c r="AB15" i="5"/>
  <c r="AC14" i="5"/>
  <c r="AB14" i="5"/>
  <c r="AC13" i="5"/>
  <c r="AB13" i="5"/>
  <c r="AC12" i="5"/>
  <c r="AB12" i="5"/>
  <c r="AC11" i="5"/>
  <c r="AB11" i="5"/>
  <c r="AC10" i="5"/>
  <c r="AB10" i="5"/>
  <c r="AC9" i="5"/>
  <c r="AB9" i="5"/>
  <c r="AB8" i="5"/>
  <c r="T8" i="5"/>
  <c r="O8" i="5"/>
  <c r="AB7" i="5"/>
  <c r="O7" i="5"/>
  <c r="AB6" i="5"/>
  <c r="T6" i="5"/>
  <c r="AB5" i="5"/>
  <c r="O5" i="5"/>
  <c r="N5" i="5"/>
  <c r="AD4" i="5"/>
  <c r="AC4" i="5"/>
  <c r="AB4" i="5"/>
  <c r="AA4" i="5"/>
  <c r="T4" i="5"/>
  <c r="S4" i="5"/>
  <c r="R4" i="5"/>
  <c r="Q4" i="5"/>
  <c r="P4" i="5"/>
  <c r="O4" i="5"/>
  <c r="N4" i="5"/>
  <c r="D4" i="5"/>
  <c r="C4" i="5"/>
  <c r="B4" i="5"/>
  <c r="A4" i="5"/>
  <c r="A3" i="5"/>
  <c r="A2" i="5"/>
  <c r="A1" i="5"/>
  <c r="P204" i="4"/>
  <c r="O204" i="4"/>
  <c r="M204" i="4"/>
  <c r="P203" i="4"/>
  <c r="O203" i="4"/>
  <c r="M203" i="4"/>
  <c r="P202" i="4"/>
  <c r="O202" i="4"/>
  <c r="M202" i="4"/>
  <c r="P201" i="4"/>
  <c r="O201" i="4"/>
  <c r="M201" i="4"/>
  <c r="P200" i="4"/>
  <c r="O200" i="4"/>
  <c r="M200" i="4"/>
  <c r="P199" i="4"/>
  <c r="O199" i="4"/>
  <c r="M199" i="4"/>
  <c r="P198" i="4"/>
  <c r="O198" i="4"/>
  <c r="M198" i="4"/>
  <c r="P197" i="4"/>
  <c r="O197" i="4"/>
  <c r="M197" i="4"/>
  <c r="P196" i="4"/>
  <c r="O196" i="4"/>
  <c r="M196" i="4"/>
  <c r="P195" i="4"/>
  <c r="O195" i="4"/>
  <c r="M195" i="4"/>
  <c r="P194" i="4"/>
  <c r="O194" i="4"/>
  <c r="M194" i="4"/>
  <c r="P193" i="4"/>
  <c r="O193" i="4"/>
  <c r="M193" i="4"/>
  <c r="P192" i="4"/>
  <c r="O192" i="4"/>
  <c r="M192" i="4"/>
  <c r="P191" i="4"/>
  <c r="O191" i="4"/>
  <c r="M191" i="4"/>
  <c r="P190" i="4"/>
  <c r="O190" i="4"/>
  <c r="M190" i="4"/>
  <c r="P189" i="4"/>
  <c r="O189" i="4"/>
  <c r="M189" i="4"/>
  <c r="P188" i="4"/>
  <c r="O188" i="4"/>
  <c r="M188" i="4"/>
  <c r="P187" i="4"/>
  <c r="O187" i="4"/>
  <c r="M187" i="4"/>
  <c r="P186" i="4"/>
  <c r="O186" i="4"/>
  <c r="M186" i="4"/>
  <c r="P185" i="4"/>
  <c r="O185" i="4"/>
  <c r="M185" i="4"/>
  <c r="P184" i="4"/>
  <c r="O184" i="4"/>
  <c r="M184" i="4"/>
  <c r="P183" i="4"/>
  <c r="O183" i="4"/>
  <c r="M183" i="4"/>
  <c r="P182" i="4"/>
  <c r="O182" i="4"/>
  <c r="M182" i="4"/>
  <c r="P181" i="4"/>
  <c r="O181" i="4"/>
  <c r="M181" i="4"/>
  <c r="P180" i="4"/>
  <c r="O180" i="4"/>
  <c r="M180" i="4"/>
  <c r="P179" i="4"/>
  <c r="O179" i="4"/>
  <c r="M179" i="4"/>
  <c r="P178" i="4"/>
  <c r="O178" i="4"/>
  <c r="M178" i="4"/>
  <c r="P177" i="4"/>
  <c r="O177" i="4"/>
  <c r="M177" i="4"/>
  <c r="P176" i="4"/>
  <c r="O176" i="4"/>
  <c r="M176" i="4"/>
  <c r="P175" i="4"/>
  <c r="O175" i="4"/>
  <c r="M175" i="4"/>
  <c r="P174" i="4"/>
  <c r="O174" i="4"/>
  <c r="M174" i="4"/>
  <c r="P173" i="4"/>
  <c r="O173" i="4"/>
  <c r="M173" i="4"/>
  <c r="P172" i="4"/>
  <c r="O172" i="4"/>
  <c r="M172" i="4"/>
  <c r="P171" i="4"/>
  <c r="O171" i="4"/>
  <c r="M171" i="4"/>
  <c r="P170" i="4"/>
  <c r="O170" i="4"/>
  <c r="M170" i="4"/>
  <c r="P169" i="4"/>
  <c r="O169" i="4"/>
  <c r="M169" i="4"/>
  <c r="P168" i="4"/>
  <c r="O168" i="4"/>
  <c r="M168" i="4"/>
  <c r="P167" i="4"/>
  <c r="O167" i="4"/>
  <c r="M167" i="4"/>
  <c r="P166" i="4"/>
  <c r="O166" i="4"/>
  <c r="M166" i="4"/>
  <c r="P165" i="4"/>
  <c r="O165" i="4"/>
  <c r="M165" i="4"/>
  <c r="P164" i="4"/>
  <c r="O164" i="4"/>
  <c r="M164" i="4"/>
  <c r="P163" i="4"/>
  <c r="O163" i="4"/>
  <c r="M163" i="4"/>
  <c r="P162" i="4"/>
  <c r="O162" i="4"/>
  <c r="M162" i="4"/>
  <c r="P161" i="4"/>
  <c r="O161" i="4"/>
  <c r="M161" i="4"/>
  <c r="P160" i="4"/>
  <c r="O160" i="4"/>
  <c r="M160" i="4"/>
  <c r="P159" i="4"/>
  <c r="O159" i="4"/>
  <c r="M159" i="4"/>
  <c r="P158" i="4"/>
  <c r="O158" i="4"/>
  <c r="M158" i="4"/>
  <c r="P157" i="4"/>
  <c r="O157" i="4"/>
  <c r="M157" i="4"/>
  <c r="P156" i="4"/>
  <c r="O156" i="4"/>
  <c r="M156" i="4"/>
  <c r="P155" i="4"/>
  <c r="O155" i="4"/>
  <c r="M155" i="4"/>
  <c r="P154" i="4"/>
  <c r="O154" i="4"/>
  <c r="M154" i="4"/>
  <c r="P153" i="4"/>
  <c r="O153" i="4"/>
  <c r="M153" i="4"/>
  <c r="P152" i="4"/>
  <c r="O152" i="4"/>
  <c r="M152" i="4"/>
  <c r="P151" i="4"/>
  <c r="O151" i="4"/>
  <c r="M151" i="4"/>
  <c r="P150" i="4"/>
  <c r="O150" i="4"/>
  <c r="M150" i="4"/>
  <c r="P149" i="4"/>
  <c r="O149" i="4"/>
  <c r="M149" i="4"/>
  <c r="P148" i="4"/>
  <c r="O148" i="4"/>
  <c r="M148" i="4"/>
  <c r="P147" i="4"/>
  <c r="O147" i="4"/>
  <c r="M147" i="4"/>
  <c r="P146" i="4"/>
  <c r="O146" i="4"/>
  <c r="M146" i="4"/>
  <c r="P145" i="4"/>
  <c r="O145" i="4"/>
  <c r="M145" i="4"/>
  <c r="P144" i="4"/>
  <c r="O144" i="4"/>
  <c r="M144" i="4"/>
  <c r="P143" i="4"/>
  <c r="O143" i="4"/>
  <c r="M143" i="4"/>
  <c r="P142" i="4"/>
  <c r="O142" i="4"/>
  <c r="M142" i="4"/>
  <c r="P141" i="4"/>
  <c r="O141" i="4"/>
  <c r="M141" i="4"/>
  <c r="P140" i="4"/>
  <c r="O140" i="4"/>
  <c r="M140" i="4"/>
  <c r="P139" i="4"/>
  <c r="O139" i="4"/>
  <c r="M139" i="4"/>
  <c r="P138" i="4"/>
  <c r="O138" i="4"/>
  <c r="M138" i="4"/>
  <c r="P137" i="4"/>
  <c r="O137" i="4"/>
  <c r="M137" i="4"/>
  <c r="P136" i="4"/>
  <c r="O136" i="4"/>
  <c r="M136" i="4"/>
  <c r="P135" i="4"/>
  <c r="O135" i="4"/>
  <c r="M135" i="4"/>
  <c r="P134" i="4"/>
  <c r="O134" i="4"/>
  <c r="M134" i="4"/>
  <c r="P133" i="4"/>
  <c r="O133" i="4"/>
  <c r="M133" i="4"/>
  <c r="P132" i="4"/>
  <c r="O132" i="4"/>
  <c r="M132" i="4"/>
  <c r="P131" i="4"/>
  <c r="O131" i="4"/>
  <c r="M131" i="4"/>
  <c r="P130" i="4"/>
  <c r="O130" i="4"/>
  <c r="M130" i="4"/>
  <c r="P129" i="4"/>
  <c r="O129" i="4"/>
  <c r="M129" i="4"/>
  <c r="P128" i="4"/>
  <c r="O128" i="4"/>
  <c r="M128" i="4"/>
  <c r="P127" i="4"/>
  <c r="O127" i="4"/>
  <c r="M127" i="4"/>
  <c r="P126" i="4"/>
  <c r="O126" i="4"/>
  <c r="M126" i="4"/>
  <c r="P125" i="4"/>
  <c r="O125" i="4"/>
  <c r="M125" i="4"/>
  <c r="P124" i="4"/>
  <c r="O124" i="4"/>
  <c r="M124" i="4"/>
  <c r="P123" i="4"/>
  <c r="O123" i="4"/>
  <c r="M123" i="4"/>
  <c r="P122" i="4"/>
  <c r="O122" i="4"/>
  <c r="M122" i="4"/>
  <c r="P121" i="4"/>
  <c r="O121" i="4"/>
  <c r="M121" i="4"/>
  <c r="P120" i="4"/>
  <c r="O120" i="4"/>
  <c r="M120" i="4"/>
  <c r="P119" i="4"/>
  <c r="O119" i="4"/>
  <c r="M119" i="4"/>
  <c r="P118" i="4"/>
  <c r="O118" i="4"/>
  <c r="M118" i="4"/>
  <c r="P117" i="4"/>
  <c r="O117" i="4"/>
  <c r="M117" i="4"/>
  <c r="P116" i="4"/>
  <c r="O116" i="4"/>
  <c r="M116" i="4"/>
  <c r="P115" i="4"/>
  <c r="O115" i="4"/>
  <c r="M115" i="4"/>
  <c r="P114" i="4"/>
  <c r="O114" i="4"/>
  <c r="M114" i="4"/>
  <c r="P113" i="4"/>
  <c r="O113" i="4"/>
  <c r="M113" i="4"/>
  <c r="P112" i="4"/>
  <c r="O112" i="4"/>
  <c r="M112" i="4"/>
  <c r="P111" i="4"/>
  <c r="O111" i="4"/>
  <c r="M111" i="4"/>
  <c r="P110" i="4"/>
  <c r="O110" i="4"/>
  <c r="M110" i="4"/>
  <c r="P109" i="4"/>
  <c r="O109" i="4"/>
  <c r="M109" i="4"/>
  <c r="P108" i="4"/>
  <c r="O108" i="4"/>
  <c r="M108" i="4"/>
  <c r="P107" i="4"/>
  <c r="O107" i="4"/>
  <c r="M107" i="4"/>
  <c r="P106" i="4"/>
  <c r="O106" i="4"/>
  <c r="M106" i="4"/>
  <c r="P105" i="4"/>
  <c r="O105" i="4"/>
  <c r="M105" i="4"/>
  <c r="P104" i="4"/>
  <c r="O104" i="4"/>
  <c r="M104" i="4"/>
  <c r="P103" i="4"/>
  <c r="O103" i="4"/>
  <c r="M103" i="4"/>
  <c r="P102" i="4"/>
  <c r="O102" i="4"/>
  <c r="M102" i="4"/>
  <c r="P101" i="4"/>
  <c r="O101" i="4"/>
  <c r="M101" i="4"/>
  <c r="P100" i="4"/>
  <c r="O100" i="4"/>
  <c r="M100" i="4"/>
  <c r="P99" i="4"/>
  <c r="O99" i="4"/>
  <c r="M99" i="4"/>
  <c r="P98" i="4"/>
  <c r="O98" i="4"/>
  <c r="M98" i="4"/>
  <c r="P97" i="4"/>
  <c r="O97" i="4"/>
  <c r="M97" i="4"/>
  <c r="P96" i="4"/>
  <c r="O96" i="4"/>
  <c r="M96" i="4"/>
  <c r="P95" i="4"/>
  <c r="O95" i="4"/>
  <c r="M95" i="4"/>
  <c r="P94" i="4"/>
  <c r="O94" i="4"/>
  <c r="M94" i="4"/>
  <c r="P93" i="4"/>
  <c r="O93" i="4"/>
  <c r="M93" i="4"/>
  <c r="P92" i="4"/>
  <c r="O92" i="4"/>
  <c r="M92" i="4"/>
  <c r="P91" i="4"/>
  <c r="O91" i="4"/>
  <c r="M91" i="4"/>
  <c r="P90" i="4"/>
  <c r="O90" i="4"/>
  <c r="M90" i="4"/>
  <c r="P89" i="4"/>
  <c r="O89" i="4"/>
  <c r="M89" i="4"/>
  <c r="P88" i="4"/>
  <c r="O88" i="4"/>
  <c r="M88" i="4"/>
  <c r="P87" i="4"/>
  <c r="O87" i="4"/>
  <c r="M87" i="4"/>
  <c r="P86" i="4"/>
  <c r="O86" i="4"/>
  <c r="M86" i="4"/>
  <c r="P85" i="4"/>
  <c r="O85" i="4"/>
  <c r="M85" i="4"/>
  <c r="P84" i="4"/>
  <c r="O84" i="4"/>
  <c r="M84" i="4"/>
  <c r="P83" i="4"/>
  <c r="O83" i="4"/>
  <c r="M83" i="4"/>
  <c r="P82" i="4"/>
  <c r="O82" i="4"/>
  <c r="M82" i="4"/>
  <c r="P81" i="4"/>
  <c r="O81" i="4"/>
  <c r="M81" i="4"/>
  <c r="P80" i="4"/>
  <c r="O80" i="4"/>
  <c r="M80" i="4"/>
  <c r="P79" i="4"/>
  <c r="O79" i="4"/>
  <c r="M79" i="4"/>
  <c r="P78" i="4"/>
  <c r="O78" i="4"/>
  <c r="M78" i="4"/>
  <c r="P77" i="4"/>
  <c r="O77" i="4"/>
  <c r="M77" i="4"/>
  <c r="P76" i="4"/>
  <c r="O76" i="4"/>
  <c r="M76" i="4"/>
  <c r="P75" i="4"/>
  <c r="O75" i="4"/>
  <c r="M75" i="4"/>
  <c r="P74" i="4"/>
  <c r="O74" i="4"/>
  <c r="M74" i="4"/>
  <c r="P73" i="4"/>
  <c r="O73" i="4"/>
  <c r="M73" i="4"/>
  <c r="P72" i="4"/>
  <c r="O72" i="4"/>
  <c r="M72" i="4"/>
  <c r="P71" i="4"/>
  <c r="O71" i="4"/>
  <c r="M71" i="4"/>
  <c r="P70" i="4"/>
  <c r="O70" i="4"/>
  <c r="M70" i="4"/>
  <c r="P69" i="4"/>
  <c r="O69" i="4"/>
  <c r="M69" i="4"/>
  <c r="P68" i="4"/>
  <c r="O68" i="4"/>
  <c r="M68" i="4"/>
  <c r="P67" i="4"/>
  <c r="O67" i="4"/>
  <c r="M67" i="4"/>
  <c r="P66" i="4"/>
  <c r="O66" i="4"/>
  <c r="M66" i="4"/>
  <c r="P65" i="4"/>
  <c r="O65" i="4"/>
  <c r="M65" i="4"/>
  <c r="P64" i="4"/>
  <c r="O64" i="4"/>
  <c r="M64" i="4"/>
  <c r="P63" i="4"/>
  <c r="O63" i="4"/>
  <c r="M63" i="4"/>
  <c r="P62" i="4"/>
  <c r="O62" i="4"/>
  <c r="M62" i="4"/>
  <c r="P61" i="4"/>
  <c r="O61" i="4"/>
  <c r="M61" i="4"/>
  <c r="P60" i="4"/>
  <c r="O60" i="4"/>
  <c r="M60" i="4"/>
  <c r="P59" i="4"/>
  <c r="O59" i="4"/>
  <c r="M59" i="4"/>
  <c r="P58" i="4"/>
  <c r="O58" i="4"/>
  <c r="M58" i="4"/>
  <c r="P57" i="4"/>
  <c r="O57" i="4"/>
  <c r="M57" i="4"/>
  <c r="P56" i="4"/>
  <c r="O56" i="4"/>
  <c r="M56" i="4"/>
  <c r="P55" i="4"/>
  <c r="O55" i="4"/>
  <c r="M55" i="4"/>
  <c r="P54" i="4"/>
  <c r="O54" i="4"/>
  <c r="M54" i="4"/>
  <c r="P53" i="4"/>
  <c r="O53" i="4"/>
  <c r="M53" i="4"/>
  <c r="P52" i="4"/>
  <c r="O52" i="4"/>
  <c r="M52" i="4"/>
  <c r="P51" i="4"/>
  <c r="O51" i="4"/>
  <c r="M51" i="4"/>
  <c r="P50" i="4"/>
  <c r="O50" i="4"/>
  <c r="M50" i="4"/>
  <c r="P49" i="4"/>
  <c r="O49" i="4"/>
  <c r="M49" i="4"/>
  <c r="P48" i="4"/>
  <c r="O48" i="4"/>
  <c r="M48" i="4"/>
  <c r="P47" i="4"/>
  <c r="O47" i="4"/>
  <c r="M47" i="4"/>
  <c r="P46" i="4"/>
  <c r="O46" i="4"/>
  <c r="M46" i="4"/>
  <c r="P45" i="4"/>
  <c r="O45" i="4"/>
  <c r="M45" i="4"/>
  <c r="P44" i="4"/>
  <c r="O44" i="4"/>
  <c r="M44" i="4"/>
  <c r="P43" i="4"/>
  <c r="O43" i="4"/>
  <c r="M43" i="4"/>
  <c r="P42" i="4"/>
  <c r="O42" i="4"/>
  <c r="M42" i="4"/>
  <c r="P41" i="4"/>
  <c r="O41" i="4"/>
  <c r="M41" i="4"/>
  <c r="P40" i="4"/>
  <c r="O40" i="4"/>
  <c r="M40" i="4"/>
  <c r="P39" i="4"/>
  <c r="O39" i="4"/>
  <c r="M39" i="4"/>
  <c r="P38" i="4"/>
  <c r="O38" i="4"/>
  <c r="M38" i="4"/>
  <c r="P37" i="4"/>
  <c r="O37" i="4"/>
  <c r="M37" i="4"/>
  <c r="P36" i="4"/>
  <c r="O36" i="4"/>
  <c r="M36" i="4"/>
  <c r="P35" i="4"/>
  <c r="O35" i="4"/>
  <c r="M35" i="4"/>
  <c r="P34" i="4"/>
  <c r="O34" i="4"/>
  <c r="M34" i="4"/>
  <c r="P33" i="4"/>
  <c r="O33" i="4"/>
  <c r="M33" i="4"/>
  <c r="P32" i="4"/>
  <c r="O32" i="4"/>
  <c r="M32" i="4"/>
  <c r="P31" i="4"/>
  <c r="O31" i="4"/>
  <c r="M31" i="4"/>
  <c r="P30" i="4"/>
  <c r="O30" i="4"/>
  <c r="M30" i="4"/>
  <c r="P29" i="4"/>
  <c r="O29" i="4"/>
  <c r="M29" i="4"/>
  <c r="P28" i="4"/>
  <c r="O28" i="4"/>
  <c r="M28" i="4"/>
  <c r="P27" i="4"/>
  <c r="O27" i="4"/>
  <c r="M27" i="4"/>
  <c r="P26" i="4"/>
  <c r="O26" i="4"/>
  <c r="M26" i="4"/>
  <c r="P25" i="4"/>
  <c r="O25" i="4"/>
  <c r="M25" i="4"/>
  <c r="P24" i="4"/>
  <c r="O24" i="4"/>
  <c r="M24" i="4"/>
  <c r="P23" i="4"/>
  <c r="O23" i="4"/>
  <c r="M23" i="4"/>
  <c r="P22" i="4"/>
  <c r="O22" i="4"/>
  <c r="M22" i="4"/>
  <c r="P21" i="4"/>
  <c r="O21" i="4"/>
  <c r="M21" i="4"/>
  <c r="P20" i="4"/>
  <c r="O20" i="4"/>
  <c r="M20" i="4"/>
  <c r="P19" i="4"/>
  <c r="O19" i="4"/>
  <c r="M19" i="4"/>
  <c r="P18" i="4"/>
  <c r="O18" i="4"/>
  <c r="M18" i="4"/>
  <c r="P17" i="4"/>
  <c r="O17" i="4"/>
  <c r="M17" i="4"/>
  <c r="P16" i="4"/>
  <c r="O16" i="4"/>
  <c r="M16" i="4"/>
  <c r="P15" i="4"/>
  <c r="O15" i="4"/>
  <c r="M15" i="4"/>
  <c r="P14" i="4"/>
  <c r="O14" i="4"/>
  <c r="M14" i="4"/>
  <c r="P13" i="4"/>
  <c r="O13" i="4"/>
  <c r="M13" i="4"/>
  <c r="P12" i="4"/>
  <c r="O12" i="4"/>
  <c r="M12" i="4"/>
  <c r="P11" i="4"/>
  <c r="O11" i="4"/>
  <c r="M11" i="4"/>
  <c r="P10" i="4"/>
  <c r="O10" i="4"/>
  <c r="M10" i="4"/>
  <c r="P9" i="4"/>
  <c r="O9" i="4"/>
  <c r="M9" i="4"/>
  <c r="P8" i="4"/>
  <c r="O8" i="4"/>
  <c r="M8" i="4"/>
  <c r="P7" i="4"/>
  <c r="O7" i="4"/>
  <c r="M7" i="4"/>
  <c r="D7" i="4"/>
  <c r="P6" i="4"/>
  <c r="O6" i="4"/>
  <c r="M6" i="4"/>
  <c r="D6" i="4"/>
  <c r="P5" i="4"/>
  <c r="O5" i="4"/>
  <c r="M5" i="4"/>
  <c r="H5" i="4"/>
  <c r="D5" i="4"/>
  <c r="Q4" i="4"/>
  <c r="P4" i="4"/>
  <c r="O4" i="4"/>
  <c r="N4" i="4"/>
  <c r="M4" i="4"/>
  <c r="L4" i="4"/>
  <c r="K4" i="4"/>
  <c r="J4" i="4"/>
  <c r="I4" i="4"/>
  <c r="H4" i="4"/>
  <c r="D4" i="4"/>
  <c r="C4" i="4"/>
  <c r="B4" i="4"/>
  <c r="A4" i="4"/>
  <c r="A3" i="4"/>
  <c r="A2" i="4"/>
  <c r="A1" i="4"/>
  <c r="A21" i="3"/>
  <c r="A20" i="3"/>
  <c r="A19" i="3"/>
  <c r="A18" i="3"/>
  <c r="A14" i="3"/>
  <c r="C8" i="5" s="1"/>
  <c r="A13" i="3"/>
  <c r="E12" i="3"/>
  <c r="A12" i="3"/>
  <c r="E11" i="3"/>
  <c r="A11" i="3"/>
  <c r="M10" i="3"/>
  <c r="E10" i="3"/>
  <c r="A10" i="3"/>
  <c r="B6" i="7" s="1"/>
  <c r="M9" i="3"/>
  <c r="E9" i="3"/>
  <c r="A9" i="3"/>
  <c r="M8" i="3"/>
  <c r="K8" i="3"/>
  <c r="C8" i="7" s="1"/>
  <c r="I8" i="3"/>
  <c r="B8" i="5" s="1"/>
  <c r="E8" i="3"/>
  <c r="C8" i="3"/>
  <c r="A8" i="3"/>
  <c r="M7" i="3"/>
  <c r="K7" i="3"/>
  <c r="C7" i="7" s="1"/>
  <c r="I7" i="3"/>
  <c r="G7" i="3"/>
  <c r="E7" i="3"/>
  <c r="C7" i="3"/>
  <c r="A7" i="3"/>
  <c r="M6" i="3"/>
  <c r="K6" i="3"/>
  <c r="C6" i="7" s="1"/>
  <c r="I6" i="3"/>
  <c r="B5" i="5" s="1"/>
  <c r="G6" i="3"/>
  <c r="E6" i="3"/>
  <c r="C6" i="3"/>
  <c r="A6" i="3"/>
  <c r="M5" i="3"/>
  <c r="K5" i="3"/>
  <c r="C5" i="7" s="1"/>
  <c r="I5" i="3"/>
  <c r="G5" i="3"/>
  <c r="E5" i="3"/>
  <c r="C5" i="3"/>
  <c r="A5" i="3"/>
  <c r="A10" i="2" s="1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J4" i="2"/>
  <c r="H4" i="2"/>
  <c r="F4" i="2"/>
  <c r="D4" i="2"/>
  <c r="B4" i="2"/>
  <c r="A2" i="2"/>
  <c r="A1" i="2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K11" i="1"/>
  <c r="A11" i="1"/>
  <c r="K10" i="1"/>
  <c r="A10" i="1"/>
  <c r="K9" i="1"/>
  <c r="K8" i="1"/>
  <c r="A8" i="1"/>
  <c r="K7" i="1"/>
  <c r="A7" i="1"/>
  <c r="K6" i="1"/>
  <c r="A6" i="1"/>
  <c r="K5" i="1"/>
  <c r="A5" i="1"/>
  <c r="K4" i="1"/>
  <c r="J4" i="1"/>
  <c r="A4" i="1"/>
  <c r="A2" i="1"/>
  <c r="A1" i="1"/>
  <c r="G1" i="12"/>
  <c r="F1" i="12"/>
  <c r="E1" i="12"/>
  <c r="D1" i="12"/>
  <c r="C1" i="12"/>
  <c r="B1" i="12"/>
  <c r="A1" i="12"/>
  <c r="M5" i="8" l="1"/>
  <c r="N5" i="8"/>
  <c r="I5" i="8"/>
  <c r="J5" i="8"/>
  <c r="F5" i="8"/>
  <c r="G5" i="8"/>
  <c r="S7" i="4"/>
  <c r="T7" i="4"/>
  <c r="S6" i="4"/>
  <c r="T6" i="4"/>
  <c r="S5" i="4"/>
  <c r="T5" i="4"/>
  <c r="F7" i="4"/>
  <c r="G7" i="4"/>
  <c r="F6" i="4"/>
  <c r="G6" i="4"/>
  <c r="F5" i="4"/>
  <c r="G5" i="4"/>
  <c r="X5" i="6"/>
  <c r="Y5" i="6"/>
  <c r="Q5" i="6"/>
  <c r="R5" i="6"/>
  <c r="K5" i="6"/>
  <c r="L5" i="6"/>
  <c r="H5" i="6"/>
  <c r="I5" i="6"/>
  <c r="E5" i="6"/>
  <c r="F5" i="6"/>
  <c r="V8" i="5"/>
  <c r="W8" i="5"/>
  <c r="V7" i="5"/>
  <c r="W7" i="5"/>
  <c r="V6" i="5"/>
  <c r="W6" i="5"/>
  <c r="V5" i="5"/>
  <c r="W5" i="5"/>
  <c r="L8" i="5"/>
  <c r="M8" i="5"/>
  <c r="L7" i="5"/>
  <c r="M7" i="5"/>
  <c r="L6" i="5"/>
  <c r="M6" i="5"/>
  <c r="L5" i="5"/>
  <c r="M5" i="5"/>
  <c r="I8" i="5"/>
  <c r="J8" i="5"/>
  <c r="I7" i="5"/>
  <c r="J7" i="5"/>
  <c r="I6" i="5"/>
  <c r="J6" i="5"/>
  <c r="I5" i="5"/>
  <c r="J5" i="5"/>
  <c r="F8" i="5"/>
  <c r="G8" i="5"/>
  <c r="F7" i="5"/>
  <c r="G7" i="5"/>
  <c r="F6" i="5"/>
  <c r="G6" i="5"/>
  <c r="F5" i="5"/>
  <c r="G5" i="5"/>
  <c r="AA8" i="7"/>
  <c r="AB8" i="7"/>
  <c r="AA7" i="7"/>
  <c r="AB7" i="7"/>
  <c r="AA6" i="7"/>
  <c r="AB6" i="7"/>
  <c r="AA5" i="7"/>
  <c r="AB5" i="7"/>
  <c r="X8" i="7"/>
  <c r="Y8" i="7"/>
  <c r="X7" i="7"/>
  <c r="Y7" i="7"/>
  <c r="X6" i="7"/>
  <c r="Y6" i="7"/>
  <c r="X5" i="7"/>
  <c r="Y5" i="7"/>
  <c r="K8" i="7"/>
  <c r="L8" i="7"/>
  <c r="K7" i="7"/>
  <c r="L7" i="7"/>
  <c r="K6" i="7"/>
  <c r="L6" i="7"/>
  <c r="K5" i="7"/>
  <c r="L5" i="7"/>
  <c r="H8" i="7"/>
  <c r="I8" i="7"/>
  <c r="H7" i="7"/>
  <c r="I7" i="7"/>
  <c r="H6" i="7"/>
  <c r="I6" i="7"/>
  <c r="H5" i="7"/>
  <c r="I5" i="7"/>
  <c r="E8" i="7"/>
  <c r="F8" i="7"/>
  <c r="E7" i="7"/>
  <c r="F7" i="7"/>
  <c r="E6" i="7"/>
  <c r="F6" i="7"/>
  <c r="E5" i="7"/>
  <c r="F5" i="7"/>
  <c r="J5" i="2"/>
  <c r="D5" i="2"/>
  <c r="C7" i="5"/>
  <c r="B7" i="7"/>
  <c r="B5" i="7"/>
  <c r="C6" i="5"/>
  <c r="S5" i="5"/>
  <c r="N5" i="4"/>
  <c r="B7" i="5"/>
  <c r="B6" i="5"/>
  <c r="N7" i="4"/>
  <c r="S8" i="5"/>
  <c r="AC8" i="5" s="1"/>
  <c r="N6" i="4"/>
  <c r="S7" i="5"/>
  <c r="AC7" i="5" s="1"/>
  <c r="S6" i="5"/>
  <c r="AC6" i="5" s="1"/>
  <c r="O5" i="6"/>
  <c r="C7" i="4"/>
  <c r="D6" i="5"/>
  <c r="D5" i="5"/>
  <c r="D8" i="5"/>
  <c r="N5" i="6"/>
  <c r="B8" i="7"/>
  <c r="C5" i="5"/>
  <c r="D5" i="8"/>
  <c r="B5" i="4"/>
  <c r="C10" i="2"/>
  <c r="G10" i="2" l="1"/>
  <c r="B5" i="2"/>
  <c r="B10" i="2"/>
  <c r="D10" i="2"/>
  <c r="F10" i="2"/>
  <c r="G11" i="2"/>
  <c r="G18" i="2"/>
  <c r="G14" i="2"/>
  <c r="G17" i="2"/>
  <c r="G12" i="2"/>
  <c r="G13" i="2"/>
  <c r="G15" i="2"/>
  <c r="G19" i="2"/>
  <c r="G16" i="2"/>
  <c r="AC5" i="5"/>
  <c r="F5" i="2"/>
  <c r="D11" i="2"/>
  <c r="D12" i="2"/>
  <c r="E13" i="2"/>
  <c r="E14" i="2"/>
  <c r="D15" i="2"/>
  <c r="E16" i="2"/>
  <c r="F17" i="2"/>
  <c r="F19" i="2"/>
  <c r="F11" i="2"/>
  <c r="D13" i="2"/>
  <c r="F14" i="2"/>
  <c r="D16" i="2"/>
  <c r="E17" i="2"/>
  <c r="F18" i="2"/>
  <c r="E19" i="2"/>
  <c r="E11" i="2"/>
  <c r="F12" i="2"/>
  <c r="D14" i="2"/>
  <c r="F15" i="2"/>
  <c r="D17" i="2"/>
  <c r="E12" i="2"/>
  <c r="F13" i="2"/>
  <c r="E15" i="2"/>
  <c r="F16" i="2"/>
  <c r="D18" i="2"/>
  <c r="E18" i="2"/>
  <c r="D19" i="2"/>
  <c r="B17" i="2"/>
  <c r="C18" i="2"/>
  <c r="B19" i="2"/>
  <c r="C12" i="2"/>
  <c r="B14" i="2"/>
  <c r="C15" i="2"/>
  <c r="B18" i="2"/>
  <c r="C19" i="2"/>
  <c r="B11" i="2"/>
  <c r="C13" i="2"/>
  <c r="B15" i="2"/>
  <c r="C16" i="2"/>
  <c r="C11" i="2"/>
  <c r="B12" i="2"/>
  <c r="B13" i="2"/>
  <c r="C14" i="2"/>
  <c r="B16" i="2"/>
  <c r="C17" i="2"/>
  <c r="E10" i="2" l="1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<sst xmlns="http://schemas.openxmlformats.org/spreadsheetml/2006/main" count="1117" uniqueCount="978">
  <si>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</si>
  <si>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</si>
  <si>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</si>
  <si>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</si>
  <si>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</si>
  <si>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</si>
  <si>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</si>
  <si>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</si>
  <si>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</si>
  <si>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</si>
  <si>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</si>
  <si>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</si>
  <si>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</si>
  <si>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</si>
  <si>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</si>
  <si>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</si>
  <si>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</si>
  <si>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</si>
  <si>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</si>
  <si>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</si>
  <si>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</si>
  <si>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</si>
  <si>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</si>
  <si>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</si>
  <si>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</si>
  <si>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</si>
  <si>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</si>
  <si>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</si>
  <si>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</si>
  <si>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</si>
  <si>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</si>
  <si>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</si>
  <si>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</si>
  <si>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</si>
  <si>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</si>
  <si>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</si>
  <si>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</si>
  <si>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</si>
  <si>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</si>
  <si>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</si>
  <si>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</si>
  <si>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</si>
  <si>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</si>
  <si>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</si>
  <si>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</si>
  <si>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</si>
  <si>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</si>
  <si>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</si>
  <si>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</si>
  <si>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</si>
  <si>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</si>
  <si>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</si>
  <si>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</si>
  <si>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</si>
  <si>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</si>
  <si>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</si>
  <si>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</si>
  <si>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</si>
  <si>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</si>
  <si>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</si>
  <si>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</si>
  <si>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</si>
  <si>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</si>
  <si>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</si>
  <si>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</si>
  <si>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</si>
  <si>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</si>
  <si>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</si>
  <si>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</si>
  <si>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</si>
  <si>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</si>
  <si>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</si>
  <si>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</si>
  <si>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</si>
  <si>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</si>
  <si>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</si>
  <si>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</si>
  <si>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</si>
  <si>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</si>
  <si>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</si>
  <si>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</si>
  <si>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</si>
  <si>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</si>
  <si>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</si>
  <si>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</si>
  <si>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</si>
  <si>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</si>
  <si>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</si>
  <si>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</si>
  <si>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</si>
  <si>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</si>
  <si>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</si>
  <si>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</si>
  <si>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タスク／成果物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</si>
  <si>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</si>
  <si>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</si>
  <si>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</si>
  <si>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</si>
  <si>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</si>
  <si>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</si>
  <si>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</si>
  <si>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</si>
  <si>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</si>
  <si>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</si>
  <si>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WBS-001</t>
  </si>
  <si>
    <t>立上げ</t>
  </si>
  <si>
    <t>WG運用ルールの確定</t>
  </si>
  <si>
    <t>運営事務局</t>
  </si>
  <si>
    <t>入力例</t>
  </si>
  <si>
    <t>WBS-002</t>
  </si>
  <si>
    <t>現状分析</t>
  </si>
  <si>
    <t>現状業務の棚卸し</t>
  </si>
  <si>
    <t>WG Leader</t>
  </si>
  <si>
    <t>WBS-003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</si>
  <si>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</si>
  <si>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</si>
  <si>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</si>
  <si>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</si>
  <si>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</si>
  <si>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</si>
  <si>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</si>
  <si>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</si>
  <si>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</si>
  <si>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</si>
  <si>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</si>
  <si>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</si>
  <si>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</si>
  <si>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</si>
  <si>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</si>
  <si>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</si>
  <si>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</si>
  <si>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</si>
  <si>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</si>
  <si>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</si>
  <si>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</si>
  <si>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</si>
  <si>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</si>
  <si>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</si>
  <si>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</si>
  <si>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</si>
  <si>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</si>
  <si>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</si>
  <si>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IS-002</t>
  </si>
  <si>
    <t>対象スコープ未確定</t>
  </si>
  <si>
    <t>出荷物流の対象範囲が広い</t>
  </si>
  <si>
    <t>現状工数を棚卸しし優先テーマを合意</t>
  </si>
  <si>
    <t>対象範囲承認</t>
  </si>
  <si>
    <t>RK-001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</si>
  <si>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</si>
  <si>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</si>
  <si>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</si>
  <si>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</si>
  <si>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</si>
  <si>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</si>
  <si>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</si>
  <si>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</si>
  <si>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</si>
  <si>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</si>
  <si>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</si>
  <si>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</si>
  <si>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</si>
  <si>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</si>
  <si>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</si>
  <si>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</si>
  <si>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</si>
  <si>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</si>
  <si>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</si>
  <si>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</si>
  <si>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</si>
  <si>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</si>
  <si>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</si>
  <si>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</si>
  <si>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</si>
  <si>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</si>
  <si>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</si>
  <si>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</si>
  <si>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</si>
  <si>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</si>
  <si>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</si>
  <si>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</si>
  <si>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</si>
  <si>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</si>
  <si>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</si>
  <si>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</si>
  <si>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</si>
  <si>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</si>
  <si>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</si>
  <si>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</si>
  <si>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</si>
  <si>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</si>
  <si>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</si>
  <si>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</si>
  <si>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</si>
  <si>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</si>
  <si>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</si>
  <si>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</si>
  <si>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</si>
  <si>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</si>
  <si>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</si>
  <si>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</si>
  <si>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</si>
  <si>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</si>
  <si>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</si>
  <si>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</si>
  <si>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</si>
  <si>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</si>
  <si>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</si>
  <si>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</si>
  <si>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</si>
  <si>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</si>
  <si>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</si>
  <si>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</si>
  <si>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</si>
  <si>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</si>
  <si>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</si>
  <si>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</si>
  <si>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</si>
  <si>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</si>
  <si>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</si>
  <si>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</si>
  <si>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</si>
  <si>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</si>
  <si>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</si>
  <si>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</si>
  <si>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</si>
  <si>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</si>
  <si>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</si>
  <si>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</si>
  <si>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</si>
  <si>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</si>
  <si>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</si>
  <si>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表示言語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</si>
  <si>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</si>
  <si>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</si>
  <si>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</si>
  <si>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</si>
  <si>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</si>
  <si>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</si>
  <si>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</si>
  <si>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</si>
  <si>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</si>
  <si>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</si>
  <si>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</si>
  <si>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</si>
  <si>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</si>
  <si>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</si>
  <si>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</si>
  <si>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</si>
  <si>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</si>
  <si>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</si>
  <si>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</si>
  <si>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</si>
  <si>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</si>
  <si>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</si>
  <si>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</si>
  <si>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</si>
  <si>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</si>
  <si>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</si>
  <si>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</si>
  <si>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</si>
  <si>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</si>
  <si>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</si>
  <si>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</si>
  <si>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</si>
  <si>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</si>
  <si>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</si>
  <si>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</si>
  <si>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</si>
  <si>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</si>
  <si>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</si>
  <si>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</si>
  <si>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</si>
  <si>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</si>
  <si>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</si>
  <si>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</si>
  <si>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</si>
  <si>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</si>
  <si>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</si>
  <si>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</si>
  <si>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</si>
  <si>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</si>
  <si>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</si>
  <si>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</si>
  <si>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</si>
  <si>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</si>
  <si>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</si>
  <si>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</si>
  <si>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</si>
  <si>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</si>
  <si>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</si>
  <si>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</si>
  <si>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</si>
  <si>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</si>
  <si>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</si>
  <si>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</si>
  <si>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</si>
  <si>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</si>
  <si>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</si>
  <si>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</si>
  <si>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</si>
  <si>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</si>
  <si>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</si>
  <si>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</si>
  <si>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</si>
  <si>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</si>
  <si>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</si>
  <si>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</si>
  <si>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</si>
  <si>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</si>
  <si>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</si>
  <si>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</si>
  <si>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</si>
  <si>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</si>
  <si>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</si>
  <si>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</si>
  <si>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</si>
  <si>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</si>
  <si>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</si>
  <si>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</si>
  <si>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</si>
  <si>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</si>
  <si>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</si>
  <si>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</si>
  <si>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</si>
  <si>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</si>
  <si>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</si>
  <si>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</si>
  <si>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</si>
  <si>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</si>
  <si>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</si>
  <si>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</si>
  <si>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</si>
  <si>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</si>
  <si>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</si>
  <si>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</si>
  <si>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</si>
  <si>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</si>
  <si>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</si>
  <si>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</si>
  <si>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</si>
  <si>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</si>
  <si>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</si>
  <si>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</si>
  <si>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</si>
  <si>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</si>
  <si>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</si>
  <si>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</si>
  <si>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</si>
  <si>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</si>
  <si>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</si>
  <si>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</si>
  <si>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</si>
  <si>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</si>
  <si>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</si>
  <si>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</si>
  <si>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</si>
  <si>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</si>
  <si>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</si>
  <si>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</si>
  <si>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</si>
  <si>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</si>
  <si>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</si>
  <si>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</si>
  <si>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</si>
  <si>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</si>
  <si>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</si>
  <si>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</si>
  <si>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</si>
  <si>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</si>
  <si>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</si>
  <si>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</si>
  <si>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</si>
  <si>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</si>
  <si>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</si>
  <si>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</si>
  <si>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</si>
  <si>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</si>
  <si>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</si>
  <si>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</si>
  <si>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</si>
  <si>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</si>
  <si>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</si>
  <si>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</si>
  <si>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</si>
  <si>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</si>
  <si>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</si>
  <si>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</si>
  <si>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</si>
  <si>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</si>
  <si>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</si>
  <si>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</si>
  <si>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</si>
  <si>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</si>
  <si>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</si>
  <si>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</si>
  <si>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</si>
  <si>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</si>
  <si>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</si>
  <si>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</si>
  <si>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</si>
  <si>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</si>
  <si>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</si>
  <si>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</si>
  <si>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</si>
  <si>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</si>
  <si>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</si>
  <si>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</si>
  <si>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</si>
  <si>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</si>
  <si>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</si>
  <si>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</si>
  <si>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</si>
  <si>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</si>
  <si>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</si>
  <si>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</si>
  <si>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</si>
  <si>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</si>
  <si>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</si>
  <si>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</si>
  <si>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</si>
  <si>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</si>
  <si>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</si>
  <si>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</si>
  <si>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</si>
  <si>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</si>
  <si>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</si>
  <si>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</si>
  <si>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</si>
  <si>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</si>
  <si>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</si>
  <si>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</si>
  <si>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</si>
  <si>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</si>
  <si>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</si>
  <si>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</si>
  <si>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</si>
  <si>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</si>
  <si>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</si>
  <si>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</si>
  <si>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</si>
  <si>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</si>
  <si>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</si>
  <si>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</si>
  <si>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</si>
  <si>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</si>
  <si>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</si>
  <si>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</si>
  <si>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</si>
  <si>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</si>
  <si>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</si>
  <si>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</si>
  <si>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</si>
  <si>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</si>
  <si>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</si>
  <si>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</si>
  <si>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</si>
  <si>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</si>
  <si>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</si>
  <si>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</si>
  <si>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</si>
  <si>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</si>
  <si>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</si>
  <si>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</si>
  <si>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</si>
  <si>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</si>
  <si>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</si>
  <si>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</si>
  <si>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</si>
  <si>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</si>
  <si>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</si>
  <si>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</si>
  <si>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</si>
  <si>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</si>
  <si>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</si>
  <si>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</si>
  <si>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</si>
  <si>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</si>
  <si>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</si>
  <si>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</si>
  <si>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</si>
  <si>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</si>
  <si>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</si>
  <si>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</si>
  <si>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</si>
  <si>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</si>
  <si>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</si>
  <si>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</si>
  <si>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</si>
  <si>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</si>
  <si>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</si>
  <si>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</si>
  <si>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</si>
  <si>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</si>
  <si>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</si>
  <si>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</si>
  <si>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</si>
  <si>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</si>
  <si>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</si>
  <si>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</si>
  <si>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</si>
  <si>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</si>
  <si>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</si>
  <si>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</si>
  <si>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</si>
  <si>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</si>
  <si>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</si>
  <si>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</si>
  <si>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</si>
  <si>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</si>
  <si>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</si>
  <si>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</si>
  <si>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</si>
  <si>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</si>
  <si>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</si>
  <si>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</si>
  <si>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</si>
  <si>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</si>
  <si>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</si>
  <si>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Phân loại chính</t>
  </si>
  <si>
    <t>WBS_TASK</t>
  </si>
  <si>
    <t>任务／成果物</t>
  </si>
  <si>
    <t>Nhiệm vụ / Sản phẩm bàn giao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</si>
  <si>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</si>
  <si>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</si>
  <si>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</si>
  <si>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</si>
  <si>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</si>
  <si>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</si>
  <si>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</si>
  <si>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</si>
  <si>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</si>
  <si>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</si>
  <si>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</si>
  <si>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</si>
  <si>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</si>
  <si>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</si>
  <si>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</si>
  <si>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</si>
  <si>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</si>
  <si>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</si>
  <si>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</si>
  <si>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</si>
  <si>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</si>
  <si>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</si>
  <si>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</si>
  <si>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</si>
  <si>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</si>
  <si>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</si>
  <si>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</si>
  <si>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</si>
  <si>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</si>
  <si>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</si>
  <si>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</si>
  <si>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</si>
  <si>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</si>
  <si>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</si>
  <si>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</si>
  <si>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</si>
  <si>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</si>
  <si>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</si>
  <si>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</si>
  <si>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</si>
  <si>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</si>
  <si>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</si>
  <si>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</si>
  <si>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</si>
  <si>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</si>
  <si>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</si>
  <si>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</si>
  <si>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</si>
  <si>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</si>
  <si>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</si>
  <si>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</si>
  <si>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</si>
  <si>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</si>
  <si>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</si>
  <si>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</si>
  <si>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</si>
  <si>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</si>
  <si>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</si>
  <si>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</si>
  <si>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</si>
  <si>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</si>
  <si>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</si>
  <si>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</si>
  <si>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</si>
  <si>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</si>
  <si>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</si>
  <si>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</si>
  <si>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</si>
  <si>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</si>
  <si>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</si>
  <si>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</si>
  <si>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</si>
  <si>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</si>
  <si>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</si>
  <si>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</si>
  <si>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</si>
  <si>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</si>
  <si>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</si>
  <si>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</si>
  <si>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</si>
  <si>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</si>
  <si>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</si>
  <si>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</si>
  <si>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</si>
  <si>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</si>
  <si>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</si>
  <si>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</si>
  <si>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</si>
  <si>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</si>
  <si>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</si>
  <si>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</si>
  <si>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</si>
  <si>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</si>
  <si>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</si>
  <si>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</si>
  <si>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</si>
  <si>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</si>
  <si>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</si>
  <si>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</si>
  <si>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</si>
  <si>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</si>
  <si>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</si>
  <si>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</si>
  <si>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</si>
  <si>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</si>
  <si>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</si>
  <si>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</si>
  <si>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</si>
  <si>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</si>
  <si>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</si>
  <si>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</si>
  <si>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</si>
  <si>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</si>
  <si>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</si>
  <si>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</si>
  <si>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</si>
  <si>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</si>
  <si>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</si>
  <si>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</si>
  <si>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</si>
  <si>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</si>
  <si>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</si>
  <si>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</si>
  <si>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</si>
  <si>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</si>
  <si>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</si>
  <si>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</si>
  <si>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</si>
  <si>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</si>
  <si>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</si>
  <si>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</si>
  <si>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</si>
  <si>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</si>
  <si>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</si>
  <si>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</si>
  <si>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</si>
  <si>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</si>
  <si>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</si>
  <si>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</si>
  <si>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</si>
  <si>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</si>
  <si>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</si>
  <si>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</si>
  <si>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</si>
  <si>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</si>
  <si>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</si>
  <si>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</si>
  <si>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</si>
  <si>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</si>
  <si>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</si>
  <si>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</si>
  <si>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</si>
  <si>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</si>
  <si>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</si>
  <si>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</si>
  <si>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</si>
  <si>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</si>
  <si>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</si>
  <si>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</si>
  <si>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</si>
  <si>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</si>
  <si>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</si>
  <si>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</si>
  <si>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</si>
  <si>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</si>
  <si>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</si>
  <si>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</si>
  <si>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</si>
  <si>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</si>
  <si>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</si>
  <si>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</si>
  <si>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</si>
  <si>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</si>
  <si>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</si>
  <si>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</si>
  <si>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</si>
  <si>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</si>
  <si>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</si>
  <si>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</si>
  <si>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</si>
  <si>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</si>
  <si>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</si>
  <si>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</si>
  <si>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</si>
  <si>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</si>
  <si>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</si>
  <si>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</si>
  <si>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</si>
  <si>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</si>
  <si>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</si>
  <si>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</si>
  <si>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</si>
  <si>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</si>
  <si>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</si>
  <si>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</si>
  <si>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</si>
  <si>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</si>
  <si>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</si>
  <si>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</si>
  <si>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</si>
  <si>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</si>
  <si>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</si>
  <si>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</si>
  <si>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</si>
  <si>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</si>
  <si>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</si>
  <si>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</si>
  <si>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</si>
  <si>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</si>
  <si>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</si>
  <si>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</si>
  <si>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</si>
  <si>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</si>
  <si>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</si>
  <si>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</si>
  <si>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</si>
  <si>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</si>
  <si>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</si>
  <si>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</si>
  <si>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</si>
  <si>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</si>
  <si>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</si>
  <si>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</si>
  <si>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</si>
  <si>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</si>
  <si>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</si>
  <si>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</si>
  <si>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</si>
  <si>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</si>
  <si>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</si>
  <si>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</si>
  <si>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</si>
  <si>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</si>
  <si>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</si>
  <si>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</si>
  <si>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</si>
  <si>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</si>
  <si>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</si>
  <si>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</si>
  <si>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</si>
  <si>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</si>
  <si>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</si>
  <si>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</si>
  <si>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</si>
  <si>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</si>
  <si>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</si>
  <si>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</si>
  <si>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</si>
  <si>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</si>
  <si>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</si>
  <si>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</si>
  <si>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</si>
  <si>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</si>
  <si>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</si>
  <si>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</si>
  <si>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</si>
  <si>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</si>
  <si>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</si>
  <si>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</si>
  <si>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</si>
  <si>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</si>
  <si>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</si>
  <si>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</si>
  <si>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</si>
  <si>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</si>
  <si>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</si>
  <si>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</si>
  <si>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</si>
  <si>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</si>
  <si>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</si>
  <si>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</si>
  <si>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</si>
  <si>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</si>
  <si>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</si>
  <si>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</si>
  <si>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</si>
  <si>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</si>
  <si>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</si>
  <si>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</si>
  <si>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</si>
  <si>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</si>
  <si>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</si>
  <si>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</si>
  <si>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</si>
  <si>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</si>
  <si>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</si>
  <si>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</si>
  <si>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</si>
  <si>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</si>
  <si>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</si>
  <si>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</si>
  <si>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</si>
  <si>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</si>
  <si>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</si>
  <si>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</si>
  <si>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</si>
  <si>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</si>
  <si>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</si>
  <si>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</si>
  <si>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</si>
  <si>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</si>
  <si>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</si>
  <si>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</si>
  <si>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</si>
  <si>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</si>
  <si>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</si>
  <si>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</si>
  <si>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</si>
  <si>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</si>
  <si>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</si>
  <si>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</si>
  <si>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</si>
  <si>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</si>
  <si>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</si>
  <si>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</si>
  <si>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</si>
  <si>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</si>
  <si>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</si>
  <si>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</si>
  <si>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</si>
  <si>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</si>
  <si>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</si>
  <si>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</si>
  <si>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</si>
  <si>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</si>
  <si>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</si>
  <si>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</si>
  <si>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</si>
  <si>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</si>
  <si>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</si>
  <si>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</si>
  <si>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</si>
  <si>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</si>
  <si>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</si>
  <si>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</si>
  <si>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</si>
  <si>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</si>
  <si>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</si>
  <si>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</si>
  <si>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</si>
  <si>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</si>
  <si>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</si>
  <si>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</si>
  <si>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</si>
  <si>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</si>
  <si>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</si>
  <si>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</si>
  <si>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</si>
  <si>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</si>
  <si>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</si>
  <si>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</si>
  <si>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</si>
  <si>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</si>
  <si>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</si>
  <si>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</si>
  <si>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</si>
  <si>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</si>
  <si>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</si>
  <si>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</si>
  <si>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</si>
  <si>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</si>
  <si>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</si>
  <si>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</si>
  <si>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</si>
  <si>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</si>
  <si>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</si>
  <si>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</si>
  <si>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</si>
  <si>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</si>
  <si>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</si>
  <si>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</si>
  <si>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</si>
  <si>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</si>
  <si>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</si>
  <si>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</si>
  <si>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</si>
  <si>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</si>
  <si>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</si>
  <si>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</si>
  <si>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</si>
  <si>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</si>
  <si>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</si>
  <si>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</si>
  <si>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</si>
  <si>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</si>
  <si>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</si>
  <si>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</si>
  <si>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</si>
  <si>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</si>
  <si>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</si>
  <si>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</si>
  <si>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</si>
  <si>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</si>
  <si>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</si>
  <si>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</si>
  <si>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</si>
  <si>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</si>
  <si>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PARA_DESC</t>
  </si>
  <si>
    <t>PARA_HOWTO</t>
  </si>
  <si>
    <t>使い方：母語で入力→他言語列を参照→空欄は翻訳しない→3000文字以内</t>
  </si>
  <si>
    <t>用法：用母语输入→查看其他语言列→空栏不翻译→3000字符以内</t>
  </si>
  <si>
    <t>NEW_JP_SUFFIX</t>
  </si>
  <si>
    <t xml:space="preserve"> (JP)</t>
  </si>
  <si>
    <t>NEW_CN_SUFFIX</t>
  </si>
  <si>
    <t xml:space="preserve"> (CN)</t>
  </si>
  <si>
    <t>NEW_VI_SUFFIX</t>
  </si>
  <si>
    <t xml:space="preserve"> (VI)</t>
  </si>
  <si>
    <t>BACKUP_TITLE</t>
  </si>
  <si>
    <t>6. 削除防止・バックアップ</t>
  </si>
  <si>
    <t>6. 防删除与备份</t>
  </si>
  <si>
    <t>BACKUP_DESC</t>
  </si>
  <si>
    <t>行を物理削除禁止。取下に変更し_ゴミ箱へコピー。SharePointでバージョン履歴500件・週次別名保存。</t>
  </si>
  <si>
    <t>禁止物理删除。改为撤回并复制到回收站。SharePoint启用500版本・每周另存。</t>
  </si>
  <si>
    <t>GOMI_NO</t>
  </si>
  <si>
    <t>No.</t>
  </si>
  <si>
    <t>序号</t>
  </si>
  <si>
    <t>GOMI_DATE</t>
  </si>
  <si>
    <t>削除日</t>
  </si>
  <si>
    <t>删除日期</t>
  </si>
  <si>
    <t>GOMI_SHEET</t>
  </si>
  <si>
    <t>GOMI_ID</t>
  </si>
  <si>
    <t>対象ID</t>
  </si>
  <si>
    <t>对象ID</t>
  </si>
  <si>
    <t>GOMI_SNAP</t>
  </si>
  <si>
    <t>内容スナップショット</t>
  </si>
  <si>
    <t>内容快照</t>
  </si>
  <si>
    <t>GOMI_BY</t>
  </si>
  <si>
    <t>削除者</t>
  </si>
  <si>
    <t>删除人</t>
  </si>
  <si>
    <t>GOMI_REASON</t>
  </si>
  <si>
    <t>理由</t>
  </si>
  <si>
    <t>原因</t>
  </si>
  <si>
    <t>Language code / Ma ngon ngu (TRANSLATE, do not edit)</t>
  </si>
  <si>
    <t>ja</t>
  </si>
  <si>
    <t>zh-Hans</t>
  </si>
  <si>
    <t>vi</t>
  </si>
  <si>
    <t>Auto-translate needs M365+internet. If #NAME?, use Copilot manual.</t>
  </si>
  <si>
    <t>DEL-001</t>
  </si>
  <si>
    <t>Do not delete physically, copy here then set Withdrawn</t>
  </si>
  <si>
    <t>PMO</t>
  </si>
  <si>
    <t>5. Quy tắc dịch song song (nội dung mới)</t>
    <phoneticPr fontId="1"/>
  </si>
  <si>
    <t>Cách dùng: Nhập tiếng mẹ đẻ → đọc cột khác → ô trống không dịch → dưới 3000 ký tự</t>
    <phoneticPr fontId="1"/>
  </si>
  <si>
    <t>6. Chống xóa &amp; sao lưu</t>
    <phoneticPr fontId="1"/>
  </si>
  <si>
    <t>Cấm xóa dòng vật lý. Chuyển sang "Rút lại" và sao chép sang _ゴミ箱_Backup. Bật Version History 500 bản trên SharePoint, hàng tuần lưu riêng.</t>
    <phoneticPr fontId="1"/>
  </si>
  <si>
    <t>Số</t>
    <phoneticPr fontId="1"/>
  </si>
  <si>
    <t>Ngày xóa</t>
    <phoneticPr fontId="1"/>
  </si>
  <si>
    <t>Trang tính</t>
    <phoneticPr fontId="1"/>
  </si>
  <si>
    <t>Mã</t>
    <phoneticPr fontId="1"/>
  </si>
  <si>
    <t>Nội dung snapshot</t>
    <phoneticPr fontId="1"/>
  </si>
  <si>
    <t>Người xóa</t>
    <phoneticPr fontId="1"/>
  </si>
  <si>
    <t>Lý do</t>
    <phoneticPr fontId="1"/>
  </si>
  <si>
    <t>Tiếng Việt</t>
    <phoneticPr fontId="1"/>
  </si>
  <si>
    <t>自由記入欄（ベトナム語）に入力すると、隣接するJP/CN列がTRANSLATE関数で自動翻訳される（M365・ネット要）。</t>
    <phoneticPr fontId="1"/>
  </si>
  <si>
    <t>越南语列正常输入。相邻的JP/CN列用TRANSLATE自动翻译（需M365和网络）。</t>
    <phoneticPr fontId="1"/>
  </si>
  <si>
    <t>Cột tiếng Việt nhập liệu bình thường. Các cột JP/CN kề cạnh tự động dịch bằng hàm TRANSLATE (cần M365 + mạng).</t>
    <phoneticPr fontId="1"/>
  </si>
  <si>
    <t>tôi tên là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</si>
</sst>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0" borderId="0" xfId="0" applyFont="1"/>
    <xf numFmtId="0" fontId="3" fillId="0" borderId="0" xfId="0" applyFont="1" applyAlignment="1">
      <alignment wrapText="1"/>
    </xf>
    <xf numFmtId="0" fontId="7" fillId="7" borderId="11" xfId="0" applyFont="1" applyFill="1" applyBorder="1" applyAlignment="1" applyProtection="1">
      <alignment vertical="center" wrapText="1"/>
      <protection locked="0"/>
    </xf>
    <xf numFmtId="0" fontId="7" fillId="7" borderId="12" xfId="0" applyFont="1" applyFill="1" applyBorder="1" applyAlignment="1" applyProtection="1">
      <alignment vertical="center" wrapText="1"/>
      <protection locked="0"/>
    </xf>
    <xf numFmtId="14" fontId="7" fillId="7" borderId="12" xfId="0" applyNumberFormat="1" applyFont="1" applyFill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vertical="center" wrapText="1"/>
      <protection locked="0"/>
    </xf>
    <xf numFmtId="14" fontId="7" fillId="0" borderId="9" xfId="0" applyNumberFormat="1" applyFont="1" applyBorder="1" applyAlignment="1" applyProtection="1">
      <alignment vertical="center" wrapText="1"/>
      <protection locked="0"/>
    </xf>
    <xf numFmtId="0" fontId="7" fillId="7" borderId="8" xfId="0" applyFont="1" applyFill="1" applyBorder="1" applyAlignment="1" applyProtection="1">
      <alignment vertical="center" wrapText="1"/>
      <protection locked="0"/>
    </xf>
    <xf numFmtId="0" fontId="7" fillId="7" borderId="9" xfId="0" applyFont="1" applyFill="1" applyBorder="1" applyAlignment="1" applyProtection="1">
      <alignment vertical="center" wrapText="1"/>
      <protection locked="0"/>
    </xf>
    <xf numFmtId="14" fontId="7" fillId="7" borderId="9" xfId="0" applyNumberFormat="1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14" fontId="7" fillId="0" borderId="3" xfId="0" applyNumberFormat="1" applyFont="1" applyBorder="1" applyAlignment="1" applyProtection="1">
      <alignment vertical="center" wrapText="1"/>
      <protection locked="0"/>
    </xf>
    <xf numFmtId="0" fontId="7" fillId="7" borderId="13" xfId="0" applyFont="1" applyFill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7" fillId="7" borderId="10" xfId="0" applyFont="1" applyFill="1" applyBorder="1" applyAlignment="1" applyProtection="1">
      <alignment vertical="center" wrapText="1"/>
      <protection locked="0"/>
    </xf>
    <xf numFmtId="0" fontId="7" fillId="0" borderId="4" xfId="0" applyFont="1" applyBorder="1" applyAlignment="1" applyProtection="1">
      <alignment vertical="center" wrapText="1"/>
      <protection locked="0"/>
    </xf>
    <xf numFmtId="14" fontId="7" fillId="7" borderId="13" xfId="0" applyNumberFormat="1" applyFont="1" applyFill="1" applyBorder="1" applyAlignment="1" applyProtection="1">
      <alignment vertical="center" wrapText="1"/>
      <protection locked="0"/>
    </xf>
    <xf numFmtId="14" fontId="7" fillId="0" borderId="10" xfId="0" applyNumberFormat="1" applyFont="1" applyBorder="1" applyAlignment="1" applyProtection="1">
      <alignment vertical="center" wrapText="1"/>
      <protection locked="0"/>
    </xf>
    <xf numFmtId="14" fontId="7" fillId="7" borderId="10" xfId="0" applyNumberFormat="1" applyFont="1" applyFill="1" applyBorder="1" applyAlignment="1" applyProtection="1">
      <alignment vertical="center" wrapText="1"/>
      <protection locked="0"/>
    </xf>
    <xf numFmtId="14" fontId="7" fillId="0" borderId="4" xfId="0" applyNumberFormat="1" applyFont="1" applyBorder="1" applyAlignment="1" applyProtection="1">
      <alignment vertical="center" wrapText="1"/>
      <protection locked="0"/>
    </xf>
    <xf numFmtId="0" fontId="6" fillId="2" borderId="0" xfId="0" applyFont="1" applyFill="1" applyAlignment="1">
      <alignment vertical="center" wrapText="1"/>
    </xf>
    <xf numFmtId="0" fontId="7" fillId="7" borderId="12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76" fontId="3" fillId="7" borderId="12" xfId="0" applyNumberFormat="1" applyFont="1" applyFill="1" applyBorder="1" applyAlignment="1">
      <alignment vertical="center" wrapText="1"/>
    </xf>
    <xf numFmtId="176" fontId="3" fillId="0" borderId="9" xfId="0" applyNumberFormat="1" applyFont="1" applyBorder="1" applyAlignment="1">
      <alignment vertical="center" wrapText="1"/>
    </xf>
    <xf numFmtId="176" fontId="3" fillId="7" borderId="9" xfId="0" applyNumberFormat="1" applyFont="1" applyFill="1" applyBorder="1" applyAlignment="1">
      <alignment vertical="center" wrapText="1"/>
    </xf>
    <xf numFmtId="176" fontId="3" fillId="0" borderId="3" xfId="0" applyNumberFormat="1" applyFont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9" fontId="3" fillId="7" borderId="12" xfId="0" applyNumberFormat="1" applyFont="1" applyFill="1" applyBorder="1" applyAlignment="1">
      <alignment vertical="center" wrapText="1"/>
    </xf>
    <xf numFmtId="9" fontId="3" fillId="0" borderId="9" xfId="0" applyNumberFormat="1" applyFont="1" applyBorder="1" applyAlignment="1">
      <alignment vertical="center" wrapText="1"/>
    </xf>
    <xf numFmtId="9" fontId="3" fillId="7" borderId="9" xfId="0" applyNumberFormat="1" applyFont="1" applyFill="1" applyBorder="1" applyAlignment="1">
      <alignment vertical="center" wrapText="1"/>
    </xf>
    <xf numFmtId="9" fontId="3" fillId="0" borderId="3" xfId="0" applyNumberFormat="1" applyFont="1" applyBorder="1" applyAlignment="1">
      <alignment vertical="center" wrapText="1"/>
    </xf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 wrapText="1"/>
    </xf>
    <xf numFmtId="0" fontId="3" fillId="11" borderId="0" xfId="0" applyFont="1" applyFill="1"/>
    <xf numFmtId="0" fontId="6" fillId="10" borderId="0" xfId="0" applyFont="1" applyFill="1" applyAlignment="1">
      <alignment vertical="center" wrapText="1"/>
    </xf>
    <xf numFmtId="0" fontId="3" fillId="10" borderId="0" xfId="0" applyFont="1" applyFill="1"/>
    <xf numFmtId="0" fontId="11" fillId="4" borderId="0" xfId="0" applyFont="1" applyFill="1" applyAlignment="1">
      <alignment vertical="center" wrapText="1"/>
    </xf>
    <xf numFmtId="0" fontId="12" fillId="0" borderId="0" xfId="0" applyFont="1"/>
    <xf numFmtId="0" fontId="15" fillId="4" borderId="0" xfId="0" applyFont="1" applyFill="1" applyAlignment="1">
      <alignment vertical="center" wrapText="1"/>
    </xf>
    <xf numFmtId="0" fontId="16" fillId="0" borderId="0" xfId="0" applyFont="1"/>
    <xf numFmtId="0" fontId="13" fillId="4" borderId="0" xfId="0" applyFont="1" applyFill="1" applyAlignment="1">
      <alignment vertical="center" wrapText="1"/>
    </xf>
    <xf numFmtId="0" fontId="14" fillId="0" borderId="0" xfId="0" applyFont="1"/>
    <xf numFmtId="0" fontId="6" fillId="9" borderId="0" xfId="0" applyFont="1" applyFill="1" applyAlignment="1">
      <alignment vertical="center" wrapText="1"/>
    </xf>
    <xf numFmtId="0" fontId="3" fillId="9" borderId="0" xfId="0" applyFont="1" applyFill="1"/>
    <xf numFmtId="0" fontId="6" fillId="12" borderId="0" xfId="0" applyFont="1" applyFill="1" applyAlignment="1">
      <alignment vertical="center" wrapText="1"/>
    </xf>
    <xf numFmtId="0" fontId="3" fillId="12" borderId="0" xfId="0" applyFont="1" applyFill="1"/>
    <xf numFmtId="0" fontId="17" fillId="4" borderId="0" xfId="0" applyFont="1" applyFill="1" applyAlignment="1">
      <alignment vertical="center" wrapText="1"/>
    </xf>
    <xf numFmtId="0" fontId="18" fillId="0" borderId="0" xfId="0" applyFont="1"/>
    <xf numFmtId="0" fontId="19" fillId="4" borderId="0" xfId="0" applyFont="1" applyFill="1" applyAlignment="1">
      <alignment vertical="center" wrapText="1"/>
    </xf>
    <xf numFmtId="0" fontId="20" fillId="0" borderId="0" xfId="0" applyFont="1"/>
    <xf numFmtId="0" fontId="6" fillId="8" borderId="0" xfId="0" applyFont="1" applyFill="1" applyAlignment="1">
      <alignment vertical="center" wrapText="1"/>
    </xf>
    <xf numFmtId="0" fontId="3" fillId="8" borderId="0" xfId="0" applyFont="1" applyFill="1"/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Vấn đề chưa hoàn thành theo WG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Vấn đề chưa hoàn thành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Toàn bộ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Số lượng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11"/>
  <sheetViews>
    <sheetView tabSelected="1" workbookViewId="0">
      <selection activeCell="B3" sqref="B3:D3"/>
    </sheetView>
  </sheetViews>
  <sheetFormatPr defaultRowHeight="13.5" x14ac:dyDescent="0.15"/>
  <cols>
    <col min="1" max="4" width="16.375" customWidth="1"/>
  </cols>
  <sheetData>
    <row r="1" spans="1:4" ht="30" customHeight="1" x14ac:dyDescent="0.15">
      <c r="A1" s="58" t="s">
        <v>328</v>
      </c>
      <c r="B1" s="58"/>
      <c r="C1" s="58"/>
      <c r="D1" s="58"/>
    </row>
    <row r="2" spans="1:4" x14ac:dyDescent="0.15">
      <c r="A2" s="4"/>
      <c r="B2" s="4"/>
      <c r="C2" s="4"/>
      <c r="D2" s="4"/>
    </row>
    <row r="3" spans="1:4" ht="32.1" customHeight="1" x14ac:dyDescent="0.15">
      <c r="A3" s="5" t="s">
        <v>231</v>
      </c>
      <c r="B3" s="59" t="s">
        <v>973</v>
      </c>
      <c r="C3" s="60"/>
      <c r="D3" s="61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  <row r="6" spans="1:4" x14ac:dyDescent="0.15">
      <c r="A6" t="s">
        <v>954</v>
      </c>
    </row>
    <row r="7" spans="1:4" x14ac:dyDescent="0.15">
      <c r="A7" t="s">
        <v>232</v>
      </c>
      <c r="B7" t="s">
        <v>955</v>
      </c>
    </row>
    <row r="8" spans="1:4" x14ac:dyDescent="0.15">
      <c r="A8" t="s">
        <v>234</v>
      </c>
      <c r="B8" t="s">
        <v>956</v>
      </c>
    </row>
    <row r="9" spans="1:4" x14ac:dyDescent="0.15">
      <c r="A9" t="s">
        <v>235</v>
      </c>
      <c r="B9" t="s">
        <v>957</v>
      </c>
    </row>
    <row r="11" spans="1:4" x14ac:dyDescent="0.15">
      <c r="A11" t="s">
        <v>958</v>
      </c>
    </row>
  </sheetData>
  <mergeCells count="2">
    <mergeCell ref="A1:D1"/>
    <mergeCell ref="B3:D3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Normal="100" workbookViewId="0">
      <pane ySplit="3" topLeftCell="A4" activePane="bottomLeft" state="frozen"/>
      <selection pane="bottomLeft" activeCell="A9" sqref="A9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64" t="str">
        <f>INDEX(_翻訳マスタ!$B$2:$D$32,MATCH("TITLE",_翻訳マスタ!$A$2:$A$32,0),MATCH(言語切替!$B$3,_翻訳マスタ!$B$1:$D$1,0))</f>
        <v>Công cụ quản lý Tiểu ban Nhà máy Thông minh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x14ac:dyDescent="0.25">
      <c r="A2" s="65" t="str">
        <f>INDEX(_翻訳マスタ!$B$2:$D$32,MATCH("PURPOSE",_翻訳マスタ!$A$2:$A$32,0),MATCH(言語切替!$B$3,_翻訳マスタ!$B$1:$D$1,0))</f>
        <v>Mục đích: Bản dự thảo đầu tiên nhằm quản lý kế hoạch, vấn đề, quyết định và KPI của 9 WG trong một chu trình quản lý thống nhất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4" spans="1:14" x14ac:dyDescent="0.25">
      <c r="A4" s="66" t="str">
        <f>INDEX(_翻訳マスタ!$B$2:$D$32,MATCH("PRINCIPLE_HEADER",_翻訳マスタ!$A$2:$A$32,0),MATCH(言語切替!$B$3,_翻訳マスタ!$B$1:$D$1,0))</f>
        <v>1. Nguyên tắc cơ bản</v>
      </c>
      <c r="B4" s="63"/>
      <c r="C4" s="63"/>
      <c r="D4" s="63"/>
      <c r="E4" s="63"/>
      <c r="F4" s="63"/>
      <c r="G4" s="63"/>
      <c r="H4" s="63"/>
      <c r="J4" s="2" t="str">
        <f>INDEX(_翻訳マスタ!$B$2:$D$32,MATCH("COL_SHEET",_翻訳マスタ!$A$2:$A$32,0),MATCH(言語切替!$B$3,_翻訳マスタ!$B$1:$D$1,0))</f>
        <v>Trang tính</v>
      </c>
      <c r="K4" s="2" t="str">
        <f>INDEX(_翻訳マスタ!$B$2:$D$32,MATCH("COL_USAGE",_翻訳マスタ!$A$2:$A$32,0),MATCH(言語切替!$B$3,_翻訳マスタ!$B$1:$D$1,0))</f>
        <v>Mục đích sử dụng</v>
      </c>
    </row>
    <row r="5" spans="1:14" ht="31.5" x14ac:dyDescent="0.25">
      <c r="A5" s="62" t="str">
        <f>INDEX(_翻訳マスタ!$B$2:$D$32,MATCH("P1",_翻訳マスタ!$A$2:$A$32,0),MATCH(言語切替!$B$3,_翻訳マスタ!$B$1:$D$1,0))</f>
        <v>• Lưu các thảo luận chi tiết trong biên bản họp và tài liệu liên quan</v>
      </c>
      <c r="B5" s="63"/>
      <c r="C5" s="63"/>
      <c r="D5" s="63"/>
      <c r="E5" s="63"/>
      <c r="F5" s="63"/>
      <c r="G5" s="63"/>
      <c r="H5" s="63"/>
      <c r="J5" s="3" t="s">
        <v>6</v>
      </c>
      <c r="K5" s="3" t="str">
        <f>INDEX(_翻訳マスタ!$B$2:$D$32,MATCH("U1",_翻訳マスタ!$A$2:$A$32,0),MATCH(言語切替!$B$3,_翻訳マスタ!$B$1:$D$1,0))</f>
        <v>Bảng điều khiển cho ban điều hành và cuộc họp trưởng nhóm</v>
      </c>
    </row>
    <row r="6" spans="1:14" ht="31.5" x14ac:dyDescent="0.25">
      <c r="A6" s="62" t="str">
        <f>INDEX(_翻訳マスタ!$B$2:$D$32,MATCH("P2",_翻訳マスタ!$A$2:$A$32,0),MATCH(言語切替!$B$3,_翻訳マスタ!$B$1:$D$1,0))</f>
        <v>• Trong tệp này, ghi lại kết luận, hành động tiếp theo, người phụ trách, thời hạn và liên kết</v>
      </c>
      <c r="B6" s="63"/>
      <c r="C6" s="63"/>
      <c r="D6" s="63"/>
      <c r="E6" s="63"/>
      <c r="F6" s="63"/>
      <c r="G6" s="63"/>
      <c r="H6" s="63"/>
      <c r="J6" s="3" t="s">
        <v>9</v>
      </c>
      <c r="K6" s="3" t="str">
        <f>INDEX(_翻訳マスタ!$B$2:$D$32,MATCH("U2",_翻訳マスタ!$A$2:$A$32,0),MATCH(言語切替!$B$3,_翻訳マスタ!$B$1:$D$1,0))</f>
        <v>Danh sách lựa chọn nhập liệu và định nghĩa WG</v>
      </c>
    </row>
    <row r="7" spans="1:14" ht="31.5" x14ac:dyDescent="0.25">
      <c r="A7" s="62" t="str">
        <f>INDEX(_翻訳マスタ!$B$2:$D$32,MATCH("P3",_翻訳マスタ!$A$2:$A$32,0),MATCH(言語切替!$B$3,_翻訳マスタ!$B$1:$D$1,0))</f>
        <v>• Không nhập trùng cùng một nội dung trên nhiều trang tính</v>
      </c>
      <c r="B7" s="63"/>
      <c r="C7" s="63"/>
      <c r="D7" s="63"/>
      <c r="E7" s="63"/>
      <c r="F7" s="63"/>
      <c r="G7" s="63"/>
      <c r="H7" s="63"/>
      <c r="J7" s="3" t="s">
        <v>553</v>
      </c>
      <c r="K7" s="3" t="str">
        <f>INDEX(_翻訳マスタ!$B$2:$D$32,MATCH("U3",_翻訳マスタ!$A$2:$A$32,0),MATCH(言語切替!$B$3,_翻訳マスタ!$B$1:$D$1,0))</f>
        <v>Quản lý kế hoạch sản phẩm bàn giao và mốc tiến độ</v>
      </c>
    </row>
    <row r="8" spans="1:14" x14ac:dyDescent="0.25">
      <c r="A8" s="62" t="str">
        <f>INDEX(_翻訳マスタ!$B$2:$D$32,MATCH("P4",_翻訳マスタ!$A$2:$A$32,0),MATCH(言語切替!$B$3,_翻訳マスタ!$B$1:$D$1,0))</f>
        <v>• Không xóa dòng; hãy ghi lại lý do thay đổi hoặc rút lại</v>
      </c>
      <c r="B8" s="63"/>
      <c r="C8" s="63"/>
      <c r="D8" s="63"/>
      <c r="E8" s="63"/>
      <c r="F8" s="63"/>
      <c r="G8" s="63"/>
      <c r="H8" s="63"/>
      <c r="J8" s="3" t="s">
        <v>14</v>
      </c>
      <c r="K8" s="3" t="str">
        <f>INDEX(_翻訳マスタ!$B$2:$D$32,MATCH("U4",_翻訳マスタ!$A$2:$A$32,0),MATCH(言語切替!$B$3,_翻訳マスタ!$B$1:$D$1,0))</f>
        <v>Quản lý trở ngại, hành động và rủi ro</v>
      </c>
    </row>
    <row r="9" spans="1:14" ht="31.5" x14ac:dyDescent="0.25">
      <c r="J9" s="3" t="s">
        <v>16</v>
      </c>
      <c r="K9" s="3" t="str">
        <f>INDEX(_翻訳マスタ!$B$2:$D$32,MATCH("U5",_翻訳マスタ!$A$2:$A$32,0),MATCH(言語切替!$B$3,_翻訳マスタ!$B$1:$D$1,0))</f>
        <v>Ghi lại lịch sử quyết định và phạm vi ảnh hưởng</v>
      </c>
    </row>
    <row r="10" spans="1:14" ht="31.5" x14ac:dyDescent="0.25">
      <c r="A10" s="66" t="str">
        <f>INDEX(_翻訳マスタ!$B$2:$D$32,MATCH("RESP_HEADER",_翻訳マスタ!$A$2:$A$32,0),MATCH(言語切替!$B$3,_翻訳マスタ!$B$1:$D$1,0))</f>
        <v>2. Trách nhiệm cập nhật</v>
      </c>
      <c r="B10" s="63"/>
      <c r="C10" s="63"/>
      <c r="D10" s="63"/>
      <c r="E10" s="63"/>
      <c r="F10" s="63"/>
      <c r="G10" s="63"/>
      <c r="H10" s="63"/>
      <c r="J10" s="3" t="s">
        <v>19</v>
      </c>
      <c r="K10" s="3" t="str">
        <f>INDEX(_翻訳マスタ!$B$2:$D$32,MATCH("U6",_翻訳マスタ!$A$2:$A$32,0),MATCH(言語切替!$B$3,_翻訳マスタ!$B$1:$D$1,0))</f>
        <v>Định nghĩa KPI, giá trị cơ sở, mục tiêu và thực tế</v>
      </c>
    </row>
    <row r="11" spans="1:14" x14ac:dyDescent="0.25">
      <c r="A11" s="62" t="str">
        <f>INDEX(_翻訳マスタ!$B$2:$D$32,MATCH("R1",_翻訳マスタ!$A$2:$A$32,0),MATCH(言語切替!$B$3,_翻訳マスタ!$B$1:$D$1,0))</f>
        <v>• Trưởng WG: Cập nhật WBS, vấn đề và KPI sau cuộc họp WG</v>
      </c>
      <c r="B11" s="63"/>
      <c r="C11" s="63"/>
      <c r="D11" s="63"/>
      <c r="E11" s="63"/>
      <c r="F11" s="63"/>
      <c r="G11" s="63"/>
      <c r="H11" s="63"/>
      <c r="J11" s="3" t="s">
        <v>22</v>
      </c>
      <c r="K11" s="3" t="str">
        <f>INDEX(_翻訳マスタ!$B$2:$D$32,MATCH("U7",_翻訳マスタ!$A$2:$A$32,0),MATCH(言語切替!$B$3,_翻訳マスタ!$B$1:$D$1,0))</f>
        <v>Ghi lại các thay đổi quan trọng</v>
      </c>
    </row>
    <row r="12" spans="1:14" x14ac:dyDescent="0.25">
      <c r="A12" s="62" t="str">
        <f>INDEX(_翻訳マスタ!$B$2:$D$32,MATCH("R2",_翻訳マスタ!$A$2:$A$32,0),MATCH(言語切替!$B$3,_翻訳マスタ!$B$1:$D$1,0))</f>
        <v>• Ban điều hành: Hàng tuần rà soát các mục chưa cập nhật, quá hạn, mức High và phụ thuộc giữa các WG</v>
      </c>
      <c r="B12" s="63"/>
      <c r="C12" s="63"/>
      <c r="D12" s="63"/>
      <c r="E12" s="63"/>
      <c r="F12" s="63"/>
      <c r="G12" s="63"/>
      <c r="H12" s="63"/>
    </row>
    <row r="13" spans="1:14" x14ac:dyDescent="0.25">
      <c r="A13" s="62" t="str">
        <f>INDEX(_翻訳マスタ!$B$2:$D$32,MATCH("R3",_翻訳マスタ!$A$2:$A$32,0),MATCH(言語切替!$B$3,_翻訳マスタ!$B$1:$D$1,0))</f>
        <v>• Người xác nhận hoàn thành: Kiểm tra sản phẩm bàn giao hoặc kết quả xử lý và phê duyệt hoàn thành</v>
      </c>
      <c r="B13" s="63"/>
      <c r="C13" s="63"/>
      <c r="D13" s="63"/>
      <c r="E13" s="63"/>
      <c r="F13" s="63"/>
      <c r="G13" s="63"/>
      <c r="H13" s="63"/>
    </row>
    <row r="14" spans="1:14" x14ac:dyDescent="0.25">
      <c r="A14" s="62" t="str">
        <f>INDEX(_翻訳マスタ!$B$2:$D$32,MATCH("R4",_翻訳マスタ!$A$2:$A$32,0),MATCH(言語切替!$B$3,_翻訳マスタ!$B$1:$D$1,0))</f>
        <v>• Trưởng tiểu ban / Phó trưởng đơn vị: Quyết định các vấn đề quan trọng</v>
      </c>
      <c r="B14" s="63"/>
      <c r="C14" s="63"/>
      <c r="D14" s="63"/>
      <c r="E14" s="63"/>
      <c r="F14" s="63"/>
      <c r="G14" s="63"/>
      <c r="H14" s="63"/>
    </row>
    <row r="16" spans="1:14" x14ac:dyDescent="0.25">
      <c r="A16" s="66" t="str">
        <f>INDEX(_翻訳マスタ!$B$2:$D$32,MATCH("CYCLE_HEADER",_翻訳マスタ!$A$2:$A$32,0),MATCH(言語切替!$B$3,_翻訳マスタ!$B$1:$D$1,0))</f>
        <v>3. Chu trình hàng tuần</v>
      </c>
      <c r="B16" s="63"/>
      <c r="C16" s="63"/>
      <c r="D16" s="63"/>
      <c r="E16" s="63"/>
      <c r="F16" s="63"/>
      <c r="G16" s="63"/>
      <c r="H16" s="63"/>
    </row>
    <row r="17" spans="1:8" x14ac:dyDescent="0.25">
      <c r="A17" s="62" t="str">
        <f>INDEX(_翻訳マスタ!$B$2:$D$32,MATCH("C1",_翻訳マスタ!$A$2:$A$32,0),MATCH(言語切替!$B$3,_翻訳マスタ!$B$1:$D$1,0))</f>
        <v>• Sau hoạt động WG: Đăng ký vấn đề mới, quyết định và hành động tiếp theo</v>
      </c>
      <c r="B17" s="63"/>
      <c r="C17" s="63"/>
      <c r="D17" s="63"/>
      <c r="E17" s="63"/>
      <c r="F17" s="63"/>
      <c r="G17" s="63"/>
      <c r="H17" s="63"/>
    </row>
    <row r="18" spans="1:8" x14ac:dyDescent="0.25">
      <c r="A18" s="62" t="str">
        <f>INDEX(_翻訳マスタ!$B$2:$D$32,MATCH("C2",_翻訳マスタ!$A$2:$A$32,0),MATCH(言語切替!$B$3,_翻訳マスタ!$B$1:$D$1,0))</f>
        <v>• Trước cuộc họp trưởng nhóm: Ban điều hành trích xuất các cảnh báo</v>
      </c>
      <c r="B18" s="63"/>
      <c r="C18" s="63"/>
      <c r="D18" s="63"/>
      <c r="E18" s="63"/>
      <c r="F18" s="63"/>
      <c r="G18" s="63"/>
      <c r="H18" s="63"/>
    </row>
    <row r="19" spans="1:8" x14ac:dyDescent="0.25">
      <c r="A19" s="62" t="str">
        <f>INDEX(_翻訳マスタ!$B$2:$D$32,MATCH("C3",_翻訳マスタ!$A$2:$A$32,0),MATCH(言語切替!$B$3,_翻訳マスタ!$B$1:$D$1,0))</f>
        <v>• Họp trưởng nhóm hàng tuần: Tập trung thảo luận các mục chờ quyết định, vấn đề liên WG và chậm tiến độ</v>
      </c>
      <c r="B19" s="63"/>
      <c r="C19" s="63"/>
      <c r="D19" s="63"/>
      <c r="E19" s="63"/>
      <c r="F19" s="63"/>
      <c r="G19" s="63"/>
      <c r="H19" s="63"/>
    </row>
    <row r="20" spans="1:8" x14ac:dyDescent="0.25">
      <c r="A20" s="62" t="str">
        <f>INDEX(_翻訳マスタ!$B$2:$D$32,MATCH("C4",_翻訳マスタ!$A$2:$A$32,0),MATCH(言語切替!$B$3,_翻訳マスタ!$B$1:$D$1,0))</f>
        <v>• Sau cuộc họp: Cập nhật quyết định, người phụ trách và thời hạn</v>
      </c>
      <c r="B20" s="63"/>
      <c r="C20" s="63"/>
      <c r="D20" s="63"/>
      <c r="E20" s="63"/>
      <c r="F20" s="63"/>
      <c r="G20" s="63"/>
      <c r="H20" s="63"/>
    </row>
    <row r="22" spans="1:8" x14ac:dyDescent="0.25">
      <c r="A22" s="66" t="str">
        <f>INDEX(_翻訳マスタ!$B$2:$D$32,MATCH("ESC_HEADER",_翻訳マスタ!$A$2:$A$32,0),MATCH(言語切替!$B$3,_翻訳マスタ!$B$1:$D$1,0))</f>
        <v>4. Điều kiện báo cáo cấp trên</v>
      </c>
      <c r="B22" s="63"/>
      <c r="C22" s="63"/>
      <c r="D22" s="63"/>
      <c r="E22" s="63"/>
      <c r="F22" s="63"/>
      <c r="G22" s="63"/>
      <c r="H22" s="63"/>
    </row>
    <row r="23" spans="1:8" x14ac:dyDescent="0.25">
      <c r="A23" s="62" t="str">
        <f>INDEX(_翻訳マスタ!$B$2:$D$32,MATCH("E1",_翻訳マスタ!$A$2:$A$32,0),MATCH(言語切替!$B$3,_翻訳マスタ!$B$1:$D$1,0))</f>
        <v>• Mức ưu tiên High</v>
      </c>
      <c r="B23" s="63"/>
      <c r="C23" s="63"/>
      <c r="D23" s="63"/>
      <c r="E23" s="63"/>
      <c r="F23" s="63"/>
      <c r="G23" s="63"/>
      <c r="H23" s="63"/>
    </row>
    <row r="24" spans="1:8" x14ac:dyDescent="0.25">
      <c r="A24" s="62" t="str">
        <f>INDEX(_翻訳マスタ!$B$2:$D$32,MATCH("E2",_翻訳マスタ!$A$2:$A$32,0),MATCH(言語切替!$B$3,_翻訳マスタ!$B$1:$D$1,0))</f>
        <v>• Đã quá hạn hoặc có khả năng quá hạn</v>
      </c>
      <c r="B24" s="63"/>
      <c r="C24" s="63"/>
      <c r="D24" s="63"/>
      <c r="E24" s="63"/>
      <c r="F24" s="63"/>
      <c r="G24" s="63"/>
      <c r="H24" s="63"/>
    </row>
    <row r="25" spans="1:8" x14ac:dyDescent="0.25">
      <c r="A25" s="62" t="str">
        <f>INDEX(_翻訳マスタ!$B$2:$D$32,MATCH("E3",_翻訳マスタ!$A$2:$A$32,0),MATCH(言語切替!$B$3,_翻訳マスタ!$B$1:$D$1,0))</f>
        <v>• Ảnh hưởng đến nhiều WG hoặc nhiều đơn vị</v>
      </c>
      <c r="B25" s="63"/>
      <c r="C25" s="63"/>
      <c r="D25" s="63"/>
      <c r="E25" s="63"/>
      <c r="F25" s="63"/>
      <c r="G25" s="63"/>
      <c r="H25" s="63"/>
    </row>
    <row r="26" spans="1:8" x14ac:dyDescent="0.25">
      <c r="A26" s="62" t="str">
        <f>INDEX(_翻訳マスタ!$B$2:$D$32,MATCH("E4",_翻訳マスタ!$A$2:$A$32,0),MATCH(言語切替!$B$3,_翻訳マスタ!$B$1:$D$1,0))</f>
        <v>• Cần thay đổi phạm vi, đầu tư, nhân sự hoặc quyết định cấp cao hơn</v>
      </c>
      <c r="B26" s="63"/>
      <c r="C26" s="63"/>
      <c r="D26" s="63"/>
      <c r="E26" s="63"/>
      <c r="F26" s="63"/>
      <c r="G26" s="63"/>
      <c r="H26" s="63"/>
    </row>
    <row r="27" spans="1:8" x14ac:dyDescent="0.25">
      <c r="A27" s="1" t="str">
        <f>INDEX(_翻訳マスタ!$B$2:$D$300,MATCH("PARA_TITLE",_翻訳マスタ!$A$2:$A$300,0),MATCH(言語切替!$B$3,_翻訳マスタ!$B$1:$D$1,0))</f>
        <v>5. Quy tắc dịch song song (nội dung mới)</v>
      </c>
    </row>
    <row r="28" spans="1:8" x14ac:dyDescent="0.25">
      <c r="A28" s="1" t="str">
        <f>INDEX(_翻訳マスタ!$B$2:$D$300,MATCH("PARA_DESC",_翻訳マスタ!$A$2:$A$300,0),MATCH(言語切替!$B$3,_翻訳マスタ!$B$1:$D$1,0))</f>
        <v>Cột tiếng Việt nhập liệu bình thường. Các cột JP/CN kề cạnh tự động dịch bằng hàm TRANSLATE (cần M365 + mạng).</v>
      </c>
    </row>
    <row r="29" spans="1:8" x14ac:dyDescent="0.25">
      <c r="A29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30" spans="1:8" x14ac:dyDescent="0.25">
      <c r="A30" s="1" t="str">
        <f>INDEX(_翻訳マスタ!$B$2:$D$300,MATCH("BACKUP_TITLE",_翻訳マスタ!$A$2:$A$300,0),MATCH(言語切替!$B$3,_翻訳マスタ!$B$1:$D$1,0))</f>
        <v>6. Chống xóa &amp; sao lưu</v>
      </c>
    </row>
    <row r="31" spans="1:8" x14ac:dyDescent="0.25">
      <c r="A31" s="1" t="str">
        <f>INDEX(_翻訳マスタ!$B$2:$D$300,MATCH("BACKUP_DESC",_翻訳マスタ!$A$2:$A$300,0),MATCH(言語切替!$B$3,_翻訳マスタ!$B$1:$D$1,0))</f>
        <v>Cấm xóa dòng vật lý. Chuyển sang "Rút lại" và sao chép sang _ゴミ箱_Backup. Bật Version History 500 bản trên SharePoint, hàng tuần lưu riêng.</v>
      </c>
    </row>
  </sheetData>
  <mergeCells count="22"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  <mergeCell ref="A11:H11"/>
    <mergeCell ref="A6:H6"/>
    <mergeCell ref="A1:N1"/>
    <mergeCell ref="A7:H7"/>
    <mergeCell ref="A2:N2"/>
    <mergeCell ref="A5:H5"/>
    <mergeCell ref="A8:H8"/>
    <mergeCell ref="A4:H4"/>
    <mergeCell ref="A10:H10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zoomScale="85" workbookViewId="0">
      <pane ySplit="8" topLeftCell="A9" activePane="bottomLeft" state="frozen"/>
      <selection pane="bottomLeft" activeCell="E10" sqref="E10"/>
    </sheetView>
  </sheetViews>
  <sheetFormatPr defaultColWidth="8.75" defaultRowHeight="15.75" x14ac:dyDescent="0.25"/>
  <cols>
    <col min="1" max="1" width="22.75" style="1" customWidth="1"/>
    <col min="2" max="2" width="15.5" style="1" bestFit="1" customWidth="1"/>
    <col min="3" max="3" width="13.125" style="1" bestFit="1" customWidth="1"/>
    <col min="4" max="4" width="14.5" style="1" bestFit="1" customWidth="1"/>
    <col min="5" max="5" width="14.875" style="1" bestFit="1" customWidth="1"/>
    <col min="6" max="6" width="17.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64" t="str">
        <f>INDEX(_翻訳マスタ!$B$33:$D$45,MATCH("DASH_TITLE",_翻訳マスタ!$A$33:$A$45,0),MATCH(言語切替!$B$3,_翻訳マスタ!$B$1:$D$1,0))</f>
        <v>Tổng quan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x14ac:dyDescent="0.25">
      <c r="A2" s="65" t="str">
        <f>INDEX(_翻訳マスタ!$B$33:$D$45,MATCH("DASH_DESC",_翻訳マスタ!$A$33:$A$45,0),MATCH(言語切替!$B$3,_翻訳マスタ!$B$1:$D$1,0))</f>
        <v>Dùng cho ban điều hành và cuộc họp trưởng WG hàng tuần. Không cần nhập liệu; thông tin WBS, Vấn đề/ToDo và KPI được tự động tổng hợp.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4" spans="1:14" x14ac:dyDescent="0.25">
      <c r="B4" s="85" t="str">
        <f>INDEX(_翻訳マスタ!$B$33:$D$45,MATCH("DASH_OPEN_WBS",_翻訳マスタ!$A$33:$A$45,0),MATCH(言語切替!$B$3,_翻訳マスタ!$B$1:$D$1,0))</f>
        <v>WBS chưa hoàn thành</v>
      </c>
      <c r="C4" s="86"/>
      <c r="D4" s="77" t="str">
        <f>INDEX(_翻訳マスタ!$B$33:$D$45,MATCH("DASH_DELAY_WBS",_翻訳マスタ!$A$33:$A$45,0),MATCH(言語切替!$B$3,_翻訳マスタ!$B$1:$D$1,0))</f>
        <v>WBS chậm tiến độ</v>
      </c>
      <c r="E4" s="78"/>
      <c r="F4" s="67" t="str">
        <f>INDEX(_翻訳マスタ!$B$33:$D$45,MATCH("DASH_OPEN_ISSUES",_翻訳マスタ!$A$33:$A$45,0),MATCH(言語切替!$B$3,_翻訳マスタ!$B$1:$D$1,0))</f>
        <v>Vấn đề/ToDo chưa hoàn thành</v>
      </c>
      <c r="G4" s="68"/>
      <c r="H4" s="79" t="str">
        <f>INDEX(_翻訳マスタ!$B$33:$D$45,MATCH("DASH_HIGH_OVERDUE",_翻訳マスタ!$A$33:$A$45,0),MATCH(言語切替!$B$3,_翻訳マスタ!$B$1:$D$1,0))</f>
        <v>High / Quá hạn</v>
      </c>
      <c r="I4" s="80"/>
      <c r="J4" s="69" t="str">
        <f>INDEX(_翻訳マスタ!$B$33:$D$45,MATCH("DASH_KPI_MISS",_翻訳マスタ!$A$33:$A$45,0),MATCH(言語切替!$B$3,_翻訳マスタ!$B$1:$D$1,0))</f>
        <v>KPI chưa đạt</v>
      </c>
      <c r="K4" s="70"/>
    </row>
    <row r="5" spans="1:14" x14ac:dyDescent="0.25">
      <c r="B5" s="71">
        <f>COUNTIFS('03_WBS'!$A$5:$A$204,"&lt;&gt;",'03_WBS'!$N$5:$N$204,"&lt;&gt;"&amp;INDEX(_翻訳マスタ!$B$75:$D$75,1,MATCH(言語切替!$B$3,_翻訳マスタ!$B$1:$D$1,0)))</f>
        <v>3</v>
      </c>
      <c r="C5" s="72"/>
      <c r="D5" s="75">
        <f ca="1">COUNTIF('03_WBS'!$P$5:$P$204,INDEX(_翻訳マスタ!$B$92:$D$92,1,MATCH(言語切替!$B$3,_翻訳マスタ!$B$1:$D$1,0)))</f>
        <v>0</v>
      </c>
      <c r="E5" s="76"/>
      <c r="F5" s="73">
        <f>COUNTIFS('04_課題ToDo'!$A$5:$A$304,"&lt;&gt;"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4</v>
      </c>
      <c r="G5" s="74"/>
      <c r="H5" s="81">
        <f ca="1">COUNTIFS('04_課題ToDo'!$A$5:$A$304,"&lt;&gt;",'04_課題ToDo'!$AC$5:$AC$304,"High")+COUNTIFS('04_課題ToDo'!$A$5:$A$304,"&lt;&gt;",'04_課題ToDo'!$AC$5:$AC$304,INDEX(_翻訳マスタ!$B$117:$D$247,MATCH("ALERT_OVERDUE",_翻訳マスタ!$A$117:$A$247,0),MATCH(言語切替!$B$3,_翻訳マスタ!$B$1:$D$1,0)))</f>
        <v>2</v>
      </c>
      <c r="I5" s="82"/>
      <c r="J5" s="83">
        <f>COUNTIFS('06_KPI'!$A$5:$A$204,"&lt;&gt;",'06_KPI'!$U$5:$U$204,INDEX(_翻訳マスタ!$B$94:$D$94,1,MATCH(言語切替!$B$3,_翻訳マスタ!$B$1:$D$1,0)))</f>
        <v>0</v>
      </c>
      <c r="K5" s="84"/>
    </row>
    <row r="6" spans="1:14" x14ac:dyDescent="0.25">
      <c r="B6" s="72"/>
      <c r="C6" s="72"/>
      <c r="D6" s="76"/>
      <c r="E6" s="76"/>
      <c r="F6" s="74"/>
      <c r="G6" s="74"/>
      <c r="H6" s="82"/>
      <c r="I6" s="82"/>
      <c r="J6" s="84"/>
      <c r="K6" s="84"/>
    </row>
    <row r="9" spans="1:14" ht="31.5" x14ac:dyDescent="0.25">
      <c r="A9" s="6" t="str">
        <f>INDEX(_翻訳マスタ!$B$33:$D$45,MATCH("DASH_WG",_翻訳マスタ!$A$33:$A$45,0),MATCH(言語切替!$B$3,_翻訳マスタ!$B$1:$D$1,0))</f>
        <v>WG</v>
      </c>
      <c r="B9" s="7" t="str">
        <f>INDEX(_翻訳マスタ!$B$33:$D$45,MATCH("DASH_OPEN_WBS",_翻訳マスタ!$A$33:$A$45,0),MATCH(言語切替!$B$3,_翻訳マスタ!$B$1:$D$1,0))</f>
        <v>WBS chưa hoàn thành</v>
      </c>
      <c r="C9" s="7" t="str">
        <f>INDEX(_翻訳マスタ!$B$33:$D$45,MATCH("DASH_DELAY_WBS",_翻訳マスタ!$A$33:$A$45,0),MATCH(言語切替!$B$3,_翻訳マスタ!$B$1:$D$1,0))</f>
        <v>WBS chậm tiến độ</v>
      </c>
      <c r="D9" s="7" t="str">
        <f>INDEX(_翻訳マスタ!$B$33:$D$45,MATCH("DASH_OPEN_ISSUES_SHORT",_翻訳マスタ!$A$33:$A$45,0),MATCH(言語切替!$B$3,_翻訳マスタ!$B$1:$D$1,0))</f>
        <v>Vấn đề chưa hoàn thành</v>
      </c>
      <c r="E9" s="7" t="str">
        <f>INDEX(_翻訳マスタ!$B$33:$D$45,MATCH("DASH_HIGH_OVERDUE_SHORT",_翻訳マスタ!$A$33:$A$45,0),MATCH(言語切替!$B$3,_翻訳マスタ!$B$1:$D$1,0))</f>
        <v>High/Quá hạn</v>
      </c>
      <c r="F9" s="7" t="str">
        <f>INDEX(_翻訳マスタ!$B$33:$D$45,MATCH("DASH_WAITING",_翻訳マスタ!$A$33:$A$45,0),MATCH(言語切替!$B$3,_翻訳マスタ!$B$1:$D$1,0))</f>
        <v>Chờ quyết định/WG khác</v>
      </c>
      <c r="G9" s="8" t="str">
        <f>INDEX(_翻訳マスタ!$B$33:$D$45,MATCH("DASH_KPI_MISS",_翻訳マスタ!$A$33:$A$45,0),MATCH(言語切替!$B$3,_翻訳マスタ!$B$1:$D$1,0))</f>
        <v>KPI chưa đạt</v>
      </c>
    </row>
    <row r="10" spans="1:14" x14ac:dyDescent="0.25">
      <c r="A10" s="9" t="str">
        <f>'02_マスタ'!$A$5</f>
        <v>Toàn bộ</v>
      </c>
      <c r="B10" s="10">
        <f>COUNTIFS('03_WBS'!$B$5:$B$204,$A10,'03_WBS'!$N$5:$N$204,"&lt;&gt;"&amp;INDEX(_翻訳マスタ!$B$75:$D$75,1,MATCH(言語切替!$B$3,_翻訳マスタ!$B$1:$D$1,0)))</f>
        <v>1</v>
      </c>
      <c r="C10" s="10">
        <f ca="1">COUNTIFS('03_WBS'!$B$5:$B$204,$A10,'03_WBS'!$P$5:$P$204,INDEX(_翻訳マスタ!$B$92:$D$92,1,MATCH(言語切替!$B$3,_翻訳マスタ!$B$1:$D$1,0)))</f>
        <v>0</v>
      </c>
      <c r="D10" s="10">
        <f>COUNTIFS('04_課題ToDo'!$C$5:$C$304,$A10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1</v>
      </c>
      <c r="E10" s="10">
        <f ca="1">COUNTIFS('04_課題ToDo'!$C$5:$C$304,$A10,'04_課題ToDo'!$AC$5:$AC$304,"High")+COUNTIFS('04_課題ToDo'!$C$5:$C$304,$A10,'04_課題ToDo'!$AC$5:$AC$304,INDEX(_翻訳マスタ!$B$117:$D$247,MATCH("ALERT_OVERDUE",_翻訳マスタ!$A$117:$A$247,0),MATCH(言語切替!$B$3,_翻訳マスタ!$B$1:$D$1,0)))</f>
        <v>1</v>
      </c>
      <c r="F10" s="10">
        <f>COUNTIFS('04_課題ToDo'!$C$5:$C$304,$A10,'04_課題ToDo'!$S$5:$S$304,INDEX(_翻訳マスタ!$B$72:$D$72,1,MATCH(言語切替!$B$3,_翻訳マスタ!$B$1:$D$1,0)))+COUNTIFS('04_課題ToDo'!$C$5:$C$304,$A10,'04_課題ToDo'!$S$5:$S$304,INDEX(_翻訳マスタ!$B$73:$D$73,1,MATCH(言語切替!$B$3,_翻訳マスタ!$B$1:$D$1,0)))</f>
        <v>0</v>
      </c>
      <c r="G10" s="11">
        <f>COUNTIFS('06_KPI'!$B$5:$B$204,$A10,'06_KPI'!$U$5:$U$204,INDEX(_翻訳マスタ!$B$94:$D$94,1,MATCH(言語切替!$B$3,_翻訳マスタ!$B$1:$D$1,0)))</f>
        <v>0</v>
      </c>
    </row>
    <row r="11" spans="1:14" x14ac:dyDescent="0.25">
      <c r="A11" s="12" t="s">
        <v>330</v>
      </c>
      <c r="B11" s="13">
        <f>COUNTIFS('03_WBS'!$B$5:$B$204,$A11,'03_WBS'!$N$5:$N$204,"&lt;&gt;"&amp;INDEX(_翻訳マスタ!$B$75:$D$75,1,MATCH(言語切替!$B$3,_翻訳マスタ!$B$1:$D$1,0)))</f>
        <v>1</v>
      </c>
      <c r="C11" s="13">
        <f ca="1">COUNTIFS('03_WBS'!$B$5:$B$204,$A11,'03_WBS'!$P$5:$P$204,INDEX(_翻訳マスタ!$B$92:$D$92,1,MATCH(言語切替!$B$3,_翻訳マスタ!$B$1:$D$1,0)))</f>
        <v>0</v>
      </c>
      <c r="D11" s="13">
        <f>COUNTIFS('04_課題ToDo'!$C$5:$C$304,$A11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0</v>
      </c>
      <c r="E11" s="13">
        <f>COUNTIFS('04_課題ToDo'!$C$5:$C$304,$A11,'04_課題ToDo'!$AC$5:$AC$304,"High")+COUNTIFS('04_課題ToDo'!$C$5:$C$304,$A11,'04_課題ToDo'!$AC$5:$AC$304,INDEX(_翻訳マスタ!$B$117:$D$247,MATCH("ALERT_OVERDUE",_翻訳マスタ!$A$117:$A$247,0),MATCH(言語切替!$B$3,_翻訳マスタ!$B$1:$D$1,0)))</f>
        <v>0</v>
      </c>
      <c r="F11" s="13">
        <f>COUNTIFS('04_課題ToDo'!$C$5:$C$304,$A11,'04_課題ToDo'!$S$5:$S$304,INDEX(_翻訳マスタ!$B$72:$D$72,1,MATCH(言語切替!$B$3,_翻訳マスタ!$B$1:$D$1,0)))+COUNTIFS('04_課題ToDo'!$C$5:$C$304,$A11,'04_課題ToDo'!$S$5:$S$304,INDEX(_翻訳マスタ!$B$73:$D$73,1,MATCH(言語切替!$B$3,_翻訳マスタ!$B$1:$D$1,0)))</f>
        <v>0</v>
      </c>
      <c r="G11" s="14">
        <f>COUNTIFS('06_KPI'!$B$5:$B$204,$A11,'06_KPI'!$U$5:$U$204,INDEX(_翻訳マスタ!$B$94:$D$94,1,MATCH(言語切替!$B$3,_翻訳マスタ!$B$1:$D$1,0)))</f>
        <v>0</v>
      </c>
    </row>
    <row r="12" spans="1:14" x14ac:dyDescent="0.25">
      <c r="A12" s="15" t="s">
        <v>332</v>
      </c>
      <c r="B12" s="16">
        <f>COUNTIFS('03_WBS'!$B$5:$B$204,$A12,'03_WBS'!$N$5:$N$204,"&lt;&gt;"&amp;INDEX(_翻訳マスタ!$B$75:$D$75,1,MATCH(言語切替!$B$3,_翻訳マスタ!$B$1:$D$1,0)))</f>
        <v>0</v>
      </c>
      <c r="C12" s="16">
        <f>COUNTIFS('03_WBS'!$B$5:$B$204,$A12,'03_WBS'!$P$5:$P$204,INDEX(_翻訳マスタ!$B$92:$D$92,1,MATCH(言語切替!$B$3,_翻訳マスタ!$B$1:$D$1,0)))</f>
        <v>0</v>
      </c>
      <c r="D12" s="16">
        <f>COUNTIFS('04_課題ToDo'!$C$5:$C$304,$A12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0</v>
      </c>
      <c r="E12" s="16">
        <f>COUNTIFS('04_課題ToDo'!$C$5:$C$304,$A12,'04_課題ToDo'!$AC$5:$AC$304,"High")+COUNTIFS('04_課題ToDo'!$C$5:$C$304,$A12,'04_課題ToDo'!$AC$5:$AC$304,INDEX(_翻訳マスタ!$B$117:$D$247,MATCH("ALERT_OVERDUE",_翻訳マスタ!$A$117:$A$247,0),MATCH(言語切替!$B$3,_翻訳マスタ!$B$1:$D$1,0)))</f>
        <v>0</v>
      </c>
      <c r="F12" s="16">
        <f>COUNTIFS('04_課題ToDo'!$C$5:$C$304,$A12,'04_課題ToDo'!$S$5:$S$304,INDEX(_翻訳マスタ!$B$72:$D$72,1,MATCH(言語切替!$B$3,_翻訳マスタ!$B$1:$D$1,0)))+COUNTIFS('04_課題ToDo'!$C$5:$C$304,$A12,'04_課題ToDo'!$S$5:$S$304,INDEX(_翻訳マスタ!$B$73:$D$73,1,MATCH(言語切替!$B$3,_翻訳マスタ!$B$1:$D$1,0)))</f>
        <v>0</v>
      </c>
      <c r="G12" s="17">
        <f>COUNTIFS('06_KPI'!$B$5:$B$204,$A12,'06_KPI'!$U$5:$U$204,INDEX(_翻訳マスタ!$B$94:$D$94,1,MATCH(言語切替!$B$3,_翻訳マスタ!$B$1:$D$1,0)))</f>
        <v>0</v>
      </c>
    </row>
    <row r="13" spans="1:14" x14ac:dyDescent="0.25">
      <c r="A13" s="12" t="s">
        <v>334</v>
      </c>
      <c r="B13" s="13">
        <f>COUNTIFS('03_WBS'!$B$5:$B$204,$A13,'03_WBS'!$N$5:$N$204,"&lt;&gt;"&amp;INDEX(_翻訳マスタ!$B$75:$D$75,1,MATCH(言語切替!$B$3,_翻訳マスタ!$B$1:$D$1,0)))</f>
        <v>0</v>
      </c>
      <c r="C13" s="13">
        <f>COUNTIFS('03_WBS'!$B$5:$B$204,$A13,'03_WBS'!$P$5:$P$204,INDEX(_翻訳マスタ!$B$92:$D$92,1,MATCH(言語切替!$B$3,_翻訳マスタ!$B$1:$D$1,0)))</f>
        <v>0</v>
      </c>
      <c r="D13" s="13">
        <f>COUNTIFS('04_課題ToDo'!$C$5:$C$304,$A13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0</v>
      </c>
      <c r="E13" s="13">
        <f>COUNTIFS('04_課題ToDo'!$C$5:$C$304,$A13,'04_課題ToDo'!$AC$5:$AC$304,"High")+COUNTIFS('04_課題ToDo'!$C$5:$C$304,$A13,'04_課題ToDo'!$AC$5:$AC$304,INDEX(_翻訳マスタ!$B$117:$D$247,MATCH("ALERT_OVERDUE",_翻訳マスタ!$A$117:$A$247,0),MATCH(言語切替!$B$3,_翻訳マスタ!$B$1:$D$1,0)))</f>
        <v>0</v>
      </c>
      <c r="F13" s="13">
        <f>COUNTIFS('04_課題ToDo'!$C$5:$C$304,$A13,'04_課題ToDo'!$S$5:$S$304,INDEX(_翻訳マスタ!$B$72:$D$72,1,MATCH(言語切替!$B$3,_翻訳マスタ!$B$1:$D$1,0)))+COUNTIFS('04_課題ToDo'!$C$5:$C$304,$A13,'04_課題ToDo'!$S$5:$S$304,INDEX(_翻訳マスタ!$B$73:$D$73,1,MATCH(言語切替!$B$3,_翻訳マスタ!$B$1:$D$1,0)))</f>
        <v>0</v>
      </c>
      <c r="G13" s="14">
        <f>COUNTIFS('06_KPI'!$B$5:$B$204,$A13,'06_KPI'!$U$5:$U$204,INDEX(_翻訳マスタ!$B$94:$D$94,1,MATCH(言語切替!$B$3,_翻訳マスタ!$B$1:$D$1,0)))</f>
        <v>0</v>
      </c>
    </row>
    <row r="14" spans="1:14" x14ac:dyDescent="0.25">
      <c r="A14" s="15" t="s">
        <v>336</v>
      </c>
      <c r="B14" s="16">
        <f>COUNTIFS('03_WBS'!$B$5:$B$204,$A14,'03_WBS'!$N$5:$N$204,"&lt;&gt;"&amp;INDEX(_翻訳マスタ!$B$75:$D$75,1,MATCH(言語切替!$B$3,_翻訳マスタ!$B$1:$D$1,0)))</f>
        <v>0</v>
      </c>
      <c r="C14" s="16">
        <f>COUNTIFS('03_WBS'!$B$5:$B$204,$A14,'03_WBS'!$P$5:$P$204,INDEX(_翻訳マスタ!$B$92:$D$92,1,MATCH(言語切替!$B$3,_翻訳マスタ!$B$1:$D$1,0)))</f>
        <v>0</v>
      </c>
      <c r="D14" s="16">
        <f>COUNTIFS('04_課題ToDo'!$C$5:$C$304,$A14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1</v>
      </c>
      <c r="E14" s="16">
        <f ca="1">COUNTIFS('04_課題ToDo'!$C$5:$C$304,$A14,'04_課題ToDo'!$AC$5:$AC$304,"High")+COUNTIFS('04_課題ToDo'!$C$5:$C$304,$A14,'04_課題ToDo'!$AC$5:$AC$304,INDEX(_翻訳マスタ!$B$117:$D$247,MATCH("ALERT_OVERDUE",_翻訳マスタ!$A$117:$A$247,0),MATCH(言語切替!$B$3,_翻訳マスタ!$B$1:$D$1,0)))</f>
        <v>1</v>
      </c>
      <c r="F14" s="16">
        <f>COUNTIFS('04_課題ToDo'!$C$5:$C$304,$A14,'04_課題ToDo'!$S$5:$S$304,INDEX(_翻訳マスタ!$B$72:$D$72,1,MATCH(言語切替!$B$3,_翻訳マスタ!$B$1:$D$1,0)))+COUNTIFS('04_課題ToDo'!$C$5:$C$304,$A14,'04_課題ToDo'!$S$5:$S$304,INDEX(_翻訳マスタ!$B$73:$D$73,1,MATCH(言語切替!$B$3,_翻訳マスタ!$B$1:$D$1,0)))</f>
        <v>0</v>
      </c>
      <c r="G14" s="17">
        <f>COUNTIFS('06_KPI'!$B$5:$B$204,$A14,'06_KPI'!$U$5:$U$204,INDEX(_翻訳マスタ!$B$94:$D$94,1,MATCH(言語切替!$B$3,_翻訳マスタ!$B$1:$D$1,0)))</f>
        <v>0</v>
      </c>
    </row>
    <row r="15" spans="1:14" x14ac:dyDescent="0.25">
      <c r="A15" s="12" t="s">
        <v>338</v>
      </c>
      <c r="B15" s="13">
        <f>COUNTIFS('03_WBS'!$B$5:$B$204,$A15,'03_WBS'!$N$5:$N$204,"&lt;&gt;"&amp;INDEX(_翻訳マスタ!$B$75:$D$75,1,MATCH(言語切替!$B$3,_翻訳マスタ!$B$1:$D$1,0)))</f>
        <v>0</v>
      </c>
      <c r="C15" s="13">
        <f>COUNTIFS('03_WBS'!$B$5:$B$204,$A15,'03_WBS'!$P$5:$P$204,INDEX(_翻訳マスタ!$B$92:$D$92,1,MATCH(言語切替!$B$3,_翻訳マスタ!$B$1:$D$1,0)))</f>
        <v>0</v>
      </c>
      <c r="D15" s="13">
        <f>COUNTIFS('04_課題ToDo'!$C$5:$C$304,$A15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0</v>
      </c>
      <c r="E15" s="13">
        <f>COUNTIFS('04_課題ToDo'!$C$5:$C$304,$A15,'04_課題ToDo'!$AC$5:$AC$304,"High")+COUNTIFS('04_課題ToDo'!$C$5:$C$304,$A15,'04_課題ToDo'!$AC$5:$AC$304,INDEX(_翻訳マスタ!$B$117:$D$247,MATCH("ALERT_OVERDUE",_翻訳マスタ!$A$117:$A$247,0),MATCH(言語切替!$B$3,_翻訳マスタ!$B$1:$D$1,0)))</f>
        <v>0</v>
      </c>
      <c r="F15" s="13">
        <f>COUNTIFS('04_課題ToDo'!$C$5:$C$304,$A15,'04_課題ToDo'!$S$5:$S$304,INDEX(_翻訳マスタ!$B$72:$D$72,1,MATCH(言語切替!$B$3,_翻訳マスタ!$B$1:$D$1,0)))+COUNTIFS('04_課題ToDo'!$C$5:$C$304,$A15,'04_課題ToDo'!$S$5:$S$304,INDEX(_翻訳マスタ!$B$73:$D$73,1,MATCH(言語切替!$B$3,_翻訳マスタ!$B$1:$D$1,0)))</f>
        <v>0</v>
      </c>
      <c r="G15" s="14">
        <f>COUNTIFS('06_KPI'!$B$5:$B$204,$A15,'06_KPI'!$U$5:$U$204,INDEX(_翻訳マスタ!$B$94:$D$94,1,MATCH(言語切替!$B$3,_翻訳マスタ!$B$1:$D$1,0)))</f>
        <v>0</v>
      </c>
    </row>
    <row r="16" spans="1:14" x14ac:dyDescent="0.25">
      <c r="A16" s="15" t="s">
        <v>340</v>
      </c>
      <c r="B16" s="16">
        <f>COUNTIFS('03_WBS'!$B$5:$B$204,$A16,'03_WBS'!$N$5:$N$204,"&lt;&gt;"&amp;INDEX(_翻訳マスタ!$B$75:$D$75,1,MATCH(言語切替!$B$3,_翻訳マスタ!$B$1:$D$1,0)))</f>
        <v>0</v>
      </c>
      <c r="C16" s="16">
        <f>COUNTIFS('03_WBS'!$B$5:$B$204,$A16,'03_WBS'!$P$5:$P$204,INDEX(_翻訳マスタ!$B$92:$D$92,1,MATCH(言語切替!$B$3,_翻訳マスタ!$B$1:$D$1,0)))</f>
        <v>0</v>
      </c>
      <c r="D16" s="16">
        <f>COUNTIFS('04_課題ToDo'!$C$5:$C$304,$A16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0</v>
      </c>
      <c r="E16" s="16">
        <f>COUNTIFS('04_課題ToDo'!$C$5:$C$304,$A16,'04_課題ToDo'!$AC$5:$AC$304,"High")+COUNTIFS('04_課題ToDo'!$C$5:$C$304,$A16,'04_課題ToDo'!$AC$5:$AC$304,INDEX(_翻訳マスタ!$B$117:$D$247,MATCH("ALERT_OVERDUE",_翻訳マスタ!$A$117:$A$247,0),MATCH(言語切替!$B$3,_翻訳マスタ!$B$1:$D$1,0)))</f>
        <v>0</v>
      </c>
      <c r="F16" s="16">
        <f>COUNTIFS('04_課題ToDo'!$C$5:$C$304,$A16,'04_課題ToDo'!$S$5:$S$304,INDEX(_翻訳マスタ!$B$72:$D$72,1,MATCH(言語切替!$B$3,_翻訳マスタ!$B$1:$D$1,0)))+COUNTIFS('04_課題ToDo'!$C$5:$C$304,$A16,'04_課題ToDo'!$S$5:$S$304,INDEX(_翻訳マスタ!$B$73:$D$73,1,MATCH(言語切替!$B$3,_翻訳マスタ!$B$1:$D$1,0)))</f>
        <v>0</v>
      </c>
      <c r="G16" s="17">
        <f>COUNTIFS('06_KPI'!$B$5:$B$204,$A16,'06_KPI'!$U$5:$U$204,INDEX(_翻訳マスタ!$B$94:$D$94,1,MATCH(言語切替!$B$3,_翻訳マスタ!$B$1:$D$1,0)))</f>
        <v>0</v>
      </c>
    </row>
    <row r="17" spans="1:7" x14ac:dyDescent="0.25">
      <c r="A17" s="12" t="s">
        <v>342</v>
      </c>
      <c r="B17" s="13">
        <f>COUNTIFS('03_WBS'!$B$5:$B$204,$A17,'03_WBS'!$N$5:$N$204,"&lt;&gt;"&amp;INDEX(_翻訳マスタ!$B$75:$D$75,1,MATCH(言語切替!$B$3,_翻訳マスタ!$B$1:$D$1,0)))</f>
        <v>0</v>
      </c>
      <c r="C17" s="13">
        <f>COUNTIFS('03_WBS'!$B$5:$B$204,$A17,'03_WBS'!$P$5:$P$204,INDEX(_翻訳マスタ!$B$92:$D$92,1,MATCH(言語切替!$B$3,_翻訳マスタ!$B$1:$D$1,0)))</f>
        <v>0</v>
      </c>
      <c r="D17" s="13">
        <f>COUNTIFS('04_課題ToDo'!$C$5:$C$304,$A17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1</v>
      </c>
      <c r="E17" s="13">
        <f ca="1">COUNTIFS('04_課題ToDo'!$C$5:$C$304,$A17,'04_課題ToDo'!$AC$5:$AC$304,"High")+COUNTIFS('04_課題ToDo'!$C$5:$C$304,$A17,'04_課題ToDo'!$AC$5:$AC$304,INDEX(_翻訳マスタ!$B$117:$D$247,MATCH("ALERT_OVERDUE",_翻訳マスタ!$A$117:$A$247,0),MATCH(言語切替!$B$3,_翻訳マスタ!$B$1:$D$1,0)))</f>
        <v>0</v>
      </c>
      <c r="F17" s="13">
        <f>COUNTIFS('04_課題ToDo'!$C$5:$C$304,$A17,'04_課題ToDo'!$S$5:$S$304,INDEX(_翻訳マスタ!$B$72:$D$72,1,MATCH(言語切替!$B$3,_翻訳マスタ!$B$1:$D$1,0)))+COUNTIFS('04_課題ToDo'!$C$5:$C$304,$A17,'04_課題ToDo'!$S$5:$S$304,INDEX(_翻訳マスタ!$B$73:$D$73,1,MATCH(言語切替!$B$3,_翻訳マスタ!$B$1:$D$1,0)))</f>
        <v>0</v>
      </c>
      <c r="G17" s="14">
        <f>COUNTIFS('06_KPI'!$B$5:$B$204,$A17,'06_KPI'!$U$5:$U$204,INDEX(_翻訳マスタ!$B$94:$D$94,1,MATCH(言語切替!$B$3,_翻訳マスタ!$B$1:$D$1,0)))</f>
        <v>0</v>
      </c>
    </row>
    <row r="18" spans="1:7" x14ac:dyDescent="0.25">
      <c r="A18" s="15" t="s">
        <v>343</v>
      </c>
      <c r="B18" s="16">
        <f>COUNTIFS('03_WBS'!$B$5:$B$204,$A18,'03_WBS'!$N$5:$N$204,"&lt;&gt;"&amp;INDEX(_翻訳マスタ!$B$75:$D$75,1,MATCH(言語切替!$B$3,_翻訳マスタ!$B$1:$D$1,0)))</f>
        <v>1</v>
      </c>
      <c r="C18" s="16">
        <f ca="1">COUNTIFS('03_WBS'!$B$5:$B$204,$A18,'03_WBS'!$P$5:$P$204,INDEX(_翻訳マスタ!$B$92:$D$92,1,MATCH(言語切替!$B$3,_翻訳マスタ!$B$1:$D$1,0)))</f>
        <v>0</v>
      </c>
      <c r="D18" s="16">
        <f>COUNTIFS('04_課題ToDo'!$C$5:$C$304,$A18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0</v>
      </c>
      <c r="E18" s="16">
        <f>COUNTIFS('04_課題ToDo'!$C$5:$C$304,$A18,'04_課題ToDo'!$AC$5:$AC$304,"High")+COUNTIFS('04_課題ToDo'!$C$5:$C$304,$A18,'04_課題ToDo'!$AC$5:$AC$304,INDEX(_翻訳マスタ!$B$117:$D$247,MATCH("ALERT_OVERDUE",_翻訳マスタ!$A$117:$A$247,0),MATCH(言語切替!$B$3,_翻訳マスタ!$B$1:$D$1,0)))</f>
        <v>0</v>
      </c>
      <c r="F18" s="16">
        <f>COUNTIFS('04_課題ToDo'!$C$5:$C$304,$A18,'04_課題ToDo'!$S$5:$S$304,INDEX(_翻訳マスタ!$B$72:$D$72,1,MATCH(言語切替!$B$3,_翻訳マスタ!$B$1:$D$1,0)))+COUNTIFS('04_課題ToDo'!$C$5:$C$304,$A18,'04_課題ToDo'!$S$5:$S$304,INDEX(_翻訳マスタ!$B$73:$D$73,1,MATCH(言語切替!$B$3,_翻訳マスタ!$B$1:$D$1,0)))</f>
        <v>0</v>
      </c>
      <c r="G18" s="17">
        <f>COUNTIFS('06_KPI'!$B$5:$B$204,$A18,'06_KPI'!$U$5:$U$204,INDEX(_翻訳マスタ!$B$94:$D$94,1,MATCH(言語切替!$B$3,_翻訳マスタ!$B$1:$D$1,0)))</f>
        <v>0</v>
      </c>
    </row>
    <row r="19" spans="1:7" x14ac:dyDescent="0.25">
      <c r="A19" s="18" t="s">
        <v>345</v>
      </c>
      <c r="B19" s="19">
        <f>COUNTIFS('03_WBS'!$B$5:$B$204,$A19,'03_WBS'!$N$5:$N$204,"&lt;&gt;"&amp;INDEX(_翻訳マスタ!$B$75:$D$75,1,MATCH(言語切替!$B$3,_翻訳マスタ!$B$1:$D$1,0)))</f>
        <v>0</v>
      </c>
      <c r="C19" s="19">
        <f>COUNTIFS('03_WBS'!$B$5:$B$204,$A19,'03_WBS'!$P$5:$P$204,INDEX(_翻訳マスタ!$B$92:$D$92,1,MATCH(言語切替!$B$3,_翻訳マスタ!$B$1:$D$1,0)))</f>
        <v>0</v>
      </c>
      <c r="D19" s="19">
        <f>COUNTIFS('04_課題ToDo'!$C$5:$C$304,$A19,'04_課題ToDo'!$S$5:$S$304,"&lt;&gt;"&amp;INDEX(_翻訳マスタ!$B$75:$D$75,1,MATCH(言語切替!$B$3,_翻訳マスタ!$B$1:$D$1,0)),'04_課題ToDo'!$S$5:$S$304,"&lt;&gt;"&amp;INDEX(_翻訳マスタ!$B$77:$D$77,1,MATCH(言語切替!$B$3,_翻訳マスタ!$B$1:$D$1,0)))</f>
        <v>1</v>
      </c>
      <c r="E19" s="19">
        <f ca="1">COUNTIFS('04_課題ToDo'!$C$5:$C$304,$A19,'04_課題ToDo'!$AC$5:$AC$304,"High")+COUNTIFS('04_課題ToDo'!$C$5:$C$304,$A19,'04_課題ToDo'!$AC$5:$AC$304,INDEX(_翻訳マスタ!$B$117:$D$247,MATCH("ALERT_OVERDUE",_翻訳マスタ!$A$117:$A$247,0),MATCH(言語切替!$B$3,_翻訳マスタ!$B$1:$D$1,0)))</f>
        <v>0</v>
      </c>
      <c r="F19" s="19">
        <f>COUNTIFS('04_課題ToDo'!$C$5:$C$304,$A19,'04_課題ToDo'!$S$5:$S$304,INDEX(_翻訳マスタ!$B$72:$D$72,1,MATCH(言語切替!$B$3,_翻訳マスタ!$B$1:$D$1,0)))+COUNTIFS('04_課題ToDo'!$C$5:$C$304,$A19,'04_課題ToDo'!$S$5:$S$304,INDEX(_翻訳マスタ!$B$73:$D$73,1,MATCH(言語切替!$B$3,_翻訳マスタ!$B$1:$D$1,0)))</f>
        <v>0</v>
      </c>
      <c r="G19" s="20">
        <f>COUNTIFS('06_KPI'!$B$5:$B$204,$A19,'06_KPI'!$U$5:$U$204,INDEX(_翻訳マスタ!$B$94:$D$94,1,MATCH(言語切替!$B$3,_翻訳マスタ!$B$1:$D$1,0)))</f>
        <v>0</v>
      </c>
    </row>
  </sheetData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zoomScale="85" workbookViewId="0">
      <selection activeCell="C33" sqref="C33"/>
    </sheetView>
  </sheetViews>
  <sheetFormatPr defaultColWidth="8.75" defaultRowHeight="15.75" x14ac:dyDescent="0.25"/>
  <cols>
    <col min="1" max="1" width="47.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64" t="str">
        <f>INDEX(_翻訳マスタ!$B$47:$D$98,MATCH("M_TITLE",_翻訳マスタ!$A$47:$A$98,0),MATCH(言語切替!$B$3,_翻訳マスタ!$B$1:$D$1,0))</f>
        <v>Danh mục nhập liệu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x14ac:dyDescent="0.25">
      <c r="A2" s="65" t="str">
        <f>INDEX(_翻訳マスタ!$B$47:$D$98,MATCH("M_DESC",_翻訳マスタ!$A$47:$A$98,0),MATCH(言語切替!$B$3,_翻訳マスタ!$B$1:$D$1,0))</f>
        <v>Các giá trị lựa chọn dùng cho xác thực dữ liệu. Chỉ ban điều hành được thay đổi.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4" spans="1:14" x14ac:dyDescent="0.25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Đơn vị</v>
      </c>
      <c r="E4" s="2" t="str">
        <f>INDEX(_翻訳マスタ!$B$47:$D$98,MATCH("M_STATUS",_翻訳マスタ!$A$47:$A$98,0),MATCH(言語切替!$B$3,_翻訳マスタ!$B$1:$D$1,0))</f>
        <v>Trạng thái</v>
      </c>
      <c r="G4" s="2" t="str">
        <f>INDEX(_翻訳マスタ!$B$47:$D$98,MATCH("M_PRIORITY",_翻訳マスタ!$A$47:$A$98,0),MATCH(言語切替!$B$3,_翻訳マスタ!$B$1:$D$1,0))</f>
        <v>Mức ưu tiên</v>
      </c>
      <c r="I4" s="2" t="str">
        <f>INDEX(_翻訳マスタ!$B$47:$D$98,MATCH("M_TYPE",_翻訳マスタ!$A$47:$A$98,0),MATCH(言語切替!$B$3,_翻訳マスタ!$B$1:$D$1,0))</f>
        <v>Phân loại</v>
      </c>
      <c r="K4" s="2" t="str">
        <f>INDEX(_翻訳マスタ!$B$47:$D$98,MATCH("M_KPI_LEVEL",_翻訳マスタ!$A$47:$A$98,0),MATCH(言語切替!$B$3,_翻訳マスタ!$B$1:$D$1,0))</f>
        <v>Cấp KPI</v>
      </c>
      <c r="M4" s="2" t="str">
        <f>INDEX(_翻訳マスタ!$B$47:$D$98,MATCH("M_JUDGMENT",_翻訳マスタ!$A$47:$A$98,0),MATCH(言語切替!$B$3,_翻訳マスタ!$B$1:$D$1,0))</f>
        <v>Đánh giá</v>
      </c>
    </row>
    <row r="5" spans="1:14" x14ac:dyDescent="0.25">
      <c r="A5" s="3" t="str">
        <f>INDEX(_翻訳マスタ!$B$47:$D$98,MATCH("M_ALL",_翻訳マスタ!$A$47:$A$98,0),MATCH(言語切替!$B$3,_翻訳マスタ!$B$1:$D$1,0))</f>
        <v>Toàn bộ</v>
      </c>
      <c r="C5" s="3" t="str">
        <f>INDEX(_翻訳マスタ!$B$47:$D$98,MATCH("M_COMMON",_翻訳マスタ!$A$47:$A$98,0),MATCH(言語切替!$B$3,_翻訳マスタ!$B$1:$D$1,0))</f>
        <v>Chung</v>
      </c>
      <c r="E5" s="3" t="str">
        <f>INDEX(_翻訳マスタ!$B$47:$D$98,MATCH("M_NOT_STARTED",_翻訳マスタ!$A$47:$A$98,0),MATCH(言語切替!$B$3,_翻訳マスタ!$B$1:$D$1,0))</f>
        <v>Chưa bắt đầu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Vấn đề</v>
      </c>
      <c r="K5" s="3" t="str">
        <f>INDEX(_翻訳マスタ!$B$47:$D$98,MATCH("M_FOUNDATION",_翻訳マスタ!$A$47:$A$98,0),MATCH(言語切替!$B$3,_翻訳マスタ!$B$1:$D$1,0))</f>
        <v>Thiết lập nền tảng</v>
      </c>
      <c r="M5" s="3" t="str">
        <f>INDEX(_翻訳マスタ!$B$47:$D$98,MATCH("M_UNSET",_翻訳マスタ!$A$47:$A$98,0),MATCH(言語切替!$B$3,_翻訳マスタ!$B$1:$D$1,0))</f>
        <v>Chưa thiết lập</v>
      </c>
    </row>
    <row r="6" spans="1:14" x14ac:dyDescent="0.25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Đang xử lý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Vận hành ổn định</v>
      </c>
      <c r="M6" s="3" t="str">
        <f>INDEX(_翻訳マスタ!$B$47:$D$98,MATCH("M_ON_TRACK",_翻訳マスタ!$A$47:$A$98,0),MATCH(言語切替!$B$3,_翻訳マスタ!$B$1:$D$1,0))</f>
        <v>Đúng tiến độ</v>
      </c>
    </row>
    <row r="7" spans="1:14" x14ac:dyDescent="0.25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Chờ quyết định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Quyết định</v>
      </c>
      <c r="K7" s="3" t="str">
        <f>INDEX(_翻訳マスタ!$B$47:$D$98,MATCH("M_BUSINESS",_翻訳マスタ!$A$47:$A$98,0),MATCH(言語切替!$B$3,_翻訳マスタ!$B$1:$D$1,0))</f>
        <v>Kết quả nghiệp vụ</v>
      </c>
      <c r="M7" s="3" t="str">
        <f>INDEX(_翻訳マスタ!$B$47:$D$98,MATCH("M_CAUTION",_翻訳マスタ!$A$47:$A$98,0),MATCH(言語切替!$B$3,_翻訳マスタ!$B$1:$D$1,0))</f>
        <v>Cần chú ý</v>
      </c>
    </row>
    <row r="8" spans="1:14" x14ac:dyDescent="0.25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Chờ WG khác</v>
      </c>
      <c r="I8" s="3" t="str">
        <f>INDEX(_翻訳マスタ!$B$47:$D$98,MATCH("M_RISK",_翻訳マスタ!$A$47:$A$98,0),MATCH(言語切替!$B$3,_翻訳マスタ!$B$1:$D$1,0))</f>
        <v>Rủi ro</v>
      </c>
      <c r="K8" s="3" t="str">
        <f>INDEX(_翻訳マスタ!$B$47:$D$98,MATCH("M_INVESTMENT",_翻訳マスタ!$A$47:$A$98,0),MATCH(言語切替!$B$3,_翻訳マスタ!$B$1:$D$1,0))</f>
        <v>Kết quả đầu tư</v>
      </c>
      <c r="M8" s="3" t="str">
        <f>INDEX(_翻訳マスタ!$B$47:$D$98,MATCH("M_DELAY",_翻訳マスタ!$A$47:$A$98,0),MATCH(言語切替!$B$3,_翻訳マスタ!$B$1:$D$1,0))</f>
        <v>Chậm tiến độ</v>
      </c>
    </row>
    <row r="9" spans="1:14" x14ac:dyDescent="0.25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Chờ xác nhận hoàn thành</v>
      </c>
      <c r="M9" s="3" t="str">
        <f>INDEX(_翻訳マスタ!$B$47:$D$98,MATCH("M_ACHIEVED",_翻訳マスタ!$A$47:$A$98,0),MATCH(言語切替!$B$3,_翻訳マスタ!$B$1:$D$1,0))</f>
        <v>Đạt</v>
      </c>
    </row>
    <row r="10" spans="1:14" x14ac:dyDescent="0.25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Hoàn thành</v>
      </c>
      <c r="M10" s="3" t="str">
        <f>INDEX(_翻訳マスタ!$B$47:$D$98,MATCH("M_NOT_ACHIEVED",_翻訳マスタ!$A$47:$A$98,0),MATCH(言語切替!$B$3,_翻訳マスタ!$B$1:$D$1,0))</f>
        <v>Chưa đạt</v>
      </c>
    </row>
    <row r="11" spans="1:14" x14ac:dyDescent="0.25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Tạm hoãn</v>
      </c>
    </row>
    <row r="12" spans="1:14" x14ac:dyDescent="0.25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Rút lại</v>
      </c>
    </row>
    <row r="13" spans="1:14" x14ac:dyDescent="0.25">
      <c r="A13" s="3" t="str">
        <f>INDEX(_翻訳マスタ!$B$47:$D$98,MATCH("M_WG8",_翻訳マスタ!$A$47:$A$98,0),MATCH(言語切替!$B$3,_翻訳マスタ!$B$1:$D$1,0))</f>
        <v>WG-8</v>
      </c>
    </row>
    <row r="14" spans="1:14" x14ac:dyDescent="0.25">
      <c r="A14" s="3" t="str">
        <f>INDEX(_翻訳マスタ!$B$47:$D$98,MATCH("M_WG9",_翻訳マスタ!$A$47:$A$98,0),MATCH(言語切替!$B$3,_翻訳マスタ!$B$1:$D$1,0))</f>
        <v>WG-9</v>
      </c>
    </row>
    <row r="18" spans="1:8" x14ac:dyDescent="0.25">
      <c r="A18" s="2" t="str">
        <f>INDEX(_翻訳マスタ!$B$47:$D$98,MATCH("M_PRIORITY_GUIDE",_翻訳マスタ!$A$47:$A$98,0),MATCH(言語切替!$B$3,_翻訳マスタ!$B$1:$D$1,0))</f>
        <v>Nguyên tắc ưu tiên</v>
      </c>
    </row>
    <row r="19" spans="1:8" x14ac:dyDescent="0.25">
      <c r="A19" s="62" t="str">
        <f>INDEX(_翻訳マスタ!$B$47:$D$98,MATCH("M_HIGH_DESC",_翻訳マスタ!$A$47:$A$98,0),MATCH(言語切替!$B$3,_翻訳マスタ!$B$1:$D$1,0))</f>
        <v>High: Ảnh hưởng trực tiếp đến tiến độ, chi phí và chất lượng của toàn tiểu ban.</v>
      </c>
      <c r="B19" s="63"/>
      <c r="C19" s="63"/>
      <c r="D19" s="63"/>
      <c r="E19" s="63"/>
      <c r="F19" s="63"/>
      <c r="G19" s="63"/>
      <c r="H19" s="63"/>
    </row>
    <row r="20" spans="1:8" x14ac:dyDescent="0.25">
      <c r="A20" s="1" t="str">
        <f>INDEX(_翻訳マスタ!$B$47:$D$98,MATCH("M_MIDDLE_DESC",_翻訳マスタ!$A$47:$A$98,0),MATCH(言語切替!$B$3,_翻訳マスタ!$B$1:$D$1,0))</f>
        <v>Middle: Ảnh hưởng trực tiếp đến tiến độ, chi phí và chất lượng của từng WG.</v>
      </c>
    </row>
    <row r="21" spans="1:8" x14ac:dyDescent="0.25">
      <c r="A21" s="1" t="str">
        <f>INDEX(_翻訳マスタ!$B$47:$D$98,MATCH("M_LOW_DESC",_翻訳マスタ!$A$47:$A$98,0),MATCH(言語切替!$B$3,_翻訳マスタ!$B$1:$D$1,0))</f>
        <v>Low: Ảnh hưởng trực tiếp nhỏ nhưng cần thiết để thành công.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08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2" style="1" customWidth="1"/>
    <col min="4" max="4" width="18" style="1" customWidth="1"/>
    <col min="5" max="7" width="34" style="1" customWidth="1"/>
    <col min="8" max="8" width="18" style="1" customWidth="1"/>
    <col min="9" max="12" width="12" style="1" customWidth="1"/>
    <col min="13" max="13" width="10" style="1" customWidth="1"/>
    <col min="14" max="14" width="15" style="1" customWidth="1"/>
    <col min="15" max="16" width="10" style="1" customWidth="1"/>
    <col min="17" max="17" width="28" style="1" customWidth="1"/>
    <col min="18" max="20" width="24" style="1" customWidth="1"/>
    <col min="21" max="16384" width="8.75" style="1"/>
  </cols>
  <sheetData>
    <row r="1" spans="1:20" ht="21" x14ac:dyDescent="0.25">
      <c r="A1" s="64" t="str">
        <f>INDEX(_翻訳マスタ!$B$99:$D$116,MATCH("WBS_TITLE",_翻訳マスタ!$A$99:$A$116,0),MATCH(言語切替!$B$3,_翻訳マスタ!$B$1:$D$1,0))</f>
        <v>WBS &amp; Mốc tiến độ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20" x14ac:dyDescent="0.25">
      <c r="A2" s="65" t="str">
        <f>INDEX(_翻訳マスタ!$B$99:$D$116,MATCH("WBS_DESC",_翻訳マスタ!$A$99:$A$116,0),MATCH(言語切替!$B$3,_翻訳マスタ!$B$1:$D$1,0))</f>
        <v>Các ô chữ màu xanh là ô nhập liệu. Tỷ lệ tiến độ, số ngày còn lại và đánh giá chậm tiến độ được tính tự động. 3 dòng là ví dụ nhập liệu.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1:20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20" ht="45" customHeight="1" x14ac:dyDescent="0.25">
      <c r="A4" s="6" t="str">
        <f>INDEX(_翻訳マスタ!$B$99:$D$116,MATCH("WBS_ID",_翻訳マスタ!$A$99:$A$116,0),MATCH(言語切替!$B$3,_翻訳マスタ!$B$1:$D$1,0))</f>
        <v>WBS ID</v>
      </c>
      <c r="B4" s="7" t="str">
        <f>INDEX(_翻訳マスタ!$B$99:$D$116,MATCH("WBS_WG",_翻訳マスタ!$A$99:$A$116,0),MATCH(言語切替!$B$3,_翻訳マスタ!$B$1:$D$1,0))</f>
        <v>WG</v>
      </c>
      <c r="C4" s="7" t="str">
        <f>INDEX(_翻訳マスタ!$B$99:$D$116,MATCH("WBS_SITE",_翻訳マスタ!$A$99:$A$116,0),MATCH(言語切替!$B$3,_翻訳マスタ!$B$1:$D$1,0))</f>
        <v>Đơn vị</v>
      </c>
      <c r="D4" s="7" t="str">
        <f>INDEX(_翻訳マスタ!$B$99:$D$116,MATCH("WBS_CATEGORY",_翻訳マスタ!$A$99:$A$116,0),MATCH(言語切替!$B$3,_翻訳マスタ!$B$1:$D$1,0))</f>
        <v>Phân loại chính</v>
      </c>
      <c r="E4" s="7" t="str">
        <f>INDEX(_翻訳マスタ!$B$2:$D$300,MATCH("WBS_TASK",_翻訳マスタ!$A$2:$A$300,0),MATCH(言語切替!$B$3,_翻訳マスタ!$B$1:$D$1,0))&amp;INDEX(_翻訳マスタ!$B$2:$D$300,MATCH("NEW_VI_SUFFIX",_翻訳マスタ!$A$2:$A$300,0),MATCH(言語切替!$B$3,_翻訳マスタ!$B$1:$D$1,0))</f>
        <v>Nhiệm vụ / Sản phẩm bàn giao (VI)</v>
      </c>
      <c r="F4" s="7" t="str">
        <f>INDEX(_翻訳マスタ!$B$2:$D$300,MATCH("WBS_TASK",_翻訳マスタ!$A$2:$A$300,0),MATCH(言語切替!$B$3,_翻訳マスタ!$B$1:$D$1,0))&amp;INDEX(_翻訳マスタ!$B$2:$D$300,MATCH("NEW_JP_SUFFIX",_翻訳マスタ!$A$2:$A$300,0),MATCH(言語切替!$B$3,_翻訳マスタ!$B$1:$D$1,0))</f>
        <v>Nhiệm vụ / Sản phẩm bàn giao (JP)</v>
      </c>
      <c r="G4" s="7" t="str">
        <f>INDEX(_翻訳マスタ!$B$2:$D$300,MATCH("WBS_TASK",_翻訳マスタ!$A$2:$A$300,0),MATCH(言語切替!$B$3,_翻訳マスタ!$B$1:$D$1,0))&amp;INDEX(_翻訳マスタ!$B$2:$D$300,MATCH("NEW_CN_SUFFIX",_翻訳マスタ!$A$2:$A$300,0),MATCH(言語切替!$B$3,_翻訳マスタ!$B$1:$D$1,0))</f>
        <v>Nhiệm vụ / Sản phẩm bàn giao (CN)</v>
      </c>
      <c r="H4" s="7" t="str">
        <f>INDEX(_翻訳マスタ!$B$99:$D$116,MATCH("WBS_OWNER",_翻訳マスタ!$A$99:$A$116,0),MATCH(言語切替!$B$3,_翻訳マスタ!$B$1:$D$1,0))</f>
        <v>Người chịu trách nhiệm</v>
      </c>
      <c r="I4" s="7" t="str">
        <f>INDEX(_翻訳マスタ!$B$99:$D$116,MATCH("WBS_PLAN_START",_翻訳マスタ!$A$99:$A$116,0),MATCH(言語切替!$B$3,_翻訳マスタ!$B$1:$D$1,0))</f>
        <v>Ngày bắt đầu kế hoạch</v>
      </c>
      <c r="J4" s="7" t="str">
        <f>INDEX(_翻訳マスタ!$B$99:$D$116,MATCH("WBS_PLAN_END",_翻訳マスタ!$A$99:$A$116,0),MATCH(言語切替!$B$3,_翻訳マスタ!$B$1:$D$1,0))</f>
        <v>Ngày kết thúc kế hoạch</v>
      </c>
      <c r="K4" s="7" t="str">
        <f>INDEX(_翻訳マスタ!$B$99:$D$116,MATCH("WBS_ACTUAL_START",_翻訳マスタ!$A$99:$A$116,0),MATCH(言語切替!$B$3,_翻訳マスタ!$B$1:$D$1,0))</f>
        <v>Ngày bắt đầu thực tế</v>
      </c>
      <c r="L4" s="7" t="str">
        <f>INDEX(_翻訳マスタ!$B$99:$D$116,MATCH("WBS_ACTUAL_END",_翻訳マスタ!$A$99:$A$116,0),MATCH(言語切替!$B$3,_翻訳マスタ!$B$1:$D$1,0))</f>
        <v>Ngày kết thúc thực tế</v>
      </c>
      <c r="M4" s="7" t="str">
        <f>INDEX(_翻訳マスタ!$B$99:$D$116,MATCH("WBS_PROGRESS",_翻訳マスタ!$A$99:$A$116,0),MATCH(言語切替!$B$3,_翻訳マスタ!$B$1:$D$1,0))</f>
        <v>Tỷ lệ tiến độ</v>
      </c>
      <c r="N4" s="7" t="str">
        <f>INDEX(_翻訳マスタ!$B$99:$D$116,MATCH("WBS_STATUS",_翻訳マスタ!$A$99:$A$116,0),MATCH(言語切替!$B$3,_翻訳マスタ!$B$1:$D$1,0))</f>
        <v>Trạng thái</v>
      </c>
      <c r="O4" s="7" t="str">
        <f>INDEX(_翻訳マスタ!$B$99:$D$116,MATCH("WBS_DAYS",_翻訳マスタ!$A$99:$A$116,0),MATCH(言語切替!$B$3,_翻訳マスタ!$B$1:$D$1,0))</f>
        <v>Số ngày còn lại</v>
      </c>
      <c r="P4" s="7" t="str">
        <f>INDEX(_翻訳マスタ!$B$99:$D$116,MATCH("WBS_DELAY",_翻訳マスタ!$A$99:$A$116,0),MATCH(言語切替!$B$3,_翻訳マスタ!$B$1:$D$1,0))</f>
        <v>Đánh giá chậm tiến độ</v>
      </c>
      <c r="Q4" s="7" t="str">
        <f>INDEX(_翻訳マスタ!$B$99:$D$116,MATCH("WBS_LINK",_翻訳マスタ!$A$99:$A$116,0),MATCH(言語切替!$B$3,_翻訳マスタ!$B$1:$D$1,0))</f>
        <v>Liên kết liên quan</v>
      </c>
      <c r="R4" s="8" t="str">
        <f>INDEX(_翻訳マスタ!$B$2:$D$300,MATCH("WBS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S4" s="43" t="str">
        <f>INDEX(_翻訳マスタ!$B$2:$D$300,MATCH("WBS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T4" s="43" t="str">
        <f>INDEX(_翻訳マスタ!$B$2:$D$300,MATCH("WBS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20" s="22" customFormat="1" ht="31.5" customHeight="1" x14ac:dyDescent="0.25">
      <c r="A5" s="23" t="s">
        <v>104</v>
      </c>
      <c r="B5" s="24" t="str">
        <f>'02_マスタ'!$A$5</f>
        <v>Toàn bộ</v>
      </c>
      <c r="C5" s="24" t="s">
        <v>65</v>
      </c>
      <c r="D5" s="24" t="str">
        <f>INDEX(_翻訳マスタ!$B$117:$D$247,MATCH("WBS_CAT_STARTUP",_翻訳マスタ!$A$117:$A$247,0),MATCH(言語切替!$B$3,_翻訳マスタ!$B$1:$D$1,0))</f>
        <v>Khởi động</v>
      </c>
      <c r="E5" s="24" t="str">
        <f>INDEX(_翻訳マスタ!$D$2:$D$300,MATCH("WBS_TASK_1",_翻訳マスタ!$A$2:$A$300,0))</f>
        <v>Xác định quy tắc vận hành WG</v>
      </c>
      <c r="F5" s="44" t="e" vm="1">
        <f>IF(E5="","",_xlfn.TRANSLATE(E5,"","ja"))</f>
        <v>#VALUE!</v>
      </c>
      <c r="G5" s="44" t="e" vm="1">
        <f>IF(E5="","",_xlfn.TRANSLATE(E5,"","zh-Hans"))</f>
        <v>#VALUE!</v>
      </c>
      <c r="H5" s="24" t="str">
        <f>INDEX(_翻訳マスタ!$B$117:$D$247,MATCH("ROLE_PMO",_翻訳マスタ!$A$117:$A$247,0),MATCH(言語切替!$B$3,_翻訳マスタ!$B$1:$D$1,0))</f>
        <v>Ban điều hành</v>
      </c>
      <c r="I5" s="25">
        <v>46288</v>
      </c>
      <c r="J5" s="25">
        <v>46295</v>
      </c>
      <c r="K5" s="25"/>
      <c r="L5" s="25"/>
      <c r="M5" s="54">
        <f t="shared" ref="M5:M36" ca="1" si="0">IF(OR(I5="",J5=""),"",IF(L5&lt;&gt;"",1,IF(K5="",0,MAX(0,MIN(1,(TODAY()-I5)/(J5-I5+1))))))</f>
        <v>0</v>
      </c>
      <c r="N5" s="24" t="str">
        <f>'02_マスタ'!$E$6</f>
        <v>Đang xử lý</v>
      </c>
      <c r="O5" s="10">
        <f t="shared" ref="O5:O36" ca="1" si="1">IF(J5="","",J5-TODAY())</f>
        <v>0</v>
      </c>
      <c r="P5" s="10" t="str">
        <f ca="1">IF(J5="","",IF(L5&lt;&gt;"",INDEX(_翻訳マスタ!$B$75:$D$75,1,MATCH(言語切替!$B$3,_翻訳マスタ!$B$1:$D$1,0)),IF(TODAY()&gt;J5,INDEX(_翻訳マスタ!$B$92:$D$92,1,MATCH(言語切替!$B$3,_翻訳マスタ!$B$1:$D$1,0)),IF(J5-TODAY()&lt;=7,INDEX(_翻訳マスタ!$B$91:$D$91,1,MATCH(言語切替!$B$3,_翻訳マスタ!$B$1:$D$1,0)),INDEX(_翻訳マスタ!$B$90:$D$90,1,MATCH(言語切替!$B$3,_翻訳マスタ!$B$1:$D$1,0))))))</f>
        <v>Cần chú ý</v>
      </c>
      <c r="Q5" s="24"/>
      <c r="R5" s="35" t="str">
        <f>INDEX(_翻訳マスタ!$D$2:$D$300,MATCH("COMMON_EXAMPLE",_翻訳マスタ!$A$2:$A$300,0))</f>
        <v>Ví dụ nhập liệu</v>
      </c>
      <c r="S5" s="52" t="e" vm="1">
        <f>IF(R5="","",_xlfn.TRANSLATE(R5,"","ja"))</f>
        <v>#VALUE!</v>
      </c>
      <c r="T5" s="52" t="e" vm="1">
        <f>IF(R5="","",_xlfn.TRANSLATE(R5,"","zh-Hans"))</f>
        <v>#VALUE!</v>
      </c>
    </row>
    <row r="6" spans="1:20" s="22" customFormat="1" ht="31.5" customHeight="1" x14ac:dyDescent="0.25">
      <c r="A6" s="26" t="s">
        <v>109</v>
      </c>
      <c r="B6" s="27" t="s">
        <v>329</v>
      </c>
      <c r="C6" s="27" t="s">
        <v>77</v>
      </c>
      <c r="D6" s="27" t="str">
        <f>INDEX(_翻訳マスタ!$B$117:$D$247,MATCH("WBS_CAT_ANALYSIS",_翻訳マスタ!$A$117:$A$247,0),MATCH(言語切替!$B$3,_翻訳マスタ!$B$1:$D$1,0))</f>
        <v>Phân tích hiện trạng</v>
      </c>
      <c r="E6" s="27" t="str">
        <f>INDEX(_翻訳マスタ!$D$2:$D$300,MATCH("WBS_TASK_2",_翻訳マスタ!$A$2:$A$300,0))</f>
        <v>Rà soát nghiệp vụ hiện tại</v>
      </c>
      <c r="F6" s="45" t="e" vm="1">
        <f>IF(E6="","",_xlfn.TRANSLATE(E6,"","ja"))</f>
        <v>#VALUE!</v>
      </c>
      <c r="G6" s="45" t="e" vm="1">
        <f>IF(E6="","",_xlfn.TRANSLATE(E6,"","zh-Hans"))</f>
        <v>#VALUE!</v>
      </c>
      <c r="H6" s="27" t="s">
        <v>112</v>
      </c>
      <c r="I6" s="28">
        <v>46294</v>
      </c>
      <c r="J6" s="28">
        <v>46311</v>
      </c>
      <c r="K6" s="28"/>
      <c r="L6" s="28"/>
      <c r="M6" s="55">
        <f t="shared" ca="1" si="0"/>
        <v>0</v>
      </c>
      <c r="N6" s="27" t="str">
        <f>'02_マスタ'!$E$5</f>
        <v>Chưa bắt đầu</v>
      </c>
      <c r="O6" s="13">
        <f t="shared" ca="1" si="1"/>
        <v>16</v>
      </c>
      <c r="P6" s="13" t="str">
        <f ca="1">IF(J6="","",IF(L6&lt;&gt;"",INDEX(_翻訳マスタ!$B$75:$D$75,1,MATCH(言語切替!$B$3,_翻訳マスタ!$B$1:$D$1,0)),IF(TODAY()&gt;J6,INDEX(_翻訳マスタ!$B$92:$D$92,1,MATCH(言語切替!$B$3,_翻訳マスタ!$B$1:$D$1,0)),IF(J6-TODAY()&lt;=7,INDEX(_翻訳マスタ!$B$91:$D$91,1,MATCH(言語切替!$B$3,_翻訳マスタ!$B$1:$D$1,0)),INDEX(_翻訳マスタ!$B$90:$D$90,1,MATCH(言語切替!$B$3,_翻訳マスタ!$B$1:$D$1,0))))))</f>
        <v>Đúng tiến độ</v>
      </c>
      <c r="Q6" s="27"/>
      <c r="R6" s="36" t="str">
        <f>INDEX(_翻訳マスタ!$D$2:$D$300,MATCH("COMMON_EXAMPLE",_翻訳マスタ!$A$2:$A$300,0))</f>
        <v>Ví dụ nhập liệu</v>
      </c>
      <c r="S6" s="53" t="e" vm="1">
        <f>IF(R6="","",_xlfn.TRANSLATE(R6,"","ja"))</f>
        <v>#VALUE!</v>
      </c>
      <c r="T6" s="53" t="e" vm="1">
        <f>IF(R6="","",_xlfn.TRANSLATE(R6,"","zh-Hans"))</f>
        <v>#VALUE!</v>
      </c>
    </row>
    <row r="7" spans="1:20" s="22" customFormat="1" ht="31.5" customHeight="1" x14ac:dyDescent="0.25">
      <c r="A7" s="29" t="s">
        <v>113</v>
      </c>
      <c r="B7" s="30" t="s">
        <v>140</v>
      </c>
      <c r="C7" s="30" t="str">
        <f>'02_マスタ'!$C$5</f>
        <v>Chung</v>
      </c>
      <c r="D7" s="30" t="str">
        <f>INDEX(_翻訳マスタ!$B$117:$D$247,MATCH("WBS_CAT_POLICY",_翻訳マスタ!$A$117:$A$247,0),MATCH(言語切替!$B$3,_翻訳マスタ!$B$1:$D$1,0))</f>
        <v>Xây dựng định hướng</v>
      </c>
      <c r="E7" s="30" t="str">
        <f>INDEX(_翻訳マスタ!$D$2:$D$300,MATCH("WBS_TASK_3",_翻訳マスタ!$A$2:$A$300,0))</f>
        <v>Sắp xếp vai trò hệ thống hiện hữu</v>
      </c>
      <c r="F7" s="46" t="e" vm="1">
        <f>IF(E7="","",_xlfn.TRANSLATE(E7,"","ja"))</f>
        <v>#VALUE!</v>
      </c>
      <c r="G7" s="46" t="e" vm="1">
        <f>IF(E7="","",_xlfn.TRANSLATE(E7,"","zh-Hans"))</f>
        <v>#VALUE!</v>
      </c>
      <c r="H7" s="30" t="s">
        <v>112</v>
      </c>
      <c r="I7" s="31">
        <v>46296</v>
      </c>
      <c r="J7" s="31">
        <v>46325</v>
      </c>
      <c r="K7" s="31"/>
      <c r="L7" s="31"/>
      <c r="M7" s="56">
        <f t="shared" ca="1" si="0"/>
        <v>0</v>
      </c>
      <c r="N7" s="30" t="str">
        <f>'02_マスタ'!$E$5</f>
        <v>Chưa bắt đầu</v>
      </c>
      <c r="O7" s="16">
        <f t="shared" ca="1" si="1"/>
        <v>30</v>
      </c>
      <c r="P7" s="16" t="str">
        <f ca="1">IF(J7="","",IF(L7&lt;&gt;"",INDEX(_翻訳マスタ!$B$75:$D$75,1,MATCH(言語切替!$B$3,_翻訳マスタ!$B$1:$D$1,0)),IF(TODAY()&gt;J7,INDEX(_翻訳マスタ!$B$92:$D$92,1,MATCH(言語切替!$B$3,_翻訳マスタ!$B$1:$D$1,0)),IF(J7-TODAY()&lt;=7,INDEX(_翻訳マスタ!$B$91:$D$91,1,MATCH(言語切替!$B$3,_翻訳マスタ!$B$1:$D$1,0)),INDEX(_翻訳マスタ!$B$90:$D$90,1,MATCH(言語切替!$B$3,_翻訳マスタ!$B$1:$D$1,0))))))</f>
        <v>Đúng tiến độ</v>
      </c>
      <c r="Q7" s="30"/>
      <c r="R7" s="37" t="str">
        <f>INDEX(_翻訳マスタ!$D$2:$D$300,MATCH("COMMON_EXAMPLE",_翻訳マスタ!$A$2:$A$300,0))</f>
        <v>Ví dụ nhập liệu</v>
      </c>
      <c r="S7" s="52" t="e" vm="1">
        <f>IF(R7="","",_xlfn.TRANSLATE(R7,"","ja"))</f>
        <v>#VALUE!</v>
      </c>
      <c r="T7" s="52" t="e" vm="1">
        <f>IF(R7="","",_xlfn.TRANSLATE(R7,"","zh-Hans"))</f>
        <v>#VALUE!</v>
      </c>
    </row>
    <row r="8" spans="1:20" s="22" customFormat="1" ht="31.5" customHeight="1" x14ac:dyDescent="0.25">
      <c r="A8" s="26"/>
      <c r="B8" s="27"/>
      <c r="C8" s="27"/>
      <c r="D8" s="27"/>
      <c r="E8" s="27"/>
      <c r="F8" s="45" t="str">
        <f>IF(E8="","",_xlfn.TRANSLATE(E8,"","ja"))</f>
        <v/>
      </c>
      <c r="G8" s="45" t="str">
        <f>IF(E8="","",_xlfn.TRANSLATE(E8,"","zh-Hans"))</f>
        <v/>
      </c>
      <c r="H8" s="27"/>
      <c r="I8" s="28"/>
      <c r="J8" s="28"/>
      <c r="K8" s="28"/>
      <c r="L8" s="28"/>
      <c r="M8" s="55" t="str">
        <f t="shared" ca="1" si="0"/>
        <v/>
      </c>
      <c r="N8" s="27"/>
      <c r="O8" s="13" t="str">
        <f t="shared" ca="1" si="1"/>
        <v/>
      </c>
      <c r="P8" s="13" t="str">
        <f ca="1">IF(J8="","",IF(L8&lt;&gt;"",INDEX(_翻訳マスタ!$B$75:$D$75,1,MATCH(言語切替!$B$3,_翻訳マスタ!$B$1:$D$1,0)),IF(TODAY()&gt;J8,INDEX(_翻訳マスタ!$B$92:$D$92,1,MATCH(言語切替!$B$3,_翻訳マスタ!$B$1:$D$1,0)),IF(J8-TODAY()&lt;=7,INDEX(_翻訳マスタ!$B$91:$D$91,1,MATCH(言語切替!$B$3,_翻訳マスタ!$B$1:$D$1,0)),INDEX(_翻訳マスタ!$B$90:$D$90,1,MATCH(言語切替!$B$3,_翻訳マスタ!$B$1:$D$1,0))))))</f>
        <v/>
      </c>
      <c r="Q8" s="27"/>
      <c r="R8" s="36"/>
      <c r="S8" s="53" t="str">
        <f>IF(R8="","",_xlfn.TRANSLATE(R8,"","ja"))</f>
        <v/>
      </c>
      <c r="T8" s="53" t="str">
        <f>IF(R8="","",_xlfn.TRANSLATE(R8,"","zh-Hans"))</f>
        <v/>
      </c>
    </row>
    <row r="9" spans="1:20" s="22" customFormat="1" ht="15" customHeight="1" x14ac:dyDescent="0.25">
      <c r="A9" s="29"/>
      <c r="B9" s="30"/>
      <c r="C9" s="30"/>
      <c r="D9" s="30"/>
      <c r="E9" s="30"/>
      <c r="F9" s="46" t="str">
        <f>IF(E9="","",_xlfn.TRANSLATE(E9,"","ja"))</f>
        <v/>
      </c>
      <c r="G9" s="46" t="str">
        <f>IF(E9="","",_xlfn.TRANSLATE(E9,"","zh-Hans"))</f>
        <v/>
      </c>
      <c r="H9" s="30"/>
      <c r="I9" s="31"/>
      <c r="J9" s="31"/>
      <c r="K9" s="31"/>
      <c r="L9" s="31"/>
      <c r="M9" s="56" t="str">
        <f t="shared" ca="1" si="0"/>
        <v/>
      </c>
      <c r="N9" s="30"/>
      <c r="O9" s="16" t="str">
        <f t="shared" ca="1" si="1"/>
        <v/>
      </c>
      <c r="P9" s="16" t="str">
        <f ca="1">IF(J9="","",IF(L9&lt;&gt;"",INDEX(_翻訳マスタ!$B$75:$D$75,1,MATCH(言語切替!$B$3,_翻訳マスタ!$B$1:$D$1,0)),IF(TODAY()&gt;J9,INDEX(_翻訳マスタ!$B$92:$D$92,1,MATCH(言語切替!$B$3,_翻訳マスタ!$B$1:$D$1,0)),IF(J9-TODAY()&lt;=7,INDEX(_翻訳マスタ!$B$91:$D$91,1,MATCH(言語切替!$B$3,_翻訳マスタ!$B$1:$D$1,0)),INDEX(_翻訳マスタ!$B$90:$D$90,1,MATCH(言語切替!$B$3,_翻訳マスタ!$B$1:$D$1,0))))))</f>
        <v/>
      </c>
      <c r="Q9" s="30"/>
      <c r="R9" s="37"/>
      <c r="S9" s="52" t="str">
        <f>IF(R9="","",_xlfn.TRANSLATE(R9,"","ja"))</f>
        <v/>
      </c>
      <c r="T9" s="52" t="str">
        <f>IF(R9="","",_xlfn.TRANSLATE(R9,"","zh-Hans"))</f>
        <v/>
      </c>
    </row>
    <row r="10" spans="1:20" s="22" customFormat="1" ht="15" customHeight="1" x14ac:dyDescent="0.25">
      <c r="A10" s="26"/>
      <c r="B10" s="27"/>
      <c r="C10" s="27"/>
      <c r="D10" s="27"/>
      <c r="E10" s="27"/>
      <c r="F10" s="45" t="str">
        <f>IF(E10="","",_xlfn.TRANSLATE(E10,"","ja"))</f>
        <v/>
      </c>
      <c r="G10" s="45" t="str">
        <f>IF(E10="","",_xlfn.TRANSLATE(E10,"","zh-Hans"))</f>
        <v/>
      </c>
      <c r="H10" s="27"/>
      <c r="I10" s="28"/>
      <c r="J10" s="28"/>
      <c r="K10" s="28"/>
      <c r="L10" s="28"/>
      <c r="M10" s="55" t="str">
        <f t="shared" ca="1" si="0"/>
        <v/>
      </c>
      <c r="N10" s="27"/>
      <c r="O10" s="13" t="str">
        <f t="shared" ca="1" si="1"/>
        <v/>
      </c>
      <c r="P10" s="13" t="str">
        <f ca="1">IF(J10="","",IF(L10&lt;&gt;"",INDEX(_翻訳マスタ!$B$75:$D$75,1,MATCH(言語切替!$B$3,_翻訳マスタ!$B$1:$D$1,0)),IF(TODAY()&gt;J10,INDEX(_翻訳マスタ!$B$92:$D$92,1,MATCH(言語切替!$B$3,_翻訳マスタ!$B$1:$D$1,0)),IF(J10-TODAY()&lt;=7,INDEX(_翻訳マスタ!$B$91:$D$91,1,MATCH(言語切替!$B$3,_翻訳マスタ!$B$1:$D$1,0)),INDEX(_翻訳マスタ!$B$90:$D$90,1,MATCH(言語切替!$B$3,_翻訳マスタ!$B$1:$D$1,0))))))</f>
        <v/>
      </c>
      <c r="Q10" s="27"/>
      <c r="R10" s="36"/>
      <c r="S10" s="53" t="str">
        <f>IF(R10="","",_xlfn.TRANSLATE(R10,"","ja"))</f>
        <v/>
      </c>
      <c r="T10" s="53" t="str">
        <f>IF(R10="","",_xlfn.TRANSLATE(R10,"","zh-Hans"))</f>
        <v/>
      </c>
    </row>
    <row r="11" spans="1:20" s="22" customFormat="1" ht="15" customHeight="1" x14ac:dyDescent="0.25">
      <c r="A11" s="29"/>
      <c r="B11" s="30"/>
      <c r="C11" s="30"/>
      <c r="D11" s="30"/>
      <c r="E11" s="30"/>
      <c r="F11" s="46" t="str">
        <f>IF(E11="","",_xlfn.TRANSLATE(E11,"","ja"))</f>
        <v/>
      </c>
      <c r="G11" s="46" t="str">
        <f>IF(E11="","",_xlfn.TRANSLATE(E11,"","zh-Hans"))</f>
        <v/>
      </c>
      <c r="H11" s="30"/>
      <c r="I11" s="31"/>
      <c r="J11" s="31"/>
      <c r="K11" s="31"/>
      <c r="L11" s="31"/>
      <c r="M11" s="56" t="str">
        <f t="shared" ca="1" si="0"/>
        <v/>
      </c>
      <c r="N11" s="30"/>
      <c r="O11" s="16" t="str">
        <f t="shared" ca="1" si="1"/>
        <v/>
      </c>
      <c r="P11" s="16" t="str">
        <f ca="1">IF(J11="","",IF(L11&lt;&gt;"",INDEX(_翻訳マスタ!$B$75:$D$75,1,MATCH(言語切替!$B$3,_翻訳マスタ!$B$1:$D$1,0)),IF(TODAY()&gt;J11,INDEX(_翻訳マスタ!$B$92:$D$92,1,MATCH(言語切替!$B$3,_翻訳マスタ!$B$1:$D$1,0)),IF(J11-TODAY()&lt;=7,INDEX(_翻訳マスタ!$B$91:$D$91,1,MATCH(言語切替!$B$3,_翻訳マスタ!$B$1:$D$1,0)),INDEX(_翻訳マスタ!$B$90:$D$90,1,MATCH(言語切替!$B$3,_翻訳マスタ!$B$1:$D$1,0))))))</f>
        <v/>
      </c>
      <c r="Q11" s="30"/>
      <c r="R11" s="37"/>
      <c r="S11" s="52" t="str">
        <f>IF(R11="","",_xlfn.TRANSLATE(R11,"","ja"))</f>
        <v/>
      </c>
      <c r="T11" s="52" t="str">
        <f>IF(R11="","",_xlfn.TRANSLATE(R11,"","zh-Hans"))</f>
        <v/>
      </c>
    </row>
    <row r="12" spans="1:20" s="22" customFormat="1" ht="15" customHeight="1" x14ac:dyDescent="0.25">
      <c r="A12" s="26"/>
      <c r="B12" s="27"/>
      <c r="C12" s="27"/>
      <c r="D12" s="27"/>
      <c r="E12" s="27"/>
      <c r="F12" s="45" t="str">
        <f>IF(E12="","",_xlfn.TRANSLATE(E12,"","ja"))</f>
        <v/>
      </c>
      <c r="G12" s="45" t="str">
        <f>IF(E12="","",_xlfn.TRANSLATE(E12,"","zh-Hans"))</f>
        <v/>
      </c>
      <c r="H12" s="27"/>
      <c r="I12" s="28"/>
      <c r="J12" s="28"/>
      <c r="K12" s="28"/>
      <c r="L12" s="28"/>
      <c r="M12" s="55" t="str">
        <f t="shared" ca="1" si="0"/>
        <v/>
      </c>
      <c r="N12" s="27"/>
      <c r="O12" s="13" t="str">
        <f t="shared" ca="1" si="1"/>
        <v/>
      </c>
      <c r="P12" s="13" t="str">
        <f ca="1">IF(J12="","",IF(L12&lt;&gt;"",INDEX(_翻訳マスタ!$B$75:$D$75,1,MATCH(言語切替!$B$3,_翻訳マスタ!$B$1:$D$1,0)),IF(TODAY()&gt;J12,INDEX(_翻訳マスタ!$B$92:$D$92,1,MATCH(言語切替!$B$3,_翻訳マスタ!$B$1:$D$1,0)),IF(J12-TODAY()&lt;=7,INDEX(_翻訳マスタ!$B$91:$D$91,1,MATCH(言語切替!$B$3,_翻訳マスタ!$B$1:$D$1,0)),INDEX(_翻訳マスタ!$B$90:$D$90,1,MATCH(言語切替!$B$3,_翻訳マスタ!$B$1:$D$1,0))))))</f>
        <v/>
      </c>
      <c r="Q12" s="27"/>
      <c r="R12" s="36"/>
      <c r="S12" s="53" t="str">
        <f>IF(R12="","",_xlfn.TRANSLATE(R12,"","ja"))</f>
        <v/>
      </c>
      <c r="T12" s="53" t="str">
        <f>IF(R12="","",_xlfn.TRANSLATE(R12,"","zh-Hans"))</f>
        <v/>
      </c>
    </row>
    <row r="13" spans="1:20" s="22" customFormat="1" ht="15" customHeight="1" x14ac:dyDescent="0.25">
      <c r="A13" s="29"/>
      <c r="B13" s="30"/>
      <c r="C13" s="30"/>
      <c r="D13" s="30"/>
      <c r="E13" s="30"/>
      <c r="F13" s="46" t="str">
        <f>IF(E13="","",_xlfn.TRANSLATE(E13,"","ja"))</f>
        <v/>
      </c>
      <c r="G13" s="46" t="str">
        <f>IF(E13="","",_xlfn.TRANSLATE(E13,"","zh-Hans"))</f>
        <v/>
      </c>
      <c r="H13" s="30"/>
      <c r="I13" s="31"/>
      <c r="J13" s="31"/>
      <c r="K13" s="31"/>
      <c r="L13" s="31"/>
      <c r="M13" s="56" t="str">
        <f t="shared" ca="1" si="0"/>
        <v/>
      </c>
      <c r="N13" s="30"/>
      <c r="O13" s="16" t="str">
        <f t="shared" ca="1" si="1"/>
        <v/>
      </c>
      <c r="P13" s="16" t="str">
        <f ca="1">IF(J13="","",IF(L13&lt;&gt;"",INDEX(_翻訳マスタ!$B$75:$D$75,1,MATCH(言語切替!$B$3,_翻訳マスタ!$B$1:$D$1,0)),IF(TODAY()&gt;J13,INDEX(_翻訳マスタ!$B$92:$D$92,1,MATCH(言語切替!$B$3,_翻訳マスタ!$B$1:$D$1,0)),IF(J13-TODAY()&lt;=7,INDEX(_翻訳マスタ!$B$91:$D$91,1,MATCH(言語切替!$B$3,_翻訳マスタ!$B$1:$D$1,0)),INDEX(_翻訳マスタ!$B$90:$D$90,1,MATCH(言語切替!$B$3,_翻訳マスタ!$B$1:$D$1,0))))))</f>
        <v/>
      </c>
      <c r="Q13" s="30"/>
      <c r="R13" s="37"/>
      <c r="S13" s="52" t="str">
        <f>IF(R13="","",_xlfn.TRANSLATE(R13,"","ja"))</f>
        <v/>
      </c>
      <c r="T13" s="52" t="str">
        <f>IF(R13="","",_xlfn.TRANSLATE(R13,"","zh-Hans"))</f>
        <v/>
      </c>
    </row>
    <row r="14" spans="1:20" s="22" customFormat="1" ht="15" customHeight="1" x14ac:dyDescent="0.25">
      <c r="A14" s="26"/>
      <c r="B14" s="27"/>
      <c r="C14" s="27"/>
      <c r="D14" s="27"/>
      <c r="E14" s="27"/>
      <c r="F14" s="45" t="str">
        <f>IF(E14="","",_xlfn.TRANSLATE(E14,"","ja"))</f>
        <v/>
      </c>
      <c r="G14" s="45" t="str">
        <f>IF(E14="","",_xlfn.TRANSLATE(E14,"","zh-Hans"))</f>
        <v/>
      </c>
      <c r="H14" s="27"/>
      <c r="I14" s="28"/>
      <c r="J14" s="28"/>
      <c r="K14" s="28"/>
      <c r="L14" s="28"/>
      <c r="M14" s="55" t="str">
        <f t="shared" ca="1" si="0"/>
        <v/>
      </c>
      <c r="N14" s="27"/>
      <c r="O14" s="13" t="str">
        <f t="shared" ca="1" si="1"/>
        <v/>
      </c>
      <c r="P14" s="13" t="str">
        <f ca="1">IF(J14="","",IF(L14&lt;&gt;"",INDEX(_翻訳マスタ!$B$75:$D$75,1,MATCH(言語切替!$B$3,_翻訳マスタ!$B$1:$D$1,0)),IF(TODAY()&gt;J14,INDEX(_翻訳マスタ!$B$92:$D$92,1,MATCH(言語切替!$B$3,_翻訳マスタ!$B$1:$D$1,0)),IF(J14-TODAY()&lt;=7,INDEX(_翻訳マスタ!$B$91:$D$91,1,MATCH(言語切替!$B$3,_翻訳マスタ!$B$1:$D$1,0)),INDEX(_翻訳マスタ!$B$90:$D$90,1,MATCH(言語切替!$B$3,_翻訳マスタ!$B$1:$D$1,0))))))</f>
        <v/>
      </c>
      <c r="Q14" s="27"/>
      <c r="R14" s="36"/>
      <c r="S14" s="53" t="str">
        <f>IF(R14="","",_xlfn.TRANSLATE(R14,"","ja"))</f>
        <v/>
      </c>
      <c r="T14" s="53" t="str">
        <f>IF(R14="","",_xlfn.TRANSLATE(R14,"","zh-Hans"))</f>
        <v/>
      </c>
    </row>
    <row r="15" spans="1:20" s="22" customFormat="1" ht="15" customHeight="1" x14ac:dyDescent="0.25">
      <c r="A15" s="29"/>
      <c r="B15" s="30"/>
      <c r="C15" s="30"/>
      <c r="D15" s="30"/>
      <c r="E15" s="30"/>
      <c r="F15" s="46" t="str">
        <f>IF(E15="","",_xlfn.TRANSLATE(E15,"","ja"))</f>
        <v/>
      </c>
      <c r="G15" s="46" t="str">
        <f>IF(E15="","",_xlfn.TRANSLATE(E15,"","zh-Hans"))</f>
        <v/>
      </c>
      <c r="H15" s="30"/>
      <c r="I15" s="31"/>
      <c r="J15" s="31"/>
      <c r="K15" s="31"/>
      <c r="L15" s="31"/>
      <c r="M15" s="56" t="str">
        <f t="shared" ca="1" si="0"/>
        <v/>
      </c>
      <c r="N15" s="30"/>
      <c r="O15" s="16" t="str">
        <f t="shared" ca="1" si="1"/>
        <v/>
      </c>
      <c r="P15" s="16" t="str">
        <f ca="1">IF(J15="","",IF(L15&lt;&gt;"",INDEX(_翻訳マスタ!$B$75:$D$75,1,MATCH(言語切替!$B$3,_翻訳マスタ!$B$1:$D$1,0)),IF(TODAY()&gt;J15,INDEX(_翻訳マスタ!$B$92:$D$92,1,MATCH(言語切替!$B$3,_翻訳マスタ!$B$1:$D$1,0)),IF(J15-TODAY()&lt;=7,INDEX(_翻訳マスタ!$B$91:$D$91,1,MATCH(言語切替!$B$3,_翻訳マスタ!$B$1:$D$1,0)),INDEX(_翻訳マスタ!$B$90:$D$90,1,MATCH(言語切替!$B$3,_翻訳マスタ!$B$1:$D$1,0))))))</f>
        <v/>
      </c>
      <c r="Q15" s="30"/>
      <c r="R15" s="37"/>
      <c r="S15" s="52" t="str">
        <f>IF(R15="","",_xlfn.TRANSLATE(R15,"","ja"))</f>
        <v/>
      </c>
      <c r="T15" s="52" t="str">
        <f>IF(R15="","",_xlfn.TRANSLATE(R15,"","zh-Hans"))</f>
        <v/>
      </c>
    </row>
    <row r="16" spans="1:20" s="22" customFormat="1" ht="15" customHeight="1" x14ac:dyDescent="0.25">
      <c r="A16" s="26"/>
      <c r="B16" s="27"/>
      <c r="C16" s="27"/>
      <c r="D16" s="27"/>
      <c r="E16" s="27"/>
      <c r="F16" s="45" t="str">
        <f>IF(E16="","",_xlfn.TRANSLATE(E16,"","ja"))</f>
        <v/>
      </c>
      <c r="G16" s="45" t="str">
        <f>IF(E16="","",_xlfn.TRANSLATE(E16,"","zh-Hans"))</f>
        <v/>
      </c>
      <c r="H16" s="27"/>
      <c r="I16" s="28"/>
      <c r="J16" s="28"/>
      <c r="K16" s="28"/>
      <c r="L16" s="28"/>
      <c r="M16" s="55" t="str">
        <f t="shared" ca="1" si="0"/>
        <v/>
      </c>
      <c r="N16" s="27"/>
      <c r="O16" s="13" t="str">
        <f t="shared" ca="1" si="1"/>
        <v/>
      </c>
      <c r="P16" s="13" t="str">
        <f ca="1">IF(J16="","",IF(L16&lt;&gt;"",INDEX(_翻訳マスタ!$B$75:$D$75,1,MATCH(言語切替!$B$3,_翻訳マスタ!$B$1:$D$1,0)),IF(TODAY()&gt;J16,INDEX(_翻訳マスタ!$B$92:$D$92,1,MATCH(言語切替!$B$3,_翻訳マスタ!$B$1:$D$1,0)),IF(J16-TODAY()&lt;=7,INDEX(_翻訳マスタ!$B$91:$D$91,1,MATCH(言語切替!$B$3,_翻訳マスタ!$B$1:$D$1,0)),INDEX(_翻訳マスタ!$B$90:$D$90,1,MATCH(言語切替!$B$3,_翻訳マスタ!$B$1:$D$1,0))))))</f>
        <v/>
      </c>
      <c r="Q16" s="27"/>
      <c r="R16" s="36"/>
      <c r="S16" s="53" t="str">
        <f>IF(R16="","",_xlfn.TRANSLATE(R16,"","ja"))</f>
        <v/>
      </c>
      <c r="T16" s="53" t="str">
        <f>IF(R16="","",_xlfn.TRANSLATE(R16,"","zh-Hans"))</f>
        <v/>
      </c>
    </row>
    <row r="17" spans="1:20" s="22" customFormat="1" ht="15" customHeight="1" x14ac:dyDescent="0.25">
      <c r="A17" s="29"/>
      <c r="B17" s="30"/>
      <c r="C17" s="30"/>
      <c r="D17" s="30"/>
      <c r="E17" s="30"/>
      <c r="F17" s="46" t="str">
        <f>IF(E17="","",_xlfn.TRANSLATE(E17,"","ja"))</f>
        <v/>
      </c>
      <c r="G17" s="46" t="str">
        <f>IF(E17="","",_xlfn.TRANSLATE(E17,"","zh-Hans"))</f>
        <v/>
      </c>
      <c r="H17" s="30"/>
      <c r="I17" s="31"/>
      <c r="J17" s="31"/>
      <c r="K17" s="31"/>
      <c r="L17" s="31"/>
      <c r="M17" s="56" t="str">
        <f t="shared" ca="1" si="0"/>
        <v/>
      </c>
      <c r="N17" s="30"/>
      <c r="O17" s="16" t="str">
        <f t="shared" ca="1" si="1"/>
        <v/>
      </c>
      <c r="P17" s="16" t="str">
        <f ca="1">IF(J17="","",IF(L17&lt;&gt;"",INDEX(_翻訳マスタ!$B$75:$D$75,1,MATCH(言語切替!$B$3,_翻訳マスタ!$B$1:$D$1,0)),IF(TODAY()&gt;J17,INDEX(_翻訳マスタ!$B$92:$D$92,1,MATCH(言語切替!$B$3,_翻訳マスタ!$B$1:$D$1,0)),IF(J17-TODAY()&lt;=7,INDEX(_翻訳マスタ!$B$91:$D$91,1,MATCH(言語切替!$B$3,_翻訳マスタ!$B$1:$D$1,0)),INDEX(_翻訳マスタ!$B$90:$D$90,1,MATCH(言語切替!$B$3,_翻訳マスタ!$B$1:$D$1,0))))))</f>
        <v/>
      </c>
      <c r="Q17" s="30"/>
      <c r="R17" s="37"/>
      <c r="S17" s="52" t="str">
        <f>IF(R17="","",_xlfn.TRANSLATE(R17,"","ja"))</f>
        <v/>
      </c>
      <c r="T17" s="52" t="str">
        <f>IF(R17="","",_xlfn.TRANSLATE(R17,"","zh-Hans"))</f>
        <v/>
      </c>
    </row>
    <row r="18" spans="1:20" s="22" customFormat="1" ht="15" customHeight="1" x14ac:dyDescent="0.25">
      <c r="A18" s="26"/>
      <c r="B18" s="27"/>
      <c r="C18" s="27"/>
      <c r="D18" s="27"/>
      <c r="E18" s="27"/>
      <c r="F18" s="45" t="str">
        <f>IF(E18="","",_xlfn.TRANSLATE(E18,"","ja"))</f>
        <v/>
      </c>
      <c r="G18" s="45" t="str">
        <f>IF(E18="","",_xlfn.TRANSLATE(E18,"","zh-Hans"))</f>
        <v/>
      </c>
      <c r="H18" s="27"/>
      <c r="I18" s="28"/>
      <c r="J18" s="28"/>
      <c r="K18" s="28"/>
      <c r="L18" s="28"/>
      <c r="M18" s="55" t="str">
        <f t="shared" ca="1" si="0"/>
        <v/>
      </c>
      <c r="N18" s="27"/>
      <c r="O18" s="13" t="str">
        <f t="shared" ca="1" si="1"/>
        <v/>
      </c>
      <c r="P18" s="13" t="str">
        <f ca="1">IF(J18="","",IF(L18&lt;&gt;"",INDEX(_翻訳マスタ!$B$75:$D$75,1,MATCH(言語切替!$B$3,_翻訳マスタ!$B$1:$D$1,0)),IF(TODAY()&gt;J18,INDEX(_翻訳マスタ!$B$92:$D$92,1,MATCH(言語切替!$B$3,_翻訳マスタ!$B$1:$D$1,0)),IF(J18-TODAY()&lt;=7,INDEX(_翻訳マスタ!$B$91:$D$91,1,MATCH(言語切替!$B$3,_翻訳マスタ!$B$1:$D$1,0)),INDEX(_翻訳マスタ!$B$90:$D$90,1,MATCH(言語切替!$B$3,_翻訳マスタ!$B$1:$D$1,0))))))</f>
        <v/>
      </c>
      <c r="Q18" s="27"/>
      <c r="R18" s="36"/>
      <c r="S18" s="53" t="str">
        <f>IF(R18="","",_xlfn.TRANSLATE(R18,"","ja"))</f>
        <v/>
      </c>
      <c r="T18" s="53" t="str">
        <f>IF(R18="","",_xlfn.TRANSLATE(R18,"","zh-Hans"))</f>
        <v/>
      </c>
    </row>
    <row r="19" spans="1:20" s="22" customFormat="1" ht="15" customHeight="1" x14ac:dyDescent="0.25">
      <c r="A19" s="29"/>
      <c r="B19" s="30"/>
      <c r="C19" s="30"/>
      <c r="D19" s="30"/>
      <c r="E19" s="30"/>
      <c r="F19" s="46" t="str">
        <f>IF(E19="","",_xlfn.TRANSLATE(E19,"","ja"))</f>
        <v/>
      </c>
      <c r="G19" s="46" t="str">
        <f>IF(E19="","",_xlfn.TRANSLATE(E19,"","zh-Hans"))</f>
        <v/>
      </c>
      <c r="H19" s="30"/>
      <c r="I19" s="31"/>
      <c r="J19" s="31"/>
      <c r="K19" s="31"/>
      <c r="L19" s="31"/>
      <c r="M19" s="56" t="str">
        <f t="shared" ca="1" si="0"/>
        <v/>
      </c>
      <c r="N19" s="30"/>
      <c r="O19" s="16" t="str">
        <f t="shared" ca="1" si="1"/>
        <v/>
      </c>
      <c r="P19" s="16" t="str">
        <f ca="1">IF(J19="","",IF(L19&lt;&gt;"",INDEX(_翻訳マスタ!$B$75:$D$75,1,MATCH(言語切替!$B$3,_翻訳マスタ!$B$1:$D$1,0)),IF(TODAY()&gt;J19,INDEX(_翻訳マスタ!$B$92:$D$92,1,MATCH(言語切替!$B$3,_翻訳マスタ!$B$1:$D$1,0)),IF(J19-TODAY()&lt;=7,INDEX(_翻訳マスタ!$B$91:$D$91,1,MATCH(言語切替!$B$3,_翻訳マスタ!$B$1:$D$1,0)),INDEX(_翻訳マスタ!$B$90:$D$90,1,MATCH(言語切替!$B$3,_翻訳マスタ!$B$1:$D$1,0))))))</f>
        <v/>
      </c>
      <c r="Q19" s="30"/>
      <c r="R19" s="37"/>
      <c r="S19" s="52" t="str">
        <f>IF(R19="","",_xlfn.TRANSLATE(R19,"","ja"))</f>
        <v/>
      </c>
      <c r="T19" s="52" t="str">
        <f>IF(R19="","",_xlfn.TRANSLATE(R19,"","zh-Hans"))</f>
        <v/>
      </c>
    </row>
    <row r="20" spans="1:20" s="22" customFormat="1" ht="15" customHeight="1" x14ac:dyDescent="0.25">
      <c r="A20" s="26"/>
      <c r="B20" s="27"/>
      <c r="C20" s="27"/>
      <c r="D20" s="27"/>
      <c r="E20" s="27"/>
      <c r="F20" s="45" t="str">
        <f>IF(E20="","",_xlfn.TRANSLATE(E20,"","ja"))</f>
        <v/>
      </c>
      <c r="G20" s="45" t="str">
        <f>IF(E20="","",_xlfn.TRANSLATE(E20,"","zh-Hans"))</f>
        <v/>
      </c>
      <c r="H20" s="27"/>
      <c r="I20" s="28"/>
      <c r="J20" s="28"/>
      <c r="K20" s="28"/>
      <c r="L20" s="28"/>
      <c r="M20" s="55" t="str">
        <f t="shared" ca="1" si="0"/>
        <v/>
      </c>
      <c r="N20" s="27"/>
      <c r="O20" s="13" t="str">
        <f t="shared" ca="1" si="1"/>
        <v/>
      </c>
      <c r="P20" s="13" t="str">
        <f ca="1">IF(J20="","",IF(L20&lt;&gt;"",INDEX(_翻訳マスタ!$B$75:$D$75,1,MATCH(言語切替!$B$3,_翻訳マスタ!$B$1:$D$1,0)),IF(TODAY()&gt;J20,INDEX(_翻訳マスタ!$B$92:$D$92,1,MATCH(言語切替!$B$3,_翻訳マスタ!$B$1:$D$1,0)),IF(J20-TODAY()&lt;=7,INDEX(_翻訳マスタ!$B$91:$D$91,1,MATCH(言語切替!$B$3,_翻訳マスタ!$B$1:$D$1,0)),INDEX(_翻訳マスタ!$B$90:$D$90,1,MATCH(言語切替!$B$3,_翻訳マスタ!$B$1:$D$1,0))))))</f>
        <v/>
      </c>
      <c r="Q20" s="27"/>
      <c r="R20" s="36"/>
      <c r="S20" s="53" t="str">
        <f>IF(R20="","",_xlfn.TRANSLATE(R20,"","ja"))</f>
        <v/>
      </c>
      <c r="T20" s="53" t="str">
        <f>IF(R20="","",_xlfn.TRANSLATE(R20,"","zh-Hans"))</f>
        <v/>
      </c>
    </row>
    <row r="21" spans="1:20" s="22" customFormat="1" ht="15" customHeight="1" x14ac:dyDescent="0.25">
      <c r="A21" s="29"/>
      <c r="B21" s="30"/>
      <c r="C21" s="30"/>
      <c r="D21" s="30"/>
      <c r="E21" s="30"/>
      <c r="F21" s="46" t="str">
        <f>IF(E21="","",_xlfn.TRANSLATE(E21,"","ja"))</f>
        <v/>
      </c>
      <c r="G21" s="46" t="str">
        <f>IF(E21="","",_xlfn.TRANSLATE(E21,"","zh-Hans"))</f>
        <v/>
      </c>
      <c r="H21" s="30"/>
      <c r="I21" s="31"/>
      <c r="J21" s="31"/>
      <c r="K21" s="31"/>
      <c r="L21" s="31"/>
      <c r="M21" s="56" t="str">
        <f t="shared" ca="1" si="0"/>
        <v/>
      </c>
      <c r="N21" s="30"/>
      <c r="O21" s="16" t="str">
        <f t="shared" ca="1" si="1"/>
        <v/>
      </c>
      <c r="P21" s="16" t="str">
        <f ca="1">IF(J21="","",IF(L21&lt;&gt;"",INDEX(_翻訳マスタ!$B$75:$D$75,1,MATCH(言語切替!$B$3,_翻訳マスタ!$B$1:$D$1,0)),IF(TODAY()&gt;J21,INDEX(_翻訳マスタ!$B$92:$D$92,1,MATCH(言語切替!$B$3,_翻訳マスタ!$B$1:$D$1,0)),IF(J21-TODAY()&lt;=7,INDEX(_翻訳マスタ!$B$91:$D$91,1,MATCH(言語切替!$B$3,_翻訳マスタ!$B$1:$D$1,0)),INDEX(_翻訳マスタ!$B$90:$D$90,1,MATCH(言語切替!$B$3,_翻訳マスタ!$B$1:$D$1,0))))))</f>
        <v/>
      </c>
      <c r="Q21" s="30"/>
      <c r="R21" s="37"/>
      <c r="S21" s="52" t="str">
        <f>IF(R21="","",_xlfn.TRANSLATE(R21,"","ja"))</f>
        <v/>
      </c>
      <c r="T21" s="52" t="str">
        <f>IF(R21="","",_xlfn.TRANSLATE(R21,"","zh-Hans"))</f>
        <v/>
      </c>
    </row>
    <row r="22" spans="1:20" s="22" customFormat="1" ht="15" customHeight="1" x14ac:dyDescent="0.25">
      <c r="A22" s="26"/>
      <c r="B22" s="27"/>
      <c r="C22" s="27"/>
      <c r="D22" s="27"/>
      <c r="E22" s="27"/>
      <c r="F22" s="45" t="str">
        <f>IF(E22="","",_xlfn.TRANSLATE(E22,"","ja"))</f>
        <v/>
      </c>
      <c r="G22" s="45" t="str">
        <f>IF(E22="","",_xlfn.TRANSLATE(E22,"","zh-Hans"))</f>
        <v/>
      </c>
      <c r="H22" s="27"/>
      <c r="I22" s="28"/>
      <c r="J22" s="28"/>
      <c r="K22" s="28"/>
      <c r="L22" s="28"/>
      <c r="M22" s="55" t="str">
        <f t="shared" ca="1" si="0"/>
        <v/>
      </c>
      <c r="N22" s="27"/>
      <c r="O22" s="13" t="str">
        <f t="shared" ca="1" si="1"/>
        <v/>
      </c>
      <c r="P22" s="13" t="str">
        <f ca="1">IF(J22="","",IF(L22&lt;&gt;"",INDEX(_翻訳マスタ!$B$75:$D$75,1,MATCH(言語切替!$B$3,_翻訳マスタ!$B$1:$D$1,0)),IF(TODAY()&gt;J22,INDEX(_翻訳マスタ!$B$92:$D$92,1,MATCH(言語切替!$B$3,_翻訳マスタ!$B$1:$D$1,0)),IF(J22-TODAY()&lt;=7,INDEX(_翻訳マスタ!$B$91:$D$91,1,MATCH(言語切替!$B$3,_翻訳マスタ!$B$1:$D$1,0)),INDEX(_翻訳マスタ!$B$90:$D$90,1,MATCH(言語切替!$B$3,_翻訳マスタ!$B$1:$D$1,0))))))</f>
        <v/>
      </c>
      <c r="Q22" s="27"/>
      <c r="R22" s="36"/>
      <c r="S22" s="53" t="str">
        <f>IF(R22="","",_xlfn.TRANSLATE(R22,"","ja"))</f>
        <v/>
      </c>
      <c r="T22" s="53" t="str">
        <f>IF(R22="","",_xlfn.TRANSLATE(R22,"","zh-Hans"))</f>
        <v/>
      </c>
    </row>
    <row r="23" spans="1:20" s="22" customFormat="1" ht="15" customHeight="1" x14ac:dyDescent="0.25">
      <c r="A23" s="29"/>
      <c r="B23" s="30"/>
      <c r="C23" s="30"/>
      <c r="D23" s="30"/>
      <c r="E23" s="30"/>
      <c r="F23" s="46" t="str">
        <f>IF(E23="","",_xlfn.TRANSLATE(E23,"","ja"))</f>
        <v/>
      </c>
      <c r="G23" s="46" t="str">
        <f>IF(E23="","",_xlfn.TRANSLATE(E23,"","zh-Hans"))</f>
        <v/>
      </c>
      <c r="H23" s="30"/>
      <c r="I23" s="31"/>
      <c r="J23" s="31"/>
      <c r="K23" s="31"/>
      <c r="L23" s="31"/>
      <c r="M23" s="56" t="str">
        <f t="shared" ca="1" si="0"/>
        <v/>
      </c>
      <c r="N23" s="30"/>
      <c r="O23" s="16" t="str">
        <f t="shared" ca="1" si="1"/>
        <v/>
      </c>
      <c r="P23" s="16" t="str">
        <f ca="1">IF(J23="","",IF(L23&lt;&gt;"",INDEX(_翻訳マスタ!$B$75:$D$75,1,MATCH(言語切替!$B$3,_翻訳マスタ!$B$1:$D$1,0)),IF(TODAY()&gt;J23,INDEX(_翻訳マスタ!$B$92:$D$92,1,MATCH(言語切替!$B$3,_翻訳マスタ!$B$1:$D$1,0)),IF(J23-TODAY()&lt;=7,INDEX(_翻訳マスタ!$B$91:$D$91,1,MATCH(言語切替!$B$3,_翻訳マスタ!$B$1:$D$1,0)),INDEX(_翻訳マスタ!$B$90:$D$90,1,MATCH(言語切替!$B$3,_翻訳マスタ!$B$1:$D$1,0))))))</f>
        <v/>
      </c>
      <c r="Q23" s="30"/>
      <c r="R23" s="37"/>
      <c r="S23" s="52" t="str">
        <f>IF(R23="","",_xlfn.TRANSLATE(R23,"","ja"))</f>
        <v/>
      </c>
      <c r="T23" s="52" t="str">
        <f>IF(R23="","",_xlfn.TRANSLATE(R23,"","zh-Hans"))</f>
        <v/>
      </c>
    </row>
    <row r="24" spans="1:20" s="22" customFormat="1" ht="15" customHeight="1" x14ac:dyDescent="0.25">
      <c r="A24" s="26"/>
      <c r="B24" s="27"/>
      <c r="C24" s="27"/>
      <c r="D24" s="27"/>
      <c r="E24" s="27"/>
      <c r="F24" s="45" t="str">
        <f>IF(E24="","",_xlfn.TRANSLATE(E24,"","ja"))</f>
        <v/>
      </c>
      <c r="G24" s="45" t="str">
        <f>IF(E24="","",_xlfn.TRANSLATE(E24,"","zh-Hans"))</f>
        <v/>
      </c>
      <c r="H24" s="27"/>
      <c r="I24" s="28"/>
      <c r="J24" s="28"/>
      <c r="K24" s="28"/>
      <c r="L24" s="28"/>
      <c r="M24" s="55" t="str">
        <f t="shared" ca="1" si="0"/>
        <v/>
      </c>
      <c r="N24" s="27"/>
      <c r="O24" s="13" t="str">
        <f t="shared" ca="1" si="1"/>
        <v/>
      </c>
      <c r="P24" s="13" t="str">
        <f ca="1">IF(J24="","",IF(L24&lt;&gt;"",INDEX(_翻訳マスタ!$B$75:$D$75,1,MATCH(言語切替!$B$3,_翻訳マスタ!$B$1:$D$1,0)),IF(TODAY()&gt;J24,INDEX(_翻訳マスタ!$B$92:$D$92,1,MATCH(言語切替!$B$3,_翻訳マスタ!$B$1:$D$1,0)),IF(J24-TODAY()&lt;=7,INDEX(_翻訳マスタ!$B$91:$D$91,1,MATCH(言語切替!$B$3,_翻訳マスタ!$B$1:$D$1,0)),INDEX(_翻訳マスタ!$B$90:$D$90,1,MATCH(言語切替!$B$3,_翻訳マスタ!$B$1:$D$1,0))))))</f>
        <v/>
      </c>
      <c r="Q24" s="27"/>
      <c r="R24" s="36"/>
      <c r="S24" s="53" t="str">
        <f>IF(R24="","",_xlfn.TRANSLATE(R24,"","ja"))</f>
        <v/>
      </c>
      <c r="T24" s="53" t="str">
        <f>IF(R24="","",_xlfn.TRANSLATE(R24,"","zh-Hans"))</f>
        <v/>
      </c>
    </row>
    <row r="25" spans="1:20" s="22" customFormat="1" ht="15" customHeight="1" x14ac:dyDescent="0.25">
      <c r="A25" s="29"/>
      <c r="B25" s="30"/>
      <c r="C25" s="30"/>
      <c r="D25" s="30"/>
      <c r="E25" s="30"/>
      <c r="F25" s="46" t="str">
        <f t="shared" ref="F8:F39" si="2">IF(E25="","",_xlfn.TRANSLATE(E25,"vi","ja"))</f>
        <v/>
      </c>
      <c r="G25" s="46" t="str">
        <f t="shared" ref="G8:G39" si="3">IF(E25="","",_xlfn.TRANSLATE(E25,"vi","zh-Hans"))</f>
        <v/>
      </c>
      <c r="H25" s="30"/>
      <c r="I25" s="31"/>
      <c r="J25" s="31"/>
      <c r="K25" s="31"/>
      <c r="L25" s="31"/>
      <c r="M25" s="56" t="str">
        <f t="shared" ca="1" si="0"/>
        <v/>
      </c>
      <c r="N25" s="30"/>
      <c r="O25" s="16" t="str">
        <f t="shared" ca="1" si="1"/>
        <v/>
      </c>
      <c r="P25" s="16" t="str">
        <f ca="1">IF(J25="","",IF(L25&lt;&gt;"",INDEX(_翻訳マスタ!$B$75:$D$75,1,MATCH(言語切替!$B$3,_翻訳マスタ!$B$1:$D$1,0)),IF(TODAY()&gt;J25,INDEX(_翻訳マスタ!$B$92:$D$92,1,MATCH(言語切替!$B$3,_翻訳マスタ!$B$1:$D$1,0)),IF(J25-TODAY()&lt;=7,INDEX(_翻訳マスタ!$B$91:$D$91,1,MATCH(言語切替!$B$3,_翻訳マスタ!$B$1:$D$1,0)),INDEX(_翻訳マスタ!$B$90:$D$90,1,MATCH(言語切替!$B$3,_翻訳マスタ!$B$1:$D$1,0))))))</f>
        <v/>
      </c>
      <c r="Q25" s="30"/>
      <c r="R25" s="37"/>
      <c r="S25" s="52" t="str">
        <f t="shared" ref="S8:S39" si="4">IF(R25="","",_xlfn.TRANSLATE(R25,"vi","ja"))</f>
        <v/>
      </c>
      <c r="T25" s="52" t="str">
        <f t="shared" ref="T8:T39" si="5">IF(R25="","",_xlfn.TRANSLATE(R25,"vi","zh-Hans"))</f>
        <v/>
      </c>
    </row>
    <row r="26" spans="1:20" s="22" customFormat="1" ht="15" customHeight="1" x14ac:dyDescent="0.25">
      <c r="A26" s="26"/>
      <c r="B26" s="27"/>
      <c r="C26" s="27"/>
      <c r="D26" s="27"/>
      <c r="E26" s="27"/>
      <c r="F26" s="45" t="str">
        <f t="shared" si="2"/>
        <v/>
      </c>
      <c r="G26" s="45" t="str">
        <f t="shared" si="3"/>
        <v/>
      </c>
      <c r="H26" s="27"/>
      <c r="I26" s="28"/>
      <c r="J26" s="28"/>
      <c r="K26" s="28"/>
      <c r="L26" s="28"/>
      <c r="M26" s="55" t="str">
        <f t="shared" ca="1" si="0"/>
        <v/>
      </c>
      <c r="N26" s="27"/>
      <c r="O26" s="13" t="str">
        <f t="shared" ca="1" si="1"/>
        <v/>
      </c>
      <c r="P26" s="13" t="str">
        <f ca="1">IF(J26="","",IF(L26&lt;&gt;"",INDEX(_翻訳マスタ!$B$75:$D$75,1,MATCH(言語切替!$B$3,_翻訳マスタ!$B$1:$D$1,0)),IF(TODAY()&gt;J26,INDEX(_翻訳マスタ!$B$92:$D$92,1,MATCH(言語切替!$B$3,_翻訳マスタ!$B$1:$D$1,0)),IF(J26-TODAY()&lt;=7,INDEX(_翻訳マスタ!$B$91:$D$91,1,MATCH(言語切替!$B$3,_翻訳マスタ!$B$1:$D$1,0)),INDEX(_翻訳マスタ!$B$90:$D$90,1,MATCH(言語切替!$B$3,_翻訳マスタ!$B$1:$D$1,0))))))</f>
        <v/>
      </c>
      <c r="Q26" s="27"/>
      <c r="R26" s="36"/>
      <c r="S26" s="53" t="str">
        <f t="shared" si="4"/>
        <v/>
      </c>
      <c r="T26" s="53" t="str">
        <f t="shared" si="5"/>
        <v/>
      </c>
    </row>
    <row r="27" spans="1:20" s="22" customFormat="1" ht="15" customHeight="1" x14ac:dyDescent="0.25">
      <c r="A27" s="29"/>
      <c r="B27" s="30"/>
      <c r="C27" s="30"/>
      <c r="D27" s="30"/>
      <c r="E27" s="30"/>
      <c r="F27" s="46" t="str">
        <f t="shared" si="2"/>
        <v/>
      </c>
      <c r="G27" s="46" t="str">
        <f t="shared" si="3"/>
        <v/>
      </c>
      <c r="H27" s="30"/>
      <c r="I27" s="31"/>
      <c r="J27" s="31"/>
      <c r="K27" s="31"/>
      <c r="L27" s="31"/>
      <c r="M27" s="56" t="str">
        <f t="shared" ca="1" si="0"/>
        <v/>
      </c>
      <c r="N27" s="30"/>
      <c r="O27" s="16" t="str">
        <f t="shared" ca="1" si="1"/>
        <v/>
      </c>
      <c r="P27" s="16" t="str">
        <f ca="1">IF(J27="","",IF(L27&lt;&gt;"",INDEX(_翻訳マスタ!$B$75:$D$75,1,MATCH(言語切替!$B$3,_翻訳マスタ!$B$1:$D$1,0)),IF(TODAY()&gt;J27,INDEX(_翻訳マスタ!$B$92:$D$92,1,MATCH(言語切替!$B$3,_翻訳マスタ!$B$1:$D$1,0)),IF(J27-TODAY()&lt;=7,INDEX(_翻訳マスタ!$B$91:$D$91,1,MATCH(言語切替!$B$3,_翻訳マスタ!$B$1:$D$1,0)),INDEX(_翻訳マスタ!$B$90:$D$90,1,MATCH(言語切替!$B$3,_翻訳マスタ!$B$1:$D$1,0))))))</f>
        <v/>
      </c>
      <c r="Q27" s="30"/>
      <c r="R27" s="37"/>
      <c r="S27" s="52" t="str">
        <f t="shared" si="4"/>
        <v/>
      </c>
      <c r="T27" s="52" t="str">
        <f t="shared" si="5"/>
        <v/>
      </c>
    </row>
    <row r="28" spans="1:20" s="22" customFormat="1" ht="15" customHeight="1" x14ac:dyDescent="0.25">
      <c r="A28" s="26"/>
      <c r="B28" s="27"/>
      <c r="C28" s="27"/>
      <c r="D28" s="27"/>
      <c r="E28" s="27"/>
      <c r="F28" s="45" t="str">
        <f t="shared" si="2"/>
        <v/>
      </c>
      <c r="G28" s="45" t="str">
        <f t="shared" si="3"/>
        <v/>
      </c>
      <c r="H28" s="27"/>
      <c r="I28" s="28"/>
      <c r="J28" s="28"/>
      <c r="K28" s="28"/>
      <c r="L28" s="28"/>
      <c r="M28" s="55" t="str">
        <f t="shared" ca="1" si="0"/>
        <v/>
      </c>
      <c r="N28" s="27"/>
      <c r="O28" s="13" t="str">
        <f t="shared" ca="1" si="1"/>
        <v/>
      </c>
      <c r="P28" s="13" t="str">
        <f ca="1">IF(J28="","",IF(L28&lt;&gt;"",INDEX(_翻訳マスタ!$B$75:$D$75,1,MATCH(言語切替!$B$3,_翻訳マスタ!$B$1:$D$1,0)),IF(TODAY()&gt;J28,INDEX(_翻訳マスタ!$B$92:$D$92,1,MATCH(言語切替!$B$3,_翻訳マスタ!$B$1:$D$1,0)),IF(J28-TODAY()&lt;=7,INDEX(_翻訳マスタ!$B$91:$D$91,1,MATCH(言語切替!$B$3,_翻訳マスタ!$B$1:$D$1,0)),INDEX(_翻訳マスタ!$B$90:$D$90,1,MATCH(言語切替!$B$3,_翻訳マスタ!$B$1:$D$1,0))))))</f>
        <v/>
      </c>
      <c r="Q28" s="27"/>
      <c r="R28" s="36"/>
      <c r="S28" s="53" t="str">
        <f t="shared" si="4"/>
        <v/>
      </c>
      <c r="T28" s="53" t="str">
        <f t="shared" si="5"/>
        <v/>
      </c>
    </row>
    <row r="29" spans="1:20" s="22" customFormat="1" ht="15" customHeight="1" x14ac:dyDescent="0.25">
      <c r="A29" s="29"/>
      <c r="B29" s="30"/>
      <c r="C29" s="30"/>
      <c r="D29" s="30"/>
      <c r="E29" s="30"/>
      <c r="F29" s="46" t="str">
        <f t="shared" si="2"/>
        <v/>
      </c>
      <c r="G29" s="46" t="str">
        <f t="shared" si="3"/>
        <v/>
      </c>
      <c r="H29" s="30"/>
      <c r="I29" s="31"/>
      <c r="J29" s="31"/>
      <c r="K29" s="31"/>
      <c r="L29" s="31"/>
      <c r="M29" s="56" t="str">
        <f t="shared" ca="1" si="0"/>
        <v/>
      </c>
      <c r="N29" s="30"/>
      <c r="O29" s="16" t="str">
        <f t="shared" ca="1" si="1"/>
        <v/>
      </c>
      <c r="P29" s="16" t="str">
        <f ca="1">IF(J29="","",IF(L29&lt;&gt;"",INDEX(_翻訳マスタ!$B$75:$D$75,1,MATCH(言語切替!$B$3,_翻訳マスタ!$B$1:$D$1,0)),IF(TODAY()&gt;J29,INDEX(_翻訳マスタ!$B$92:$D$92,1,MATCH(言語切替!$B$3,_翻訳マスタ!$B$1:$D$1,0)),IF(J29-TODAY()&lt;=7,INDEX(_翻訳マスタ!$B$91:$D$91,1,MATCH(言語切替!$B$3,_翻訳マスタ!$B$1:$D$1,0)),INDEX(_翻訳マスタ!$B$90:$D$90,1,MATCH(言語切替!$B$3,_翻訳マスタ!$B$1:$D$1,0))))))</f>
        <v/>
      </c>
      <c r="Q29" s="30"/>
      <c r="R29" s="37"/>
      <c r="S29" s="52" t="str">
        <f t="shared" si="4"/>
        <v/>
      </c>
      <c r="T29" s="52" t="str">
        <f t="shared" si="5"/>
        <v/>
      </c>
    </row>
    <row r="30" spans="1:20" s="22" customFormat="1" ht="15" customHeight="1" x14ac:dyDescent="0.25">
      <c r="A30" s="26"/>
      <c r="B30" s="27"/>
      <c r="C30" s="27"/>
      <c r="D30" s="27"/>
      <c r="E30" s="27"/>
      <c r="F30" s="45" t="str">
        <f t="shared" si="2"/>
        <v/>
      </c>
      <c r="G30" s="45" t="str">
        <f t="shared" si="3"/>
        <v/>
      </c>
      <c r="H30" s="27"/>
      <c r="I30" s="28"/>
      <c r="J30" s="28"/>
      <c r="K30" s="28"/>
      <c r="L30" s="28"/>
      <c r="M30" s="55" t="str">
        <f t="shared" ca="1" si="0"/>
        <v/>
      </c>
      <c r="N30" s="27"/>
      <c r="O30" s="13" t="str">
        <f t="shared" ca="1" si="1"/>
        <v/>
      </c>
      <c r="P30" s="13" t="str">
        <f ca="1">IF(J30="","",IF(L30&lt;&gt;"",INDEX(_翻訳マスタ!$B$75:$D$75,1,MATCH(言語切替!$B$3,_翻訳マスタ!$B$1:$D$1,0)),IF(TODAY()&gt;J30,INDEX(_翻訳マスタ!$B$92:$D$92,1,MATCH(言語切替!$B$3,_翻訳マスタ!$B$1:$D$1,0)),IF(J30-TODAY()&lt;=7,INDEX(_翻訳マスタ!$B$91:$D$91,1,MATCH(言語切替!$B$3,_翻訳マスタ!$B$1:$D$1,0)),INDEX(_翻訳マスタ!$B$90:$D$90,1,MATCH(言語切替!$B$3,_翻訳マスタ!$B$1:$D$1,0))))))</f>
        <v/>
      </c>
      <c r="Q30" s="27"/>
      <c r="R30" s="36"/>
      <c r="S30" s="53" t="str">
        <f t="shared" si="4"/>
        <v/>
      </c>
      <c r="T30" s="53" t="str">
        <f t="shared" si="5"/>
        <v/>
      </c>
    </row>
    <row r="31" spans="1:20" s="22" customFormat="1" ht="15" customHeight="1" x14ac:dyDescent="0.25">
      <c r="A31" s="29"/>
      <c r="B31" s="30"/>
      <c r="C31" s="30"/>
      <c r="D31" s="30"/>
      <c r="E31" s="30"/>
      <c r="F31" s="46" t="str">
        <f t="shared" si="2"/>
        <v/>
      </c>
      <c r="G31" s="46" t="str">
        <f t="shared" si="3"/>
        <v/>
      </c>
      <c r="H31" s="30"/>
      <c r="I31" s="31"/>
      <c r="J31" s="31"/>
      <c r="K31" s="31"/>
      <c r="L31" s="31"/>
      <c r="M31" s="56" t="str">
        <f t="shared" ca="1" si="0"/>
        <v/>
      </c>
      <c r="N31" s="30"/>
      <c r="O31" s="16" t="str">
        <f t="shared" ca="1" si="1"/>
        <v/>
      </c>
      <c r="P31" s="16" t="str">
        <f ca="1">IF(J31="","",IF(L31&lt;&gt;"",INDEX(_翻訳マスタ!$B$75:$D$75,1,MATCH(言語切替!$B$3,_翻訳マスタ!$B$1:$D$1,0)),IF(TODAY()&gt;J31,INDEX(_翻訳マスタ!$B$92:$D$92,1,MATCH(言語切替!$B$3,_翻訳マスタ!$B$1:$D$1,0)),IF(J31-TODAY()&lt;=7,INDEX(_翻訳マスタ!$B$91:$D$91,1,MATCH(言語切替!$B$3,_翻訳マスタ!$B$1:$D$1,0)),INDEX(_翻訳マスタ!$B$90:$D$90,1,MATCH(言語切替!$B$3,_翻訳マスタ!$B$1:$D$1,0))))))</f>
        <v/>
      </c>
      <c r="Q31" s="30"/>
      <c r="R31" s="37"/>
      <c r="S31" s="52" t="str">
        <f t="shared" si="4"/>
        <v/>
      </c>
      <c r="T31" s="52" t="str">
        <f t="shared" si="5"/>
        <v/>
      </c>
    </row>
    <row r="32" spans="1:20" s="22" customFormat="1" ht="15" customHeight="1" x14ac:dyDescent="0.25">
      <c r="A32" s="26"/>
      <c r="B32" s="27"/>
      <c r="C32" s="27"/>
      <c r="D32" s="27"/>
      <c r="E32" s="27"/>
      <c r="F32" s="45" t="str">
        <f t="shared" si="2"/>
        <v/>
      </c>
      <c r="G32" s="45" t="str">
        <f t="shared" si="3"/>
        <v/>
      </c>
      <c r="H32" s="27"/>
      <c r="I32" s="28"/>
      <c r="J32" s="28"/>
      <c r="K32" s="28"/>
      <c r="L32" s="28"/>
      <c r="M32" s="55" t="str">
        <f t="shared" ca="1" si="0"/>
        <v/>
      </c>
      <c r="N32" s="27"/>
      <c r="O32" s="13" t="str">
        <f t="shared" ca="1" si="1"/>
        <v/>
      </c>
      <c r="P32" s="13" t="str">
        <f ca="1">IF(J32="","",IF(L32&lt;&gt;"",INDEX(_翻訳マスタ!$B$75:$D$75,1,MATCH(言語切替!$B$3,_翻訳マスタ!$B$1:$D$1,0)),IF(TODAY()&gt;J32,INDEX(_翻訳マスタ!$B$92:$D$92,1,MATCH(言語切替!$B$3,_翻訳マスタ!$B$1:$D$1,0)),IF(J32-TODAY()&lt;=7,INDEX(_翻訳マスタ!$B$91:$D$91,1,MATCH(言語切替!$B$3,_翻訳マスタ!$B$1:$D$1,0)),INDEX(_翻訳マスタ!$B$90:$D$90,1,MATCH(言語切替!$B$3,_翻訳マスタ!$B$1:$D$1,0))))))</f>
        <v/>
      </c>
      <c r="Q32" s="27"/>
      <c r="R32" s="36"/>
      <c r="S32" s="53" t="str">
        <f t="shared" si="4"/>
        <v/>
      </c>
      <c r="T32" s="53" t="str">
        <f t="shared" si="5"/>
        <v/>
      </c>
    </row>
    <row r="33" spans="1:20" s="22" customFormat="1" ht="15" customHeight="1" x14ac:dyDescent="0.25">
      <c r="A33" s="29"/>
      <c r="B33" s="30"/>
      <c r="C33" s="30"/>
      <c r="D33" s="30"/>
      <c r="E33" s="30"/>
      <c r="F33" s="46" t="str">
        <f t="shared" si="2"/>
        <v/>
      </c>
      <c r="G33" s="46" t="str">
        <f t="shared" si="3"/>
        <v/>
      </c>
      <c r="H33" s="30"/>
      <c r="I33" s="31"/>
      <c r="J33" s="31"/>
      <c r="K33" s="31"/>
      <c r="L33" s="31"/>
      <c r="M33" s="56" t="str">
        <f t="shared" ca="1" si="0"/>
        <v/>
      </c>
      <c r="N33" s="30"/>
      <c r="O33" s="16" t="str">
        <f t="shared" ca="1" si="1"/>
        <v/>
      </c>
      <c r="P33" s="16" t="str">
        <f ca="1">IF(J33="","",IF(L33&lt;&gt;"",INDEX(_翻訳マスタ!$B$75:$D$75,1,MATCH(言語切替!$B$3,_翻訳マスタ!$B$1:$D$1,0)),IF(TODAY()&gt;J33,INDEX(_翻訳マスタ!$B$92:$D$92,1,MATCH(言語切替!$B$3,_翻訳マスタ!$B$1:$D$1,0)),IF(J33-TODAY()&lt;=7,INDEX(_翻訳マスタ!$B$91:$D$91,1,MATCH(言語切替!$B$3,_翻訳マスタ!$B$1:$D$1,0)),INDEX(_翻訳マスタ!$B$90:$D$90,1,MATCH(言語切替!$B$3,_翻訳マスタ!$B$1:$D$1,0))))))</f>
        <v/>
      </c>
      <c r="Q33" s="30"/>
      <c r="R33" s="37"/>
      <c r="S33" s="52" t="str">
        <f t="shared" si="4"/>
        <v/>
      </c>
      <c r="T33" s="52" t="str">
        <f t="shared" si="5"/>
        <v/>
      </c>
    </row>
    <row r="34" spans="1:20" s="22" customFormat="1" ht="15" customHeight="1" x14ac:dyDescent="0.25">
      <c r="A34" s="26"/>
      <c r="B34" s="27"/>
      <c r="C34" s="27"/>
      <c r="D34" s="27"/>
      <c r="E34" s="27"/>
      <c r="F34" s="45" t="str">
        <f t="shared" si="2"/>
        <v/>
      </c>
      <c r="G34" s="45" t="str">
        <f t="shared" si="3"/>
        <v/>
      </c>
      <c r="H34" s="27"/>
      <c r="I34" s="28"/>
      <c r="J34" s="28"/>
      <c r="K34" s="28"/>
      <c r="L34" s="28"/>
      <c r="M34" s="55" t="str">
        <f t="shared" ca="1" si="0"/>
        <v/>
      </c>
      <c r="N34" s="27"/>
      <c r="O34" s="13" t="str">
        <f t="shared" ca="1" si="1"/>
        <v/>
      </c>
      <c r="P34" s="13" t="str">
        <f ca="1">IF(J34="","",IF(L34&lt;&gt;"",INDEX(_翻訳マスタ!$B$75:$D$75,1,MATCH(言語切替!$B$3,_翻訳マスタ!$B$1:$D$1,0)),IF(TODAY()&gt;J34,INDEX(_翻訳マスタ!$B$92:$D$92,1,MATCH(言語切替!$B$3,_翻訳マスタ!$B$1:$D$1,0)),IF(J34-TODAY()&lt;=7,INDEX(_翻訳マスタ!$B$91:$D$91,1,MATCH(言語切替!$B$3,_翻訳マスタ!$B$1:$D$1,0)),INDEX(_翻訳マスタ!$B$90:$D$90,1,MATCH(言語切替!$B$3,_翻訳マスタ!$B$1:$D$1,0))))))</f>
        <v/>
      </c>
      <c r="Q34" s="27"/>
      <c r="R34" s="36"/>
      <c r="S34" s="53" t="str">
        <f t="shared" si="4"/>
        <v/>
      </c>
      <c r="T34" s="53" t="str">
        <f t="shared" si="5"/>
        <v/>
      </c>
    </row>
    <row r="35" spans="1:20" s="22" customFormat="1" ht="15" customHeight="1" x14ac:dyDescent="0.25">
      <c r="A35" s="29"/>
      <c r="B35" s="30"/>
      <c r="C35" s="30"/>
      <c r="D35" s="30"/>
      <c r="E35" s="30"/>
      <c r="F35" s="46" t="str">
        <f t="shared" si="2"/>
        <v/>
      </c>
      <c r="G35" s="46" t="str">
        <f t="shared" si="3"/>
        <v/>
      </c>
      <c r="H35" s="30"/>
      <c r="I35" s="31"/>
      <c r="J35" s="31"/>
      <c r="K35" s="31"/>
      <c r="L35" s="31"/>
      <c r="M35" s="56" t="str">
        <f t="shared" ca="1" si="0"/>
        <v/>
      </c>
      <c r="N35" s="30"/>
      <c r="O35" s="16" t="str">
        <f t="shared" ca="1" si="1"/>
        <v/>
      </c>
      <c r="P35" s="16" t="str">
        <f ca="1">IF(J35="","",IF(L35&lt;&gt;"",INDEX(_翻訳マスタ!$B$75:$D$75,1,MATCH(言語切替!$B$3,_翻訳マスタ!$B$1:$D$1,0)),IF(TODAY()&gt;J35,INDEX(_翻訳マスタ!$B$92:$D$92,1,MATCH(言語切替!$B$3,_翻訳マスタ!$B$1:$D$1,0)),IF(J35-TODAY()&lt;=7,INDEX(_翻訳マスタ!$B$91:$D$91,1,MATCH(言語切替!$B$3,_翻訳マスタ!$B$1:$D$1,0)),INDEX(_翻訳マスタ!$B$90:$D$90,1,MATCH(言語切替!$B$3,_翻訳マスタ!$B$1:$D$1,0))))))</f>
        <v/>
      </c>
      <c r="Q35" s="30"/>
      <c r="R35" s="37"/>
      <c r="S35" s="52" t="str">
        <f t="shared" si="4"/>
        <v/>
      </c>
      <c r="T35" s="52" t="str">
        <f t="shared" si="5"/>
        <v/>
      </c>
    </row>
    <row r="36" spans="1:20" s="22" customFormat="1" ht="15" customHeight="1" x14ac:dyDescent="0.25">
      <c r="A36" s="26"/>
      <c r="B36" s="27"/>
      <c r="C36" s="27"/>
      <c r="D36" s="27"/>
      <c r="E36" s="27"/>
      <c r="F36" s="45" t="str">
        <f t="shared" si="2"/>
        <v/>
      </c>
      <c r="G36" s="45" t="str">
        <f t="shared" si="3"/>
        <v/>
      </c>
      <c r="H36" s="27"/>
      <c r="I36" s="28"/>
      <c r="J36" s="28"/>
      <c r="K36" s="28"/>
      <c r="L36" s="28"/>
      <c r="M36" s="55" t="str">
        <f t="shared" ca="1" si="0"/>
        <v/>
      </c>
      <c r="N36" s="27"/>
      <c r="O36" s="13" t="str">
        <f t="shared" ca="1" si="1"/>
        <v/>
      </c>
      <c r="P36" s="13" t="str">
        <f ca="1">IF(J36="","",IF(L36&lt;&gt;"",INDEX(_翻訳マスタ!$B$75:$D$75,1,MATCH(言語切替!$B$3,_翻訳マスタ!$B$1:$D$1,0)),IF(TODAY()&gt;J36,INDEX(_翻訳マスタ!$B$92:$D$92,1,MATCH(言語切替!$B$3,_翻訳マスタ!$B$1:$D$1,0)),IF(J36-TODAY()&lt;=7,INDEX(_翻訳マスタ!$B$91:$D$91,1,MATCH(言語切替!$B$3,_翻訳マスタ!$B$1:$D$1,0)),INDEX(_翻訳マスタ!$B$90:$D$90,1,MATCH(言語切替!$B$3,_翻訳マスタ!$B$1:$D$1,0))))))</f>
        <v/>
      </c>
      <c r="Q36" s="27"/>
      <c r="R36" s="36"/>
      <c r="S36" s="53" t="str">
        <f t="shared" si="4"/>
        <v/>
      </c>
      <c r="T36" s="53" t="str">
        <f t="shared" si="5"/>
        <v/>
      </c>
    </row>
    <row r="37" spans="1:20" s="22" customFormat="1" ht="15" customHeight="1" x14ac:dyDescent="0.25">
      <c r="A37" s="29"/>
      <c r="B37" s="30"/>
      <c r="C37" s="30"/>
      <c r="D37" s="30"/>
      <c r="E37" s="30"/>
      <c r="F37" s="46" t="str">
        <f t="shared" si="2"/>
        <v/>
      </c>
      <c r="G37" s="46" t="str">
        <f t="shared" si="3"/>
        <v/>
      </c>
      <c r="H37" s="30"/>
      <c r="I37" s="31"/>
      <c r="J37" s="31"/>
      <c r="K37" s="31"/>
      <c r="L37" s="31"/>
      <c r="M37" s="56" t="str">
        <f t="shared" ref="M37:M68" ca="1" si="6">IF(OR(I37="",J37=""),"",IF(L37&lt;&gt;"",1,IF(K37="",0,MAX(0,MIN(1,(TODAY()-I37)/(J37-I37+1))))))</f>
        <v/>
      </c>
      <c r="N37" s="30"/>
      <c r="O37" s="16" t="str">
        <f t="shared" ref="O37:O68" ca="1" si="7">IF(J37="","",J37-TODAY())</f>
        <v/>
      </c>
      <c r="P37" s="16" t="str">
        <f ca="1">IF(J37="","",IF(L37&lt;&gt;"",INDEX(_翻訳マスタ!$B$75:$D$75,1,MATCH(言語切替!$B$3,_翻訳マスタ!$B$1:$D$1,0)),IF(TODAY()&gt;J37,INDEX(_翻訳マスタ!$B$92:$D$92,1,MATCH(言語切替!$B$3,_翻訳マスタ!$B$1:$D$1,0)),IF(J37-TODAY()&lt;=7,INDEX(_翻訳マスタ!$B$91:$D$91,1,MATCH(言語切替!$B$3,_翻訳マスタ!$B$1:$D$1,0)),INDEX(_翻訳マスタ!$B$90:$D$90,1,MATCH(言語切替!$B$3,_翻訳マスタ!$B$1:$D$1,0))))))</f>
        <v/>
      </c>
      <c r="Q37" s="30"/>
      <c r="R37" s="37"/>
      <c r="S37" s="52" t="str">
        <f t="shared" si="4"/>
        <v/>
      </c>
      <c r="T37" s="52" t="str">
        <f t="shared" si="5"/>
        <v/>
      </c>
    </row>
    <row r="38" spans="1:20" s="22" customFormat="1" ht="15" customHeight="1" x14ac:dyDescent="0.25">
      <c r="A38" s="26"/>
      <c r="B38" s="27"/>
      <c r="C38" s="27"/>
      <c r="D38" s="27"/>
      <c r="E38" s="27"/>
      <c r="F38" s="45" t="str">
        <f t="shared" si="2"/>
        <v/>
      </c>
      <c r="G38" s="45" t="str">
        <f t="shared" si="3"/>
        <v/>
      </c>
      <c r="H38" s="27"/>
      <c r="I38" s="28"/>
      <c r="J38" s="28"/>
      <c r="K38" s="28"/>
      <c r="L38" s="28"/>
      <c r="M38" s="55" t="str">
        <f t="shared" ca="1" si="6"/>
        <v/>
      </c>
      <c r="N38" s="27"/>
      <c r="O38" s="13" t="str">
        <f t="shared" ca="1" si="7"/>
        <v/>
      </c>
      <c r="P38" s="13" t="str">
        <f ca="1">IF(J38="","",IF(L38&lt;&gt;"",INDEX(_翻訳マスタ!$B$75:$D$75,1,MATCH(言語切替!$B$3,_翻訳マスタ!$B$1:$D$1,0)),IF(TODAY()&gt;J38,INDEX(_翻訳マスタ!$B$92:$D$92,1,MATCH(言語切替!$B$3,_翻訳マスタ!$B$1:$D$1,0)),IF(J38-TODAY()&lt;=7,INDEX(_翻訳マスタ!$B$91:$D$91,1,MATCH(言語切替!$B$3,_翻訳マスタ!$B$1:$D$1,0)),INDEX(_翻訳マスタ!$B$90:$D$90,1,MATCH(言語切替!$B$3,_翻訳マスタ!$B$1:$D$1,0))))))</f>
        <v/>
      </c>
      <c r="Q38" s="27"/>
      <c r="R38" s="36"/>
      <c r="S38" s="53" t="str">
        <f t="shared" si="4"/>
        <v/>
      </c>
      <c r="T38" s="53" t="str">
        <f t="shared" si="5"/>
        <v/>
      </c>
    </row>
    <row r="39" spans="1:20" s="22" customFormat="1" ht="15" customHeight="1" x14ac:dyDescent="0.25">
      <c r="A39" s="29"/>
      <c r="B39" s="30"/>
      <c r="C39" s="30"/>
      <c r="D39" s="30"/>
      <c r="E39" s="30"/>
      <c r="F39" s="46" t="str">
        <f t="shared" si="2"/>
        <v/>
      </c>
      <c r="G39" s="46" t="str">
        <f t="shared" si="3"/>
        <v/>
      </c>
      <c r="H39" s="30"/>
      <c r="I39" s="31"/>
      <c r="J39" s="31"/>
      <c r="K39" s="31"/>
      <c r="L39" s="31"/>
      <c r="M39" s="56" t="str">
        <f t="shared" ca="1" si="6"/>
        <v/>
      </c>
      <c r="N39" s="30"/>
      <c r="O39" s="16" t="str">
        <f t="shared" ca="1" si="7"/>
        <v/>
      </c>
      <c r="P39" s="16" t="str">
        <f ca="1">IF(J39="","",IF(L39&lt;&gt;"",INDEX(_翻訳マスタ!$B$75:$D$75,1,MATCH(言語切替!$B$3,_翻訳マスタ!$B$1:$D$1,0)),IF(TODAY()&gt;J39,INDEX(_翻訳マスタ!$B$92:$D$92,1,MATCH(言語切替!$B$3,_翻訳マスタ!$B$1:$D$1,0)),IF(J39-TODAY()&lt;=7,INDEX(_翻訳マスタ!$B$91:$D$91,1,MATCH(言語切替!$B$3,_翻訳マスタ!$B$1:$D$1,0)),INDEX(_翻訳マスタ!$B$90:$D$90,1,MATCH(言語切替!$B$3,_翻訳マスタ!$B$1:$D$1,0))))))</f>
        <v/>
      </c>
      <c r="Q39" s="30"/>
      <c r="R39" s="37"/>
      <c r="S39" s="52" t="str">
        <f t="shared" si="4"/>
        <v/>
      </c>
      <c r="T39" s="52" t="str">
        <f t="shared" si="5"/>
        <v/>
      </c>
    </row>
    <row r="40" spans="1:20" s="22" customFormat="1" ht="15" customHeight="1" x14ac:dyDescent="0.25">
      <c r="A40" s="26"/>
      <c r="B40" s="27"/>
      <c r="C40" s="27"/>
      <c r="D40" s="27"/>
      <c r="E40" s="27"/>
      <c r="F40" s="45" t="str">
        <f t="shared" ref="F40:F71" si="8">IF(E40="","",_xlfn.TRANSLATE(E40,"vi","ja"))</f>
        <v/>
      </c>
      <c r="G40" s="45" t="str">
        <f t="shared" ref="G40:G71" si="9">IF(E40="","",_xlfn.TRANSLATE(E40,"vi","zh-Hans"))</f>
        <v/>
      </c>
      <c r="H40" s="27"/>
      <c r="I40" s="28"/>
      <c r="J40" s="28"/>
      <c r="K40" s="28"/>
      <c r="L40" s="28"/>
      <c r="M40" s="55" t="str">
        <f t="shared" ca="1" si="6"/>
        <v/>
      </c>
      <c r="N40" s="27"/>
      <c r="O40" s="13" t="str">
        <f t="shared" ca="1" si="7"/>
        <v/>
      </c>
      <c r="P40" s="13" t="str">
        <f ca="1">IF(J40="","",IF(L40&lt;&gt;"",INDEX(_翻訳マスタ!$B$75:$D$75,1,MATCH(言語切替!$B$3,_翻訳マスタ!$B$1:$D$1,0)),IF(TODAY()&gt;J40,INDEX(_翻訳マスタ!$B$92:$D$92,1,MATCH(言語切替!$B$3,_翻訳マスタ!$B$1:$D$1,0)),IF(J40-TODAY()&lt;=7,INDEX(_翻訳マスタ!$B$91:$D$91,1,MATCH(言語切替!$B$3,_翻訳マスタ!$B$1:$D$1,0)),INDEX(_翻訳マスタ!$B$90:$D$90,1,MATCH(言語切替!$B$3,_翻訳マスタ!$B$1:$D$1,0))))))</f>
        <v/>
      </c>
      <c r="Q40" s="27"/>
      <c r="R40" s="36"/>
      <c r="S40" s="53" t="str">
        <f t="shared" ref="S40:S71" si="10">IF(R40="","",_xlfn.TRANSLATE(R40,"vi","ja"))</f>
        <v/>
      </c>
      <c r="T40" s="53" t="str">
        <f t="shared" ref="T40:T71" si="11">IF(R40="","",_xlfn.TRANSLATE(R40,"vi","zh-Hans"))</f>
        <v/>
      </c>
    </row>
    <row r="41" spans="1:20" s="22" customFormat="1" ht="15" customHeight="1" x14ac:dyDescent="0.25">
      <c r="A41" s="29"/>
      <c r="B41" s="30"/>
      <c r="C41" s="30"/>
      <c r="D41" s="30"/>
      <c r="E41" s="30"/>
      <c r="F41" s="46" t="str">
        <f t="shared" si="8"/>
        <v/>
      </c>
      <c r="G41" s="46" t="str">
        <f t="shared" si="9"/>
        <v/>
      </c>
      <c r="H41" s="30"/>
      <c r="I41" s="31"/>
      <c r="J41" s="31"/>
      <c r="K41" s="31"/>
      <c r="L41" s="31"/>
      <c r="M41" s="56" t="str">
        <f t="shared" ca="1" si="6"/>
        <v/>
      </c>
      <c r="N41" s="30"/>
      <c r="O41" s="16" t="str">
        <f t="shared" ca="1" si="7"/>
        <v/>
      </c>
      <c r="P41" s="16" t="str">
        <f ca="1">IF(J41="","",IF(L41&lt;&gt;"",INDEX(_翻訳マスタ!$B$75:$D$75,1,MATCH(言語切替!$B$3,_翻訳マスタ!$B$1:$D$1,0)),IF(TODAY()&gt;J41,INDEX(_翻訳マスタ!$B$92:$D$92,1,MATCH(言語切替!$B$3,_翻訳マスタ!$B$1:$D$1,0)),IF(J41-TODAY()&lt;=7,INDEX(_翻訳マスタ!$B$91:$D$91,1,MATCH(言語切替!$B$3,_翻訳マスタ!$B$1:$D$1,0)),INDEX(_翻訳マスタ!$B$90:$D$90,1,MATCH(言語切替!$B$3,_翻訳マスタ!$B$1:$D$1,0))))))</f>
        <v/>
      </c>
      <c r="Q41" s="30"/>
      <c r="R41" s="37"/>
      <c r="S41" s="52" t="str">
        <f t="shared" si="10"/>
        <v/>
      </c>
      <c r="T41" s="52" t="str">
        <f t="shared" si="11"/>
        <v/>
      </c>
    </row>
    <row r="42" spans="1:20" s="22" customFormat="1" ht="15" customHeight="1" x14ac:dyDescent="0.25">
      <c r="A42" s="26"/>
      <c r="B42" s="27"/>
      <c r="C42" s="27"/>
      <c r="D42" s="27"/>
      <c r="E42" s="27"/>
      <c r="F42" s="45" t="str">
        <f t="shared" si="8"/>
        <v/>
      </c>
      <c r="G42" s="45" t="str">
        <f t="shared" si="9"/>
        <v/>
      </c>
      <c r="H42" s="27"/>
      <c r="I42" s="28"/>
      <c r="J42" s="28"/>
      <c r="K42" s="28"/>
      <c r="L42" s="28"/>
      <c r="M42" s="55" t="str">
        <f t="shared" ca="1" si="6"/>
        <v/>
      </c>
      <c r="N42" s="27"/>
      <c r="O42" s="13" t="str">
        <f t="shared" ca="1" si="7"/>
        <v/>
      </c>
      <c r="P42" s="13" t="str">
        <f ca="1">IF(J42="","",IF(L42&lt;&gt;"",INDEX(_翻訳マスタ!$B$75:$D$75,1,MATCH(言語切替!$B$3,_翻訳マスタ!$B$1:$D$1,0)),IF(TODAY()&gt;J42,INDEX(_翻訳マスタ!$B$92:$D$92,1,MATCH(言語切替!$B$3,_翻訳マスタ!$B$1:$D$1,0)),IF(J42-TODAY()&lt;=7,INDEX(_翻訳マスタ!$B$91:$D$91,1,MATCH(言語切替!$B$3,_翻訳マスタ!$B$1:$D$1,0)),INDEX(_翻訳マスタ!$B$90:$D$90,1,MATCH(言語切替!$B$3,_翻訳マスタ!$B$1:$D$1,0))))))</f>
        <v/>
      </c>
      <c r="Q42" s="27"/>
      <c r="R42" s="36"/>
      <c r="S42" s="53" t="str">
        <f t="shared" si="10"/>
        <v/>
      </c>
      <c r="T42" s="53" t="str">
        <f t="shared" si="11"/>
        <v/>
      </c>
    </row>
    <row r="43" spans="1:20" s="22" customFormat="1" ht="15" customHeight="1" x14ac:dyDescent="0.25">
      <c r="A43" s="29"/>
      <c r="B43" s="30"/>
      <c r="C43" s="30"/>
      <c r="D43" s="30"/>
      <c r="E43" s="30"/>
      <c r="F43" s="46" t="str">
        <f t="shared" si="8"/>
        <v/>
      </c>
      <c r="G43" s="46" t="str">
        <f t="shared" si="9"/>
        <v/>
      </c>
      <c r="H43" s="30"/>
      <c r="I43" s="31"/>
      <c r="J43" s="31"/>
      <c r="K43" s="31"/>
      <c r="L43" s="31"/>
      <c r="M43" s="56" t="str">
        <f t="shared" ca="1" si="6"/>
        <v/>
      </c>
      <c r="N43" s="30"/>
      <c r="O43" s="16" t="str">
        <f t="shared" ca="1" si="7"/>
        <v/>
      </c>
      <c r="P43" s="16" t="str">
        <f ca="1">IF(J43="","",IF(L43&lt;&gt;"",INDEX(_翻訳マスタ!$B$75:$D$75,1,MATCH(言語切替!$B$3,_翻訳マスタ!$B$1:$D$1,0)),IF(TODAY()&gt;J43,INDEX(_翻訳マスタ!$B$92:$D$92,1,MATCH(言語切替!$B$3,_翻訳マスタ!$B$1:$D$1,0)),IF(J43-TODAY()&lt;=7,INDEX(_翻訳マスタ!$B$91:$D$91,1,MATCH(言語切替!$B$3,_翻訳マスタ!$B$1:$D$1,0)),INDEX(_翻訳マスタ!$B$90:$D$90,1,MATCH(言語切替!$B$3,_翻訳マスタ!$B$1:$D$1,0))))))</f>
        <v/>
      </c>
      <c r="Q43" s="30"/>
      <c r="R43" s="37"/>
      <c r="S43" s="52" t="str">
        <f t="shared" si="10"/>
        <v/>
      </c>
      <c r="T43" s="52" t="str">
        <f t="shared" si="11"/>
        <v/>
      </c>
    </row>
    <row r="44" spans="1:20" s="22" customFormat="1" ht="15" customHeight="1" x14ac:dyDescent="0.25">
      <c r="A44" s="26"/>
      <c r="B44" s="27"/>
      <c r="C44" s="27"/>
      <c r="D44" s="27"/>
      <c r="E44" s="27"/>
      <c r="F44" s="45" t="str">
        <f t="shared" si="8"/>
        <v/>
      </c>
      <c r="G44" s="45" t="str">
        <f t="shared" si="9"/>
        <v/>
      </c>
      <c r="H44" s="27"/>
      <c r="I44" s="28"/>
      <c r="J44" s="28"/>
      <c r="K44" s="28"/>
      <c r="L44" s="28"/>
      <c r="M44" s="55" t="str">
        <f t="shared" ca="1" si="6"/>
        <v/>
      </c>
      <c r="N44" s="27"/>
      <c r="O44" s="13" t="str">
        <f t="shared" ca="1" si="7"/>
        <v/>
      </c>
      <c r="P44" s="13" t="str">
        <f ca="1">IF(J44="","",IF(L44&lt;&gt;"",INDEX(_翻訳マスタ!$B$75:$D$75,1,MATCH(言語切替!$B$3,_翻訳マスタ!$B$1:$D$1,0)),IF(TODAY()&gt;J44,INDEX(_翻訳マスタ!$B$92:$D$92,1,MATCH(言語切替!$B$3,_翻訳マスタ!$B$1:$D$1,0)),IF(J44-TODAY()&lt;=7,INDEX(_翻訳マスタ!$B$91:$D$91,1,MATCH(言語切替!$B$3,_翻訳マスタ!$B$1:$D$1,0)),INDEX(_翻訳マスタ!$B$90:$D$90,1,MATCH(言語切替!$B$3,_翻訳マスタ!$B$1:$D$1,0))))))</f>
        <v/>
      </c>
      <c r="Q44" s="27"/>
      <c r="R44" s="36"/>
      <c r="S44" s="53" t="str">
        <f t="shared" si="10"/>
        <v/>
      </c>
      <c r="T44" s="53" t="str">
        <f t="shared" si="11"/>
        <v/>
      </c>
    </row>
    <row r="45" spans="1:20" s="22" customFormat="1" ht="15" customHeight="1" x14ac:dyDescent="0.25">
      <c r="A45" s="29"/>
      <c r="B45" s="30"/>
      <c r="C45" s="30"/>
      <c r="D45" s="30"/>
      <c r="E45" s="30"/>
      <c r="F45" s="46" t="str">
        <f t="shared" si="8"/>
        <v/>
      </c>
      <c r="G45" s="46" t="str">
        <f t="shared" si="9"/>
        <v/>
      </c>
      <c r="H45" s="30"/>
      <c r="I45" s="31"/>
      <c r="J45" s="31"/>
      <c r="K45" s="31"/>
      <c r="L45" s="31"/>
      <c r="M45" s="56" t="str">
        <f t="shared" ca="1" si="6"/>
        <v/>
      </c>
      <c r="N45" s="30"/>
      <c r="O45" s="16" t="str">
        <f t="shared" ca="1" si="7"/>
        <v/>
      </c>
      <c r="P45" s="16" t="str">
        <f ca="1">IF(J45="","",IF(L45&lt;&gt;"",INDEX(_翻訳マスタ!$B$75:$D$75,1,MATCH(言語切替!$B$3,_翻訳マスタ!$B$1:$D$1,0)),IF(TODAY()&gt;J45,INDEX(_翻訳マスタ!$B$92:$D$92,1,MATCH(言語切替!$B$3,_翻訳マスタ!$B$1:$D$1,0)),IF(J45-TODAY()&lt;=7,INDEX(_翻訳マスタ!$B$91:$D$91,1,MATCH(言語切替!$B$3,_翻訳マスタ!$B$1:$D$1,0)),INDEX(_翻訳マスタ!$B$90:$D$90,1,MATCH(言語切替!$B$3,_翻訳マスタ!$B$1:$D$1,0))))))</f>
        <v/>
      </c>
      <c r="Q45" s="30"/>
      <c r="R45" s="37"/>
      <c r="S45" s="52" t="str">
        <f t="shared" si="10"/>
        <v/>
      </c>
      <c r="T45" s="52" t="str">
        <f t="shared" si="11"/>
        <v/>
      </c>
    </row>
    <row r="46" spans="1:20" s="22" customFormat="1" ht="15" customHeight="1" x14ac:dyDescent="0.25">
      <c r="A46" s="26"/>
      <c r="B46" s="27"/>
      <c r="C46" s="27"/>
      <c r="D46" s="27"/>
      <c r="E46" s="27"/>
      <c r="F46" s="45" t="str">
        <f t="shared" si="8"/>
        <v/>
      </c>
      <c r="G46" s="45" t="str">
        <f t="shared" si="9"/>
        <v/>
      </c>
      <c r="H46" s="27"/>
      <c r="I46" s="28"/>
      <c r="J46" s="28"/>
      <c r="K46" s="28"/>
      <c r="L46" s="28"/>
      <c r="M46" s="55" t="str">
        <f t="shared" ca="1" si="6"/>
        <v/>
      </c>
      <c r="N46" s="27"/>
      <c r="O46" s="13" t="str">
        <f t="shared" ca="1" si="7"/>
        <v/>
      </c>
      <c r="P46" s="13" t="str">
        <f ca="1">IF(J46="","",IF(L46&lt;&gt;"",INDEX(_翻訳マスタ!$B$75:$D$75,1,MATCH(言語切替!$B$3,_翻訳マスタ!$B$1:$D$1,0)),IF(TODAY()&gt;J46,INDEX(_翻訳マスタ!$B$92:$D$92,1,MATCH(言語切替!$B$3,_翻訳マスタ!$B$1:$D$1,0)),IF(J46-TODAY()&lt;=7,INDEX(_翻訳マスタ!$B$91:$D$91,1,MATCH(言語切替!$B$3,_翻訳マスタ!$B$1:$D$1,0)),INDEX(_翻訳マスタ!$B$90:$D$90,1,MATCH(言語切替!$B$3,_翻訳マスタ!$B$1:$D$1,0))))))</f>
        <v/>
      </c>
      <c r="Q46" s="27"/>
      <c r="R46" s="36"/>
      <c r="S46" s="53" t="str">
        <f t="shared" si="10"/>
        <v/>
      </c>
      <c r="T46" s="53" t="str">
        <f t="shared" si="11"/>
        <v/>
      </c>
    </row>
    <row r="47" spans="1:20" s="22" customFormat="1" ht="15" customHeight="1" x14ac:dyDescent="0.25">
      <c r="A47" s="29"/>
      <c r="B47" s="30"/>
      <c r="C47" s="30"/>
      <c r="D47" s="30"/>
      <c r="E47" s="30"/>
      <c r="F47" s="46" t="str">
        <f t="shared" si="8"/>
        <v/>
      </c>
      <c r="G47" s="46" t="str">
        <f t="shared" si="9"/>
        <v/>
      </c>
      <c r="H47" s="30"/>
      <c r="I47" s="31"/>
      <c r="J47" s="31"/>
      <c r="K47" s="31"/>
      <c r="L47" s="31"/>
      <c r="M47" s="56" t="str">
        <f t="shared" ca="1" si="6"/>
        <v/>
      </c>
      <c r="N47" s="30"/>
      <c r="O47" s="16" t="str">
        <f t="shared" ca="1" si="7"/>
        <v/>
      </c>
      <c r="P47" s="16" t="str">
        <f ca="1">IF(J47="","",IF(L47&lt;&gt;"",INDEX(_翻訳マスタ!$B$75:$D$75,1,MATCH(言語切替!$B$3,_翻訳マスタ!$B$1:$D$1,0)),IF(TODAY()&gt;J47,INDEX(_翻訳マスタ!$B$92:$D$92,1,MATCH(言語切替!$B$3,_翻訳マスタ!$B$1:$D$1,0)),IF(J47-TODAY()&lt;=7,INDEX(_翻訳マスタ!$B$91:$D$91,1,MATCH(言語切替!$B$3,_翻訳マスタ!$B$1:$D$1,0)),INDEX(_翻訳マスタ!$B$90:$D$90,1,MATCH(言語切替!$B$3,_翻訳マスタ!$B$1:$D$1,0))))))</f>
        <v/>
      </c>
      <c r="Q47" s="30"/>
      <c r="R47" s="37"/>
      <c r="S47" s="52" t="str">
        <f t="shared" si="10"/>
        <v/>
      </c>
      <c r="T47" s="52" t="str">
        <f t="shared" si="11"/>
        <v/>
      </c>
    </row>
    <row r="48" spans="1:20" s="22" customFormat="1" ht="15" customHeight="1" x14ac:dyDescent="0.25">
      <c r="A48" s="26"/>
      <c r="B48" s="27"/>
      <c r="C48" s="27"/>
      <c r="D48" s="27"/>
      <c r="E48" s="27"/>
      <c r="F48" s="45" t="str">
        <f t="shared" si="8"/>
        <v/>
      </c>
      <c r="G48" s="45" t="str">
        <f t="shared" si="9"/>
        <v/>
      </c>
      <c r="H48" s="27"/>
      <c r="I48" s="28"/>
      <c r="J48" s="28"/>
      <c r="K48" s="28"/>
      <c r="L48" s="28"/>
      <c r="M48" s="55" t="str">
        <f t="shared" ca="1" si="6"/>
        <v/>
      </c>
      <c r="N48" s="27"/>
      <c r="O48" s="13" t="str">
        <f t="shared" ca="1" si="7"/>
        <v/>
      </c>
      <c r="P48" s="13" t="str">
        <f ca="1">IF(J48="","",IF(L48&lt;&gt;"",INDEX(_翻訳マスタ!$B$75:$D$75,1,MATCH(言語切替!$B$3,_翻訳マスタ!$B$1:$D$1,0)),IF(TODAY()&gt;J48,INDEX(_翻訳マスタ!$B$92:$D$92,1,MATCH(言語切替!$B$3,_翻訳マスタ!$B$1:$D$1,0)),IF(J48-TODAY()&lt;=7,INDEX(_翻訳マスタ!$B$91:$D$91,1,MATCH(言語切替!$B$3,_翻訳マスタ!$B$1:$D$1,0)),INDEX(_翻訳マスタ!$B$90:$D$90,1,MATCH(言語切替!$B$3,_翻訳マスタ!$B$1:$D$1,0))))))</f>
        <v/>
      </c>
      <c r="Q48" s="27"/>
      <c r="R48" s="36"/>
      <c r="S48" s="53" t="str">
        <f t="shared" si="10"/>
        <v/>
      </c>
      <c r="T48" s="53" t="str">
        <f t="shared" si="11"/>
        <v/>
      </c>
    </row>
    <row r="49" spans="1:20" s="22" customFormat="1" ht="15" customHeight="1" x14ac:dyDescent="0.25">
      <c r="A49" s="29"/>
      <c r="B49" s="30"/>
      <c r="C49" s="30"/>
      <c r="D49" s="30"/>
      <c r="E49" s="30"/>
      <c r="F49" s="46" t="str">
        <f t="shared" si="8"/>
        <v/>
      </c>
      <c r="G49" s="46" t="str">
        <f t="shared" si="9"/>
        <v/>
      </c>
      <c r="H49" s="30"/>
      <c r="I49" s="31"/>
      <c r="J49" s="31"/>
      <c r="K49" s="31"/>
      <c r="L49" s="31"/>
      <c r="M49" s="56" t="str">
        <f t="shared" ca="1" si="6"/>
        <v/>
      </c>
      <c r="N49" s="30"/>
      <c r="O49" s="16" t="str">
        <f t="shared" ca="1" si="7"/>
        <v/>
      </c>
      <c r="P49" s="16" t="str">
        <f ca="1">IF(J49="","",IF(L49&lt;&gt;"",INDEX(_翻訳マスタ!$B$75:$D$75,1,MATCH(言語切替!$B$3,_翻訳マスタ!$B$1:$D$1,0)),IF(TODAY()&gt;J49,INDEX(_翻訳マスタ!$B$92:$D$92,1,MATCH(言語切替!$B$3,_翻訳マスタ!$B$1:$D$1,0)),IF(J49-TODAY()&lt;=7,INDEX(_翻訳マスタ!$B$91:$D$91,1,MATCH(言語切替!$B$3,_翻訳マスタ!$B$1:$D$1,0)),INDEX(_翻訳マスタ!$B$90:$D$90,1,MATCH(言語切替!$B$3,_翻訳マスタ!$B$1:$D$1,0))))))</f>
        <v/>
      </c>
      <c r="Q49" s="30"/>
      <c r="R49" s="37"/>
      <c r="S49" s="52" t="str">
        <f t="shared" si="10"/>
        <v/>
      </c>
      <c r="T49" s="52" t="str">
        <f t="shared" si="11"/>
        <v/>
      </c>
    </row>
    <row r="50" spans="1:20" s="22" customFormat="1" ht="15" customHeight="1" x14ac:dyDescent="0.25">
      <c r="A50" s="26"/>
      <c r="B50" s="27"/>
      <c r="C50" s="27"/>
      <c r="D50" s="27"/>
      <c r="E50" s="27"/>
      <c r="F50" s="45" t="str">
        <f t="shared" si="8"/>
        <v/>
      </c>
      <c r="G50" s="45" t="str">
        <f t="shared" si="9"/>
        <v/>
      </c>
      <c r="H50" s="27"/>
      <c r="I50" s="28"/>
      <c r="J50" s="28"/>
      <c r="K50" s="28"/>
      <c r="L50" s="28"/>
      <c r="M50" s="55" t="str">
        <f t="shared" ca="1" si="6"/>
        <v/>
      </c>
      <c r="N50" s="27"/>
      <c r="O50" s="13" t="str">
        <f t="shared" ca="1" si="7"/>
        <v/>
      </c>
      <c r="P50" s="13" t="str">
        <f ca="1">IF(J50="","",IF(L50&lt;&gt;"",INDEX(_翻訳マスタ!$B$75:$D$75,1,MATCH(言語切替!$B$3,_翻訳マスタ!$B$1:$D$1,0)),IF(TODAY()&gt;J50,INDEX(_翻訳マスタ!$B$92:$D$92,1,MATCH(言語切替!$B$3,_翻訳マスタ!$B$1:$D$1,0)),IF(J50-TODAY()&lt;=7,INDEX(_翻訳マスタ!$B$91:$D$91,1,MATCH(言語切替!$B$3,_翻訳マスタ!$B$1:$D$1,0)),INDEX(_翻訳マスタ!$B$90:$D$90,1,MATCH(言語切替!$B$3,_翻訳マスタ!$B$1:$D$1,0))))))</f>
        <v/>
      </c>
      <c r="Q50" s="27"/>
      <c r="R50" s="36"/>
      <c r="S50" s="53" t="str">
        <f t="shared" si="10"/>
        <v/>
      </c>
      <c r="T50" s="53" t="str">
        <f t="shared" si="11"/>
        <v/>
      </c>
    </row>
    <row r="51" spans="1:20" s="22" customFormat="1" ht="15" customHeight="1" x14ac:dyDescent="0.25">
      <c r="A51" s="29"/>
      <c r="B51" s="30"/>
      <c r="C51" s="30"/>
      <c r="D51" s="30"/>
      <c r="E51" s="30"/>
      <c r="F51" s="46" t="str">
        <f t="shared" si="8"/>
        <v/>
      </c>
      <c r="G51" s="46" t="str">
        <f t="shared" si="9"/>
        <v/>
      </c>
      <c r="H51" s="30"/>
      <c r="I51" s="31"/>
      <c r="J51" s="31"/>
      <c r="K51" s="31"/>
      <c r="L51" s="31"/>
      <c r="M51" s="56" t="str">
        <f t="shared" ca="1" si="6"/>
        <v/>
      </c>
      <c r="N51" s="30"/>
      <c r="O51" s="16" t="str">
        <f t="shared" ca="1" si="7"/>
        <v/>
      </c>
      <c r="P51" s="16" t="str">
        <f ca="1">IF(J51="","",IF(L51&lt;&gt;"",INDEX(_翻訳マスタ!$B$75:$D$75,1,MATCH(言語切替!$B$3,_翻訳マスタ!$B$1:$D$1,0)),IF(TODAY()&gt;J51,INDEX(_翻訳マスタ!$B$92:$D$92,1,MATCH(言語切替!$B$3,_翻訳マスタ!$B$1:$D$1,0)),IF(J51-TODAY()&lt;=7,INDEX(_翻訳マスタ!$B$91:$D$91,1,MATCH(言語切替!$B$3,_翻訳マスタ!$B$1:$D$1,0)),INDEX(_翻訳マスタ!$B$90:$D$90,1,MATCH(言語切替!$B$3,_翻訳マスタ!$B$1:$D$1,0))))))</f>
        <v/>
      </c>
      <c r="Q51" s="30"/>
      <c r="R51" s="37"/>
      <c r="S51" s="52" t="str">
        <f t="shared" si="10"/>
        <v/>
      </c>
      <c r="T51" s="52" t="str">
        <f t="shared" si="11"/>
        <v/>
      </c>
    </row>
    <row r="52" spans="1:20" s="22" customFormat="1" ht="15" customHeight="1" x14ac:dyDescent="0.25">
      <c r="A52" s="26"/>
      <c r="B52" s="27"/>
      <c r="C52" s="27"/>
      <c r="D52" s="27"/>
      <c r="E52" s="27"/>
      <c r="F52" s="45" t="str">
        <f t="shared" si="8"/>
        <v/>
      </c>
      <c r="G52" s="45" t="str">
        <f t="shared" si="9"/>
        <v/>
      </c>
      <c r="H52" s="27"/>
      <c r="I52" s="28"/>
      <c r="J52" s="28"/>
      <c r="K52" s="28"/>
      <c r="L52" s="28"/>
      <c r="M52" s="55" t="str">
        <f t="shared" ca="1" si="6"/>
        <v/>
      </c>
      <c r="N52" s="27"/>
      <c r="O52" s="13" t="str">
        <f t="shared" ca="1" si="7"/>
        <v/>
      </c>
      <c r="P52" s="13" t="str">
        <f ca="1">IF(J52="","",IF(L52&lt;&gt;"",INDEX(_翻訳マスタ!$B$75:$D$75,1,MATCH(言語切替!$B$3,_翻訳マスタ!$B$1:$D$1,0)),IF(TODAY()&gt;J52,INDEX(_翻訳マスタ!$B$92:$D$92,1,MATCH(言語切替!$B$3,_翻訳マスタ!$B$1:$D$1,0)),IF(J52-TODAY()&lt;=7,INDEX(_翻訳マスタ!$B$91:$D$91,1,MATCH(言語切替!$B$3,_翻訳マスタ!$B$1:$D$1,0)),INDEX(_翻訳マスタ!$B$90:$D$90,1,MATCH(言語切替!$B$3,_翻訳マスタ!$B$1:$D$1,0))))))</f>
        <v/>
      </c>
      <c r="Q52" s="27"/>
      <c r="R52" s="36"/>
      <c r="S52" s="53" t="str">
        <f t="shared" si="10"/>
        <v/>
      </c>
      <c r="T52" s="53" t="str">
        <f t="shared" si="11"/>
        <v/>
      </c>
    </row>
    <row r="53" spans="1:20" s="22" customFormat="1" ht="15" customHeight="1" x14ac:dyDescent="0.25">
      <c r="A53" s="29"/>
      <c r="B53" s="30"/>
      <c r="C53" s="30"/>
      <c r="D53" s="30"/>
      <c r="E53" s="30"/>
      <c r="F53" s="46" t="str">
        <f t="shared" si="8"/>
        <v/>
      </c>
      <c r="G53" s="46" t="str">
        <f t="shared" si="9"/>
        <v/>
      </c>
      <c r="H53" s="30"/>
      <c r="I53" s="31"/>
      <c r="J53" s="31"/>
      <c r="K53" s="31"/>
      <c r="L53" s="31"/>
      <c r="M53" s="56" t="str">
        <f t="shared" ca="1" si="6"/>
        <v/>
      </c>
      <c r="N53" s="30"/>
      <c r="O53" s="16" t="str">
        <f t="shared" ca="1" si="7"/>
        <v/>
      </c>
      <c r="P53" s="16" t="str">
        <f ca="1">IF(J53="","",IF(L53&lt;&gt;"",INDEX(_翻訳マスタ!$B$75:$D$75,1,MATCH(言語切替!$B$3,_翻訳マスタ!$B$1:$D$1,0)),IF(TODAY()&gt;J53,INDEX(_翻訳マスタ!$B$92:$D$92,1,MATCH(言語切替!$B$3,_翻訳マスタ!$B$1:$D$1,0)),IF(J53-TODAY()&lt;=7,INDEX(_翻訳マスタ!$B$91:$D$91,1,MATCH(言語切替!$B$3,_翻訳マスタ!$B$1:$D$1,0)),INDEX(_翻訳マスタ!$B$90:$D$90,1,MATCH(言語切替!$B$3,_翻訳マスタ!$B$1:$D$1,0))))))</f>
        <v/>
      </c>
      <c r="Q53" s="30"/>
      <c r="R53" s="37"/>
      <c r="S53" s="52" t="str">
        <f t="shared" si="10"/>
        <v/>
      </c>
      <c r="T53" s="52" t="str">
        <f t="shared" si="11"/>
        <v/>
      </c>
    </row>
    <row r="54" spans="1:20" s="22" customFormat="1" ht="15" customHeight="1" x14ac:dyDescent="0.25">
      <c r="A54" s="26"/>
      <c r="B54" s="27"/>
      <c r="C54" s="27"/>
      <c r="D54" s="27"/>
      <c r="E54" s="27"/>
      <c r="F54" s="45" t="str">
        <f t="shared" si="8"/>
        <v/>
      </c>
      <c r="G54" s="45" t="str">
        <f t="shared" si="9"/>
        <v/>
      </c>
      <c r="H54" s="27"/>
      <c r="I54" s="28"/>
      <c r="J54" s="28"/>
      <c r="K54" s="28"/>
      <c r="L54" s="28"/>
      <c r="M54" s="55" t="str">
        <f t="shared" ca="1" si="6"/>
        <v/>
      </c>
      <c r="N54" s="27"/>
      <c r="O54" s="13" t="str">
        <f t="shared" ca="1" si="7"/>
        <v/>
      </c>
      <c r="P54" s="13" t="str">
        <f ca="1">IF(J54="","",IF(L54&lt;&gt;"",INDEX(_翻訳マスタ!$B$75:$D$75,1,MATCH(言語切替!$B$3,_翻訳マスタ!$B$1:$D$1,0)),IF(TODAY()&gt;J54,INDEX(_翻訳マスタ!$B$92:$D$92,1,MATCH(言語切替!$B$3,_翻訳マスタ!$B$1:$D$1,0)),IF(J54-TODAY()&lt;=7,INDEX(_翻訳マスタ!$B$91:$D$91,1,MATCH(言語切替!$B$3,_翻訳マスタ!$B$1:$D$1,0)),INDEX(_翻訳マスタ!$B$90:$D$90,1,MATCH(言語切替!$B$3,_翻訳マスタ!$B$1:$D$1,0))))))</f>
        <v/>
      </c>
      <c r="Q54" s="27"/>
      <c r="R54" s="36"/>
      <c r="S54" s="53" t="str">
        <f t="shared" si="10"/>
        <v/>
      </c>
      <c r="T54" s="53" t="str">
        <f t="shared" si="11"/>
        <v/>
      </c>
    </row>
    <row r="55" spans="1:20" s="22" customFormat="1" ht="15" customHeight="1" x14ac:dyDescent="0.25">
      <c r="A55" s="29"/>
      <c r="B55" s="30"/>
      <c r="C55" s="30"/>
      <c r="D55" s="30"/>
      <c r="E55" s="30"/>
      <c r="F55" s="46" t="str">
        <f t="shared" si="8"/>
        <v/>
      </c>
      <c r="G55" s="46" t="str">
        <f t="shared" si="9"/>
        <v/>
      </c>
      <c r="H55" s="30"/>
      <c r="I55" s="31"/>
      <c r="J55" s="31"/>
      <c r="K55" s="31"/>
      <c r="L55" s="31"/>
      <c r="M55" s="56" t="str">
        <f t="shared" ca="1" si="6"/>
        <v/>
      </c>
      <c r="N55" s="30"/>
      <c r="O55" s="16" t="str">
        <f t="shared" ca="1" si="7"/>
        <v/>
      </c>
      <c r="P55" s="16" t="str">
        <f ca="1">IF(J55="","",IF(L55&lt;&gt;"",INDEX(_翻訳マスタ!$B$75:$D$75,1,MATCH(言語切替!$B$3,_翻訳マスタ!$B$1:$D$1,0)),IF(TODAY()&gt;J55,INDEX(_翻訳マスタ!$B$92:$D$92,1,MATCH(言語切替!$B$3,_翻訳マスタ!$B$1:$D$1,0)),IF(J55-TODAY()&lt;=7,INDEX(_翻訳マスタ!$B$91:$D$91,1,MATCH(言語切替!$B$3,_翻訳マスタ!$B$1:$D$1,0)),INDEX(_翻訳マスタ!$B$90:$D$90,1,MATCH(言語切替!$B$3,_翻訳マスタ!$B$1:$D$1,0))))))</f>
        <v/>
      </c>
      <c r="Q55" s="30"/>
      <c r="R55" s="37"/>
      <c r="S55" s="52" t="str">
        <f t="shared" si="10"/>
        <v/>
      </c>
      <c r="T55" s="52" t="str">
        <f t="shared" si="11"/>
        <v/>
      </c>
    </row>
    <row r="56" spans="1:20" s="22" customFormat="1" ht="15" customHeight="1" x14ac:dyDescent="0.25">
      <c r="A56" s="26"/>
      <c r="B56" s="27"/>
      <c r="C56" s="27"/>
      <c r="D56" s="27"/>
      <c r="E56" s="27"/>
      <c r="F56" s="45" t="str">
        <f t="shared" si="8"/>
        <v/>
      </c>
      <c r="G56" s="45" t="str">
        <f t="shared" si="9"/>
        <v/>
      </c>
      <c r="H56" s="27"/>
      <c r="I56" s="28"/>
      <c r="J56" s="28"/>
      <c r="K56" s="28"/>
      <c r="L56" s="28"/>
      <c r="M56" s="55" t="str">
        <f t="shared" ca="1" si="6"/>
        <v/>
      </c>
      <c r="N56" s="27"/>
      <c r="O56" s="13" t="str">
        <f t="shared" ca="1" si="7"/>
        <v/>
      </c>
      <c r="P56" s="13" t="str">
        <f ca="1">IF(J56="","",IF(L56&lt;&gt;"",INDEX(_翻訳マスタ!$B$75:$D$75,1,MATCH(言語切替!$B$3,_翻訳マスタ!$B$1:$D$1,0)),IF(TODAY()&gt;J56,INDEX(_翻訳マスタ!$B$92:$D$92,1,MATCH(言語切替!$B$3,_翻訳マスタ!$B$1:$D$1,0)),IF(J56-TODAY()&lt;=7,INDEX(_翻訳マスタ!$B$91:$D$91,1,MATCH(言語切替!$B$3,_翻訳マスタ!$B$1:$D$1,0)),INDEX(_翻訳マスタ!$B$90:$D$90,1,MATCH(言語切替!$B$3,_翻訳マスタ!$B$1:$D$1,0))))))</f>
        <v/>
      </c>
      <c r="Q56" s="27"/>
      <c r="R56" s="36"/>
      <c r="S56" s="53" t="str">
        <f t="shared" si="10"/>
        <v/>
      </c>
      <c r="T56" s="53" t="str">
        <f t="shared" si="11"/>
        <v/>
      </c>
    </row>
    <row r="57" spans="1:20" s="22" customFormat="1" ht="15" customHeight="1" x14ac:dyDescent="0.25">
      <c r="A57" s="29"/>
      <c r="B57" s="30"/>
      <c r="C57" s="30"/>
      <c r="D57" s="30"/>
      <c r="E57" s="30"/>
      <c r="F57" s="46" t="str">
        <f t="shared" si="8"/>
        <v/>
      </c>
      <c r="G57" s="46" t="str">
        <f t="shared" si="9"/>
        <v/>
      </c>
      <c r="H57" s="30"/>
      <c r="I57" s="31"/>
      <c r="J57" s="31"/>
      <c r="K57" s="31"/>
      <c r="L57" s="31"/>
      <c r="M57" s="56" t="str">
        <f t="shared" ca="1" si="6"/>
        <v/>
      </c>
      <c r="N57" s="30"/>
      <c r="O57" s="16" t="str">
        <f t="shared" ca="1" si="7"/>
        <v/>
      </c>
      <c r="P57" s="16" t="str">
        <f ca="1">IF(J57="","",IF(L57&lt;&gt;"",INDEX(_翻訳マスタ!$B$75:$D$75,1,MATCH(言語切替!$B$3,_翻訳マスタ!$B$1:$D$1,0)),IF(TODAY()&gt;J57,INDEX(_翻訳マスタ!$B$92:$D$92,1,MATCH(言語切替!$B$3,_翻訳マスタ!$B$1:$D$1,0)),IF(J57-TODAY()&lt;=7,INDEX(_翻訳マスタ!$B$91:$D$91,1,MATCH(言語切替!$B$3,_翻訳マスタ!$B$1:$D$1,0)),INDEX(_翻訳マスタ!$B$90:$D$90,1,MATCH(言語切替!$B$3,_翻訳マスタ!$B$1:$D$1,0))))))</f>
        <v/>
      </c>
      <c r="Q57" s="30"/>
      <c r="R57" s="37"/>
      <c r="S57" s="52" t="str">
        <f t="shared" si="10"/>
        <v/>
      </c>
      <c r="T57" s="52" t="str">
        <f t="shared" si="11"/>
        <v/>
      </c>
    </row>
    <row r="58" spans="1:20" s="22" customFormat="1" ht="15" customHeight="1" x14ac:dyDescent="0.25">
      <c r="A58" s="26"/>
      <c r="B58" s="27"/>
      <c r="C58" s="27"/>
      <c r="D58" s="27"/>
      <c r="E58" s="27"/>
      <c r="F58" s="45" t="str">
        <f t="shared" si="8"/>
        <v/>
      </c>
      <c r="G58" s="45" t="str">
        <f t="shared" si="9"/>
        <v/>
      </c>
      <c r="H58" s="27"/>
      <c r="I58" s="28"/>
      <c r="J58" s="28"/>
      <c r="K58" s="28"/>
      <c r="L58" s="28"/>
      <c r="M58" s="55" t="str">
        <f t="shared" ca="1" si="6"/>
        <v/>
      </c>
      <c r="N58" s="27"/>
      <c r="O58" s="13" t="str">
        <f t="shared" ca="1" si="7"/>
        <v/>
      </c>
      <c r="P58" s="13" t="str">
        <f ca="1">IF(J58="","",IF(L58&lt;&gt;"",INDEX(_翻訳マスタ!$B$75:$D$75,1,MATCH(言語切替!$B$3,_翻訳マスタ!$B$1:$D$1,0)),IF(TODAY()&gt;J58,INDEX(_翻訳マスタ!$B$92:$D$92,1,MATCH(言語切替!$B$3,_翻訳マスタ!$B$1:$D$1,0)),IF(J58-TODAY()&lt;=7,INDEX(_翻訳マスタ!$B$91:$D$91,1,MATCH(言語切替!$B$3,_翻訳マスタ!$B$1:$D$1,0)),INDEX(_翻訳マスタ!$B$90:$D$90,1,MATCH(言語切替!$B$3,_翻訳マスタ!$B$1:$D$1,0))))))</f>
        <v/>
      </c>
      <c r="Q58" s="27"/>
      <c r="R58" s="36"/>
      <c r="S58" s="53" t="str">
        <f t="shared" si="10"/>
        <v/>
      </c>
      <c r="T58" s="53" t="str">
        <f t="shared" si="11"/>
        <v/>
      </c>
    </row>
    <row r="59" spans="1:20" s="22" customFormat="1" ht="15" customHeight="1" x14ac:dyDescent="0.25">
      <c r="A59" s="29"/>
      <c r="B59" s="30"/>
      <c r="C59" s="30"/>
      <c r="D59" s="30"/>
      <c r="E59" s="30"/>
      <c r="F59" s="46" t="str">
        <f t="shared" si="8"/>
        <v/>
      </c>
      <c r="G59" s="46" t="str">
        <f t="shared" si="9"/>
        <v/>
      </c>
      <c r="H59" s="30"/>
      <c r="I59" s="31"/>
      <c r="J59" s="31"/>
      <c r="K59" s="31"/>
      <c r="L59" s="31"/>
      <c r="M59" s="56" t="str">
        <f t="shared" ca="1" si="6"/>
        <v/>
      </c>
      <c r="N59" s="30"/>
      <c r="O59" s="16" t="str">
        <f t="shared" ca="1" si="7"/>
        <v/>
      </c>
      <c r="P59" s="16" t="str">
        <f ca="1">IF(J59="","",IF(L59&lt;&gt;"",INDEX(_翻訳マスタ!$B$75:$D$75,1,MATCH(言語切替!$B$3,_翻訳マスタ!$B$1:$D$1,0)),IF(TODAY()&gt;J59,INDEX(_翻訳マスタ!$B$92:$D$92,1,MATCH(言語切替!$B$3,_翻訳マスタ!$B$1:$D$1,0)),IF(J59-TODAY()&lt;=7,INDEX(_翻訳マスタ!$B$91:$D$91,1,MATCH(言語切替!$B$3,_翻訳マスタ!$B$1:$D$1,0)),INDEX(_翻訳マスタ!$B$90:$D$90,1,MATCH(言語切替!$B$3,_翻訳マスタ!$B$1:$D$1,0))))))</f>
        <v/>
      </c>
      <c r="Q59" s="30"/>
      <c r="R59" s="37"/>
      <c r="S59" s="52" t="str">
        <f t="shared" si="10"/>
        <v/>
      </c>
      <c r="T59" s="52" t="str">
        <f t="shared" si="11"/>
        <v/>
      </c>
    </row>
    <row r="60" spans="1:20" s="22" customFormat="1" ht="15" customHeight="1" x14ac:dyDescent="0.25">
      <c r="A60" s="26"/>
      <c r="B60" s="27"/>
      <c r="C60" s="27"/>
      <c r="D60" s="27"/>
      <c r="E60" s="27"/>
      <c r="F60" s="45" t="str">
        <f t="shared" si="8"/>
        <v/>
      </c>
      <c r="G60" s="45" t="str">
        <f t="shared" si="9"/>
        <v/>
      </c>
      <c r="H60" s="27"/>
      <c r="I60" s="28"/>
      <c r="J60" s="28"/>
      <c r="K60" s="28"/>
      <c r="L60" s="28"/>
      <c r="M60" s="55" t="str">
        <f t="shared" ca="1" si="6"/>
        <v/>
      </c>
      <c r="N60" s="27"/>
      <c r="O60" s="13" t="str">
        <f t="shared" ca="1" si="7"/>
        <v/>
      </c>
      <c r="P60" s="13" t="str">
        <f ca="1">IF(J60="","",IF(L60&lt;&gt;"",INDEX(_翻訳マスタ!$B$75:$D$75,1,MATCH(言語切替!$B$3,_翻訳マスタ!$B$1:$D$1,0)),IF(TODAY()&gt;J60,INDEX(_翻訳マスタ!$B$92:$D$92,1,MATCH(言語切替!$B$3,_翻訳マスタ!$B$1:$D$1,0)),IF(J60-TODAY()&lt;=7,INDEX(_翻訳マスタ!$B$91:$D$91,1,MATCH(言語切替!$B$3,_翻訳マスタ!$B$1:$D$1,0)),INDEX(_翻訳マスタ!$B$90:$D$90,1,MATCH(言語切替!$B$3,_翻訳マスタ!$B$1:$D$1,0))))))</f>
        <v/>
      </c>
      <c r="Q60" s="27"/>
      <c r="R60" s="36"/>
      <c r="S60" s="53" t="str">
        <f t="shared" si="10"/>
        <v/>
      </c>
      <c r="T60" s="53" t="str">
        <f t="shared" si="11"/>
        <v/>
      </c>
    </row>
    <row r="61" spans="1:20" s="22" customFormat="1" ht="15" customHeight="1" x14ac:dyDescent="0.25">
      <c r="A61" s="29"/>
      <c r="B61" s="30"/>
      <c r="C61" s="30"/>
      <c r="D61" s="30"/>
      <c r="E61" s="30"/>
      <c r="F61" s="46" t="str">
        <f t="shared" si="8"/>
        <v/>
      </c>
      <c r="G61" s="46" t="str">
        <f t="shared" si="9"/>
        <v/>
      </c>
      <c r="H61" s="30"/>
      <c r="I61" s="31"/>
      <c r="J61" s="31"/>
      <c r="K61" s="31"/>
      <c r="L61" s="31"/>
      <c r="M61" s="56" t="str">
        <f t="shared" ca="1" si="6"/>
        <v/>
      </c>
      <c r="N61" s="30"/>
      <c r="O61" s="16" t="str">
        <f t="shared" ca="1" si="7"/>
        <v/>
      </c>
      <c r="P61" s="16" t="str">
        <f ca="1">IF(J61="","",IF(L61&lt;&gt;"",INDEX(_翻訳マスタ!$B$75:$D$75,1,MATCH(言語切替!$B$3,_翻訳マスタ!$B$1:$D$1,0)),IF(TODAY()&gt;J61,INDEX(_翻訳マスタ!$B$92:$D$92,1,MATCH(言語切替!$B$3,_翻訳マスタ!$B$1:$D$1,0)),IF(J61-TODAY()&lt;=7,INDEX(_翻訳マスタ!$B$91:$D$91,1,MATCH(言語切替!$B$3,_翻訳マスタ!$B$1:$D$1,0)),INDEX(_翻訳マスタ!$B$90:$D$90,1,MATCH(言語切替!$B$3,_翻訳マスタ!$B$1:$D$1,0))))))</f>
        <v/>
      </c>
      <c r="Q61" s="30"/>
      <c r="R61" s="37"/>
      <c r="S61" s="52" t="str">
        <f t="shared" si="10"/>
        <v/>
      </c>
      <c r="T61" s="52" t="str">
        <f t="shared" si="11"/>
        <v/>
      </c>
    </row>
    <row r="62" spans="1:20" s="22" customFormat="1" ht="15" customHeight="1" x14ac:dyDescent="0.25">
      <c r="A62" s="26"/>
      <c r="B62" s="27"/>
      <c r="C62" s="27"/>
      <c r="D62" s="27"/>
      <c r="E62" s="27"/>
      <c r="F62" s="45" t="str">
        <f t="shared" si="8"/>
        <v/>
      </c>
      <c r="G62" s="45" t="str">
        <f t="shared" si="9"/>
        <v/>
      </c>
      <c r="H62" s="27"/>
      <c r="I62" s="28"/>
      <c r="J62" s="28"/>
      <c r="K62" s="28"/>
      <c r="L62" s="28"/>
      <c r="M62" s="55" t="str">
        <f t="shared" ca="1" si="6"/>
        <v/>
      </c>
      <c r="N62" s="27"/>
      <c r="O62" s="13" t="str">
        <f t="shared" ca="1" si="7"/>
        <v/>
      </c>
      <c r="P62" s="13" t="str">
        <f ca="1">IF(J62="","",IF(L62&lt;&gt;"",INDEX(_翻訳マスタ!$B$75:$D$75,1,MATCH(言語切替!$B$3,_翻訳マスタ!$B$1:$D$1,0)),IF(TODAY()&gt;J62,INDEX(_翻訳マスタ!$B$92:$D$92,1,MATCH(言語切替!$B$3,_翻訳マスタ!$B$1:$D$1,0)),IF(J62-TODAY()&lt;=7,INDEX(_翻訳マスタ!$B$91:$D$91,1,MATCH(言語切替!$B$3,_翻訳マスタ!$B$1:$D$1,0)),INDEX(_翻訳マスタ!$B$90:$D$90,1,MATCH(言語切替!$B$3,_翻訳マスタ!$B$1:$D$1,0))))))</f>
        <v/>
      </c>
      <c r="Q62" s="27"/>
      <c r="R62" s="36"/>
      <c r="S62" s="53" t="str">
        <f t="shared" si="10"/>
        <v/>
      </c>
      <c r="T62" s="53" t="str">
        <f t="shared" si="11"/>
        <v/>
      </c>
    </row>
    <row r="63" spans="1:20" s="22" customFormat="1" ht="15" customHeight="1" x14ac:dyDescent="0.25">
      <c r="A63" s="29"/>
      <c r="B63" s="30"/>
      <c r="C63" s="30"/>
      <c r="D63" s="30"/>
      <c r="E63" s="30"/>
      <c r="F63" s="46" t="str">
        <f t="shared" si="8"/>
        <v/>
      </c>
      <c r="G63" s="46" t="str">
        <f t="shared" si="9"/>
        <v/>
      </c>
      <c r="H63" s="30"/>
      <c r="I63" s="31"/>
      <c r="J63" s="31"/>
      <c r="K63" s="31"/>
      <c r="L63" s="31"/>
      <c r="M63" s="56" t="str">
        <f t="shared" ca="1" si="6"/>
        <v/>
      </c>
      <c r="N63" s="30"/>
      <c r="O63" s="16" t="str">
        <f t="shared" ca="1" si="7"/>
        <v/>
      </c>
      <c r="P63" s="16" t="str">
        <f ca="1">IF(J63="","",IF(L63&lt;&gt;"",INDEX(_翻訳マスタ!$B$75:$D$75,1,MATCH(言語切替!$B$3,_翻訳マスタ!$B$1:$D$1,0)),IF(TODAY()&gt;J63,INDEX(_翻訳マスタ!$B$92:$D$92,1,MATCH(言語切替!$B$3,_翻訳マスタ!$B$1:$D$1,0)),IF(J63-TODAY()&lt;=7,INDEX(_翻訳マスタ!$B$91:$D$91,1,MATCH(言語切替!$B$3,_翻訳マスタ!$B$1:$D$1,0)),INDEX(_翻訳マスタ!$B$90:$D$90,1,MATCH(言語切替!$B$3,_翻訳マスタ!$B$1:$D$1,0))))))</f>
        <v/>
      </c>
      <c r="Q63" s="30"/>
      <c r="R63" s="37"/>
      <c r="S63" s="52" t="str">
        <f t="shared" si="10"/>
        <v/>
      </c>
      <c r="T63" s="52" t="str">
        <f t="shared" si="11"/>
        <v/>
      </c>
    </row>
    <row r="64" spans="1:20" s="22" customFormat="1" ht="15" customHeight="1" x14ac:dyDescent="0.25">
      <c r="A64" s="26"/>
      <c r="B64" s="27"/>
      <c r="C64" s="27"/>
      <c r="D64" s="27"/>
      <c r="E64" s="27"/>
      <c r="F64" s="45" t="str">
        <f t="shared" si="8"/>
        <v/>
      </c>
      <c r="G64" s="45" t="str">
        <f t="shared" si="9"/>
        <v/>
      </c>
      <c r="H64" s="27"/>
      <c r="I64" s="28"/>
      <c r="J64" s="28"/>
      <c r="K64" s="28"/>
      <c r="L64" s="28"/>
      <c r="M64" s="55" t="str">
        <f t="shared" ca="1" si="6"/>
        <v/>
      </c>
      <c r="N64" s="27"/>
      <c r="O64" s="13" t="str">
        <f t="shared" ca="1" si="7"/>
        <v/>
      </c>
      <c r="P64" s="13" t="str">
        <f ca="1">IF(J64="","",IF(L64&lt;&gt;"",INDEX(_翻訳マスタ!$B$75:$D$75,1,MATCH(言語切替!$B$3,_翻訳マスタ!$B$1:$D$1,0)),IF(TODAY()&gt;J64,INDEX(_翻訳マスタ!$B$92:$D$92,1,MATCH(言語切替!$B$3,_翻訳マスタ!$B$1:$D$1,0)),IF(J64-TODAY()&lt;=7,INDEX(_翻訳マスタ!$B$91:$D$91,1,MATCH(言語切替!$B$3,_翻訳マスタ!$B$1:$D$1,0)),INDEX(_翻訳マスタ!$B$90:$D$90,1,MATCH(言語切替!$B$3,_翻訳マスタ!$B$1:$D$1,0))))))</f>
        <v/>
      </c>
      <c r="Q64" s="27"/>
      <c r="R64" s="36"/>
      <c r="S64" s="53" t="str">
        <f t="shared" si="10"/>
        <v/>
      </c>
      <c r="T64" s="53" t="str">
        <f t="shared" si="11"/>
        <v/>
      </c>
    </row>
    <row r="65" spans="1:20" s="22" customFormat="1" ht="15" customHeight="1" x14ac:dyDescent="0.25">
      <c r="A65" s="29"/>
      <c r="B65" s="30"/>
      <c r="C65" s="30"/>
      <c r="D65" s="30"/>
      <c r="E65" s="30"/>
      <c r="F65" s="46" t="str">
        <f t="shared" si="8"/>
        <v/>
      </c>
      <c r="G65" s="46" t="str">
        <f t="shared" si="9"/>
        <v/>
      </c>
      <c r="H65" s="30"/>
      <c r="I65" s="31"/>
      <c r="J65" s="31"/>
      <c r="K65" s="31"/>
      <c r="L65" s="31"/>
      <c r="M65" s="56" t="str">
        <f t="shared" ca="1" si="6"/>
        <v/>
      </c>
      <c r="N65" s="30"/>
      <c r="O65" s="16" t="str">
        <f t="shared" ca="1" si="7"/>
        <v/>
      </c>
      <c r="P65" s="16" t="str">
        <f ca="1">IF(J65="","",IF(L65&lt;&gt;"",INDEX(_翻訳マスタ!$B$75:$D$75,1,MATCH(言語切替!$B$3,_翻訳マスタ!$B$1:$D$1,0)),IF(TODAY()&gt;J65,INDEX(_翻訳マスタ!$B$92:$D$92,1,MATCH(言語切替!$B$3,_翻訳マスタ!$B$1:$D$1,0)),IF(J65-TODAY()&lt;=7,INDEX(_翻訳マスタ!$B$91:$D$91,1,MATCH(言語切替!$B$3,_翻訳マスタ!$B$1:$D$1,0)),INDEX(_翻訳マスタ!$B$90:$D$90,1,MATCH(言語切替!$B$3,_翻訳マスタ!$B$1:$D$1,0))))))</f>
        <v/>
      </c>
      <c r="Q65" s="30"/>
      <c r="R65" s="37"/>
      <c r="S65" s="52" t="str">
        <f t="shared" si="10"/>
        <v/>
      </c>
      <c r="T65" s="52" t="str">
        <f t="shared" si="11"/>
        <v/>
      </c>
    </row>
    <row r="66" spans="1:20" s="22" customFormat="1" ht="15" customHeight="1" x14ac:dyDescent="0.25">
      <c r="A66" s="26"/>
      <c r="B66" s="27"/>
      <c r="C66" s="27"/>
      <c r="D66" s="27"/>
      <c r="E66" s="27"/>
      <c r="F66" s="45" t="str">
        <f t="shared" si="8"/>
        <v/>
      </c>
      <c r="G66" s="45" t="str">
        <f t="shared" si="9"/>
        <v/>
      </c>
      <c r="H66" s="27"/>
      <c r="I66" s="28"/>
      <c r="J66" s="28"/>
      <c r="K66" s="28"/>
      <c r="L66" s="28"/>
      <c r="M66" s="55" t="str">
        <f t="shared" ca="1" si="6"/>
        <v/>
      </c>
      <c r="N66" s="27"/>
      <c r="O66" s="13" t="str">
        <f t="shared" ca="1" si="7"/>
        <v/>
      </c>
      <c r="P66" s="13" t="str">
        <f ca="1">IF(J66="","",IF(L66&lt;&gt;"",INDEX(_翻訳マスタ!$B$75:$D$75,1,MATCH(言語切替!$B$3,_翻訳マスタ!$B$1:$D$1,0)),IF(TODAY()&gt;J66,INDEX(_翻訳マスタ!$B$92:$D$92,1,MATCH(言語切替!$B$3,_翻訳マスタ!$B$1:$D$1,0)),IF(J66-TODAY()&lt;=7,INDEX(_翻訳マスタ!$B$91:$D$91,1,MATCH(言語切替!$B$3,_翻訳マスタ!$B$1:$D$1,0)),INDEX(_翻訳マスタ!$B$90:$D$90,1,MATCH(言語切替!$B$3,_翻訳マスタ!$B$1:$D$1,0))))))</f>
        <v/>
      </c>
      <c r="Q66" s="27"/>
      <c r="R66" s="36"/>
      <c r="S66" s="53" t="str">
        <f t="shared" si="10"/>
        <v/>
      </c>
      <c r="T66" s="53" t="str">
        <f t="shared" si="11"/>
        <v/>
      </c>
    </row>
    <row r="67" spans="1:20" s="22" customFormat="1" ht="15" customHeight="1" x14ac:dyDescent="0.25">
      <c r="A67" s="29"/>
      <c r="B67" s="30"/>
      <c r="C67" s="30"/>
      <c r="D67" s="30"/>
      <c r="E67" s="30"/>
      <c r="F67" s="46" t="str">
        <f t="shared" si="8"/>
        <v/>
      </c>
      <c r="G67" s="46" t="str">
        <f t="shared" si="9"/>
        <v/>
      </c>
      <c r="H67" s="30"/>
      <c r="I67" s="31"/>
      <c r="J67" s="31"/>
      <c r="K67" s="31"/>
      <c r="L67" s="31"/>
      <c r="M67" s="56" t="str">
        <f t="shared" ca="1" si="6"/>
        <v/>
      </c>
      <c r="N67" s="30"/>
      <c r="O67" s="16" t="str">
        <f t="shared" ca="1" si="7"/>
        <v/>
      </c>
      <c r="P67" s="16" t="str">
        <f ca="1">IF(J67="","",IF(L67&lt;&gt;"",INDEX(_翻訳マスタ!$B$75:$D$75,1,MATCH(言語切替!$B$3,_翻訳マスタ!$B$1:$D$1,0)),IF(TODAY()&gt;J67,INDEX(_翻訳マスタ!$B$92:$D$92,1,MATCH(言語切替!$B$3,_翻訳マスタ!$B$1:$D$1,0)),IF(J67-TODAY()&lt;=7,INDEX(_翻訳マスタ!$B$91:$D$91,1,MATCH(言語切替!$B$3,_翻訳マスタ!$B$1:$D$1,0)),INDEX(_翻訳マスタ!$B$90:$D$90,1,MATCH(言語切替!$B$3,_翻訳マスタ!$B$1:$D$1,0))))))</f>
        <v/>
      </c>
      <c r="Q67" s="30"/>
      <c r="R67" s="37"/>
      <c r="S67" s="52" t="str">
        <f t="shared" si="10"/>
        <v/>
      </c>
      <c r="T67" s="52" t="str">
        <f t="shared" si="11"/>
        <v/>
      </c>
    </row>
    <row r="68" spans="1:20" s="22" customFormat="1" ht="15" customHeight="1" x14ac:dyDescent="0.25">
      <c r="A68" s="26"/>
      <c r="B68" s="27"/>
      <c r="C68" s="27"/>
      <c r="D68" s="27"/>
      <c r="E68" s="27"/>
      <c r="F68" s="45" t="str">
        <f t="shared" si="8"/>
        <v/>
      </c>
      <c r="G68" s="45" t="str">
        <f t="shared" si="9"/>
        <v/>
      </c>
      <c r="H68" s="27"/>
      <c r="I68" s="28"/>
      <c r="J68" s="28"/>
      <c r="K68" s="28"/>
      <c r="L68" s="28"/>
      <c r="M68" s="55" t="str">
        <f t="shared" ca="1" si="6"/>
        <v/>
      </c>
      <c r="N68" s="27"/>
      <c r="O68" s="13" t="str">
        <f t="shared" ca="1" si="7"/>
        <v/>
      </c>
      <c r="P68" s="13" t="str">
        <f ca="1">IF(J68="","",IF(L68&lt;&gt;"",INDEX(_翻訳マスタ!$B$75:$D$75,1,MATCH(言語切替!$B$3,_翻訳マスタ!$B$1:$D$1,0)),IF(TODAY()&gt;J68,INDEX(_翻訳マスタ!$B$92:$D$92,1,MATCH(言語切替!$B$3,_翻訳マスタ!$B$1:$D$1,0)),IF(J68-TODAY()&lt;=7,INDEX(_翻訳マスタ!$B$91:$D$91,1,MATCH(言語切替!$B$3,_翻訳マスタ!$B$1:$D$1,0)),INDEX(_翻訳マスタ!$B$90:$D$90,1,MATCH(言語切替!$B$3,_翻訳マスタ!$B$1:$D$1,0))))))</f>
        <v/>
      </c>
      <c r="Q68" s="27"/>
      <c r="R68" s="36"/>
      <c r="S68" s="53" t="str">
        <f t="shared" si="10"/>
        <v/>
      </c>
      <c r="T68" s="53" t="str">
        <f t="shared" si="11"/>
        <v/>
      </c>
    </row>
    <row r="69" spans="1:20" s="22" customFormat="1" ht="15" customHeight="1" x14ac:dyDescent="0.25">
      <c r="A69" s="29"/>
      <c r="B69" s="30"/>
      <c r="C69" s="30"/>
      <c r="D69" s="30"/>
      <c r="E69" s="30"/>
      <c r="F69" s="46" t="str">
        <f t="shared" si="8"/>
        <v/>
      </c>
      <c r="G69" s="46" t="str">
        <f t="shared" si="9"/>
        <v/>
      </c>
      <c r="H69" s="30"/>
      <c r="I69" s="31"/>
      <c r="J69" s="31"/>
      <c r="K69" s="31"/>
      <c r="L69" s="31"/>
      <c r="M69" s="56" t="str">
        <f t="shared" ref="M69:M100" ca="1" si="12">IF(OR(I69="",J69=""),"",IF(L69&lt;&gt;"",1,IF(K69="",0,MAX(0,MIN(1,(TODAY()-I69)/(J69-I69+1))))))</f>
        <v/>
      </c>
      <c r="N69" s="30"/>
      <c r="O69" s="16" t="str">
        <f t="shared" ref="O69:O100" ca="1" si="13">IF(J69="","",J69-TODAY())</f>
        <v/>
      </c>
      <c r="P69" s="16" t="str">
        <f ca="1">IF(J69="","",IF(L69&lt;&gt;"",INDEX(_翻訳マスタ!$B$75:$D$75,1,MATCH(言語切替!$B$3,_翻訳マスタ!$B$1:$D$1,0)),IF(TODAY()&gt;J69,INDEX(_翻訳マスタ!$B$92:$D$92,1,MATCH(言語切替!$B$3,_翻訳マスタ!$B$1:$D$1,0)),IF(J69-TODAY()&lt;=7,INDEX(_翻訳マスタ!$B$91:$D$91,1,MATCH(言語切替!$B$3,_翻訳マスタ!$B$1:$D$1,0)),INDEX(_翻訳マスタ!$B$90:$D$90,1,MATCH(言語切替!$B$3,_翻訳マスタ!$B$1:$D$1,0))))))</f>
        <v/>
      </c>
      <c r="Q69" s="30"/>
      <c r="R69" s="37"/>
      <c r="S69" s="52" t="str">
        <f t="shared" si="10"/>
        <v/>
      </c>
      <c r="T69" s="52" t="str">
        <f t="shared" si="11"/>
        <v/>
      </c>
    </row>
    <row r="70" spans="1:20" s="22" customFormat="1" ht="15" customHeight="1" x14ac:dyDescent="0.25">
      <c r="A70" s="26"/>
      <c r="B70" s="27"/>
      <c r="C70" s="27"/>
      <c r="D70" s="27"/>
      <c r="E70" s="27"/>
      <c r="F70" s="45" t="str">
        <f t="shared" si="8"/>
        <v/>
      </c>
      <c r="G70" s="45" t="str">
        <f t="shared" si="9"/>
        <v/>
      </c>
      <c r="H70" s="27"/>
      <c r="I70" s="28"/>
      <c r="J70" s="28"/>
      <c r="K70" s="28"/>
      <c r="L70" s="28"/>
      <c r="M70" s="55" t="str">
        <f t="shared" ca="1" si="12"/>
        <v/>
      </c>
      <c r="N70" s="27"/>
      <c r="O70" s="13" t="str">
        <f t="shared" ca="1" si="13"/>
        <v/>
      </c>
      <c r="P70" s="13" t="str">
        <f ca="1">IF(J70="","",IF(L70&lt;&gt;"",INDEX(_翻訳マスタ!$B$75:$D$75,1,MATCH(言語切替!$B$3,_翻訳マスタ!$B$1:$D$1,0)),IF(TODAY()&gt;J70,INDEX(_翻訳マスタ!$B$92:$D$92,1,MATCH(言語切替!$B$3,_翻訳マスタ!$B$1:$D$1,0)),IF(J70-TODAY()&lt;=7,INDEX(_翻訳マスタ!$B$91:$D$91,1,MATCH(言語切替!$B$3,_翻訳マスタ!$B$1:$D$1,0)),INDEX(_翻訳マスタ!$B$90:$D$90,1,MATCH(言語切替!$B$3,_翻訳マスタ!$B$1:$D$1,0))))))</f>
        <v/>
      </c>
      <c r="Q70" s="27"/>
      <c r="R70" s="36"/>
      <c r="S70" s="53" t="str">
        <f t="shared" si="10"/>
        <v/>
      </c>
      <c r="T70" s="53" t="str">
        <f t="shared" si="11"/>
        <v/>
      </c>
    </row>
    <row r="71" spans="1:20" s="22" customFormat="1" ht="15" customHeight="1" x14ac:dyDescent="0.25">
      <c r="A71" s="29"/>
      <c r="B71" s="30"/>
      <c r="C71" s="30"/>
      <c r="D71" s="30"/>
      <c r="E71" s="30"/>
      <c r="F71" s="46" t="str">
        <f t="shared" si="8"/>
        <v/>
      </c>
      <c r="G71" s="46" t="str">
        <f t="shared" si="9"/>
        <v/>
      </c>
      <c r="H71" s="30"/>
      <c r="I71" s="31"/>
      <c r="J71" s="31"/>
      <c r="K71" s="31"/>
      <c r="L71" s="31"/>
      <c r="M71" s="56" t="str">
        <f t="shared" ca="1" si="12"/>
        <v/>
      </c>
      <c r="N71" s="30"/>
      <c r="O71" s="16" t="str">
        <f t="shared" ca="1" si="13"/>
        <v/>
      </c>
      <c r="P71" s="16" t="str">
        <f ca="1">IF(J71="","",IF(L71&lt;&gt;"",INDEX(_翻訳マスタ!$B$75:$D$75,1,MATCH(言語切替!$B$3,_翻訳マスタ!$B$1:$D$1,0)),IF(TODAY()&gt;J71,INDEX(_翻訳マスタ!$B$92:$D$92,1,MATCH(言語切替!$B$3,_翻訳マスタ!$B$1:$D$1,0)),IF(J71-TODAY()&lt;=7,INDEX(_翻訳マスタ!$B$91:$D$91,1,MATCH(言語切替!$B$3,_翻訳マスタ!$B$1:$D$1,0)),INDEX(_翻訳マスタ!$B$90:$D$90,1,MATCH(言語切替!$B$3,_翻訳マスタ!$B$1:$D$1,0))))))</f>
        <v/>
      </c>
      <c r="Q71" s="30"/>
      <c r="R71" s="37"/>
      <c r="S71" s="52" t="str">
        <f t="shared" si="10"/>
        <v/>
      </c>
      <c r="T71" s="52" t="str">
        <f t="shared" si="11"/>
        <v/>
      </c>
    </row>
    <row r="72" spans="1:20" s="22" customFormat="1" ht="15" customHeight="1" x14ac:dyDescent="0.25">
      <c r="A72" s="26"/>
      <c r="B72" s="27"/>
      <c r="C72" s="27"/>
      <c r="D72" s="27"/>
      <c r="E72" s="27"/>
      <c r="F72" s="45" t="str">
        <f t="shared" ref="F72:F103" si="14">IF(E72="","",_xlfn.TRANSLATE(E72,"vi","ja"))</f>
        <v/>
      </c>
      <c r="G72" s="45" t="str">
        <f t="shared" ref="G72:G103" si="15">IF(E72="","",_xlfn.TRANSLATE(E72,"vi","zh-Hans"))</f>
        <v/>
      </c>
      <c r="H72" s="27"/>
      <c r="I72" s="28"/>
      <c r="J72" s="28"/>
      <c r="K72" s="28"/>
      <c r="L72" s="28"/>
      <c r="M72" s="55" t="str">
        <f t="shared" ca="1" si="12"/>
        <v/>
      </c>
      <c r="N72" s="27"/>
      <c r="O72" s="13" t="str">
        <f t="shared" ca="1" si="13"/>
        <v/>
      </c>
      <c r="P72" s="13" t="str">
        <f ca="1">IF(J72="","",IF(L72&lt;&gt;"",INDEX(_翻訳マスタ!$B$75:$D$75,1,MATCH(言語切替!$B$3,_翻訳マスタ!$B$1:$D$1,0)),IF(TODAY()&gt;J72,INDEX(_翻訳マスタ!$B$92:$D$92,1,MATCH(言語切替!$B$3,_翻訳マスタ!$B$1:$D$1,0)),IF(J72-TODAY()&lt;=7,INDEX(_翻訳マスタ!$B$91:$D$91,1,MATCH(言語切替!$B$3,_翻訳マスタ!$B$1:$D$1,0)),INDEX(_翻訳マスタ!$B$90:$D$90,1,MATCH(言語切替!$B$3,_翻訳マスタ!$B$1:$D$1,0))))))</f>
        <v/>
      </c>
      <c r="Q72" s="27"/>
      <c r="R72" s="36"/>
      <c r="S72" s="53" t="str">
        <f t="shared" ref="S72:S103" si="16">IF(R72="","",_xlfn.TRANSLATE(R72,"vi","ja"))</f>
        <v/>
      </c>
      <c r="T72" s="53" t="str">
        <f t="shared" ref="T72:T103" si="17">IF(R72="","",_xlfn.TRANSLATE(R72,"vi","zh-Hans"))</f>
        <v/>
      </c>
    </row>
    <row r="73" spans="1:20" s="22" customFormat="1" ht="15" customHeight="1" x14ac:dyDescent="0.25">
      <c r="A73" s="29"/>
      <c r="B73" s="30"/>
      <c r="C73" s="30"/>
      <c r="D73" s="30"/>
      <c r="E73" s="30"/>
      <c r="F73" s="46" t="str">
        <f t="shared" si="14"/>
        <v/>
      </c>
      <c r="G73" s="46" t="str">
        <f t="shared" si="15"/>
        <v/>
      </c>
      <c r="H73" s="30"/>
      <c r="I73" s="31"/>
      <c r="J73" s="31"/>
      <c r="K73" s="31"/>
      <c r="L73" s="31"/>
      <c r="M73" s="56" t="str">
        <f t="shared" ca="1" si="12"/>
        <v/>
      </c>
      <c r="N73" s="30"/>
      <c r="O73" s="16" t="str">
        <f t="shared" ca="1" si="13"/>
        <v/>
      </c>
      <c r="P73" s="16" t="str">
        <f ca="1">IF(J73="","",IF(L73&lt;&gt;"",INDEX(_翻訳マスタ!$B$75:$D$75,1,MATCH(言語切替!$B$3,_翻訳マスタ!$B$1:$D$1,0)),IF(TODAY()&gt;J73,INDEX(_翻訳マスタ!$B$92:$D$92,1,MATCH(言語切替!$B$3,_翻訳マスタ!$B$1:$D$1,0)),IF(J73-TODAY()&lt;=7,INDEX(_翻訳マスタ!$B$91:$D$91,1,MATCH(言語切替!$B$3,_翻訳マスタ!$B$1:$D$1,0)),INDEX(_翻訳マスタ!$B$90:$D$90,1,MATCH(言語切替!$B$3,_翻訳マスタ!$B$1:$D$1,0))))))</f>
        <v/>
      </c>
      <c r="Q73" s="30"/>
      <c r="R73" s="37"/>
      <c r="S73" s="52" t="str">
        <f t="shared" si="16"/>
        <v/>
      </c>
      <c r="T73" s="52" t="str">
        <f t="shared" si="17"/>
        <v/>
      </c>
    </row>
    <row r="74" spans="1:20" s="22" customFormat="1" ht="15" customHeight="1" x14ac:dyDescent="0.25">
      <c r="A74" s="26"/>
      <c r="B74" s="27"/>
      <c r="C74" s="27"/>
      <c r="D74" s="27"/>
      <c r="E74" s="27"/>
      <c r="F74" s="45" t="str">
        <f t="shared" si="14"/>
        <v/>
      </c>
      <c r="G74" s="45" t="str">
        <f t="shared" si="15"/>
        <v/>
      </c>
      <c r="H74" s="27"/>
      <c r="I74" s="28"/>
      <c r="J74" s="28"/>
      <c r="K74" s="28"/>
      <c r="L74" s="28"/>
      <c r="M74" s="55" t="str">
        <f t="shared" ca="1" si="12"/>
        <v/>
      </c>
      <c r="N74" s="27"/>
      <c r="O74" s="13" t="str">
        <f t="shared" ca="1" si="13"/>
        <v/>
      </c>
      <c r="P74" s="13" t="str">
        <f ca="1">IF(J74="","",IF(L74&lt;&gt;"",INDEX(_翻訳マスタ!$B$75:$D$75,1,MATCH(言語切替!$B$3,_翻訳マスタ!$B$1:$D$1,0)),IF(TODAY()&gt;J74,INDEX(_翻訳マスタ!$B$92:$D$92,1,MATCH(言語切替!$B$3,_翻訳マスタ!$B$1:$D$1,0)),IF(J74-TODAY()&lt;=7,INDEX(_翻訳マスタ!$B$91:$D$91,1,MATCH(言語切替!$B$3,_翻訳マスタ!$B$1:$D$1,0)),INDEX(_翻訳マスタ!$B$90:$D$90,1,MATCH(言語切替!$B$3,_翻訳マスタ!$B$1:$D$1,0))))))</f>
        <v/>
      </c>
      <c r="Q74" s="27"/>
      <c r="R74" s="36"/>
      <c r="S74" s="53" t="str">
        <f t="shared" si="16"/>
        <v/>
      </c>
      <c r="T74" s="53" t="str">
        <f t="shared" si="17"/>
        <v/>
      </c>
    </row>
    <row r="75" spans="1:20" s="22" customFormat="1" ht="15" customHeight="1" x14ac:dyDescent="0.25">
      <c r="A75" s="29"/>
      <c r="B75" s="30"/>
      <c r="C75" s="30"/>
      <c r="D75" s="30"/>
      <c r="E75" s="30"/>
      <c r="F75" s="46" t="str">
        <f t="shared" si="14"/>
        <v/>
      </c>
      <c r="G75" s="46" t="str">
        <f t="shared" si="15"/>
        <v/>
      </c>
      <c r="H75" s="30"/>
      <c r="I75" s="31"/>
      <c r="J75" s="31"/>
      <c r="K75" s="31"/>
      <c r="L75" s="31"/>
      <c r="M75" s="56" t="str">
        <f t="shared" ca="1" si="12"/>
        <v/>
      </c>
      <c r="N75" s="30"/>
      <c r="O75" s="16" t="str">
        <f t="shared" ca="1" si="13"/>
        <v/>
      </c>
      <c r="P75" s="16" t="str">
        <f ca="1">IF(J75="","",IF(L75&lt;&gt;"",INDEX(_翻訳マスタ!$B$75:$D$75,1,MATCH(言語切替!$B$3,_翻訳マスタ!$B$1:$D$1,0)),IF(TODAY()&gt;J75,INDEX(_翻訳マスタ!$B$92:$D$92,1,MATCH(言語切替!$B$3,_翻訳マスタ!$B$1:$D$1,0)),IF(J75-TODAY()&lt;=7,INDEX(_翻訳マスタ!$B$91:$D$91,1,MATCH(言語切替!$B$3,_翻訳マスタ!$B$1:$D$1,0)),INDEX(_翻訳マスタ!$B$90:$D$90,1,MATCH(言語切替!$B$3,_翻訳マスタ!$B$1:$D$1,0))))))</f>
        <v/>
      </c>
      <c r="Q75" s="30"/>
      <c r="R75" s="37"/>
      <c r="S75" s="52" t="str">
        <f t="shared" si="16"/>
        <v/>
      </c>
      <c r="T75" s="52" t="str">
        <f t="shared" si="17"/>
        <v/>
      </c>
    </row>
    <row r="76" spans="1:20" s="22" customFormat="1" ht="15" customHeight="1" x14ac:dyDescent="0.25">
      <c r="A76" s="26"/>
      <c r="B76" s="27"/>
      <c r="C76" s="27"/>
      <c r="D76" s="27"/>
      <c r="E76" s="27"/>
      <c r="F76" s="45" t="str">
        <f t="shared" si="14"/>
        <v/>
      </c>
      <c r="G76" s="45" t="str">
        <f t="shared" si="15"/>
        <v/>
      </c>
      <c r="H76" s="27"/>
      <c r="I76" s="28"/>
      <c r="J76" s="28"/>
      <c r="K76" s="28"/>
      <c r="L76" s="28"/>
      <c r="M76" s="55" t="str">
        <f t="shared" ca="1" si="12"/>
        <v/>
      </c>
      <c r="N76" s="27"/>
      <c r="O76" s="13" t="str">
        <f t="shared" ca="1" si="13"/>
        <v/>
      </c>
      <c r="P76" s="13" t="str">
        <f ca="1">IF(J76="","",IF(L76&lt;&gt;"",INDEX(_翻訳マスタ!$B$75:$D$75,1,MATCH(言語切替!$B$3,_翻訳マスタ!$B$1:$D$1,0)),IF(TODAY()&gt;J76,INDEX(_翻訳マスタ!$B$92:$D$92,1,MATCH(言語切替!$B$3,_翻訳マスタ!$B$1:$D$1,0)),IF(J76-TODAY()&lt;=7,INDEX(_翻訳マスタ!$B$91:$D$91,1,MATCH(言語切替!$B$3,_翻訳マスタ!$B$1:$D$1,0)),INDEX(_翻訳マスタ!$B$90:$D$90,1,MATCH(言語切替!$B$3,_翻訳マスタ!$B$1:$D$1,0))))))</f>
        <v/>
      </c>
      <c r="Q76" s="27"/>
      <c r="R76" s="36"/>
      <c r="S76" s="53" t="str">
        <f t="shared" si="16"/>
        <v/>
      </c>
      <c r="T76" s="53" t="str">
        <f t="shared" si="17"/>
        <v/>
      </c>
    </row>
    <row r="77" spans="1:20" s="22" customFormat="1" ht="15" customHeight="1" x14ac:dyDescent="0.25">
      <c r="A77" s="29"/>
      <c r="B77" s="30"/>
      <c r="C77" s="30"/>
      <c r="D77" s="30"/>
      <c r="E77" s="30"/>
      <c r="F77" s="46" t="str">
        <f t="shared" si="14"/>
        <v/>
      </c>
      <c r="G77" s="46" t="str">
        <f t="shared" si="15"/>
        <v/>
      </c>
      <c r="H77" s="30"/>
      <c r="I77" s="31"/>
      <c r="J77" s="31"/>
      <c r="K77" s="31"/>
      <c r="L77" s="31"/>
      <c r="M77" s="56" t="str">
        <f t="shared" ca="1" si="12"/>
        <v/>
      </c>
      <c r="N77" s="30"/>
      <c r="O77" s="16" t="str">
        <f t="shared" ca="1" si="13"/>
        <v/>
      </c>
      <c r="P77" s="16" t="str">
        <f ca="1">IF(J77="","",IF(L77&lt;&gt;"",INDEX(_翻訳マスタ!$B$75:$D$75,1,MATCH(言語切替!$B$3,_翻訳マスタ!$B$1:$D$1,0)),IF(TODAY()&gt;J77,INDEX(_翻訳マスタ!$B$92:$D$92,1,MATCH(言語切替!$B$3,_翻訳マスタ!$B$1:$D$1,0)),IF(J77-TODAY()&lt;=7,INDEX(_翻訳マスタ!$B$91:$D$91,1,MATCH(言語切替!$B$3,_翻訳マスタ!$B$1:$D$1,0)),INDEX(_翻訳マスタ!$B$90:$D$90,1,MATCH(言語切替!$B$3,_翻訳マスタ!$B$1:$D$1,0))))))</f>
        <v/>
      </c>
      <c r="Q77" s="30"/>
      <c r="R77" s="37"/>
      <c r="S77" s="52" t="str">
        <f t="shared" si="16"/>
        <v/>
      </c>
      <c r="T77" s="52" t="str">
        <f t="shared" si="17"/>
        <v/>
      </c>
    </row>
    <row r="78" spans="1:20" s="22" customFormat="1" ht="15" customHeight="1" x14ac:dyDescent="0.25">
      <c r="A78" s="26"/>
      <c r="B78" s="27"/>
      <c r="C78" s="27"/>
      <c r="D78" s="27"/>
      <c r="E78" s="27"/>
      <c r="F78" s="45" t="str">
        <f t="shared" si="14"/>
        <v/>
      </c>
      <c r="G78" s="45" t="str">
        <f t="shared" si="15"/>
        <v/>
      </c>
      <c r="H78" s="27"/>
      <c r="I78" s="28"/>
      <c r="J78" s="28"/>
      <c r="K78" s="28"/>
      <c r="L78" s="28"/>
      <c r="M78" s="55" t="str">
        <f t="shared" ca="1" si="12"/>
        <v/>
      </c>
      <c r="N78" s="27"/>
      <c r="O78" s="13" t="str">
        <f t="shared" ca="1" si="13"/>
        <v/>
      </c>
      <c r="P78" s="13" t="str">
        <f ca="1">IF(J78="","",IF(L78&lt;&gt;"",INDEX(_翻訳マスタ!$B$75:$D$75,1,MATCH(言語切替!$B$3,_翻訳マスタ!$B$1:$D$1,0)),IF(TODAY()&gt;J78,INDEX(_翻訳マスタ!$B$92:$D$92,1,MATCH(言語切替!$B$3,_翻訳マスタ!$B$1:$D$1,0)),IF(J78-TODAY()&lt;=7,INDEX(_翻訳マスタ!$B$91:$D$91,1,MATCH(言語切替!$B$3,_翻訳マスタ!$B$1:$D$1,0)),INDEX(_翻訳マスタ!$B$90:$D$90,1,MATCH(言語切替!$B$3,_翻訳マスタ!$B$1:$D$1,0))))))</f>
        <v/>
      </c>
      <c r="Q78" s="27"/>
      <c r="R78" s="36"/>
      <c r="S78" s="53" t="str">
        <f t="shared" si="16"/>
        <v/>
      </c>
      <c r="T78" s="53" t="str">
        <f t="shared" si="17"/>
        <v/>
      </c>
    </row>
    <row r="79" spans="1:20" s="22" customFormat="1" ht="15" customHeight="1" x14ac:dyDescent="0.25">
      <c r="A79" s="29"/>
      <c r="B79" s="30"/>
      <c r="C79" s="30"/>
      <c r="D79" s="30"/>
      <c r="E79" s="30"/>
      <c r="F79" s="46" t="str">
        <f t="shared" si="14"/>
        <v/>
      </c>
      <c r="G79" s="46" t="str">
        <f t="shared" si="15"/>
        <v/>
      </c>
      <c r="H79" s="30"/>
      <c r="I79" s="31"/>
      <c r="J79" s="31"/>
      <c r="K79" s="31"/>
      <c r="L79" s="31"/>
      <c r="M79" s="56" t="str">
        <f t="shared" ca="1" si="12"/>
        <v/>
      </c>
      <c r="N79" s="30"/>
      <c r="O79" s="16" t="str">
        <f t="shared" ca="1" si="13"/>
        <v/>
      </c>
      <c r="P79" s="16" t="str">
        <f ca="1">IF(J79="","",IF(L79&lt;&gt;"",INDEX(_翻訳マスタ!$B$75:$D$75,1,MATCH(言語切替!$B$3,_翻訳マスタ!$B$1:$D$1,0)),IF(TODAY()&gt;J79,INDEX(_翻訳マスタ!$B$92:$D$92,1,MATCH(言語切替!$B$3,_翻訳マスタ!$B$1:$D$1,0)),IF(J79-TODAY()&lt;=7,INDEX(_翻訳マスタ!$B$91:$D$91,1,MATCH(言語切替!$B$3,_翻訳マスタ!$B$1:$D$1,0)),INDEX(_翻訳マスタ!$B$90:$D$90,1,MATCH(言語切替!$B$3,_翻訳マスタ!$B$1:$D$1,0))))))</f>
        <v/>
      </c>
      <c r="Q79" s="30"/>
      <c r="R79" s="37"/>
      <c r="S79" s="52" t="str">
        <f t="shared" si="16"/>
        <v/>
      </c>
      <c r="T79" s="52" t="str">
        <f t="shared" si="17"/>
        <v/>
      </c>
    </row>
    <row r="80" spans="1:20" s="22" customFormat="1" ht="15" customHeight="1" x14ac:dyDescent="0.25">
      <c r="A80" s="26"/>
      <c r="B80" s="27"/>
      <c r="C80" s="27"/>
      <c r="D80" s="27"/>
      <c r="E80" s="27"/>
      <c r="F80" s="45" t="str">
        <f t="shared" si="14"/>
        <v/>
      </c>
      <c r="G80" s="45" t="str">
        <f t="shared" si="15"/>
        <v/>
      </c>
      <c r="H80" s="27"/>
      <c r="I80" s="28"/>
      <c r="J80" s="28"/>
      <c r="K80" s="28"/>
      <c r="L80" s="28"/>
      <c r="M80" s="55" t="str">
        <f t="shared" ca="1" si="12"/>
        <v/>
      </c>
      <c r="N80" s="27"/>
      <c r="O80" s="13" t="str">
        <f t="shared" ca="1" si="13"/>
        <v/>
      </c>
      <c r="P80" s="13" t="str">
        <f ca="1">IF(J80="","",IF(L80&lt;&gt;"",INDEX(_翻訳マスタ!$B$75:$D$75,1,MATCH(言語切替!$B$3,_翻訳マスタ!$B$1:$D$1,0)),IF(TODAY()&gt;J80,INDEX(_翻訳マスタ!$B$92:$D$92,1,MATCH(言語切替!$B$3,_翻訳マスタ!$B$1:$D$1,0)),IF(J80-TODAY()&lt;=7,INDEX(_翻訳マスタ!$B$91:$D$91,1,MATCH(言語切替!$B$3,_翻訳マスタ!$B$1:$D$1,0)),INDEX(_翻訳マスタ!$B$90:$D$90,1,MATCH(言語切替!$B$3,_翻訳マスタ!$B$1:$D$1,0))))))</f>
        <v/>
      </c>
      <c r="Q80" s="27"/>
      <c r="R80" s="36"/>
      <c r="S80" s="53" t="str">
        <f t="shared" si="16"/>
        <v/>
      </c>
      <c r="T80" s="53" t="str">
        <f t="shared" si="17"/>
        <v/>
      </c>
    </row>
    <row r="81" spans="1:20" s="22" customFormat="1" ht="15" customHeight="1" x14ac:dyDescent="0.25">
      <c r="A81" s="29"/>
      <c r="B81" s="30"/>
      <c r="C81" s="30"/>
      <c r="D81" s="30"/>
      <c r="E81" s="30"/>
      <c r="F81" s="46" t="str">
        <f t="shared" si="14"/>
        <v/>
      </c>
      <c r="G81" s="46" t="str">
        <f t="shared" si="15"/>
        <v/>
      </c>
      <c r="H81" s="30"/>
      <c r="I81" s="31"/>
      <c r="J81" s="31"/>
      <c r="K81" s="31"/>
      <c r="L81" s="31"/>
      <c r="M81" s="56" t="str">
        <f t="shared" ca="1" si="12"/>
        <v/>
      </c>
      <c r="N81" s="30"/>
      <c r="O81" s="16" t="str">
        <f t="shared" ca="1" si="13"/>
        <v/>
      </c>
      <c r="P81" s="16" t="str">
        <f ca="1">IF(J81="","",IF(L81&lt;&gt;"",INDEX(_翻訳マスタ!$B$75:$D$75,1,MATCH(言語切替!$B$3,_翻訳マスタ!$B$1:$D$1,0)),IF(TODAY()&gt;J81,INDEX(_翻訳マスタ!$B$92:$D$92,1,MATCH(言語切替!$B$3,_翻訳マスタ!$B$1:$D$1,0)),IF(J81-TODAY()&lt;=7,INDEX(_翻訳マスタ!$B$91:$D$91,1,MATCH(言語切替!$B$3,_翻訳マスタ!$B$1:$D$1,0)),INDEX(_翻訳マスタ!$B$90:$D$90,1,MATCH(言語切替!$B$3,_翻訳マスタ!$B$1:$D$1,0))))))</f>
        <v/>
      </c>
      <c r="Q81" s="30"/>
      <c r="R81" s="37"/>
      <c r="S81" s="52" t="str">
        <f t="shared" si="16"/>
        <v/>
      </c>
      <c r="T81" s="52" t="str">
        <f t="shared" si="17"/>
        <v/>
      </c>
    </row>
    <row r="82" spans="1:20" s="22" customFormat="1" ht="15" customHeight="1" x14ac:dyDescent="0.25">
      <c r="A82" s="26"/>
      <c r="B82" s="27"/>
      <c r="C82" s="27"/>
      <c r="D82" s="27"/>
      <c r="E82" s="27"/>
      <c r="F82" s="45" t="str">
        <f t="shared" si="14"/>
        <v/>
      </c>
      <c r="G82" s="45" t="str">
        <f t="shared" si="15"/>
        <v/>
      </c>
      <c r="H82" s="27"/>
      <c r="I82" s="28"/>
      <c r="J82" s="28"/>
      <c r="K82" s="28"/>
      <c r="L82" s="28"/>
      <c r="M82" s="55" t="str">
        <f t="shared" ca="1" si="12"/>
        <v/>
      </c>
      <c r="N82" s="27"/>
      <c r="O82" s="13" t="str">
        <f t="shared" ca="1" si="13"/>
        <v/>
      </c>
      <c r="P82" s="13" t="str">
        <f ca="1">IF(J82="","",IF(L82&lt;&gt;"",INDEX(_翻訳マスタ!$B$75:$D$75,1,MATCH(言語切替!$B$3,_翻訳マスタ!$B$1:$D$1,0)),IF(TODAY()&gt;J82,INDEX(_翻訳マスタ!$B$92:$D$92,1,MATCH(言語切替!$B$3,_翻訳マスタ!$B$1:$D$1,0)),IF(J82-TODAY()&lt;=7,INDEX(_翻訳マスタ!$B$91:$D$91,1,MATCH(言語切替!$B$3,_翻訳マスタ!$B$1:$D$1,0)),INDEX(_翻訳マスタ!$B$90:$D$90,1,MATCH(言語切替!$B$3,_翻訳マスタ!$B$1:$D$1,0))))))</f>
        <v/>
      </c>
      <c r="Q82" s="27"/>
      <c r="R82" s="36"/>
      <c r="S82" s="53" t="str">
        <f t="shared" si="16"/>
        <v/>
      </c>
      <c r="T82" s="53" t="str">
        <f t="shared" si="17"/>
        <v/>
      </c>
    </row>
    <row r="83" spans="1:20" s="22" customFormat="1" ht="15" customHeight="1" x14ac:dyDescent="0.25">
      <c r="A83" s="29"/>
      <c r="B83" s="30"/>
      <c r="C83" s="30"/>
      <c r="D83" s="30"/>
      <c r="E83" s="30"/>
      <c r="F83" s="46" t="str">
        <f t="shared" si="14"/>
        <v/>
      </c>
      <c r="G83" s="46" t="str">
        <f t="shared" si="15"/>
        <v/>
      </c>
      <c r="H83" s="30"/>
      <c r="I83" s="31"/>
      <c r="J83" s="31"/>
      <c r="K83" s="31"/>
      <c r="L83" s="31"/>
      <c r="M83" s="56" t="str">
        <f t="shared" ca="1" si="12"/>
        <v/>
      </c>
      <c r="N83" s="30"/>
      <c r="O83" s="16" t="str">
        <f t="shared" ca="1" si="13"/>
        <v/>
      </c>
      <c r="P83" s="16" t="str">
        <f ca="1">IF(J83="","",IF(L83&lt;&gt;"",INDEX(_翻訳マスタ!$B$75:$D$75,1,MATCH(言語切替!$B$3,_翻訳マスタ!$B$1:$D$1,0)),IF(TODAY()&gt;J83,INDEX(_翻訳マスタ!$B$92:$D$92,1,MATCH(言語切替!$B$3,_翻訳マスタ!$B$1:$D$1,0)),IF(J83-TODAY()&lt;=7,INDEX(_翻訳マスタ!$B$91:$D$91,1,MATCH(言語切替!$B$3,_翻訳マスタ!$B$1:$D$1,0)),INDEX(_翻訳マスタ!$B$90:$D$90,1,MATCH(言語切替!$B$3,_翻訳マスタ!$B$1:$D$1,0))))))</f>
        <v/>
      </c>
      <c r="Q83" s="30"/>
      <c r="R83" s="37"/>
      <c r="S83" s="52" t="str">
        <f t="shared" si="16"/>
        <v/>
      </c>
      <c r="T83" s="52" t="str">
        <f t="shared" si="17"/>
        <v/>
      </c>
    </row>
    <row r="84" spans="1:20" s="22" customFormat="1" ht="15" customHeight="1" x14ac:dyDescent="0.25">
      <c r="A84" s="26"/>
      <c r="B84" s="27"/>
      <c r="C84" s="27"/>
      <c r="D84" s="27"/>
      <c r="E84" s="27"/>
      <c r="F84" s="45" t="str">
        <f t="shared" si="14"/>
        <v/>
      </c>
      <c r="G84" s="45" t="str">
        <f t="shared" si="15"/>
        <v/>
      </c>
      <c r="H84" s="27"/>
      <c r="I84" s="28"/>
      <c r="J84" s="28"/>
      <c r="K84" s="28"/>
      <c r="L84" s="28"/>
      <c r="M84" s="55" t="str">
        <f t="shared" ca="1" si="12"/>
        <v/>
      </c>
      <c r="N84" s="27"/>
      <c r="O84" s="13" t="str">
        <f t="shared" ca="1" si="13"/>
        <v/>
      </c>
      <c r="P84" s="13" t="str">
        <f ca="1">IF(J84="","",IF(L84&lt;&gt;"",INDEX(_翻訳マスタ!$B$75:$D$75,1,MATCH(言語切替!$B$3,_翻訳マスタ!$B$1:$D$1,0)),IF(TODAY()&gt;J84,INDEX(_翻訳マスタ!$B$92:$D$92,1,MATCH(言語切替!$B$3,_翻訳マスタ!$B$1:$D$1,0)),IF(J84-TODAY()&lt;=7,INDEX(_翻訳マスタ!$B$91:$D$91,1,MATCH(言語切替!$B$3,_翻訳マスタ!$B$1:$D$1,0)),INDEX(_翻訳マスタ!$B$90:$D$90,1,MATCH(言語切替!$B$3,_翻訳マスタ!$B$1:$D$1,0))))))</f>
        <v/>
      </c>
      <c r="Q84" s="27"/>
      <c r="R84" s="36"/>
      <c r="S84" s="53" t="str">
        <f t="shared" si="16"/>
        <v/>
      </c>
      <c r="T84" s="53" t="str">
        <f t="shared" si="17"/>
        <v/>
      </c>
    </row>
    <row r="85" spans="1:20" s="22" customFormat="1" ht="15" customHeight="1" x14ac:dyDescent="0.25">
      <c r="A85" s="29"/>
      <c r="B85" s="30"/>
      <c r="C85" s="30"/>
      <c r="D85" s="30"/>
      <c r="E85" s="30"/>
      <c r="F85" s="46" t="str">
        <f t="shared" si="14"/>
        <v/>
      </c>
      <c r="G85" s="46" t="str">
        <f t="shared" si="15"/>
        <v/>
      </c>
      <c r="H85" s="30"/>
      <c r="I85" s="31"/>
      <c r="J85" s="31"/>
      <c r="K85" s="31"/>
      <c r="L85" s="31"/>
      <c r="M85" s="56" t="str">
        <f t="shared" ca="1" si="12"/>
        <v/>
      </c>
      <c r="N85" s="30"/>
      <c r="O85" s="16" t="str">
        <f t="shared" ca="1" si="13"/>
        <v/>
      </c>
      <c r="P85" s="16" t="str">
        <f ca="1">IF(J85="","",IF(L85&lt;&gt;"",INDEX(_翻訳マスタ!$B$75:$D$75,1,MATCH(言語切替!$B$3,_翻訳マスタ!$B$1:$D$1,0)),IF(TODAY()&gt;J85,INDEX(_翻訳マスタ!$B$92:$D$92,1,MATCH(言語切替!$B$3,_翻訳マスタ!$B$1:$D$1,0)),IF(J85-TODAY()&lt;=7,INDEX(_翻訳マスタ!$B$91:$D$91,1,MATCH(言語切替!$B$3,_翻訳マスタ!$B$1:$D$1,0)),INDEX(_翻訳マスタ!$B$90:$D$90,1,MATCH(言語切替!$B$3,_翻訳マスタ!$B$1:$D$1,0))))))</f>
        <v/>
      </c>
      <c r="Q85" s="30"/>
      <c r="R85" s="37"/>
      <c r="S85" s="52" t="str">
        <f t="shared" si="16"/>
        <v/>
      </c>
      <c r="T85" s="52" t="str">
        <f t="shared" si="17"/>
        <v/>
      </c>
    </row>
    <row r="86" spans="1:20" s="22" customFormat="1" ht="15" customHeight="1" x14ac:dyDescent="0.25">
      <c r="A86" s="26"/>
      <c r="B86" s="27"/>
      <c r="C86" s="27"/>
      <c r="D86" s="27"/>
      <c r="E86" s="27"/>
      <c r="F86" s="45" t="str">
        <f t="shared" si="14"/>
        <v/>
      </c>
      <c r="G86" s="45" t="str">
        <f t="shared" si="15"/>
        <v/>
      </c>
      <c r="H86" s="27"/>
      <c r="I86" s="28"/>
      <c r="J86" s="28"/>
      <c r="K86" s="28"/>
      <c r="L86" s="28"/>
      <c r="M86" s="55" t="str">
        <f t="shared" ca="1" si="12"/>
        <v/>
      </c>
      <c r="N86" s="27"/>
      <c r="O86" s="13" t="str">
        <f t="shared" ca="1" si="13"/>
        <v/>
      </c>
      <c r="P86" s="13" t="str">
        <f ca="1">IF(J86="","",IF(L86&lt;&gt;"",INDEX(_翻訳マスタ!$B$75:$D$75,1,MATCH(言語切替!$B$3,_翻訳マスタ!$B$1:$D$1,0)),IF(TODAY()&gt;J86,INDEX(_翻訳マスタ!$B$92:$D$92,1,MATCH(言語切替!$B$3,_翻訳マスタ!$B$1:$D$1,0)),IF(J86-TODAY()&lt;=7,INDEX(_翻訳マスタ!$B$91:$D$91,1,MATCH(言語切替!$B$3,_翻訳マスタ!$B$1:$D$1,0)),INDEX(_翻訳マスタ!$B$90:$D$90,1,MATCH(言語切替!$B$3,_翻訳マスタ!$B$1:$D$1,0))))))</f>
        <v/>
      </c>
      <c r="Q86" s="27"/>
      <c r="R86" s="36"/>
      <c r="S86" s="53" t="str">
        <f t="shared" si="16"/>
        <v/>
      </c>
      <c r="T86" s="53" t="str">
        <f t="shared" si="17"/>
        <v/>
      </c>
    </row>
    <row r="87" spans="1:20" s="22" customFormat="1" ht="15" customHeight="1" x14ac:dyDescent="0.25">
      <c r="A87" s="29"/>
      <c r="B87" s="30"/>
      <c r="C87" s="30"/>
      <c r="D87" s="30"/>
      <c r="E87" s="30"/>
      <c r="F87" s="46" t="str">
        <f t="shared" si="14"/>
        <v/>
      </c>
      <c r="G87" s="46" t="str">
        <f t="shared" si="15"/>
        <v/>
      </c>
      <c r="H87" s="30"/>
      <c r="I87" s="31"/>
      <c r="J87" s="31"/>
      <c r="K87" s="31"/>
      <c r="L87" s="31"/>
      <c r="M87" s="56" t="str">
        <f t="shared" ca="1" si="12"/>
        <v/>
      </c>
      <c r="N87" s="30"/>
      <c r="O87" s="16" t="str">
        <f t="shared" ca="1" si="13"/>
        <v/>
      </c>
      <c r="P87" s="16" t="str">
        <f ca="1">IF(J87="","",IF(L87&lt;&gt;"",INDEX(_翻訳マスタ!$B$75:$D$75,1,MATCH(言語切替!$B$3,_翻訳マスタ!$B$1:$D$1,0)),IF(TODAY()&gt;J87,INDEX(_翻訳マスタ!$B$92:$D$92,1,MATCH(言語切替!$B$3,_翻訳マスタ!$B$1:$D$1,0)),IF(J87-TODAY()&lt;=7,INDEX(_翻訳マスタ!$B$91:$D$91,1,MATCH(言語切替!$B$3,_翻訳マスタ!$B$1:$D$1,0)),INDEX(_翻訳マスタ!$B$90:$D$90,1,MATCH(言語切替!$B$3,_翻訳マスタ!$B$1:$D$1,0))))))</f>
        <v/>
      </c>
      <c r="Q87" s="30"/>
      <c r="R87" s="37"/>
      <c r="S87" s="52" t="str">
        <f t="shared" si="16"/>
        <v/>
      </c>
      <c r="T87" s="52" t="str">
        <f t="shared" si="17"/>
        <v/>
      </c>
    </row>
    <row r="88" spans="1:20" s="22" customFormat="1" ht="15" customHeight="1" x14ac:dyDescent="0.25">
      <c r="A88" s="26"/>
      <c r="B88" s="27"/>
      <c r="C88" s="27"/>
      <c r="D88" s="27"/>
      <c r="E88" s="27"/>
      <c r="F88" s="45" t="str">
        <f t="shared" si="14"/>
        <v/>
      </c>
      <c r="G88" s="45" t="str">
        <f t="shared" si="15"/>
        <v/>
      </c>
      <c r="H88" s="27"/>
      <c r="I88" s="28"/>
      <c r="J88" s="28"/>
      <c r="K88" s="28"/>
      <c r="L88" s="28"/>
      <c r="M88" s="55" t="str">
        <f t="shared" ca="1" si="12"/>
        <v/>
      </c>
      <c r="N88" s="27"/>
      <c r="O88" s="13" t="str">
        <f t="shared" ca="1" si="13"/>
        <v/>
      </c>
      <c r="P88" s="13" t="str">
        <f ca="1">IF(J88="","",IF(L88&lt;&gt;"",INDEX(_翻訳マスタ!$B$75:$D$75,1,MATCH(言語切替!$B$3,_翻訳マスタ!$B$1:$D$1,0)),IF(TODAY()&gt;J88,INDEX(_翻訳マスタ!$B$92:$D$92,1,MATCH(言語切替!$B$3,_翻訳マスタ!$B$1:$D$1,0)),IF(J88-TODAY()&lt;=7,INDEX(_翻訳マスタ!$B$91:$D$91,1,MATCH(言語切替!$B$3,_翻訳マスタ!$B$1:$D$1,0)),INDEX(_翻訳マスタ!$B$90:$D$90,1,MATCH(言語切替!$B$3,_翻訳マスタ!$B$1:$D$1,0))))))</f>
        <v/>
      </c>
      <c r="Q88" s="27"/>
      <c r="R88" s="36"/>
      <c r="S88" s="53" t="str">
        <f t="shared" si="16"/>
        <v/>
      </c>
      <c r="T88" s="53" t="str">
        <f t="shared" si="17"/>
        <v/>
      </c>
    </row>
    <row r="89" spans="1:20" s="22" customFormat="1" ht="15" customHeight="1" x14ac:dyDescent="0.25">
      <c r="A89" s="29"/>
      <c r="B89" s="30"/>
      <c r="C89" s="30"/>
      <c r="D89" s="30"/>
      <c r="E89" s="30"/>
      <c r="F89" s="46" t="str">
        <f t="shared" si="14"/>
        <v/>
      </c>
      <c r="G89" s="46" t="str">
        <f t="shared" si="15"/>
        <v/>
      </c>
      <c r="H89" s="30"/>
      <c r="I89" s="31"/>
      <c r="J89" s="31"/>
      <c r="K89" s="31"/>
      <c r="L89" s="31"/>
      <c r="M89" s="56" t="str">
        <f t="shared" ca="1" si="12"/>
        <v/>
      </c>
      <c r="N89" s="30"/>
      <c r="O89" s="16" t="str">
        <f t="shared" ca="1" si="13"/>
        <v/>
      </c>
      <c r="P89" s="16" t="str">
        <f ca="1">IF(J89="","",IF(L89&lt;&gt;"",INDEX(_翻訳マスタ!$B$75:$D$75,1,MATCH(言語切替!$B$3,_翻訳マスタ!$B$1:$D$1,0)),IF(TODAY()&gt;J89,INDEX(_翻訳マスタ!$B$92:$D$92,1,MATCH(言語切替!$B$3,_翻訳マスタ!$B$1:$D$1,0)),IF(J89-TODAY()&lt;=7,INDEX(_翻訳マスタ!$B$91:$D$91,1,MATCH(言語切替!$B$3,_翻訳マスタ!$B$1:$D$1,0)),INDEX(_翻訳マスタ!$B$90:$D$90,1,MATCH(言語切替!$B$3,_翻訳マスタ!$B$1:$D$1,0))))))</f>
        <v/>
      </c>
      <c r="Q89" s="30"/>
      <c r="R89" s="37"/>
      <c r="S89" s="52" t="str">
        <f t="shared" si="16"/>
        <v/>
      </c>
      <c r="T89" s="52" t="str">
        <f t="shared" si="17"/>
        <v/>
      </c>
    </row>
    <row r="90" spans="1:20" s="22" customFormat="1" ht="15" customHeight="1" x14ac:dyDescent="0.25">
      <c r="A90" s="26"/>
      <c r="B90" s="27"/>
      <c r="C90" s="27"/>
      <c r="D90" s="27"/>
      <c r="E90" s="27"/>
      <c r="F90" s="45" t="str">
        <f t="shared" si="14"/>
        <v/>
      </c>
      <c r="G90" s="45" t="str">
        <f t="shared" si="15"/>
        <v/>
      </c>
      <c r="H90" s="27"/>
      <c r="I90" s="28"/>
      <c r="J90" s="28"/>
      <c r="K90" s="28"/>
      <c r="L90" s="28"/>
      <c r="M90" s="55" t="str">
        <f t="shared" ca="1" si="12"/>
        <v/>
      </c>
      <c r="N90" s="27"/>
      <c r="O90" s="13" t="str">
        <f t="shared" ca="1" si="13"/>
        <v/>
      </c>
      <c r="P90" s="13" t="str">
        <f ca="1">IF(J90="","",IF(L90&lt;&gt;"",INDEX(_翻訳マスタ!$B$75:$D$75,1,MATCH(言語切替!$B$3,_翻訳マスタ!$B$1:$D$1,0)),IF(TODAY()&gt;J90,INDEX(_翻訳マスタ!$B$92:$D$92,1,MATCH(言語切替!$B$3,_翻訳マスタ!$B$1:$D$1,0)),IF(J90-TODAY()&lt;=7,INDEX(_翻訳マスタ!$B$91:$D$91,1,MATCH(言語切替!$B$3,_翻訳マスタ!$B$1:$D$1,0)),INDEX(_翻訳マスタ!$B$90:$D$90,1,MATCH(言語切替!$B$3,_翻訳マスタ!$B$1:$D$1,0))))))</f>
        <v/>
      </c>
      <c r="Q90" s="27"/>
      <c r="R90" s="36"/>
      <c r="S90" s="53" t="str">
        <f t="shared" si="16"/>
        <v/>
      </c>
      <c r="T90" s="53" t="str">
        <f t="shared" si="17"/>
        <v/>
      </c>
    </row>
    <row r="91" spans="1:20" s="22" customFormat="1" ht="15" customHeight="1" x14ac:dyDescent="0.25">
      <c r="A91" s="29"/>
      <c r="B91" s="30"/>
      <c r="C91" s="30"/>
      <c r="D91" s="30"/>
      <c r="E91" s="30"/>
      <c r="F91" s="46" t="str">
        <f t="shared" si="14"/>
        <v/>
      </c>
      <c r="G91" s="46" t="str">
        <f t="shared" si="15"/>
        <v/>
      </c>
      <c r="H91" s="30"/>
      <c r="I91" s="31"/>
      <c r="J91" s="31"/>
      <c r="K91" s="31"/>
      <c r="L91" s="31"/>
      <c r="M91" s="56" t="str">
        <f t="shared" ca="1" si="12"/>
        <v/>
      </c>
      <c r="N91" s="30"/>
      <c r="O91" s="16" t="str">
        <f t="shared" ca="1" si="13"/>
        <v/>
      </c>
      <c r="P91" s="16" t="str">
        <f ca="1">IF(J91="","",IF(L91&lt;&gt;"",INDEX(_翻訳マスタ!$B$75:$D$75,1,MATCH(言語切替!$B$3,_翻訳マスタ!$B$1:$D$1,0)),IF(TODAY()&gt;J91,INDEX(_翻訳マスタ!$B$92:$D$92,1,MATCH(言語切替!$B$3,_翻訳マスタ!$B$1:$D$1,0)),IF(J91-TODAY()&lt;=7,INDEX(_翻訳マスタ!$B$91:$D$91,1,MATCH(言語切替!$B$3,_翻訳マスタ!$B$1:$D$1,0)),INDEX(_翻訳マスタ!$B$90:$D$90,1,MATCH(言語切替!$B$3,_翻訳マスタ!$B$1:$D$1,0))))))</f>
        <v/>
      </c>
      <c r="Q91" s="30"/>
      <c r="R91" s="37"/>
      <c r="S91" s="52" t="str">
        <f t="shared" si="16"/>
        <v/>
      </c>
      <c r="T91" s="52" t="str">
        <f t="shared" si="17"/>
        <v/>
      </c>
    </row>
    <row r="92" spans="1:20" s="22" customFormat="1" ht="15" customHeight="1" x14ac:dyDescent="0.25">
      <c r="A92" s="26"/>
      <c r="B92" s="27"/>
      <c r="C92" s="27"/>
      <c r="D92" s="27"/>
      <c r="E92" s="27"/>
      <c r="F92" s="45" t="str">
        <f t="shared" si="14"/>
        <v/>
      </c>
      <c r="G92" s="45" t="str">
        <f t="shared" si="15"/>
        <v/>
      </c>
      <c r="H92" s="27"/>
      <c r="I92" s="28"/>
      <c r="J92" s="28"/>
      <c r="K92" s="28"/>
      <c r="L92" s="28"/>
      <c r="M92" s="55" t="str">
        <f t="shared" ca="1" si="12"/>
        <v/>
      </c>
      <c r="N92" s="27"/>
      <c r="O92" s="13" t="str">
        <f t="shared" ca="1" si="13"/>
        <v/>
      </c>
      <c r="P92" s="13" t="str">
        <f ca="1">IF(J92="","",IF(L92&lt;&gt;"",INDEX(_翻訳マスタ!$B$75:$D$75,1,MATCH(言語切替!$B$3,_翻訳マスタ!$B$1:$D$1,0)),IF(TODAY()&gt;J92,INDEX(_翻訳マスタ!$B$92:$D$92,1,MATCH(言語切替!$B$3,_翻訳マスタ!$B$1:$D$1,0)),IF(J92-TODAY()&lt;=7,INDEX(_翻訳マスタ!$B$91:$D$91,1,MATCH(言語切替!$B$3,_翻訳マスタ!$B$1:$D$1,0)),INDEX(_翻訳マスタ!$B$90:$D$90,1,MATCH(言語切替!$B$3,_翻訳マスタ!$B$1:$D$1,0))))))</f>
        <v/>
      </c>
      <c r="Q92" s="27"/>
      <c r="R92" s="36"/>
      <c r="S92" s="53" t="str">
        <f t="shared" si="16"/>
        <v/>
      </c>
      <c r="T92" s="53" t="str">
        <f t="shared" si="17"/>
        <v/>
      </c>
    </row>
    <row r="93" spans="1:20" s="22" customFormat="1" ht="15" customHeight="1" x14ac:dyDescent="0.25">
      <c r="A93" s="29"/>
      <c r="B93" s="30"/>
      <c r="C93" s="30"/>
      <c r="D93" s="30"/>
      <c r="E93" s="30"/>
      <c r="F93" s="46" t="str">
        <f t="shared" si="14"/>
        <v/>
      </c>
      <c r="G93" s="46" t="str">
        <f t="shared" si="15"/>
        <v/>
      </c>
      <c r="H93" s="30"/>
      <c r="I93" s="31"/>
      <c r="J93" s="31"/>
      <c r="K93" s="31"/>
      <c r="L93" s="31"/>
      <c r="M93" s="56" t="str">
        <f t="shared" ca="1" si="12"/>
        <v/>
      </c>
      <c r="N93" s="30"/>
      <c r="O93" s="16" t="str">
        <f t="shared" ca="1" si="13"/>
        <v/>
      </c>
      <c r="P93" s="16" t="str">
        <f ca="1">IF(J93="","",IF(L93&lt;&gt;"",INDEX(_翻訳マスタ!$B$75:$D$75,1,MATCH(言語切替!$B$3,_翻訳マスタ!$B$1:$D$1,0)),IF(TODAY()&gt;J93,INDEX(_翻訳マスタ!$B$92:$D$92,1,MATCH(言語切替!$B$3,_翻訳マスタ!$B$1:$D$1,0)),IF(J93-TODAY()&lt;=7,INDEX(_翻訳マスタ!$B$91:$D$91,1,MATCH(言語切替!$B$3,_翻訳マスタ!$B$1:$D$1,0)),INDEX(_翻訳マスタ!$B$90:$D$90,1,MATCH(言語切替!$B$3,_翻訳マスタ!$B$1:$D$1,0))))))</f>
        <v/>
      </c>
      <c r="Q93" s="30"/>
      <c r="R93" s="37"/>
      <c r="S93" s="52" t="str">
        <f t="shared" si="16"/>
        <v/>
      </c>
      <c r="T93" s="52" t="str">
        <f t="shared" si="17"/>
        <v/>
      </c>
    </row>
    <row r="94" spans="1:20" s="22" customFormat="1" ht="15" customHeight="1" x14ac:dyDescent="0.25">
      <c r="A94" s="26"/>
      <c r="B94" s="27"/>
      <c r="C94" s="27"/>
      <c r="D94" s="27"/>
      <c r="E94" s="27"/>
      <c r="F94" s="45" t="str">
        <f t="shared" si="14"/>
        <v/>
      </c>
      <c r="G94" s="45" t="str">
        <f t="shared" si="15"/>
        <v/>
      </c>
      <c r="H94" s="27"/>
      <c r="I94" s="28"/>
      <c r="J94" s="28"/>
      <c r="K94" s="28"/>
      <c r="L94" s="28"/>
      <c r="M94" s="55" t="str">
        <f t="shared" ca="1" si="12"/>
        <v/>
      </c>
      <c r="N94" s="27"/>
      <c r="O94" s="13" t="str">
        <f t="shared" ca="1" si="13"/>
        <v/>
      </c>
      <c r="P94" s="13" t="str">
        <f ca="1">IF(J94="","",IF(L94&lt;&gt;"",INDEX(_翻訳マスタ!$B$75:$D$75,1,MATCH(言語切替!$B$3,_翻訳マスタ!$B$1:$D$1,0)),IF(TODAY()&gt;J94,INDEX(_翻訳マスタ!$B$92:$D$92,1,MATCH(言語切替!$B$3,_翻訳マスタ!$B$1:$D$1,0)),IF(J94-TODAY()&lt;=7,INDEX(_翻訳マスタ!$B$91:$D$91,1,MATCH(言語切替!$B$3,_翻訳マスタ!$B$1:$D$1,0)),INDEX(_翻訳マスタ!$B$90:$D$90,1,MATCH(言語切替!$B$3,_翻訳マスタ!$B$1:$D$1,0))))))</f>
        <v/>
      </c>
      <c r="Q94" s="27"/>
      <c r="R94" s="36"/>
      <c r="S94" s="53" t="str">
        <f t="shared" si="16"/>
        <v/>
      </c>
      <c r="T94" s="53" t="str">
        <f t="shared" si="17"/>
        <v/>
      </c>
    </row>
    <row r="95" spans="1:20" s="22" customFormat="1" ht="15" customHeight="1" x14ac:dyDescent="0.25">
      <c r="A95" s="29"/>
      <c r="B95" s="30"/>
      <c r="C95" s="30"/>
      <c r="D95" s="30"/>
      <c r="E95" s="30"/>
      <c r="F95" s="46" t="str">
        <f t="shared" si="14"/>
        <v/>
      </c>
      <c r="G95" s="46" t="str">
        <f t="shared" si="15"/>
        <v/>
      </c>
      <c r="H95" s="30"/>
      <c r="I95" s="31"/>
      <c r="J95" s="31"/>
      <c r="K95" s="31"/>
      <c r="L95" s="31"/>
      <c r="M95" s="56" t="str">
        <f t="shared" ca="1" si="12"/>
        <v/>
      </c>
      <c r="N95" s="30"/>
      <c r="O95" s="16" t="str">
        <f t="shared" ca="1" si="13"/>
        <v/>
      </c>
      <c r="P95" s="16" t="str">
        <f ca="1">IF(J95="","",IF(L95&lt;&gt;"",INDEX(_翻訳マスタ!$B$75:$D$75,1,MATCH(言語切替!$B$3,_翻訳マスタ!$B$1:$D$1,0)),IF(TODAY()&gt;J95,INDEX(_翻訳マスタ!$B$92:$D$92,1,MATCH(言語切替!$B$3,_翻訳マスタ!$B$1:$D$1,0)),IF(J95-TODAY()&lt;=7,INDEX(_翻訳マスタ!$B$91:$D$91,1,MATCH(言語切替!$B$3,_翻訳マスタ!$B$1:$D$1,0)),INDEX(_翻訳マスタ!$B$90:$D$90,1,MATCH(言語切替!$B$3,_翻訳マスタ!$B$1:$D$1,0))))))</f>
        <v/>
      </c>
      <c r="Q95" s="30"/>
      <c r="R95" s="37"/>
      <c r="S95" s="52" t="str">
        <f t="shared" si="16"/>
        <v/>
      </c>
      <c r="T95" s="52" t="str">
        <f t="shared" si="17"/>
        <v/>
      </c>
    </row>
    <row r="96" spans="1:20" s="22" customFormat="1" ht="15" customHeight="1" x14ac:dyDescent="0.25">
      <c r="A96" s="26"/>
      <c r="B96" s="27"/>
      <c r="C96" s="27"/>
      <c r="D96" s="27"/>
      <c r="E96" s="27"/>
      <c r="F96" s="45" t="str">
        <f t="shared" si="14"/>
        <v/>
      </c>
      <c r="G96" s="45" t="str">
        <f t="shared" si="15"/>
        <v/>
      </c>
      <c r="H96" s="27"/>
      <c r="I96" s="28"/>
      <c r="J96" s="28"/>
      <c r="K96" s="28"/>
      <c r="L96" s="28"/>
      <c r="M96" s="55" t="str">
        <f t="shared" ca="1" si="12"/>
        <v/>
      </c>
      <c r="N96" s="27"/>
      <c r="O96" s="13" t="str">
        <f t="shared" ca="1" si="13"/>
        <v/>
      </c>
      <c r="P96" s="13" t="str">
        <f ca="1">IF(J96="","",IF(L96&lt;&gt;"",INDEX(_翻訳マスタ!$B$75:$D$75,1,MATCH(言語切替!$B$3,_翻訳マスタ!$B$1:$D$1,0)),IF(TODAY()&gt;J96,INDEX(_翻訳マスタ!$B$92:$D$92,1,MATCH(言語切替!$B$3,_翻訳マスタ!$B$1:$D$1,0)),IF(J96-TODAY()&lt;=7,INDEX(_翻訳マスタ!$B$91:$D$91,1,MATCH(言語切替!$B$3,_翻訳マスタ!$B$1:$D$1,0)),INDEX(_翻訳マスタ!$B$90:$D$90,1,MATCH(言語切替!$B$3,_翻訳マスタ!$B$1:$D$1,0))))))</f>
        <v/>
      </c>
      <c r="Q96" s="27"/>
      <c r="R96" s="36"/>
      <c r="S96" s="53" t="str">
        <f t="shared" si="16"/>
        <v/>
      </c>
      <c r="T96" s="53" t="str">
        <f t="shared" si="17"/>
        <v/>
      </c>
    </row>
    <row r="97" spans="1:20" s="22" customFormat="1" ht="15" customHeight="1" x14ac:dyDescent="0.25">
      <c r="A97" s="29"/>
      <c r="B97" s="30"/>
      <c r="C97" s="30"/>
      <c r="D97" s="30"/>
      <c r="E97" s="30"/>
      <c r="F97" s="46" t="str">
        <f t="shared" si="14"/>
        <v/>
      </c>
      <c r="G97" s="46" t="str">
        <f t="shared" si="15"/>
        <v/>
      </c>
      <c r="H97" s="30"/>
      <c r="I97" s="31"/>
      <c r="J97" s="31"/>
      <c r="K97" s="31"/>
      <c r="L97" s="31"/>
      <c r="M97" s="56" t="str">
        <f t="shared" ca="1" si="12"/>
        <v/>
      </c>
      <c r="N97" s="30"/>
      <c r="O97" s="16" t="str">
        <f t="shared" ca="1" si="13"/>
        <v/>
      </c>
      <c r="P97" s="16" t="str">
        <f ca="1">IF(J97="","",IF(L97&lt;&gt;"",INDEX(_翻訳マスタ!$B$75:$D$75,1,MATCH(言語切替!$B$3,_翻訳マスタ!$B$1:$D$1,0)),IF(TODAY()&gt;J97,INDEX(_翻訳マスタ!$B$92:$D$92,1,MATCH(言語切替!$B$3,_翻訳マスタ!$B$1:$D$1,0)),IF(J97-TODAY()&lt;=7,INDEX(_翻訳マスタ!$B$91:$D$91,1,MATCH(言語切替!$B$3,_翻訳マスタ!$B$1:$D$1,0)),INDEX(_翻訳マスタ!$B$90:$D$90,1,MATCH(言語切替!$B$3,_翻訳マスタ!$B$1:$D$1,0))))))</f>
        <v/>
      </c>
      <c r="Q97" s="30"/>
      <c r="R97" s="37"/>
      <c r="S97" s="52" t="str">
        <f t="shared" si="16"/>
        <v/>
      </c>
      <c r="T97" s="52" t="str">
        <f t="shared" si="17"/>
        <v/>
      </c>
    </row>
    <row r="98" spans="1:20" s="22" customFormat="1" ht="15" customHeight="1" x14ac:dyDescent="0.25">
      <c r="A98" s="26"/>
      <c r="B98" s="27"/>
      <c r="C98" s="27"/>
      <c r="D98" s="27"/>
      <c r="E98" s="27"/>
      <c r="F98" s="45" t="str">
        <f t="shared" si="14"/>
        <v/>
      </c>
      <c r="G98" s="45" t="str">
        <f t="shared" si="15"/>
        <v/>
      </c>
      <c r="H98" s="27"/>
      <c r="I98" s="28"/>
      <c r="J98" s="28"/>
      <c r="K98" s="28"/>
      <c r="L98" s="28"/>
      <c r="M98" s="55" t="str">
        <f t="shared" ca="1" si="12"/>
        <v/>
      </c>
      <c r="N98" s="27"/>
      <c r="O98" s="13" t="str">
        <f t="shared" ca="1" si="13"/>
        <v/>
      </c>
      <c r="P98" s="13" t="str">
        <f ca="1">IF(J98="","",IF(L98&lt;&gt;"",INDEX(_翻訳マスタ!$B$75:$D$75,1,MATCH(言語切替!$B$3,_翻訳マスタ!$B$1:$D$1,0)),IF(TODAY()&gt;J98,INDEX(_翻訳マスタ!$B$92:$D$92,1,MATCH(言語切替!$B$3,_翻訳マスタ!$B$1:$D$1,0)),IF(J98-TODAY()&lt;=7,INDEX(_翻訳マスタ!$B$91:$D$91,1,MATCH(言語切替!$B$3,_翻訳マスタ!$B$1:$D$1,0)),INDEX(_翻訳マスタ!$B$90:$D$90,1,MATCH(言語切替!$B$3,_翻訳マスタ!$B$1:$D$1,0))))))</f>
        <v/>
      </c>
      <c r="Q98" s="27"/>
      <c r="R98" s="36"/>
      <c r="S98" s="53" t="str">
        <f t="shared" si="16"/>
        <v/>
      </c>
      <c r="T98" s="53" t="str">
        <f t="shared" si="17"/>
        <v/>
      </c>
    </row>
    <row r="99" spans="1:20" s="22" customFormat="1" ht="15" customHeight="1" x14ac:dyDescent="0.25">
      <c r="A99" s="29"/>
      <c r="B99" s="30"/>
      <c r="C99" s="30"/>
      <c r="D99" s="30"/>
      <c r="E99" s="30"/>
      <c r="F99" s="46" t="str">
        <f t="shared" si="14"/>
        <v/>
      </c>
      <c r="G99" s="46" t="str">
        <f t="shared" si="15"/>
        <v/>
      </c>
      <c r="H99" s="30"/>
      <c r="I99" s="31"/>
      <c r="J99" s="31"/>
      <c r="K99" s="31"/>
      <c r="L99" s="31"/>
      <c r="M99" s="56" t="str">
        <f t="shared" ca="1" si="12"/>
        <v/>
      </c>
      <c r="N99" s="30"/>
      <c r="O99" s="16" t="str">
        <f t="shared" ca="1" si="13"/>
        <v/>
      </c>
      <c r="P99" s="16" t="str">
        <f ca="1">IF(J99="","",IF(L99&lt;&gt;"",INDEX(_翻訳マスタ!$B$75:$D$75,1,MATCH(言語切替!$B$3,_翻訳マスタ!$B$1:$D$1,0)),IF(TODAY()&gt;J99,INDEX(_翻訳マスタ!$B$92:$D$92,1,MATCH(言語切替!$B$3,_翻訳マスタ!$B$1:$D$1,0)),IF(J99-TODAY()&lt;=7,INDEX(_翻訳マスタ!$B$91:$D$91,1,MATCH(言語切替!$B$3,_翻訳マスタ!$B$1:$D$1,0)),INDEX(_翻訳マスタ!$B$90:$D$90,1,MATCH(言語切替!$B$3,_翻訳マスタ!$B$1:$D$1,0))))))</f>
        <v/>
      </c>
      <c r="Q99" s="30"/>
      <c r="R99" s="37"/>
      <c r="S99" s="52" t="str">
        <f t="shared" si="16"/>
        <v/>
      </c>
      <c r="T99" s="52" t="str">
        <f t="shared" si="17"/>
        <v/>
      </c>
    </row>
    <row r="100" spans="1:20" s="22" customFormat="1" ht="15" customHeight="1" x14ac:dyDescent="0.25">
      <c r="A100" s="26"/>
      <c r="B100" s="27"/>
      <c r="C100" s="27"/>
      <c r="D100" s="27"/>
      <c r="E100" s="27"/>
      <c r="F100" s="45" t="str">
        <f t="shared" si="14"/>
        <v/>
      </c>
      <c r="G100" s="45" t="str">
        <f t="shared" si="15"/>
        <v/>
      </c>
      <c r="H100" s="27"/>
      <c r="I100" s="28"/>
      <c r="J100" s="28"/>
      <c r="K100" s="28"/>
      <c r="L100" s="28"/>
      <c r="M100" s="55" t="str">
        <f t="shared" ca="1" si="12"/>
        <v/>
      </c>
      <c r="N100" s="27"/>
      <c r="O100" s="13" t="str">
        <f t="shared" ca="1" si="13"/>
        <v/>
      </c>
      <c r="P100" s="13" t="str">
        <f ca="1">IF(J100="","",IF(L100&lt;&gt;"",INDEX(_翻訳マスタ!$B$75:$D$75,1,MATCH(言語切替!$B$3,_翻訳マスタ!$B$1:$D$1,0)),IF(TODAY()&gt;J100,INDEX(_翻訳マスタ!$B$92:$D$92,1,MATCH(言語切替!$B$3,_翻訳マスタ!$B$1:$D$1,0)),IF(J100-TODAY()&lt;=7,INDEX(_翻訳マスタ!$B$91:$D$91,1,MATCH(言語切替!$B$3,_翻訳マスタ!$B$1:$D$1,0)),INDEX(_翻訳マスタ!$B$90:$D$90,1,MATCH(言語切替!$B$3,_翻訳マスタ!$B$1:$D$1,0))))))</f>
        <v/>
      </c>
      <c r="Q100" s="27"/>
      <c r="R100" s="36"/>
      <c r="S100" s="53" t="str">
        <f t="shared" si="16"/>
        <v/>
      </c>
      <c r="T100" s="53" t="str">
        <f t="shared" si="17"/>
        <v/>
      </c>
    </row>
    <row r="101" spans="1:20" s="22" customFormat="1" ht="15" customHeight="1" x14ac:dyDescent="0.25">
      <c r="A101" s="29"/>
      <c r="B101" s="30"/>
      <c r="C101" s="30"/>
      <c r="D101" s="30"/>
      <c r="E101" s="30"/>
      <c r="F101" s="46" t="str">
        <f t="shared" si="14"/>
        <v/>
      </c>
      <c r="G101" s="46" t="str">
        <f t="shared" si="15"/>
        <v/>
      </c>
      <c r="H101" s="30"/>
      <c r="I101" s="31"/>
      <c r="J101" s="31"/>
      <c r="K101" s="31"/>
      <c r="L101" s="31"/>
      <c r="M101" s="56" t="str">
        <f t="shared" ref="M101:M132" ca="1" si="18">IF(OR(I101="",J101=""),"",IF(L101&lt;&gt;"",1,IF(K101="",0,MAX(0,MIN(1,(TODAY()-I101)/(J101-I101+1))))))</f>
        <v/>
      </c>
      <c r="N101" s="30"/>
      <c r="O101" s="16" t="str">
        <f t="shared" ref="O101:O132" ca="1" si="19">IF(J101="","",J101-TODAY())</f>
        <v/>
      </c>
      <c r="P101" s="16" t="str">
        <f ca="1">IF(J101="","",IF(L101&lt;&gt;"",INDEX(_翻訳マスタ!$B$75:$D$75,1,MATCH(言語切替!$B$3,_翻訳マスタ!$B$1:$D$1,0)),IF(TODAY()&gt;J101,INDEX(_翻訳マスタ!$B$92:$D$92,1,MATCH(言語切替!$B$3,_翻訳マスタ!$B$1:$D$1,0)),IF(J101-TODAY()&lt;=7,INDEX(_翻訳マスタ!$B$91:$D$91,1,MATCH(言語切替!$B$3,_翻訳マスタ!$B$1:$D$1,0)),INDEX(_翻訳マスタ!$B$90:$D$90,1,MATCH(言語切替!$B$3,_翻訳マスタ!$B$1:$D$1,0))))))</f>
        <v/>
      </c>
      <c r="Q101" s="30"/>
      <c r="R101" s="37"/>
      <c r="S101" s="52" t="str">
        <f t="shared" si="16"/>
        <v/>
      </c>
      <c r="T101" s="52" t="str">
        <f t="shared" si="17"/>
        <v/>
      </c>
    </row>
    <row r="102" spans="1:20" s="22" customFormat="1" ht="15" customHeight="1" x14ac:dyDescent="0.25">
      <c r="A102" s="26"/>
      <c r="B102" s="27"/>
      <c r="C102" s="27"/>
      <c r="D102" s="27"/>
      <c r="E102" s="27"/>
      <c r="F102" s="45" t="str">
        <f t="shared" si="14"/>
        <v/>
      </c>
      <c r="G102" s="45" t="str">
        <f t="shared" si="15"/>
        <v/>
      </c>
      <c r="H102" s="27"/>
      <c r="I102" s="28"/>
      <c r="J102" s="28"/>
      <c r="K102" s="28"/>
      <c r="L102" s="28"/>
      <c r="M102" s="55" t="str">
        <f t="shared" ca="1" si="18"/>
        <v/>
      </c>
      <c r="N102" s="27"/>
      <c r="O102" s="13" t="str">
        <f t="shared" ca="1" si="19"/>
        <v/>
      </c>
      <c r="P102" s="13" t="str">
        <f ca="1">IF(J102="","",IF(L102&lt;&gt;"",INDEX(_翻訳マスタ!$B$75:$D$75,1,MATCH(言語切替!$B$3,_翻訳マスタ!$B$1:$D$1,0)),IF(TODAY()&gt;J102,INDEX(_翻訳マスタ!$B$92:$D$92,1,MATCH(言語切替!$B$3,_翻訳マスタ!$B$1:$D$1,0)),IF(J102-TODAY()&lt;=7,INDEX(_翻訳マスタ!$B$91:$D$91,1,MATCH(言語切替!$B$3,_翻訳マスタ!$B$1:$D$1,0)),INDEX(_翻訳マスタ!$B$90:$D$90,1,MATCH(言語切替!$B$3,_翻訳マスタ!$B$1:$D$1,0))))))</f>
        <v/>
      </c>
      <c r="Q102" s="27"/>
      <c r="R102" s="36"/>
      <c r="S102" s="53" t="str">
        <f t="shared" si="16"/>
        <v/>
      </c>
      <c r="T102" s="53" t="str">
        <f t="shared" si="17"/>
        <v/>
      </c>
    </row>
    <row r="103" spans="1:20" s="22" customFormat="1" ht="15" customHeight="1" x14ac:dyDescent="0.25">
      <c r="A103" s="29"/>
      <c r="B103" s="30"/>
      <c r="C103" s="30"/>
      <c r="D103" s="30"/>
      <c r="E103" s="30"/>
      <c r="F103" s="46" t="str">
        <f t="shared" si="14"/>
        <v/>
      </c>
      <c r="G103" s="46" t="str">
        <f t="shared" si="15"/>
        <v/>
      </c>
      <c r="H103" s="30"/>
      <c r="I103" s="31"/>
      <c r="J103" s="31"/>
      <c r="K103" s="31"/>
      <c r="L103" s="31"/>
      <c r="M103" s="56" t="str">
        <f t="shared" ca="1" si="18"/>
        <v/>
      </c>
      <c r="N103" s="30"/>
      <c r="O103" s="16" t="str">
        <f t="shared" ca="1" si="19"/>
        <v/>
      </c>
      <c r="P103" s="16" t="str">
        <f ca="1">IF(J103="","",IF(L103&lt;&gt;"",INDEX(_翻訳マスタ!$B$75:$D$75,1,MATCH(言語切替!$B$3,_翻訳マスタ!$B$1:$D$1,0)),IF(TODAY()&gt;J103,INDEX(_翻訳マスタ!$B$92:$D$92,1,MATCH(言語切替!$B$3,_翻訳マスタ!$B$1:$D$1,0)),IF(J103-TODAY()&lt;=7,INDEX(_翻訳マスタ!$B$91:$D$91,1,MATCH(言語切替!$B$3,_翻訳マスタ!$B$1:$D$1,0)),INDEX(_翻訳マスタ!$B$90:$D$90,1,MATCH(言語切替!$B$3,_翻訳マスタ!$B$1:$D$1,0))))))</f>
        <v/>
      </c>
      <c r="Q103" s="30"/>
      <c r="R103" s="37"/>
      <c r="S103" s="52" t="str">
        <f t="shared" si="16"/>
        <v/>
      </c>
      <c r="T103" s="52" t="str">
        <f t="shared" si="17"/>
        <v/>
      </c>
    </row>
    <row r="104" spans="1:20" s="22" customFormat="1" ht="15" customHeight="1" x14ac:dyDescent="0.25">
      <c r="A104" s="26"/>
      <c r="B104" s="27"/>
      <c r="C104" s="27"/>
      <c r="D104" s="27"/>
      <c r="E104" s="27"/>
      <c r="F104" s="45" t="str">
        <f t="shared" ref="F104:F135" si="20">IF(E104="","",_xlfn.TRANSLATE(E104,"vi","ja"))</f>
        <v/>
      </c>
      <c r="G104" s="45" t="str">
        <f t="shared" ref="G104:G135" si="21">IF(E104="","",_xlfn.TRANSLATE(E104,"vi","zh-Hans"))</f>
        <v/>
      </c>
      <c r="H104" s="27"/>
      <c r="I104" s="28"/>
      <c r="J104" s="28"/>
      <c r="K104" s="28"/>
      <c r="L104" s="28"/>
      <c r="M104" s="55" t="str">
        <f t="shared" ca="1" si="18"/>
        <v/>
      </c>
      <c r="N104" s="27"/>
      <c r="O104" s="13" t="str">
        <f t="shared" ca="1" si="19"/>
        <v/>
      </c>
      <c r="P104" s="13" t="str">
        <f ca="1">IF(J104="","",IF(L104&lt;&gt;"",INDEX(_翻訳マスタ!$B$75:$D$75,1,MATCH(言語切替!$B$3,_翻訳マスタ!$B$1:$D$1,0)),IF(TODAY()&gt;J104,INDEX(_翻訳マスタ!$B$92:$D$92,1,MATCH(言語切替!$B$3,_翻訳マスタ!$B$1:$D$1,0)),IF(J104-TODAY()&lt;=7,INDEX(_翻訳マスタ!$B$91:$D$91,1,MATCH(言語切替!$B$3,_翻訳マスタ!$B$1:$D$1,0)),INDEX(_翻訳マスタ!$B$90:$D$90,1,MATCH(言語切替!$B$3,_翻訳マスタ!$B$1:$D$1,0))))))</f>
        <v/>
      </c>
      <c r="Q104" s="27"/>
      <c r="R104" s="36"/>
      <c r="S104" s="53" t="str">
        <f t="shared" ref="S104:S135" si="22">IF(R104="","",_xlfn.TRANSLATE(R104,"vi","ja"))</f>
        <v/>
      </c>
      <c r="T104" s="53" t="str">
        <f t="shared" ref="T104:T135" si="23">IF(R104="","",_xlfn.TRANSLATE(R104,"vi","zh-Hans"))</f>
        <v/>
      </c>
    </row>
    <row r="105" spans="1:20" s="22" customFormat="1" ht="15" customHeight="1" x14ac:dyDescent="0.25">
      <c r="A105" s="29"/>
      <c r="B105" s="30"/>
      <c r="C105" s="30"/>
      <c r="D105" s="30"/>
      <c r="E105" s="30"/>
      <c r="F105" s="46" t="str">
        <f t="shared" si="20"/>
        <v/>
      </c>
      <c r="G105" s="46" t="str">
        <f t="shared" si="21"/>
        <v/>
      </c>
      <c r="H105" s="30"/>
      <c r="I105" s="31"/>
      <c r="J105" s="31"/>
      <c r="K105" s="31"/>
      <c r="L105" s="31"/>
      <c r="M105" s="56" t="str">
        <f t="shared" ca="1" si="18"/>
        <v/>
      </c>
      <c r="N105" s="30"/>
      <c r="O105" s="16" t="str">
        <f t="shared" ca="1" si="19"/>
        <v/>
      </c>
      <c r="P105" s="16" t="str">
        <f ca="1">IF(J105="","",IF(L105&lt;&gt;"",INDEX(_翻訳マスタ!$B$75:$D$75,1,MATCH(言語切替!$B$3,_翻訳マスタ!$B$1:$D$1,0)),IF(TODAY()&gt;J105,INDEX(_翻訳マスタ!$B$92:$D$92,1,MATCH(言語切替!$B$3,_翻訳マスタ!$B$1:$D$1,0)),IF(J105-TODAY()&lt;=7,INDEX(_翻訳マスタ!$B$91:$D$91,1,MATCH(言語切替!$B$3,_翻訳マスタ!$B$1:$D$1,0)),INDEX(_翻訳マスタ!$B$90:$D$90,1,MATCH(言語切替!$B$3,_翻訳マスタ!$B$1:$D$1,0))))))</f>
        <v/>
      </c>
      <c r="Q105" s="30"/>
      <c r="R105" s="37"/>
      <c r="S105" s="52" t="str">
        <f t="shared" si="22"/>
        <v/>
      </c>
      <c r="T105" s="52" t="str">
        <f t="shared" si="23"/>
        <v/>
      </c>
    </row>
    <row r="106" spans="1:20" s="22" customFormat="1" ht="15" customHeight="1" x14ac:dyDescent="0.25">
      <c r="A106" s="26"/>
      <c r="B106" s="27"/>
      <c r="C106" s="27"/>
      <c r="D106" s="27"/>
      <c r="E106" s="27"/>
      <c r="F106" s="45" t="str">
        <f t="shared" si="20"/>
        <v/>
      </c>
      <c r="G106" s="45" t="str">
        <f t="shared" si="21"/>
        <v/>
      </c>
      <c r="H106" s="27"/>
      <c r="I106" s="28"/>
      <c r="J106" s="28"/>
      <c r="K106" s="28"/>
      <c r="L106" s="28"/>
      <c r="M106" s="55" t="str">
        <f t="shared" ca="1" si="18"/>
        <v/>
      </c>
      <c r="N106" s="27"/>
      <c r="O106" s="13" t="str">
        <f t="shared" ca="1" si="19"/>
        <v/>
      </c>
      <c r="P106" s="13" t="str">
        <f ca="1">IF(J106="","",IF(L106&lt;&gt;"",INDEX(_翻訳マスタ!$B$75:$D$75,1,MATCH(言語切替!$B$3,_翻訳マスタ!$B$1:$D$1,0)),IF(TODAY()&gt;J106,INDEX(_翻訳マスタ!$B$92:$D$92,1,MATCH(言語切替!$B$3,_翻訳マスタ!$B$1:$D$1,0)),IF(J106-TODAY()&lt;=7,INDEX(_翻訳マスタ!$B$91:$D$91,1,MATCH(言語切替!$B$3,_翻訳マスタ!$B$1:$D$1,0)),INDEX(_翻訳マスタ!$B$90:$D$90,1,MATCH(言語切替!$B$3,_翻訳マスタ!$B$1:$D$1,0))))))</f>
        <v/>
      </c>
      <c r="Q106" s="27"/>
      <c r="R106" s="36"/>
      <c r="S106" s="53" t="str">
        <f t="shared" si="22"/>
        <v/>
      </c>
      <c r="T106" s="53" t="str">
        <f t="shared" si="23"/>
        <v/>
      </c>
    </row>
    <row r="107" spans="1:20" s="22" customFormat="1" ht="15" customHeight="1" x14ac:dyDescent="0.25">
      <c r="A107" s="29"/>
      <c r="B107" s="30"/>
      <c r="C107" s="30"/>
      <c r="D107" s="30"/>
      <c r="E107" s="30"/>
      <c r="F107" s="46" t="str">
        <f t="shared" si="20"/>
        <v/>
      </c>
      <c r="G107" s="46" t="str">
        <f t="shared" si="21"/>
        <v/>
      </c>
      <c r="H107" s="30"/>
      <c r="I107" s="31"/>
      <c r="J107" s="31"/>
      <c r="K107" s="31"/>
      <c r="L107" s="31"/>
      <c r="M107" s="56" t="str">
        <f t="shared" ca="1" si="18"/>
        <v/>
      </c>
      <c r="N107" s="30"/>
      <c r="O107" s="16" t="str">
        <f t="shared" ca="1" si="19"/>
        <v/>
      </c>
      <c r="P107" s="16" t="str">
        <f ca="1">IF(J107="","",IF(L107&lt;&gt;"",INDEX(_翻訳マスタ!$B$75:$D$75,1,MATCH(言語切替!$B$3,_翻訳マスタ!$B$1:$D$1,0)),IF(TODAY()&gt;J107,INDEX(_翻訳マスタ!$B$92:$D$92,1,MATCH(言語切替!$B$3,_翻訳マスタ!$B$1:$D$1,0)),IF(J107-TODAY()&lt;=7,INDEX(_翻訳マスタ!$B$91:$D$91,1,MATCH(言語切替!$B$3,_翻訳マスタ!$B$1:$D$1,0)),INDEX(_翻訳マスタ!$B$90:$D$90,1,MATCH(言語切替!$B$3,_翻訳マスタ!$B$1:$D$1,0))))))</f>
        <v/>
      </c>
      <c r="Q107" s="30"/>
      <c r="R107" s="37"/>
      <c r="S107" s="52" t="str">
        <f t="shared" si="22"/>
        <v/>
      </c>
      <c r="T107" s="52" t="str">
        <f t="shared" si="23"/>
        <v/>
      </c>
    </row>
    <row r="108" spans="1:20" s="22" customFormat="1" ht="15" customHeight="1" x14ac:dyDescent="0.25">
      <c r="A108" s="26"/>
      <c r="B108" s="27"/>
      <c r="C108" s="27"/>
      <c r="D108" s="27"/>
      <c r="E108" s="27"/>
      <c r="F108" s="45" t="str">
        <f t="shared" si="20"/>
        <v/>
      </c>
      <c r="G108" s="45" t="str">
        <f t="shared" si="21"/>
        <v/>
      </c>
      <c r="H108" s="27"/>
      <c r="I108" s="28"/>
      <c r="J108" s="28"/>
      <c r="K108" s="28"/>
      <c r="L108" s="28"/>
      <c r="M108" s="55" t="str">
        <f t="shared" ca="1" si="18"/>
        <v/>
      </c>
      <c r="N108" s="27"/>
      <c r="O108" s="13" t="str">
        <f t="shared" ca="1" si="19"/>
        <v/>
      </c>
      <c r="P108" s="13" t="str">
        <f ca="1">IF(J108="","",IF(L108&lt;&gt;"",INDEX(_翻訳マスタ!$B$75:$D$75,1,MATCH(言語切替!$B$3,_翻訳マスタ!$B$1:$D$1,0)),IF(TODAY()&gt;J108,INDEX(_翻訳マスタ!$B$92:$D$92,1,MATCH(言語切替!$B$3,_翻訳マスタ!$B$1:$D$1,0)),IF(J108-TODAY()&lt;=7,INDEX(_翻訳マスタ!$B$91:$D$91,1,MATCH(言語切替!$B$3,_翻訳マスタ!$B$1:$D$1,0)),INDEX(_翻訳マスタ!$B$90:$D$90,1,MATCH(言語切替!$B$3,_翻訳マスタ!$B$1:$D$1,0))))))</f>
        <v/>
      </c>
      <c r="Q108" s="27"/>
      <c r="R108" s="36"/>
      <c r="S108" s="53" t="str">
        <f t="shared" si="22"/>
        <v/>
      </c>
      <c r="T108" s="53" t="str">
        <f t="shared" si="23"/>
        <v/>
      </c>
    </row>
    <row r="109" spans="1:20" s="22" customFormat="1" ht="15" customHeight="1" x14ac:dyDescent="0.25">
      <c r="A109" s="29"/>
      <c r="B109" s="30"/>
      <c r="C109" s="30"/>
      <c r="D109" s="30"/>
      <c r="E109" s="30"/>
      <c r="F109" s="46" t="str">
        <f t="shared" si="20"/>
        <v/>
      </c>
      <c r="G109" s="46" t="str">
        <f t="shared" si="21"/>
        <v/>
      </c>
      <c r="H109" s="30"/>
      <c r="I109" s="31"/>
      <c r="J109" s="31"/>
      <c r="K109" s="31"/>
      <c r="L109" s="31"/>
      <c r="M109" s="56" t="str">
        <f t="shared" ca="1" si="18"/>
        <v/>
      </c>
      <c r="N109" s="30"/>
      <c r="O109" s="16" t="str">
        <f t="shared" ca="1" si="19"/>
        <v/>
      </c>
      <c r="P109" s="16" t="str">
        <f ca="1">IF(J109="","",IF(L109&lt;&gt;"",INDEX(_翻訳マスタ!$B$75:$D$75,1,MATCH(言語切替!$B$3,_翻訳マスタ!$B$1:$D$1,0)),IF(TODAY()&gt;J109,INDEX(_翻訳マスタ!$B$92:$D$92,1,MATCH(言語切替!$B$3,_翻訳マスタ!$B$1:$D$1,0)),IF(J109-TODAY()&lt;=7,INDEX(_翻訳マスタ!$B$91:$D$91,1,MATCH(言語切替!$B$3,_翻訳マスタ!$B$1:$D$1,0)),INDEX(_翻訳マスタ!$B$90:$D$90,1,MATCH(言語切替!$B$3,_翻訳マスタ!$B$1:$D$1,0))))))</f>
        <v/>
      </c>
      <c r="Q109" s="30"/>
      <c r="R109" s="37"/>
      <c r="S109" s="52" t="str">
        <f t="shared" si="22"/>
        <v/>
      </c>
      <c r="T109" s="52" t="str">
        <f t="shared" si="23"/>
        <v/>
      </c>
    </row>
    <row r="110" spans="1:20" s="22" customFormat="1" ht="15" customHeight="1" x14ac:dyDescent="0.25">
      <c r="A110" s="26"/>
      <c r="B110" s="27"/>
      <c r="C110" s="27"/>
      <c r="D110" s="27"/>
      <c r="E110" s="27"/>
      <c r="F110" s="45" t="str">
        <f t="shared" si="20"/>
        <v/>
      </c>
      <c r="G110" s="45" t="str">
        <f t="shared" si="21"/>
        <v/>
      </c>
      <c r="H110" s="27"/>
      <c r="I110" s="28"/>
      <c r="J110" s="28"/>
      <c r="K110" s="28"/>
      <c r="L110" s="28"/>
      <c r="M110" s="55" t="str">
        <f t="shared" ca="1" si="18"/>
        <v/>
      </c>
      <c r="N110" s="27"/>
      <c r="O110" s="13" t="str">
        <f t="shared" ca="1" si="19"/>
        <v/>
      </c>
      <c r="P110" s="13" t="str">
        <f ca="1">IF(J110="","",IF(L110&lt;&gt;"",INDEX(_翻訳マスタ!$B$75:$D$75,1,MATCH(言語切替!$B$3,_翻訳マスタ!$B$1:$D$1,0)),IF(TODAY()&gt;J110,INDEX(_翻訳マスタ!$B$92:$D$92,1,MATCH(言語切替!$B$3,_翻訳マスタ!$B$1:$D$1,0)),IF(J110-TODAY()&lt;=7,INDEX(_翻訳マスタ!$B$91:$D$91,1,MATCH(言語切替!$B$3,_翻訳マスタ!$B$1:$D$1,0)),INDEX(_翻訳マスタ!$B$90:$D$90,1,MATCH(言語切替!$B$3,_翻訳マスタ!$B$1:$D$1,0))))))</f>
        <v/>
      </c>
      <c r="Q110" s="27"/>
      <c r="R110" s="36"/>
      <c r="S110" s="53" t="str">
        <f t="shared" si="22"/>
        <v/>
      </c>
      <c r="T110" s="53" t="str">
        <f t="shared" si="23"/>
        <v/>
      </c>
    </row>
    <row r="111" spans="1:20" s="22" customFormat="1" ht="15" customHeight="1" x14ac:dyDescent="0.25">
      <c r="A111" s="29"/>
      <c r="B111" s="30"/>
      <c r="C111" s="30"/>
      <c r="D111" s="30"/>
      <c r="E111" s="30"/>
      <c r="F111" s="46" t="str">
        <f t="shared" si="20"/>
        <v/>
      </c>
      <c r="G111" s="46" t="str">
        <f t="shared" si="21"/>
        <v/>
      </c>
      <c r="H111" s="30"/>
      <c r="I111" s="31"/>
      <c r="J111" s="31"/>
      <c r="K111" s="31"/>
      <c r="L111" s="31"/>
      <c r="M111" s="56" t="str">
        <f t="shared" ca="1" si="18"/>
        <v/>
      </c>
      <c r="N111" s="30"/>
      <c r="O111" s="16" t="str">
        <f t="shared" ca="1" si="19"/>
        <v/>
      </c>
      <c r="P111" s="16" t="str">
        <f ca="1">IF(J111="","",IF(L111&lt;&gt;"",INDEX(_翻訳マスタ!$B$75:$D$75,1,MATCH(言語切替!$B$3,_翻訳マスタ!$B$1:$D$1,0)),IF(TODAY()&gt;J111,INDEX(_翻訳マスタ!$B$92:$D$92,1,MATCH(言語切替!$B$3,_翻訳マスタ!$B$1:$D$1,0)),IF(J111-TODAY()&lt;=7,INDEX(_翻訳マスタ!$B$91:$D$91,1,MATCH(言語切替!$B$3,_翻訳マスタ!$B$1:$D$1,0)),INDEX(_翻訳マスタ!$B$90:$D$90,1,MATCH(言語切替!$B$3,_翻訳マスタ!$B$1:$D$1,0))))))</f>
        <v/>
      </c>
      <c r="Q111" s="30"/>
      <c r="R111" s="37"/>
      <c r="S111" s="52" t="str">
        <f t="shared" si="22"/>
        <v/>
      </c>
      <c r="T111" s="52" t="str">
        <f t="shared" si="23"/>
        <v/>
      </c>
    </row>
    <row r="112" spans="1:20" s="22" customFormat="1" ht="15" customHeight="1" x14ac:dyDescent="0.25">
      <c r="A112" s="26"/>
      <c r="B112" s="27"/>
      <c r="C112" s="27"/>
      <c r="D112" s="27"/>
      <c r="E112" s="27"/>
      <c r="F112" s="45" t="str">
        <f t="shared" si="20"/>
        <v/>
      </c>
      <c r="G112" s="45" t="str">
        <f t="shared" si="21"/>
        <v/>
      </c>
      <c r="H112" s="27"/>
      <c r="I112" s="28"/>
      <c r="J112" s="28"/>
      <c r="K112" s="28"/>
      <c r="L112" s="28"/>
      <c r="M112" s="55" t="str">
        <f t="shared" ca="1" si="18"/>
        <v/>
      </c>
      <c r="N112" s="27"/>
      <c r="O112" s="13" t="str">
        <f t="shared" ca="1" si="19"/>
        <v/>
      </c>
      <c r="P112" s="13" t="str">
        <f ca="1">IF(J112="","",IF(L112&lt;&gt;"",INDEX(_翻訳マスタ!$B$75:$D$75,1,MATCH(言語切替!$B$3,_翻訳マスタ!$B$1:$D$1,0)),IF(TODAY()&gt;J112,INDEX(_翻訳マスタ!$B$92:$D$92,1,MATCH(言語切替!$B$3,_翻訳マスタ!$B$1:$D$1,0)),IF(J112-TODAY()&lt;=7,INDEX(_翻訳マスタ!$B$91:$D$91,1,MATCH(言語切替!$B$3,_翻訳マスタ!$B$1:$D$1,0)),INDEX(_翻訳マスタ!$B$90:$D$90,1,MATCH(言語切替!$B$3,_翻訳マスタ!$B$1:$D$1,0))))))</f>
        <v/>
      </c>
      <c r="Q112" s="27"/>
      <c r="R112" s="36"/>
      <c r="S112" s="53" t="str">
        <f t="shared" si="22"/>
        <v/>
      </c>
      <c r="T112" s="53" t="str">
        <f t="shared" si="23"/>
        <v/>
      </c>
    </row>
    <row r="113" spans="1:20" s="22" customFormat="1" ht="15" customHeight="1" x14ac:dyDescent="0.25">
      <c r="A113" s="29"/>
      <c r="B113" s="30"/>
      <c r="C113" s="30"/>
      <c r="D113" s="30"/>
      <c r="E113" s="30"/>
      <c r="F113" s="46" t="str">
        <f t="shared" si="20"/>
        <v/>
      </c>
      <c r="G113" s="46" t="str">
        <f t="shared" si="21"/>
        <v/>
      </c>
      <c r="H113" s="30"/>
      <c r="I113" s="31"/>
      <c r="J113" s="31"/>
      <c r="K113" s="31"/>
      <c r="L113" s="31"/>
      <c r="M113" s="56" t="str">
        <f t="shared" ca="1" si="18"/>
        <v/>
      </c>
      <c r="N113" s="30"/>
      <c r="O113" s="16" t="str">
        <f t="shared" ca="1" si="19"/>
        <v/>
      </c>
      <c r="P113" s="16" t="str">
        <f ca="1">IF(J113="","",IF(L113&lt;&gt;"",INDEX(_翻訳マスタ!$B$75:$D$75,1,MATCH(言語切替!$B$3,_翻訳マスタ!$B$1:$D$1,0)),IF(TODAY()&gt;J113,INDEX(_翻訳マスタ!$B$92:$D$92,1,MATCH(言語切替!$B$3,_翻訳マスタ!$B$1:$D$1,0)),IF(J113-TODAY()&lt;=7,INDEX(_翻訳マスタ!$B$91:$D$91,1,MATCH(言語切替!$B$3,_翻訳マスタ!$B$1:$D$1,0)),INDEX(_翻訳マスタ!$B$90:$D$90,1,MATCH(言語切替!$B$3,_翻訳マスタ!$B$1:$D$1,0))))))</f>
        <v/>
      </c>
      <c r="Q113" s="30"/>
      <c r="R113" s="37"/>
      <c r="S113" s="52" t="str">
        <f t="shared" si="22"/>
        <v/>
      </c>
      <c r="T113" s="52" t="str">
        <f t="shared" si="23"/>
        <v/>
      </c>
    </row>
    <row r="114" spans="1:20" s="22" customFormat="1" ht="15" customHeight="1" x14ac:dyDescent="0.25">
      <c r="A114" s="26"/>
      <c r="B114" s="27"/>
      <c r="C114" s="27"/>
      <c r="D114" s="27"/>
      <c r="E114" s="27"/>
      <c r="F114" s="45" t="str">
        <f t="shared" si="20"/>
        <v/>
      </c>
      <c r="G114" s="45" t="str">
        <f t="shared" si="21"/>
        <v/>
      </c>
      <c r="H114" s="27"/>
      <c r="I114" s="28"/>
      <c r="J114" s="28"/>
      <c r="K114" s="28"/>
      <c r="L114" s="28"/>
      <c r="M114" s="55" t="str">
        <f t="shared" ca="1" si="18"/>
        <v/>
      </c>
      <c r="N114" s="27"/>
      <c r="O114" s="13" t="str">
        <f t="shared" ca="1" si="19"/>
        <v/>
      </c>
      <c r="P114" s="13" t="str">
        <f ca="1">IF(J114="","",IF(L114&lt;&gt;"",INDEX(_翻訳マスタ!$B$75:$D$75,1,MATCH(言語切替!$B$3,_翻訳マスタ!$B$1:$D$1,0)),IF(TODAY()&gt;J114,INDEX(_翻訳マスタ!$B$92:$D$92,1,MATCH(言語切替!$B$3,_翻訳マスタ!$B$1:$D$1,0)),IF(J114-TODAY()&lt;=7,INDEX(_翻訳マスタ!$B$91:$D$91,1,MATCH(言語切替!$B$3,_翻訳マスタ!$B$1:$D$1,0)),INDEX(_翻訳マスタ!$B$90:$D$90,1,MATCH(言語切替!$B$3,_翻訳マスタ!$B$1:$D$1,0))))))</f>
        <v/>
      </c>
      <c r="Q114" s="27"/>
      <c r="R114" s="36"/>
      <c r="S114" s="53" t="str">
        <f t="shared" si="22"/>
        <v/>
      </c>
      <c r="T114" s="53" t="str">
        <f t="shared" si="23"/>
        <v/>
      </c>
    </row>
    <row r="115" spans="1:20" s="22" customFormat="1" ht="15" customHeight="1" x14ac:dyDescent="0.25">
      <c r="A115" s="29"/>
      <c r="B115" s="30"/>
      <c r="C115" s="30"/>
      <c r="D115" s="30"/>
      <c r="E115" s="30"/>
      <c r="F115" s="46" t="str">
        <f t="shared" si="20"/>
        <v/>
      </c>
      <c r="G115" s="46" t="str">
        <f t="shared" si="21"/>
        <v/>
      </c>
      <c r="H115" s="30"/>
      <c r="I115" s="31"/>
      <c r="J115" s="31"/>
      <c r="K115" s="31"/>
      <c r="L115" s="31"/>
      <c r="M115" s="56" t="str">
        <f t="shared" ca="1" si="18"/>
        <v/>
      </c>
      <c r="N115" s="30"/>
      <c r="O115" s="16" t="str">
        <f t="shared" ca="1" si="19"/>
        <v/>
      </c>
      <c r="P115" s="16" t="str">
        <f ca="1">IF(J115="","",IF(L115&lt;&gt;"",INDEX(_翻訳マスタ!$B$75:$D$75,1,MATCH(言語切替!$B$3,_翻訳マスタ!$B$1:$D$1,0)),IF(TODAY()&gt;J115,INDEX(_翻訳マスタ!$B$92:$D$92,1,MATCH(言語切替!$B$3,_翻訳マスタ!$B$1:$D$1,0)),IF(J115-TODAY()&lt;=7,INDEX(_翻訳マスタ!$B$91:$D$91,1,MATCH(言語切替!$B$3,_翻訳マスタ!$B$1:$D$1,0)),INDEX(_翻訳マスタ!$B$90:$D$90,1,MATCH(言語切替!$B$3,_翻訳マスタ!$B$1:$D$1,0))))))</f>
        <v/>
      </c>
      <c r="Q115" s="30"/>
      <c r="R115" s="37"/>
      <c r="S115" s="52" t="str">
        <f t="shared" si="22"/>
        <v/>
      </c>
      <c r="T115" s="52" t="str">
        <f t="shared" si="23"/>
        <v/>
      </c>
    </row>
    <row r="116" spans="1:20" s="22" customFormat="1" ht="15" customHeight="1" x14ac:dyDescent="0.25">
      <c r="A116" s="26"/>
      <c r="B116" s="27"/>
      <c r="C116" s="27"/>
      <c r="D116" s="27"/>
      <c r="E116" s="27"/>
      <c r="F116" s="45" t="str">
        <f t="shared" si="20"/>
        <v/>
      </c>
      <c r="G116" s="45" t="str">
        <f t="shared" si="21"/>
        <v/>
      </c>
      <c r="H116" s="27"/>
      <c r="I116" s="28"/>
      <c r="J116" s="28"/>
      <c r="K116" s="28"/>
      <c r="L116" s="28"/>
      <c r="M116" s="55" t="str">
        <f t="shared" ca="1" si="18"/>
        <v/>
      </c>
      <c r="N116" s="27"/>
      <c r="O116" s="13" t="str">
        <f t="shared" ca="1" si="19"/>
        <v/>
      </c>
      <c r="P116" s="13" t="str">
        <f ca="1">IF(J116="","",IF(L116&lt;&gt;"",INDEX(_翻訳マスタ!$B$75:$D$75,1,MATCH(言語切替!$B$3,_翻訳マスタ!$B$1:$D$1,0)),IF(TODAY()&gt;J116,INDEX(_翻訳マスタ!$B$92:$D$92,1,MATCH(言語切替!$B$3,_翻訳マスタ!$B$1:$D$1,0)),IF(J116-TODAY()&lt;=7,INDEX(_翻訳マスタ!$B$91:$D$91,1,MATCH(言語切替!$B$3,_翻訳マスタ!$B$1:$D$1,0)),INDEX(_翻訳マスタ!$B$90:$D$90,1,MATCH(言語切替!$B$3,_翻訳マスタ!$B$1:$D$1,0))))))</f>
        <v/>
      </c>
      <c r="Q116" s="27"/>
      <c r="R116" s="36"/>
      <c r="S116" s="53" t="str">
        <f t="shared" si="22"/>
        <v/>
      </c>
      <c r="T116" s="53" t="str">
        <f t="shared" si="23"/>
        <v/>
      </c>
    </row>
    <row r="117" spans="1:20" s="22" customFormat="1" ht="15" customHeight="1" x14ac:dyDescent="0.25">
      <c r="A117" s="29"/>
      <c r="B117" s="30"/>
      <c r="C117" s="30"/>
      <c r="D117" s="30"/>
      <c r="E117" s="30"/>
      <c r="F117" s="46" t="str">
        <f t="shared" si="20"/>
        <v/>
      </c>
      <c r="G117" s="46" t="str">
        <f t="shared" si="21"/>
        <v/>
      </c>
      <c r="H117" s="30"/>
      <c r="I117" s="31"/>
      <c r="J117" s="31"/>
      <c r="K117" s="31"/>
      <c r="L117" s="31"/>
      <c r="M117" s="56" t="str">
        <f t="shared" ca="1" si="18"/>
        <v/>
      </c>
      <c r="N117" s="30"/>
      <c r="O117" s="16" t="str">
        <f t="shared" ca="1" si="19"/>
        <v/>
      </c>
      <c r="P117" s="16" t="str">
        <f ca="1">IF(J117="","",IF(L117&lt;&gt;"",INDEX(_翻訳マスタ!$B$75:$D$75,1,MATCH(言語切替!$B$3,_翻訳マスタ!$B$1:$D$1,0)),IF(TODAY()&gt;J117,INDEX(_翻訳マスタ!$B$92:$D$92,1,MATCH(言語切替!$B$3,_翻訳マスタ!$B$1:$D$1,0)),IF(J117-TODAY()&lt;=7,INDEX(_翻訳マスタ!$B$91:$D$91,1,MATCH(言語切替!$B$3,_翻訳マスタ!$B$1:$D$1,0)),INDEX(_翻訳マスタ!$B$90:$D$90,1,MATCH(言語切替!$B$3,_翻訳マスタ!$B$1:$D$1,0))))))</f>
        <v/>
      </c>
      <c r="Q117" s="30"/>
      <c r="R117" s="37"/>
      <c r="S117" s="52" t="str">
        <f t="shared" si="22"/>
        <v/>
      </c>
      <c r="T117" s="52" t="str">
        <f t="shared" si="23"/>
        <v/>
      </c>
    </row>
    <row r="118" spans="1:20" s="22" customFormat="1" ht="15" customHeight="1" x14ac:dyDescent="0.25">
      <c r="A118" s="26"/>
      <c r="B118" s="27"/>
      <c r="C118" s="27"/>
      <c r="D118" s="27"/>
      <c r="E118" s="27"/>
      <c r="F118" s="45" t="str">
        <f t="shared" si="20"/>
        <v/>
      </c>
      <c r="G118" s="45" t="str">
        <f t="shared" si="21"/>
        <v/>
      </c>
      <c r="H118" s="27"/>
      <c r="I118" s="28"/>
      <c r="J118" s="28"/>
      <c r="K118" s="28"/>
      <c r="L118" s="28"/>
      <c r="M118" s="55" t="str">
        <f t="shared" ca="1" si="18"/>
        <v/>
      </c>
      <c r="N118" s="27"/>
      <c r="O118" s="13" t="str">
        <f t="shared" ca="1" si="19"/>
        <v/>
      </c>
      <c r="P118" s="13" t="str">
        <f ca="1">IF(J118="","",IF(L118&lt;&gt;"",INDEX(_翻訳マスタ!$B$75:$D$75,1,MATCH(言語切替!$B$3,_翻訳マスタ!$B$1:$D$1,0)),IF(TODAY()&gt;J118,INDEX(_翻訳マスタ!$B$92:$D$92,1,MATCH(言語切替!$B$3,_翻訳マスタ!$B$1:$D$1,0)),IF(J118-TODAY()&lt;=7,INDEX(_翻訳マスタ!$B$91:$D$91,1,MATCH(言語切替!$B$3,_翻訳マスタ!$B$1:$D$1,0)),INDEX(_翻訳マスタ!$B$90:$D$90,1,MATCH(言語切替!$B$3,_翻訳マスタ!$B$1:$D$1,0))))))</f>
        <v/>
      </c>
      <c r="Q118" s="27"/>
      <c r="R118" s="36"/>
      <c r="S118" s="53" t="str">
        <f t="shared" si="22"/>
        <v/>
      </c>
      <c r="T118" s="53" t="str">
        <f t="shared" si="23"/>
        <v/>
      </c>
    </row>
    <row r="119" spans="1:20" s="22" customFormat="1" ht="15" customHeight="1" x14ac:dyDescent="0.25">
      <c r="A119" s="29"/>
      <c r="B119" s="30"/>
      <c r="C119" s="30"/>
      <c r="D119" s="30"/>
      <c r="E119" s="30"/>
      <c r="F119" s="46" t="str">
        <f t="shared" si="20"/>
        <v/>
      </c>
      <c r="G119" s="46" t="str">
        <f t="shared" si="21"/>
        <v/>
      </c>
      <c r="H119" s="30"/>
      <c r="I119" s="31"/>
      <c r="J119" s="31"/>
      <c r="K119" s="31"/>
      <c r="L119" s="31"/>
      <c r="M119" s="56" t="str">
        <f t="shared" ca="1" si="18"/>
        <v/>
      </c>
      <c r="N119" s="30"/>
      <c r="O119" s="16" t="str">
        <f t="shared" ca="1" si="19"/>
        <v/>
      </c>
      <c r="P119" s="16" t="str">
        <f ca="1">IF(J119="","",IF(L119&lt;&gt;"",INDEX(_翻訳マスタ!$B$75:$D$75,1,MATCH(言語切替!$B$3,_翻訳マスタ!$B$1:$D$1,0)),IF(TODAY()&gt;J119,INDEX(_翻訳マスタ!$B$92:$D$92,1,MATCH(言語切替!$B$3,_翻訳マスタ!$B$1:$D$1,0)),IF(J119-TODAY()&lt;=7,INDEX(_翻訳マスタ!$B$91:$D$91,1,MATCH(言語切替!$B$3,_翻訳マスタ!$B$1:$D$1,0)),INDEX(_翻訳マスタ!$B$90:$D$90,1,MATCH(言語切替!$B$3,_翻訳マスタ!$B$1:$D$1,0))))))</f>
        <v/>
      </c>
      <c r="Q119" s="30"/>
      <c r="R119" s="37"/>
      <c r="S119" s="52" t="str">
        <f t="shared" si="22"/>
        <v/>
      </c>
      <c r="T119" s="52" t="str">
        <f t="shared" si="23"/>
        <v/>
      </c>
    </row>
    <row r="120" spans="1:20" s="22" customFormat="1" ht="15" customHeight="1" x14ac:dyDescent="0.25">
      <c r="A120" s="26"/>
      <c r="B120" s="27"/>
      <c r="C120" s="27"/>
      <c r="D120" s="27"/>
      <c r="E120" s="27"/>
      <c r="F120" s="45" t="str">
        <f t="shared" si="20"/>
        <v/>
      </c>
      <c r="G120" s="45" t="str">
        <f t="shared" si="21"/>
        <v/>
      </c>
      <c r="H120" s="27"/>
      <c r="I120" s="28"/>
      <c r="J120" s="28"/>
      <c r="K120" s="28"/>
      <c r="L120" s="28"/>
      <c r="M120" s="55" t="str">
        <f t="shared" ca="1" si="18"/>
        <v/>
      </c>
      <c r="N120" s="27"/>
      <c r="O120" s="13" t="str">
        <f t="shared" ca="1" si="19"/>
        <v/>
      </c>
      <c r="P120" s="13" t="str">
        <f ca="1">IF(J120="","",IF(L120&lt;&gt;"",INDEX(_翻訳マスタ!$B$75:$D$75,1,MATCH(言語切替!$B$3,_翻訳マスタ!$B$1:$D$1,0)),IF(TODAY()&gt;J120,INDEX(_翻訳マスタ!$B$92:$D$92,1,MATCH(言語切替!$B$3,_翻訳マスタ!$B$1:$D$1,0)),IF(J120-TODAY()&lt;=7,INDEX(_翻訳マスタ!$B$91:$D$91,1,MATCH(言語切替!$B$3,_翻訳マスタ!$B$1:$D$1,0)),INDEX(_翻訳マスタ!$B$90:$D$90,1,MATCH(言語切替!$B$3,_翻訳マスタ!$B$1:$D$1,0))))))</f>
        <v/>
      </c>
      <c r="Q120" s="27"/>
      <c r="R120" s="36"/>
      <c r="S120" s="53" t="str">
        <f t="shared" si="22"/>
        <v/>
      </c>
      <c r="T120" s="53" t="str">
        <f t="shared" si="23"/>
        <v/>
      </c>
    </row>
    <row r="121" spans="1:20" s="22" customFormat="1" ht="15" customHeight="1" x14ac:dyDescent="0.25">
      <c r="A121" s="29"/>
      <c r="B121" s="30"/>
      <c r="C121" s="30"/>
      <c r="D121" s="30"/>
      <c r="E121" s="30"/>
      <c r="F121" s="46" t="str">
        <f t="shared" si="20"/>
        <v/>
      </c>
      <c r="G121" s="46" t="str">
        <f t="shared" si="21"/>
        <v/>
      </c>
      <c r="H121" s="30"/>
      <c r="I121" s="31"/>
      <c r="J121" s="31"/>
      <c r="K121" s="31"/>
      <c r="L121" s="31"/>
      <c r="M121" s="56" t="str">
        <f t="shared" ca="1" si="18"/>
        <v/>
      </c>
      <c r="N121" s="30"/>
      <c r="O121" s="16" t="str">
        <f t="shared" ca="1" si="19"/>
        <v/>
      </c>
      <c r="P121" s="16" t="str">
        <f ca="1">IF(J121="","",IF(L121&lt;&gt;"",INDEX(_翻訳マスタ!$B$75:$D$75,1,MATCH(言語切替!$B$3,_翻訳マスタ!$B$1:$D$1,0)),IF(TODAY()&gt;J121,INDEX(_翻訳マスタ!$B$92:$D$92,1,MATCH(言語切替!$B$3,_翻訳マスタ!$B$1:$D$1,0)),IF(J121-TODAY()&lt;=7,INDEX(_翻訳マスタ!$B$91:$D$91,1,MATCH(言語切替!$B$3,_翻訳マスタ!$B$1:$D$1,0)),INDEX(_翻訳マスタ!$B$90:$D$90,1,MATCH(言語切替!$B$3,_翻訳マスタ!$B$1:$D$1,0))))))</f>
        <v/>
      </c>
      <c r="Q121" s="30"/>
      <c r="R121" s="37"/>
      <c r="S121" s="52" t="str">
        <f t="shared" si="22"/>
        <v/>
      </c>
      <c r="T121" s="52" t="str">
        <f t="shared" si="23"/>
        <v/>
      </c>
    </row>
    <row r="122" spans="1:20" s="22" customFormat="1" ht="15" customHeight="1" x14ac:dyDescent="0.25">
      <c r="A122" s="26"/>
      <c r="B122" s="27"/>
      <c r="C122" s="27"/>
      <c r="D122" s="27"/>
      <c r="E122" s="27"/>
      <c r="F122" s="45" t="str">
        <f t="shared" si="20"/>
        <v/>
      </c>
      <c r="G122" s="45" t="str">
        <f t="shared" si="21"/>
        <v/>
      </c>
      <c r="H122" s="27"/>
      <c r="I122" s="28"/>
      <c r="J122" s="28"/>
      <c r="K122" s="28"/>
      <c r="L122" s="28"/>
      <c r="M122" s="55" t="str">
        <f t="shared" ca="1" si="18"/>
        <v/>
      </c>
      <c r="N122" s="27"/>
      <c r="O122" s="13" t="str">
        <f t="shared" ca="1" si="19"/>
        <v/>
      </c>
      <c r="P122" s="13" t="str">
        <f ca="1">IF(J122="","",IF(L122&lt;&gt;"",INDEX(_翻訳マスタ!$B$75:$D$75,1,MATCH(言語切替!$B$3,_翻訳マスタ!$B$1:$D$1,0)),IF(TODAY()&gt;J122,INDEX(_翻訳マスタ!$B$92:$D$92,1,MATCH(言語切替!$B$3,_翻訳マスタ!$B$1:$D$1,0)),IF(J122-TODAY()&lt;=7,INDEX(_翻訳マスタ!$B$91:$D$91,1,MATCH(言語切替!$B$3,_翻訳マスタ!$B$1:$D$1,0)),INDEX(_翻訳マスタ!$B$90:$D$90,1,MATCH(言語切替!$B$3,_翻訳マスタ!$B$1:$D$1,0))))))</f>
        <v/>
      </c>
      <c r="Q122" s="27"/>
      <c r="R122" s="36"/>
      <c r="S122" s="53" t="str">
        <f t="shared" si="22"/>
        <v/>
      </c>
      <c r="T122" s="53" t="str">
        <f t="shared" si="23"/>
        <v/>
      </c>
    </row>
    <row r="123" spans="1:20" s="22" customFormat="1" ht="15" customHeight="1" x14ac:dyDescent="0.25">
      <c r="A123" s="29"/>
      <c r="B123" s="30"/>
      <c r="C123" s="30"/>
      <c r="D123" s="30"/>
      <c r="E123" s="30"/>
      <c r="F123" s="46" t="str">
        <f t="shared" si="20"/>
        <v/>
      </c>
      <c r="G123" s="46" t="str">
        <f t="shared" si="21"/>
        <v/>
      </c>
      <c r="H123" s="30"/>
      <c r="I123" s="31"/>
      <c r="J123" s="31"/>
      <c r="K123" s="31"/>
      <c r="L123" s="31"/>
      <c r="M123" s="56" t="str">
        <f t="shared" ca="1" si="18"/>
        <v/>
      </c>
      <c r="N123" s="30"/>
      <c r="O123" s="16" t="str">
        <f t="shared" ca="1" si="19"/>
        <v/>
      </c>
      <c r="P123" s="16" t="str">
        <f ca="1">IF(J123="","",IF(L123&lt;&gt;"",INDEX(_翻訳マスタ!$B$75:$D$75,1,MATCH(言語切替!$B$3,_翻訳マスタ!$B$1:$D$1,0)),IF(TODAY()&gt;J123,INDEX(_翻訳マスタ!$B$92:$D$92,1,MATCH(言語切替!$B$3,_翻訳マスタ!$B$1:$D$1,0)),IF(J123-TODAY()&lt;=7,INDEX(_翻訳マスタ!$B$91:$D$91,1,MATCH(言語切替!$B$3,_翻訳マスタ!$B$1:$D$1,0)),INDEX(_翻訳マスタ!$B$90:$D$90,1,MATCH(言語切替!$B$3,_翻訳マスタ!$B$1:$D$1,0))))))</f>
        <v/>
      </c>
      <c r="Q123" s="30"/>
      <c r="R123" s="37"/>
      <c r="S123" s="52" t="str">
        <f t="shared" si="22"/>
        <v/>
      </c>
      <c r="T123" s="52" t="str">
        <f t="shared" si="23"/>
        <v/>
      </c>
    </row>
    <row r="124" spans="1:20" s="22" customFormat="1" ht="15" customHeight="1" x14ac:dyDescent="0.25">
      <c r="A124" s="26"/>
      <c r="B124" s="27"/>
      <c r="C124" s="27"/>
      <c r="D124" s="27"/>
      <c r="E124" s="27"/>
      <c r="F124" s="45" t="str">
        <f t="shared" si="20"/>
        <v/>
      </c>
      <c r="G124" s="45" t="str">
        <f t="shared" si="21"/>
        <v/>
      </c>
      <c r="H124" s="27"/>
      <c r="I124" s="28"/>
      <c r="J124" s="28"/>
      <c r="K124" s="28"/>
      <c r="L124" s="28"/>
      <c r="M124" s="55" t="str">
        <f t="shared" ca="1" si="18"/>
        <v/>
      </c>
      <c r="N124" s="27"/>
      <c r="O124" s="13" t="str">
        <f t="shared" ca="1" si="19"/>
        <v/>
      </c>
      <c r="P124" s="13" t="str">
        <f ca="1">IF(J124="","",IF(L124&lt;&gt;"",INDEX(_翻訳マスタ!$B$75:$D$75,1,MATCH(言語切替!$B$3,_翻訳マスタ!$B$1:$D$1,0)),IF(TODAY()&gt;J124,INDEX(_翻訳マスタ!$B$92:$D$92,1,MATCH(言語切替!$B$3,_翻訳マスタ!$B$1:$D$1,0)),IF(J124-TODAY()&lt;=7,INDEX(_翻訳マスタ!$B$91:$D$91,1,MATCH(言語切替!$B$3,_翻訳マスタ!$B$1:$D$1,0)),INDEX(_翻訳マスタ!$B$90:$D$90,1,MATCH(言語切替!$B$3,_翻訳マスタ!$B$1:$D$1,0))))))</f>
        <v/>
      </c>
      <c r="Q124" s="27"/>
      <c r="R124" s="36"/>
      <c r="S124" s="53" t="str">
        <f t="shared" si="22"/>
        <v/>
      </c>
      <c r="T124" s="53" t="str">
        <f t="shared" si="23"/>
        <v/>
      </c>
    </row>
    <row r="125" spans="1:20" s="22" customFormat="1" ht="15" customHeight="1" x14ac:dyDescent="0.25">
      <c r="A125" s="29"/>
      <c r="B125" s="30"/>
      <c r="C125" s="30"/>
      <c r="D125" s="30"/>
      <c r="E125" s="30"/>
      <c r="F125" s="46" t="str">
        <f t="shared" si="20"/>
        <v/>
      </c>
      <c r="G125" s="46" t="str">
        <f t="shared" si="21"/>
        <v/>
      </c>
      <c r="H125" s="30"/>
      <c r="I125" s="31"/>
      <c r="J125" s="31"/>
      <c r="K125" s="31"/>
      <c r="L125" s="31"/>
      <c r="M125" s="56" t="str">
        <f t="shared" ca="1" si="18"/>
        <v/>
      </c>
      <c r="N125" s="30"/>
      <c r="O125" s="16" t="str">
        <f t="shared" ca="1" si="19"/>
        <v/>
      </c>
      <c r="P125" s="16" t="str">
        <f ca="1">IF(J125="","",IF(L125&lt;&gt;"",INDEX(_翻訳マスタ!$B$75:$D$75,1,MATCH(言語切替!$B$3,_翻訳マスタ!$B$1:$D$1,0)),IF(TODAY()&gt;J125,INDEX(_翻訳マスタ!$B$92:$D$92,1,MATCH(言語切替!$B$3,_翻訳マスタ!$B$1:$D$1,0)),IF(J125-TODAY()&lt;=7,INDEX(_翻訳マスタ!$B$91:$D$91,1,MATCH(言語切替!$B$3,_翻訳マスタ!$B$1:$D$1,0)),INDEX(_翻訳マスタ!$B$90:$D$90,1,MATCH(言語切替!$B$3,_翻訳マスタ!$B$1:$D$1,0))))))</f>
        <v/>
      </c>
      <c r="Q125" s="30"/>
      <c r="R125" s="37"/>
      <c r="S125" s="52" t="str">
        <f t="shared" si="22"/>
        <v/>
      </c>
      <c r="T125" s="52" t="str">
        <f t="shared" si="23"/>
        <v/>
      </c>
    </row>
    <row r="126" spans="1:20" s="22" customFormat="1" ht="15" customHeight="1" x14ac:dyDescent="0.25">
      <c r="A126" s="26"/>
      <c r="B126" s="27"/>
      <c r="C126" s="27"/>
      <c r="D126" s="27"/>
      <c r="E126" s="27"/>
      <c r="F126" s="45" t="str">
        <f t="shared" si="20"/>
        <v/>
      </c>
      <c r="G126" s="45" t="str">
        <f t="shared" si="21"/>
        <v/>
      </c>
      <c r="H126" s="27"/>
      <c r="I126" s="28"/>
      <c r="J126" s="28"/>
      <c r="K126" s="28"/>
      <c r="L126" s="28"/>
      <c r="M126" s="55" t="str">
        <f t="shared" ca="1" si="18"/>
        <v/>
      </c>
      <c r="N126" s="27"/>
      <c r="O126" s="13" t="str">
        <f t="shared" ca="1" si="19"/>
        <v/>
      </c>
      <c r="P126" s="13" t="str">
        <f ca="1">IF(J126="","",IF(L126&lt;&gt;"",INDEX(_翻訳マスタ!$B$75:$D$75,1,MATCH(言語切替!$B$3,_翻訳マスタ!$B$1:$D$1,0)),IF(TODAY()&gt;J126,INDEX(_翻訳マスタ!$B$92:$D$92,1,MATCH(言語切替!$B$3,_翻訳マスタ!$B$1:$D$1,0)),IF(J126-TODAY()&lt;=7,INDEX(_翻訳マスタ!$B$91:$D$91,1,MATCH(言語切替!$B$3,_翻訳マスタ!$B$1:$D$1,0)),INDEX(_翻訳マスタ!$B$90:$D$90,1,MATCH(言語切替!$B$3,_翻訳マスタ!$B$1:$D$1,0))))))</f>
        <v/>
      </c>
      <c r="Q126" s="27"/>
      <c r="R126" s="36"/>
      <c r="S126" s="53" t="str">
        <f t="shared" si="22"/>
        <v/>
      </c>
      <c r="T126" s="53" t="str">
        <f t="shared" si="23"/>
        <v/>
      </c>
    </row>
    <row r="127" spans="1:20" s="22" customFormat="1" ht="15" customHeight="1" x14ac:dyDescent="0.25">
      <c r="A127" s="29"/>
      <c r="B127" s="30"/>
      <c r="C127" s="30"/>
      <c r="D127" s="30"/>
      <c r="E127" s="30"/>
      <c r="F127" s="46" t="str">
        <f t="shared" si="20"/>
        <v/>
      </c>
      <c r="G127" s="46" t="str">
        <f t="shared" si="21"/>
        <v/>
      </c>
      <c r="H127" s="30"/>
      <c r="I127" s="31"/>
      <c r="J127" s="31"/>
      <c r="K127" s="31"/>
      <c r="L127" s="31"/>
      <c r="M127" s="56" t="str">
        <f t="shared" ca="1" si="18"/>
        <v/>
      </c>
      <c r="N127" s="30"/>
      <c r="O127" s="16" t="str">
        <f t="shared" ca="1" si="19"/>
        <v/>
      </c>
      <c r="P127" s="16" t="str">
        <f ca="1">IF(J127="","",IF(L127&lt;&gt;"",INDEX(_翻訳マスタ!$B$75:$D$75,1,MATCH(言語切替!$B$3,_翻訳マスタ!$B$1:$D$1,0)),IF(TODAY()&gt;J127,INDEX(_翻訳マスタ!$B$92:$D$92,1,MATCH(言語切替!$B$3,_翻訳マスタ!$B$1:$D$1,0)),IF(J127-TODAY()&lt;=7,INDEX(_翻訳マスタ!$B$91:$D$91,1,MATCH(言語切替!$B$3,_翻訳マスタ!$B$1:$D$1,0)),INDEX(_翻訳マスタ!$B$90:$D$90,1,MATCH(言語切替!$B$3,_翻訳マスタ!$B$1:$D$1,0))))))</f>
        <v/>
      </c>
      <c r="Q127" s="30"/>
      <c r="R127" s="37"/>
      <c r="S127" s="52" t="str">
        <f t="shared" si="22"/>
        <v/>
      </c>
      <c r="T127" s="52" t="str">
        <f t="shared" si="23"/>
        <v/>
      </c>
    </row>
    <row r="128" spans="1:20" s="22" customFormat="1" ht="15" customHeight="1" x14ac:dyDescent="0.25">
      <c r="A128" s="26"/>
      <c r="B128" s="27"/>
      <c r="C128" s="27"/>
      <c r="D128" s="27"/>
      <c r="E128" s="27"/>
      <c r="F128" s="45" t="str">
        <f t="shared" si="20"/>
        <v/>
      </c>
      <c r="G128" s="45" t="str">
        <f t="shared" si="21"/>
        <v/>
      </c>
      <c r="H128" s="27"/>
      <c r="I128" s="28"/>
      <c r="J128" s="28"/>
      <c r="K128" s="28"/>
      <c r="L128" s="28"/>
      <c r="M128" s="55" t="str">
        <f t="shared" ca="1" si="18"/>
        <v/>
      </c>
      <c r="N128" s="27"/>
      <c r="O128" s="13" t="str">
        <f t="shared" ca="1" si="19"/>
        <v/>
      </c>
      <c r="P128" s="13" t="str">
        <f ca="1">IF(J128="","",IF(L128&lt;&gt;"",INDEX(_翻訳マスタ!$B$75:$D$75,1,MATCH(言語切替!$B$3,_翻訳マスタ!$B$1:$D$1,0)),IF(TODAY()&gt;J128,INDEX(_翻訳マスタ!$B$92:$D$92,1,MATCH(言語切替!$B$3,_翻訳マスタ!$B$1:$D$1,0)),IF(J128-TODAY()&lt;=7,INDEX(_翻訳マスタ!$B$91:$D$91,1,MATCH(言語切替!$B$3,_翻訳マスタ!$B$1:$D$1,0)),INDEX(_翻訳マスタ!$B$90:$D$90,1,MATCH(言語切替!$B$3,_翻訳マスタ!$B$1:$D$1,0))))))</f>
        <v/>
      </c>
      <c r="Q128" s="27"/>
      <c r="R128" s="36"/>
      <c r="S128" s="53" t="str">
        <f t="shared" si="22"/>
        <v/>
      </c>
      <c r="T128" s="53" t="str">
        <f t="shared" si="23"/>
        <v/>
      </c>
    </row>
    <row r="129" spans="1:20" s="22" customFormat="1" ht="15" customHeight="1" x14ac:dyDescent="0.25">
      <c r="A129" s="29"/>
      <c r="B129" s="30"/>
      <c r="C129" s="30"/>
      <c r="D129" s="30"/>
      <c r="E129" s="30"/>
      <c r="F129" s="46" t="str">
        <f t="shared" si="20"/>
        <v/>
      </c>
      <c r="G129" s="46" t="str">
        <f t="shared" si="21"/>
        <v/>
      </c>
      <c r="H129" s="30"/>
      <c r="I129" s="31"/>
      <c r="J129" s="31"/>
      <c r="K129" s="31"/>
      <c r="L129" s="31"/>
      <c r="M129" s="56" t="str">
        <f t="shared" ca="1" si="18"/>
        <v/>
      </c>
      <c r="N129" s="30"/>
      <c r="O129" s="16" t="str">
        <f t="shared" ca="1" si="19"/>
        <v/>
      </c>
      <c r="P129" s="16" t="str">
        <f ca="1">IF(J129="","",IF(L129&lt;&gt;"",INDEX(_翻訳マスタ!$B$75:$D$75,1,MATCH(言語切替!$B$3,_翻訳マスタ!$B$1:$D$1,0)),IF(TODAY()&gt;J129,INDEX(_翻訳マスタ!$B$92:$D$92,1,MATCH(言語切替!$B$3,_翻訳マスタ!$B$1:$D$1,0)),IF(J129-TODAY()&lt;=7,INDEX(_翻訳マスタ!$B$91:$D$91,1,MATCH(言語切替!$B$3,_翻訳マスタ!$B$1:$D$1,0)),INDEX(_翻訳マスタ!$B$90:$D$90,1,MATCH(言語切替!$B$3,_翻訳マスタ!$B$1:$D$1,0))))))</f>
        <v/>
      </c>
      <c r="Q129" s="30"/>
      <c r="R129" s="37"/>
      <c r="S129" s="52" t="str">
        <f t="shared" si="22"/>
        <v/>
      </c>
      <c r="T129" s="52" t="str">
        <f t="shared" si="23"/>
        <v/>
      </c>
    </row>
    <row r="130" spans="1:20" s="22" customFormat="1" ht="15" customHeight="1" x14ac:dyDescent="0.25">
      <c r="A130" s="26"/>
      <c r="B130" s="27"/>
      <c r="C130" s="27"/>
      <c r="D130" s="27"/>
      <c r="E130" s="27"/>
      <c r="F130" s="45" t="str">
        <f t="shared" si="20"/>
        <v/>
      </c>
      <c r="G130" s="45" t="str">
        <f t="shared" si="21"/>
        <v/>
      </c>
      <c r="H130" s="27"/>
      <c r="I130" s="28"/>
      <c r="J130" s="28"/>
      <c r="K130" s="28"/>
      <c r="L130" s="28"/>
      <c r="M130" s="55" t="str">
        <f t="shared" ca="1" si="18"/>
        <v/>
      </c>
      <c r="N130" s="27"/>
      <c r="O130" s="13" t="str">
        <f t="shared" ca="1" si="19"/>
        <v/>
      </c>
      <c r="P130" s="13" t="str">
        <f ca="1">IF(J130="","",IF(L130&lt;&gt;"",INDEX(_翻訳マスタ!$B$75:$D$75,1,MATCH(言語切替!$B$3,_翻訳マスタ!$B$1:$D$1,0)),IF(TODAY()&gt;J130,INDEX(_翻訳マスタ!$B$92:$D$92,1,MATCH(言語切替!$B$3,_翻訳マスタ!$B$1:$D$1,0)),IF(J130-TODAY()&lt;=7,INDEX(_翻訳マスタ!$B$91:$D$91,1,MATCH(言語切替!$B$3,_翻訳マスタ!$B$1:$D$1,0)),INDEX(_翻訳マスタ!$B$90:$D$90,1,MATCH(言語切替!$B$3,_翻訳マスタ!$B$1:$D$1,0))))))</f>
        <v/>
      </c>
      <c r="Q130" s="27"/>
      <c r="R130" s="36"/>
      <c r="S130" s="53" t="str">
        <f t="shared" si="22"/>
        <v/>
      </c>
      <c r="T130" s="53" t="str">
        <f t="shared" si="23"/>
        <v/>
      </c>
    </row>
    <row r="131" spans="1:20" s="22" customFormat="1" ht="15" customHeight="1" x14ac:dyDescent="0.25">
      <c r="A131" s="29"/>
      <c r="B131" s="30"/>
      <c r="C131" s="30"/>
      <c r="D131" s="30"/>
      <c r="E131" s="30"/>
      <c r="F131" s="46" t="str">
        <f t="shared" si="20"/>
        <v/>
      </c>
      <c r="G131" s="46" t="str">
        <f t="shared" si="21"/>
        <v/>
      </c>
      <c r="H131" s="30"/>
      <c r="I131" s="31"/>
      <c r="J131" s="31"/>
      <c r="K131" s="31"/>
      <c r="L131" s="31"/>
      <c r="M131" s="56" t="str">
        <f t="shared" ca="1" si="18"/>
        <v/>
      </c>
      <c r="N131" s="30"/>
      <c r="O131" s="16" t="str">
        <f t="shared" ca="1" si="19"/>
        <v/>
      </c>
      <c r="P131" s="16" t="str">
        <f ca="1">IF(J131="","",IF(L131&lt;&gt;"",INDEX(_翻訳マスタ!$B$75:$D$75,1,MATCH(言語切替!$B$3,_翻訳マスタ!$B$1:$D$1,0)),IF(TODAY()&gt;J131,INDEX(_翻訳マスタ!$B$92:$D$92,1,MATCH(言語切替!$B$3,_翻訳マスタ!$B$1:$D$1,0)),IF(J131-TODAY()&lt;=7,INDEX(_翻訳マスタ!$B$91:$D$91,1,MATCH(言語切替!$B$3,_翻訳マスタ!$B$1:$D$1,0)),INDEX(_翻訳マスタ!$B$90:$D$90,1,MATCH(言語切替!$B$3,_翻訳マスタ!$B$1:$D$1,0))))))</f>
        <v/>
      </c>
      <c r="Q131" s="30"/>
      <c r="R131" s="37"/>
      <c r="S131" s="52" t="str">
        <f t="shared" si="22"/>
        <v/>
      </c>
      <c r="T131" s="52" t="str">
        <f t="shared" si="23"/>
        <v/>
      </c>
    </row>
    <row r="132" spans="1:20" s="22" customFormat="1" ht="15" customHeight="1" x14ac:dyDescent="0.25">
      <c r="A132" s="26"/>
      <c r="B132" s="27"/>
      <c r="C132" s="27"/>
      <c r="D132" s="27"/>
      <c r="E132" s="27"/>
      <c r="F132" s="45" t="str">
        <f t="shared" si="20"/>
        <v/>
      </c>
      <c r="G132" s="45" t="str">
        <f t="shared" si="21"/>
        <v/>
      </c>
      <c r="H132" s="27"/>
      <c r="I132" s="28"/>
      <c r="J132" s="28"/>
      <c r="K132" s="28"/>
      <c r="L132" s="28"/>
      <c r="M132" s="55" t="str">
        <f t="shared" ca="1" si="18"/>
        <v/>
      </c>
      <c r="N132" s="27"/>
      <c r="O132" s="13" t="str">
        <f t="shared" ca="1" si="19"/>
        <v/>
      </c>
      <c r="P132" s="13" t="str">
        <f ca="1">IF(J132="","",IF(L132&lt;&gt;"",INDEX(_翻訳マスタ!$B$75:$D$75,1,MATCH(言語切替!$B$3,_翻訳マスタ!$B$1:$D$1,0)),IF(TODAY()&gt;J132,INDEX(_翻訳マスタ!$B$92:$D$92,1,MATCH(言語切替!$B$3,_翻訳マスタ!$B$1:$D$1,0)),IF(J132-TODAY()&lt;=7,INDEX(_翻訳マスタ!$B$91:$D$91,1,MATCH(言語切替!$B$3,_翻訳マスタ!$B$1:$D$1,0)),INDEX(_翻訳マスタ!$B$90:$D$90,1,MATCH(言語切替!$B$3,_翻訳マスタ!$B$1:$D$1,0))))))</f>
        <v/>
      </c>
      <c r="Q132" s="27"/>
      <c r="R132" s="36"/>
      <c r="S132" s="53" t="str">
        <f t="shared" si="22"/>
        <v/>
      </c>
      <c r="T132" s="53" t="str">
        <f t="shared" si="23"/>
        <v/>
      </c>
    </row>
    <row r="133" spans="1:20" s="22" customFormat="1" ht="15" customHeight="1" x14ac:dyDescent="0.25">
      <c r="A133" s="29"/>
      <c r="B133" s="30"/>
      <c r="C133" s="30"/>
      <c r="D133" s="30"/>
      <c r="E133" s="30"/>
      <c r="F133" s="46" t="str">
        <f t="shared" si="20"/>
        <v/>
      </c>
      <c r="G133" s="46" t="str">
        <f t="shared" si="21"/>
        <v/>
      </c>
      <c r="H133" s="30"/>
      <c r="I133" s="31"/>
      <c r="J133" s="31"/>
      <c r="K133" s="31"/>
      <c r="L133" s="31"/>
      <c r="M133" s="56" t="str">
        <f t="shared" ref="M133:M164" ca="1" si="24">IF(OR(I133="",J133=""),"",IF(L133&lt;&gt;"",1,IF(K133="",0,MAX(0,MIN(1,(TODAY()-I133)/(J133-I133+1))))))</f>
        <v/>
      </c>
      <c r="N133" s="30"/>
      <c r="O133" s="16" t="str">
        <f t="shared" ref="O133:O164" ca="1" si="25">IF(J133="","",J133-TODAY())</f>
        <v/>
      </c>
      <c r="P133" s="16" t="str">
        <f ca="1">IF(J133="","",IF(L133&lt;&gt;"",INDEX(_翻訳マスタ!$B$75:$D$75,1,MATCH(言語切替!$B$3,_翻訳マスタ!$B$1:$D$1,0)),IF(TODAY()&gt;J133,INDEX(_翻訳マスタ!$B$92:$D$92,1,MATCH(言語切替!$B$3,_翻訳マスタ!$B$1:$D$1,0)),IF(J133-TODAY()&lt;=7,INDEX(_翻訳マスタ!$B$91:$D$91,1,MATCH(言語切替!$B$3,_翻訳マスタ!$B$1:$D$1,0)),INDEX(_翻訳マスタ!$B$90:$D$90,1,MATCH(言語切替!$B$3,_翻訳マスタ!$B$1:$D$1,0))))))</f>
        <v/>
      </c>
      <c r="Q133" s="30"/>
      <c r="R133" s="37"/>
      <c r="S133" s="52" t="str">
        <f t="shared" si="22"/>
        <v/>
      </c>
      <c r="T133" s="52" t="str">
        <f t="shared" si="23"/>
        <v/>
      </c>
    </row>
    <row r="134" spans="1:20" s="22" customFormat="1" ht="15" customHeight="1" x14ac:dyDescent="0.25">
      <c r="A134" s="26"/>
      <c r="B134" s="27"/>
      <c r="C134" s="27"/>
      <c r="D134" s="27"/>
      <c r="E134" s="27"/>
      <c r="F134" s="45" t="str">
        <f t="shared" si="20"/>
        <v/>
      </c>
      <c r="G134" s="45" t="str">
        <f t="shared" si="21"/>
        <v/>
      </c>
      <c r="H134" s="27"/>
      <c r="I134" s="28"/>
      <c r="J134" s="28"/>
      <c r="K134" s="28"/>
      <c r="L134" s="28"/>
      <c r="M134" s="55" t="str">
        <f t="shared" ca="1" si="24"/>
        <v/>
      </c>
      <c r="N134" s="27"/>
      <c r="O134" s="13" t="str">
        <f t="shared" ca="1" si="25"/>
        <v/>
      </c>
      <c r="P134" s="13" t="str">
        <f ca="1">IF(J134="","",IF(L134&lt;&gt;"",INDEX(_翻訳マスタ!$B$75:$D$75,1,MATCH(言語切替!$B$3,_翻訳マスタ!$B$1:$D$1,0)),IF(TODAY()&gt;J134,INDEX(_翻訳マスタ!$B$92:$D$92,1,MATCH(言語切替!$B$3,_翻訳マスタ!$B$1:$D$1,0)),IF(J134-TODAY()&lt;=7,INDEX(_翻訳マスタ!$B$91:$D$91,1,MATCH(言語切替!$B$3,_翻訳マスタ!$B$1:$D$1,0)),INDEX(_翻訳マスタ!$B$90:$D$90,1,MATCH(言語切替!$B$3,_翻訳マスタ!$B$1:$D$1,0))))))</f>
        <v/>
      </c>
      <c r="Q134" s="27"/>
      <c r="R134" s="36"/>
      <c r="S134" s="53" t="str">
        <f t="shared" si="22"/>
        <v/>
      </c>
      <c r="T134" s="53" t="str">
        <f t="shared" si="23"/>
        <v/>
      </c>
    </row>
    <row r="135" spans="1:20" s="22" customFormat="1" ht="15" customHeight="1" x14ac:dyDescent="0.25">
      <c r="A135" s="29"/>
      <c r="B135" s="30"/>
      <c r="C135" s="30"/>
      <c r="D135" s="30"/>
      <c r="E135" s="30"/>
      <c r="F135" s="46" t="str">
        <f t="shared" si="20"/>
        <v/>
      </c>
      <c r="G135" s="46" t="str">
        <f t="shared" si="21"/>
        <v/>
      </c>
      <c r="H135" s="30"/>
      <c r="I135" s="31"/>
      <c r="J135" s="31"/>
      <c r="K135" s="31"/>
      <c r="L135" s="31"/>
      <c r="M135" s="56" t="str">
        <f t="shared" ca="1" si="24"/>
        <v/>
      </c>
      <c r="N135" s="30"/>
      <c r="O135" s="16" t="str">
        <f t="shared" ca="1" si="25"/>
        <v/>
      </c>
      <c r="P135" s="16" t="str">
        <f ca="1">IF(J135="","",IF(L135&lt;&gt;"",INDEX(_翻訳マスタ!$B$75:$D$75,1,MATCH(言語切替!$B$3,_翻訳マスタ!$B$1:$D$1,0)),IF(TODAY()&gt;J135,INDEX(_翻訳マスタ!$B$92:$D$92,1,MATCH(言語切替!$B$3,_翻訳マスタ!$B$1:$D$1,0)),IF(J135-TODAY()&lt;=7,INDEX(_翻訳マスタ!$B$91:$D$91,1,MATCH(言語切替!$B$3,_翻訳マスタ!$B$1:$D$1,0)),INDEX(_翻訳マスタ!$B$90:$D$90,1,MATCH(言語切替!$B$3,_翻訳マスタ!$B$1:$D$1,0))))))</f>
        <v/>
      </c>
      <c r="Q135" s="30"/>
      <c r="R135" s="37"/>
      <c r="S135" s="52" t="str">
        <f t="shared" si="22"/>
        <v/>
      </c>
      <c r="T135" s="52" t="str">
        <f t="shared" si="23"/>
        <v/>
      </c>
    </row>
    <row r="136" spans="1:20" s="22" customFormat="1" ht="15" customHeight="1" x14ac:dyDescent="0.25">
      <c r="A136" s="26"/>
      <c r="B136" s="27"/>
      <c r="C136" s="27"/>
      <c r="D136" s="27"/>
      <c r="E136" s="27"/>
      <c r="F136" s="45" t="str">
        <f t="shared" ref="F136:F167" si="26">IF(E136="","",_xlfn.TRANSLATE(E136,"vi","ja"))</f>
        <v/>
      </c>
      <c r="G136" s="45" t="str">
        <f t="shared" ref="G136:G167" si="27">IF(E136="","",_xlfn.TRANSLATE(E136,"vi","zh-Hans"))</f>
        <v/>
      </c>
      <c r="H136" s="27"/>
      <c r="I136" s="28"/>
      <c r="J136" s="28"/>
      <c r="K136" s="28"/>
      <c r="L136" s="28"/>
      <c r="M136" s="55" t="str">
        <f t="shared" ca="1" si="24"/>
        <v/>
      </c>
      <c r="N136" s="27"/>
      <c r="O136" s="13" t="str">
        <f t="shared" ca="1" si="25"/>
        <v/>
      </c>
      <c r="P136" s="13" t="str">
        <f ca="1">IF(J136="","",IF(L136&lt;&gt;"",INDEX(_翻訳マスタ!$B$75:$D$75,1,MATCH(言語切替!$B$3,_翻訳マスタ!$B$1:$D$1,0)),IF(TODAY()&gt;J136,INDEX(_翻訳マスタ!$B$92:$D$92,1,MATCH(言語切替!$B$3,_翻訳マスタ!$B$1:$D$1,0)),IF(J136-TODAY()&lt;=7,INDEX(_翻訳マスタ!$B$91:$D$91,1,MATCH(言語切替!$B$3,_翻訳マスタ!$B$1:$D$1,0)),INDEX(_翻訳マスタ!$B$90:$D$90,1,MATCH(言語切替!$B$3,_翻訳マスタ!$B$1:$D$1,0))))))</f>
        <v/>
      </c>
      <c r="Q136" s="27"/>
      <c r="R136" s="36"/>
      <c r="S136" s="53" t="str">
        <f t="shared" ref="S136:S167" si="28">IF(R136="","",_xlfn.TRANSLATE(R136,"vi","ja"))</f>
        <v/>
      </c>
      <c r="T136" s="53" t="str">
        <f t="shared" ref="T136:T167" si="29">IF(R136="","",_xlfn.TRANSLATE(R136,"vi","zh-Hans"))</f>
        <v/>
      </c>
    </row>
    <row r="137" spans="1:20" s="22" customFormat="1" ht="15" customHeight="1" x14ac:dyDescent="0.25">
      <c r="A137" s="29"/>
      <c r="B137" s="30"/>
      <c r="C137" s="30"/>
      <c r="D137" s="30"/>
      <c r="E137" s="30"/>
      <c r="F137" s="46" t="str">
        <f t="shared" si="26"/>
        <v/>
      </c>
      <c r="G137" s="46" t="str">
        <f t="shared" si="27"/>
        <v/>
      </c>
      <c r="H137" s="30"/>
      <c r="I137" s="31"/>
      <c r="J137" s="31"/>
      <c r="K137" s="31"/>
      <c r="L137" s="31"/>
      <c r="M137" s="56" t="str">
        <f t="shared" ca="1" si="24"/>
        <v/>
      </c>
      <c r="N137" s="30"/>
      <c r="O137" s="16" t="str">
        <f t="shared" ca="1" si="25"/>
        <v/>
      </c>
      <c r="P137" s="16" t="str">
        <f ca="1">IF(J137="","",IF(L137&lt;&gt;"",INDEX(_翻訳マスタ!$B$75:$D$75,1,MATCH(言語切替!$B$3,_翻訳マスタ!$B$1:$D$1,0)),IF(TODAY()&gt;J137,INDEX(_翻訳マスタ!$B$92:$D$92,1,MATCH(言語切替!$B$3,_翻訳マスタ!$B$1:$D$1,0)),IF(J137-TODAY()&lt;=7,INDEX(_翻訳マスタ!$B$91:$D$91,1,MATCH(言語切替!$B$3,_翻訳マスタ!$B$1:$D$1,0)),INDEX(_翻訳マスタ!$B$90:$D$90,1,MATCH(言語切替!$B$3,_翻訳マスタ!$B$1:$D$1,0))))))</f>
        <v/>
      </c>
      <c r="Q137" s="30"/>
      <c r="R137" s="37"/>
      <c r="S137" s="52" t="str">
        <f t="shared" si="28"/>
        <v/>
      </c>
      <c r="T137" s="52" t="str">
        <f t="shared" si="29"/>
        <v/>
      </c>
    </row>
    <row r="138" spans="1:20" s="22" customFormat="1" ht="15" customHeight="1" x14ac:dyDescent="0.25">
      <c r="A138" s="26"/>
      <c r="B138" s="27"/>
      <c r="C138" s="27"/>
      <c r="D138" s="27"/>
      <c r="E138" s="27"/>
      <c r="F138" s="45" t="str">
        <f t="shared" si="26"/>
        <v/>
      </c>
      <c r="G138" s="45" t="str">
        <f t="shared" si="27"/>
        <v/>
      </c>
      <c r="H138" s="27"/>
      <c r="I138" s="28"/>
      <c r="J138" s="28"/>
      <c r="K138" s="28"/>
      <c r="L138" s="28"/>
      <c r="M138" s="55" t="str">
        <f t="shared" ca="1" si="24"/>
        <v/>
      </c>
      <c r="N138" s="27"/>
      <c r="O138" s="13" t="str">
        <f t="shared" ca="1" si="25"/>
        <v/>
      </c>
      <c r="P138" s="13" t="str">
        <f ca="1">IF(J138="","",IF(L138&lt;&gt;"",INDEX(_翻訳マスタ!$B$75:$D$75,1,MATCH(言語切替!$B$3,_翻訳マスタ!$B$1:$D$1,0)),IF(TODAY()&gt;J138,INDEX(_翻訳マスタ!$B$92:$D$92,1,MATCH(言語切替!$B$3,_翻訳マスタ!$B$1:$D$1,0)),IF(J138-TODAY()&lt;=7,INDEX(_翻訳マスタ!$B$91:$D$91,1,MATCH(言語切替!$B$3,_翻訳マスタ!$B$1:$D$1,0)),INDEX(_翻訳マスタ!$B$90:$D$90,1,MATCH(言語切替!$B$3,_翻訳マスタ!$B$1:$D$1,0))))))</f>
        <v/>
      </c>
      <c r="Q138" s="27"/>
      <c r="R138" s="36"/>
      <c r="S138" s="53" t="str">
        <f t="shared" si="28"/>
        <v/>
      </c>
      <c r="T138" s="53" t="str">
        <f t="shared" si="29"/>
        <v/>
      </c>
    </row>
    <row r="139" spans="1:20" s="22" customFormat="1" ht="15" customHeight="1" x14ac:dyDescent="0.25">
      <c r="A139" s="29"/>
      <c r="B139" s="30"/>
      <c r="C139" s="30"/>
      <c r="D139" s="30"/>
      <c r="E139" s="30"/>
      <c r="F139" s="46" t="str">
        <f t="shared" si="26"/>
        <v/>
      </c>
      <c r="G139" s="46" t="str">
        <f t="shared" si="27"/>
        <v/>
      </c>
      <c r="H139" s="30"/>
      <c r="I139" s="31"/>
      <c r="J139" s="31"/>
      <c r="K139" s="31"/>
      <c r="L139" s="31"/>
      <c r="M139" s="56" t="str">
        <f t="shared" ca="1" si="24"/>
        <v/>
      </c>
      <c r="N139" s="30"/>
      <c r="O139" s="16" t="str">
        <f t="shared" ca="1" si="25"/>
        <v/>
      </c>
      <c r="P139" s="16" t="str">
        <f ca="1">IF(J139="","",IF(L139&lt;&gt;"",INDEX(_翻訳マスタ!$B$75:$D$75,1,MATCH(言語切替!$B$3,_翻訳マスタ!$B$1:$D$1,0)),IF(TODAY()&gt;J139,INDEX(_翻訳マスタ!$B$92:$D$92,1,MATCH(言語切替!$B$3,_翻訳マスタ!$B$1:$D$1,0)),IF(J139-TODAY()&lt;=7,INDEX(_翻訳マスタ!$B$91:$D$91,1,MATCH(言語切替!$B$3,_翻訳マスタ!$B$1:$D$1,0)),INDEX(_翻訳マスタ!$B$90:$D$90,1,MATCH(言語切替!$B$3,_翻訳マスタ!$B$1:$D$1,0))))))</f>
        <v/>
      </c>
      <c r="Q139" s="30"/>
      <c r="R139" s="37"/>
      <c r="S139" s="52" t="str">
        <f t="shared" si="28"/>
        <v/>
      </c>
      <c r="T139" s="52" t="str">
        <f t="shared" si="29"/>
        <v/>
      </c>
    </row>
    <row r="140" spans="1:20" s="22" customFormat="1" ht="15" customHeight="1" x14ac:dyDescent="0.25">
      <c r="A140" s="26"/>
      <c r="B140" s="27"/>
      <c r="C140" s="27"/>
      <c r="D140" s="27"/>
      <c r="E140" s="27"/>
      <c r="F140" s="45" t="str">
        <f t="shared" si="26"/>
        <v/>
      </c>
      <c r="G140" s="45" t="str">
        <f t="shared" si="27"/>
        <v/>
      </c>
      <c r="H140" s="27"/>
      <c r="I140" s="28"/>
      <c r="J140" s="28"/>
      <c r="K140" s="28"/>
      <c r="L140" s="28"/>
      <c r="M140" s="55" t="str">
        <f t="shared" ca="1" si="24"/>
        <v/>
      </c>
      <c r="N140" s="27"/>
      <c r="O140" s="13" t="str">
        <f t="shared" ca="1" si="25"/>
        <v/>
      </c>
      <c r="P140" s="13" t="str">
        <f ca="1">IF(J140="","",IF(L140&lt;&gt;"",INDEX(_翻訳マスタ!$B$75:$D$75,1,MATCH(言語切替!$B$3,_翻訳マスタ!$B$1:$D$1,0)),IF(TODAY()&gt;J140,INDEX(_翻訳マスタ!$B$92:$D$92,1,MATCH(言語切替!$B$3,_翻訳マスタ!$B$1:$D$1,0)),IF(J140-TODAY()&lt;=7,INDEX(_翻訳マスタ!$B$91:$D$91,1,MATCH(言語切替!$B$3,_翻訳マスタ!$B$1:$D$1,0)),INDEX(_翻訳マスタ!$B$90:$D$90,1,MATCH(言語切替!$B$3,_翻訳マスタ!$B$1:$D$1,0))))))</f>
        <v/>
      </c>
      <c r="Q140" s="27"/>
      <c r="R140" s="36"/>
      <c r="S140" s="53" t="str">
        <f t="shared" si="28"/>
        <v/>
      </c>
      <c r="T140" s="53" t="str">
        <f t="shared" si="29"/>
        <v/>
      </c>
    </row>
    <row r="141" spans="1:20" s="22" customFormat="1" ht="15" customHeight="1" x14ac:dyDescent="0.25">
      <c r="A141" s="29"/>
      <c r="B141" s="30"/>
      <c r="C141" s="30"/>
      <c r="D141" s="30"/>
      <c r="E141" s="30"/>
      <c r="F141" s="46" t="str">
        <f t="shared" si="26"/>
        <v/>
      </c>
      <c r="G141" s="46" t="str">
        <f t="shared" si="27"/>
        <v/>
      </c>
      <c r="H141" s="30"/>
      <c r="I141" s="31"/>
      <c r="J141" s="31"/>
      <c r="K141" s="31"/>
      <c r="L141" s="31"/>
      <c r="M141" s="56" t="str">
        <f t="shared" ca="1" si="24"/>
        <v/>
      </c>
      <c r="N141" s="30"/>
      <c r="O141" s="16" t="str">
        <f t="shared" ca="1" si="25"/>
        <v/>
      </c>
      <c r="P141" s="16" t="str">
        <f ca="1">IF(J141="","",IF(L141&lt;&gt;"",INDEX(_翻訳マスタ!$B$75:$D$75,1,MATCH(言語切替!$B$3,_翻訳マスタ!$B$1:$D$1,0)),IF(TODAY()&gt;J141,INDEX(_翻訳マスタ!$B$92:$D$92,1,MATCH(言語切替!$B$3,_翻訳マスタ!$B$1:$D$1,0)),IF(J141-TODAY()&lt;=7,INDEX(_翻訳マスタ!$B$91:$D$91,1,MATCH(言語切替!$B$3,_翻訳マスタ!$B$1:$D$1,0)),INDEX(_翻訳マスタ!$B$90:$D$90,1,MATCH(言語切替!$B$3,_翻訳マスタ!$B$1:$D$1,0))))))</f>
        <v/>
      </c>
      <c r="Q141" s="30"/>
      <c r="R141" s="37"/>
      <c r="S141" s="52" t="str">
        <f t="shared" si="28"/>
        <v/>
      </c>
      <c r="T141" s="52" t="str">
        <f t="shared" si="29"/>
        <v/>
      </c>
    </row>
    <row r="142" spans="1:20" s="22" customFormat="1" ht="15" customHeight="1" x14ac:dyDescent="0.25">
      <c r="A142" s="26"/>
      <c r="B142" s="27"/>
      <c r="C142" s="27"/>
      <c r="D142" s="27"/>
      <c r="E142" s="27"/>
      <c r="F142" s="45" t="str">
        <f t="shared" si="26"/>
        <v/>
      </c>
      <c r="G142" s="45" t="str">
        <f t="shared" si="27"/>
        <v/>
      </c>
      <c r="H142" s="27"/>
      <c r="I142" s="28"/>
      <c r="J142" s="28"/>
      <c r="K142" s="28"/>
      <c r="L142" s="28"/>
      <c r="M142" s="55" t="str">
        <f t="shared" ca="1" si="24"/>
        <v/>
      </c>
      <c r="N142" s="27"/>
      <c r="O142" s="13" t="str">
        <f t="shared" ca="1" si="25"/>
        <v/>
      </c>
      <c r="P142" s="13" t="str">
        <f ca="1">IF(J142="","",IF(L142&lt;&gt;"",INDEX(_翻訳マスタ!$B$75:$D$75,1,MATCH(言語切替!$B$3,_翻訳マスタ!$B$1:$D$1,0)),IF(TODAY()&gt;J142,INDEX(_翻訳マスタ!$B$92:$D$92,1,MATCH(言語切替!$B$3,_翻訳マスタ!$B$1:$D$1,0)),IF(J142-TODAY()&lt;=7,INDEX(_翻訳マスタ!$B$91:$D$91,1,MATCH(言語切替!$B$3,_翻訳マスタ!$B$1:$D$1,0)),INDEX(_翻訳マスタ!$B$90:$D$90,1,MATCH(言語切替!$B$3,_翻訳マスタ!$B$1:$D$1,0))))))</f>
        <v/>
      </c>
      <c r="Q142" s="27"/>
      <c r="R142" s="36"/>
      <c r="S142" s="53" t="str">
        <f t="shared" si="28"/>
        <v/>
      </c>
      <c r="T142" s="53" t="str">
        <f t="shared" si="29"/>
        <v/>
      </c>
    </row>
    <row r="143" spans="1:20" s="22" customFormat="1" ht="15" customHeight="1" x14ac:dyDescent="0.25">
      <c r="A143" s="29"/>
      <c r="B143" s="30"/>
      <c r="C143" s="30"/>
      <c r="D143" s="30"/>
      <c r="E143" s="30"/>
      <c r="F143" s="46" t="str">
        <f t="shared" si="26"/>
        <v/>
      </c>
      <c r="G143" s="46" t="str">
        <f t="shared" si="27"/>
        <v/>
      </c>
      <c r="H143" s="30"/>
      <c r="I143" s="31"/>
      <c r="J143" s="31"/>
      <c r="K143" s="31"/>
      <c r="L143" s="31"/>
      <c r="M143" s="56" t="str">
        <f t="shared" ca="1" si="24"/>
        <v/>
      </c>
      <c r="N143" s="30"/>
      <c r="O143" s="16" t="str">
        <f t="shared" ca="1" si="25"/>
        <v/>
      </c>
      <c r="P143" s="16" t="str">
        <f ca="1">IF(J143="","",IF(L143&lt;&gt;"",INDEX(_翻訳マスタ!$B$75:$D$75,1,MATCH(言語切替!$B$3,_翻訳マスタ!$B$1:$D$1,0)),IF(TODAY()&gt;J143,INDEX(_翻訳マスタ!$B$92:$D$92,1,MATCH(言語切替!$B$3,_翻訳マスタ!$B$1:$D$1,0)),IF(J143-TODAY()&lt;=7,INDEX(_翻訳マスタ!$B$91:$D$91,1,MATCH(言語切替!$B$3,_翻訳マスタ!$B$1:$D$1,0)),INDEX(_翻訳マスタ!$B$90:$D$90,1,MATCH(言語切替!$B$3,_翻訳マスタ!$B$1:$D$1,0))))))</f>
        <v/>
      </c>
      <c r="Q143" s="30"/>
      <c r="R143" s="37"/>
      <c r="S143" s="52" t="str">
        <f t="shared" si="28"/>
        <v/>
      </c>
      <c r="T143" s="52" t="str">
        <f t="shared" si="29"/>
        <v/>
      </c>
    </row>
    <row r="144" spans="1:20" s="22" customFormat="1" ht="15" customHeight="1" x14ac:dyDescent="0.25">
      <c r="A144" s="26"/>
      <c r="B144" s="27"/>
      <c r="C144" s="27"/>
      <c r="D144" s="27"/>
      <c r="E144" s="27"/>
      <c r="F144" s="45" t="str">
        <f t="shared" si="26"/>
        <v/>
      </c>
      <c r="G144" s="45" t="str">
        <f t="shared" si="27"/>
        <v/>
      </c>
      <c r="H144" s="27"/>
      <c r="I144" s="28"/>
      <c r="J144" s="28"/>
      <c r="K144" s="28"/>
      <c r="L144" s="28"/>
      <c r="M144" s="55" t="str">
        <f t="shared" ca="1" si="24"/>
        <v/>
      </c>
      <c r="N144" s="27"/>
      <c r="O144" s="13" t="str">
        <f t="shared" ca="1" si="25"/>
        <v/>
      </c>
      <c r="P144" s="13" t="str">
        <f ca="1">IF(J144="","",IF(L144&lt;&gt;"",INDEX(_翻訳マスタ!$B$75:$D$75,1,MATCH(言語切替!$B$3,_翻訳マスタ!$B$1:$D$1,0)),IF(TODAY()&gt;J144,INDEX(_翻訳マスタ!$B$92:$D$92,1,MATCH(言語切替!$B$3,_翻訳マスタ!$B$1:$D$1,0)),IF(J144-TODAY()&lt;=7,INDEX(_翻訳マスタ!$B$91:$D$91,1,MATCH(言語切替!$B$3,_翻訳マスタ!$B$1:$D$1,0)),INDEX(_翻訳マスタ!$B$90:$D$90,1,MATCH(言語切替!$B$3,_翻訳マスタ!$B$1:$D$1,0))))))</f>
        <v/>
      </c>
      <c r="Q144" s="27"/>
      <c r="R144" s="36"/>
      <c r="S144" s="53" t="str">
        <f t="shared" si="28"/>
        <v/>
      </c>
      <c r="T144" s="53" t="str">
        <f t="shared" si="29"/>
        <v/>
      </c>
    </row>
    <row r="145" spans="1:20" s="22" customFormat="1" ht="15" customHeight="1" x14ac:dyDescent="0.25">
      <c r="A145" s="29"/>
      <c r="B145" s="30"/>
      <c r="C145" s="30"/>
      <c r="D145" s="30"/>
      <c r="E145" s="30"/>
      <c r="F145" s="46" t="str">
        <f t="shared" si="26"/>
        <v/>
      </c>
      <c r="G145" s="46" t="str">
        <f t="shared" si="27"/>
        <v/>
      </c>
      <c r="H145" s="30"/>
      <c r="I145" s="31"/>
      <c r="J145" s="31"/>
      <c r="K145" s="31"/>
      <c r="L145" s="31"/>
      <c r="M145" s="56" t="str">
        <f t="shared" ca="1" si="24"/>
        <v/>
      </c>
      <c r="N145" s="30"/>
      <c r="O145" s="16" t="str">
        <f t="shared" ca="1" si="25"/>
        <v/>
      </c>
      <c r="P145" s="16" t="str">
        <f ca="1">IF(J145="","",IF(L145&lt;&gt;"",INDEX(_翻訳マスタ!$B$75:$D$75,1,MATCH(言語切替!$B$3,_翻訳マスタ!$B$1:$D$1,0)),IF(TODAY()&gt;J145,INDEX(_翻訳マスタ!$B$92:$D$92,1,MATCH(言語切替!$B$3,_翻訳マスタ!$B$1:$D$1,0)),IF(J145-TODAY()&lt;=7,INDEX(_翻訳マスタ!$B$91:$D$91,1,MATCH(言語切替!$B$3,_翻訳マスタ!$B$1:$D$1,0)),INDEX(_翻訳マスタ!$B$90:$D$90,1,MATCH(言語切替!$B$3,_翻訳マスタ!$B$1:$D$1,0))))))</f>
        <v/>
      </c>
      <c r="Q145" s="30"/>
      <c r="R145" s="37"/>
      <c r="S145" s="52" t="str">
        <f t="shared" si="28"/>
        <v/>
      </c>
      <c r="T145" s="52" t="str">
        <f t="shared" si="29"/>
        <v/>
      </c>
    </row>
    <row r="146" spans="1:20" s="22" customFormat="1" ht="15" customHeight="1" x14ac:dyDescent="0.25">
      <c r="A146" s="26"/>
      <c r="B146" s="27"/>
      <c r="C146" s="27"/>
      <c r="D146" s="27"/>
      <c r="E146" s="27"/>
      <c r="F146" s="45" t="str">
        <f t="shared" si="26"/>
        <v/>
      </c>
      <c r="G146" s="45" t="str">
        <f t="shared" si="27"/>
        <v/>
      </c>
      <c r="H146" s="27"/>
      <c r="I146" s="28"/>
      <c r="J146" s="28"/>
      <c r="K146" s="28"/>
      <c r="L146" s="28"/>
      <c r="M146" s="55" t="str">
        <f t="shared" ca="1" si="24"/>
        <v/>
      </c>
      <c r="N146" s="27"/>
      <c r="O146" s="13" t="str">
        <f t="shared" ca="1" si="25"/>
        <v/>
      </c>
      <c r="P146" s="13" t="str">
        <f ca="1">IF(J146="","",IF(L146&lt;&gt;"",INDEX(_翻訳マスタ!$B$75:$D$75,1,MATCH(言語切替!$B$3,_翻訳マスタ!$B$1:$D$1,0)),IF(TODAY()&gt;J146,INDEX(_翻訳マスタ!$B$92:$D$92,1,MATCH(言語切替!$B$3,_翻訳マスタ!$B$1:$D$1,0)),IF(J146-TODAY()&lt;=7,INDEX(_翻訳マスタ!$B$91:$D$91,1,MATCH(言語切替!$B$3,_翻訳マスタ!$B$1:$D$1,0)),INDEX(_翻訳マスタ!$B$90:$D$90,1,MATCH(言語切替!$B$3,_翻訳マスタ!$B$1:$D$1,0))))))</f>
        <v/>
      </c>
      <c r="Q146" s="27"/>
      <c r="R146" s="36"/>
      <c r="S146" s="53" t="str">
        <f t="shared" si="28"/>
        <v/>
      </c>
      <c r="T146" s="53" t="str">
        <f t="shared" si="29"/>
        <v/>
      </c>
    </row>
    <row r="147" spans="1:20" s="22" customFormat="1" ht="15" customHeight="1" x14ac:dyDescent="0.25">
      <c r="A147" s="29"/>
      <c r="B147" s="30"/>
      <c r="C147" s="30"/>
      <c r="D147" s="30"/>
      <c r="E147" s="30"/>
      <c r="F147" s="46" t="str">
        <f t="shared" si="26"/>
        <v/>
      </c>
      <c r="G147" s="46" t="str">
        <f t="shared" si="27"/>
        <v/>
      </c>
      <c r="H147" s="30"/>
      <c r="I147" s="31"/>
      <c r="J147" s="31"/>
      <c r="K147" s="31"/>
      <c r="L147" s="31"/>
      <c r="M147" s="56" t="str">
        <f t="shared" ca="1" si="24"/>
        <v/>
      </c>
      <c r="N147" s="30"/>
      <c r="O147" s="16" t="str">
        <f t="shared" ca="1" si="25"/>
        <v/>
      </c>
      <c r="P147" s="16" t="str">
        <f ca="1">IF(J147="","",IF(L147&lt;&gt;"",INDEX(_翻訳マスタ!$B$75:$D$75,1,MATCH(言語切替!$B$3,_翻訳マスタ!$B$1:$D$1,0)),IF(TODAY()&gt;J147,INDEX(_翻訳マスタ!$B$92:$D$92,1,MATCH(言語切替!$B$3,_翻訳マスタ!$B$1:$D$1,0)),IF(J147-TODAY()&lt;=7,INDEX(_翻訳マスタ!$B$91:$D$91,1,MATCH(言語切替!$B$3,_翻訳マスタ!$B$1:$D$1,0)),INDEX(_翻訳マスタ!$B$90:$D$90,1,MATCH(言語切替!$B$3,_翻訳マスタ!$B$1:$D$1,0))))))</f>
        <v/>
      </c>
      <c r="Q147" s="30"/>
      <c r="R147" s="37"/>
      <c r="S147" s="52" t="str">
        <f t="shared" si="28"/>
        <v/>
      </c>
      <c r="T147" s="52" t="str">
        <f t="shared" si="29"/>
        <v/>
      </c>
    </row>
    <row r="148" spans="1:20" s="22" customFormat="1" ht="15" customHeight="1" x14ac:dyDescent="0.25">
      <c r="A148" s="26"/>
      <c r="B148" s="27"/>
      <c r="C148" s="27"/>
      <c r="D148" s="27"/>
      <c r="E148" s="27"/>
      <c r="F148" s="45" t="str">
        <f t="shared" si="26"/>
        <v/>
      </c>
      <c r="G148" s="45" t="str">
        <f t="shared" si="27"/>
        <v/>
      </c>
      <c r="H148" s="27"/>
      <c r="I148" s="28"/>
      <c r="J148" s="28"/>
      <c r="K148" s="28"/>
      <c r="L148" s="28"/>
      <c r="M148" s="55" t="str">
        <f t="shared" ca="1" si="24"/>
        <v/>
      </c>
      <c r="N148" s="27"/>
      <c r="O148" s="13" t="str">
        <f t="shared" ca="1" si="25"/>
        <v/>
      </c>
      <c r="P148" s="13" t="str">
        <f ca="1">IF(J148="","",IF(L148&lt;&gt;"",INDEX(_翻訳マスタ!$B$75:$D$75,1,MATCH(言語切替!$B$3,_翻訳マスタ!$B$1:$D$1,0)),IF(TODAY()&gt;J148,INDEX(_翻訳マスタ!$B$92:$D$92,1,MATCH(言語切替!$B$3,_翻訳マスタ!$B$1:$D$1,0)),IF(J148-TODAY()&lt;=7,INDEX(_翻訳マスタ!$B$91:$D$91,1,MATCH(言語切替!$B$3,_翻訳マスタ!$B$1:$D$1,0)),INDEX(_翻訳マスタ!$B$90:$D$90,1,MATCH(言語切替!$B$3,_翻訳マスタ!$B$1:$D$1,0))))))</f>
        <v/>
      </c>
      <c r="Q148" s="27"/>
      <c r="R148" s="36"/>
      <c r="S148" s="53" t="str">
        <f t="shared" si="28"/>
        <v/>
      </c>
      <c r="T148" s="53" t="str">
        <f t="shared" si="29"/>
        <v/>
      </c>
    </row>
    <row r="149" spans="1:20" s="22" customFormat="1" ht="15" customHeight="1" x14ac:dyDescent="0.25">
      <c r="A149" s="29"/>
      <c r="B149" s="30"/>
      <c r="C149" s="30"/>
      <c r="D149" s="30"/>
      <c r="E149" s="30"/>
      <c r="F149" s="46" t="str">
        <f t="shared" si="26"/>
        <v/>
      </c>
      <c r="G149" s="46" t="str">
        <f t="shared" si="27"/>
        <v/>
      </c>
      <c r="H149" s="30"/>
      <c r="I149" s="31"/>
      <c r="J149" s="31"/>
      <c r="K149" s="31"/>
      <c r="L149" s="31"/>
      <c r="M149" s="56" t="str">
        <f t="shared" ca="1" si="24"/>
        <v/>
      </c>
      <c r="N149" s="30"/>
      <c r="O149" s="16" t="str">
        <f t="shared" ca="1" si="25"/>
        <v/>
      </c>
      <c r="P149" s="16" t="str">
        <f ca="1">IF(J149="","",IF(L149&lt;&gt;"",INDEX(_翻訳マスタ!$B$75:$D$75,1,MATCH(言語切替!$B$3,_翻訳マスタ!$B$1:$D$1,0)),IF(TODAY()&gt;J149,INDEX(_翻訳マスタ!$B$92:$D$92,1,MATCH(言語切替!$B$3,_翻訳マスタ!$B$1:$D$1,0)),IF(J149-TODAY()&lt;=7,INDEX(_翻訳マスタ!$B$91:$D$91,1,MATCH(言語切替!$B$3,_翻訳マスタ!$B$1:$D$1,0)),INDEX(_翻訳マスタ!$B$90:$D$90,1,MATCH(言語切替!$B$3,_翻訳マスタ!$B$1:$D$1,0))))))</f>
        <v/>
      </c>
      <c r="Q149" s="30"/>
      <c r="R149" s="37"/>
      <c r="S149" s="52" t="str">
        <f t="shared" si="28"/>
        <v/>
      </c>
      <c r="T149" s="52" t="str">
        <f t="shared" si="29"/>
        <v/>
      </c>
    </row>
    <row r="150" spans="1:20" s="22" customFormat="1" ht="15" customHeight="1" x14ac:dyDescent="0.25">
      <c r="A150" s="26"/>
      <c r="B150" s="27"/>
      <c r="C150" s="27"/>
      <c r="D150" s="27"/>
      <c r="E150" s="27"/>
      <c r="F150" s="45" t="str">
        <f t="shared" si="26"/>
        <v/>
      </c>
      <c r="G150" s="45" t="str">
        <f t="shared" si="27"/>
        <v/>
      </c>
      <c r="H150" s="27"/>
      <c r="I150" s="28"/>
      <c r="J150" s="28"/>
      <c r="K150" s="28"/>
      <c r="L150" s="28"/>
      <c r="M150" s="55" t="str">
        <f t="shared" ca="1" si="24"/>
        <v/>
      </c>
      <c r="N150" s="27"/>
      <c r="O150" s="13" t="str">
        <f t="shared" ca="1" si="25"/>
        <v/>
      </c>
      <c r="P150" s="13" t="str">
        <f ca="1">IF(J150="","",IF(L150&lt;&gt;"",INDEX(_翻訳マスタ!$B$75:$D$75,1,MATCH(言語切替!$B$3,_翻訳マスタ!$B$1:$D$1,0)),IF(TODAY()&gt;J150,INDEX(_翻訳マスタ!$B$92:$D$92,1,MATCH(言語切替!$B$3,_翻訳マスタ!$B$1:$D$1,0)),IF(J150-TODAY()&lt;=7,INDEX(_翻訳マスタ!$B$91:$D$91,1,MATCH(言語切替!$B$3,_翻訳マスタ!$B$1:$D$1,0)),INDEX(_翻訳マスタ!$B$90:$D$90,1,MATCH(言語切替!$B$3,_翻訳マスタ!$B$1:$D$1,0))))))</f>
        <v/>
      </c>
      <c r="Q150" s="27"/>
      <c r="R150" s="36"/>
      <c r="S150" s="53" t="str">
        <f t="shared" si="28"/>
        <v/>
      </c>
      <c r="T150" s="53" t="str">
        <f t="shared" si="29"/>
        <v/>
      </c>
    </row>
    <row r="151" spans="1:20" s="22" customFormat="1" ht="15" customHeight="1" x14ac:dyDescent="0.25">
      <c r="A151" s="29"/>
      <c r="B151" s="30"/>
      <c r="C151" s="30"/>
      <c r="D151" s="30"/>
      <c r="E151" s="30"/>
      <c r="F151" s="46" t="str">
        <f t="shared" si="26"/>
        <v/>
      </c>
      <c r="G151" s="46" t="str">
        <f t="shared" si="27"/>
        <v/>
      </c>
      <c r="H151" s="30"/>
      <c r="I151" s="31"/>
      <c r="J151" s="31"/>
      <c r="K151" s="31"/>
      <c r="L151" s="31"/>
      <c r="M151" s="56" t="str">
        <f t="shared" ca="1" si="24"/>
        <v/>
      </c>
      <c r="N151" s="30"/>
      <c r="O151" s="16" t="str">
        <f t="shared" ca="1" si="25"/>
        <v/>
      </c>
      <c r="P151" s="16" t="str">
        <f ca="1">IF(J151="","",IF(L151&lt;&gt;"",INDEX(_翻訳マスタ!$B$75:$D$75,1,MATCH(言語切替!$B$3,_翻訳マスタ!$B$1:$D$1,0)),IF(TODAY()&gt;J151,INDEX(_翻訳マスタ!$B$92:$D$92,1,MATCH(言語切替!$B$3,_翻訳マスタ!$B$1:$D$1,0)),IF(J151-TODAY()&lt;=7,INDEX(_翻訳マスタ!$B$91:$D$91,1,MATCH(言語切替!$B$3,_翻訳マスタ!$B$1:$D$1,0)),INDEX(_翻訳マスタ!$B$90:$D$90,1,MATCH(言語切替!$B$3,_翻訳マスタ!$B$1:$D$1,0))))))</f>
        <v/>
      </c>
      <c r="Q151" s="30"/>
      <c r="R151" s="37"/>
      <c r="S151" s="52" t="str">
        <f t="shared" si="28"/>
        <v/>
      </c>
      <c r="T151" s="52" t="str">
        <f t="shared" si="29"/>
        <v/>
      </c>
    </row>
    <row r="152" spans="1:20" s="22" customFormat="1" ht="15" customHeight="1" x14ac:dyDescent="0.25">
      <c r="A152" s="26"/>
      <c r="B152" s="27"/>
      <c r="C152" s="27"/>
      <c r="D152" s="27"/>
      <c r="E152" s="27"/>
      <c r="F152" s="45" t="str">
        <f t="shared" si="26"/>
        <v/>
      </c>
      <c r="G152" s="45" t="str">
        <f t="shared" si="27"/>
        <v/>
      </c>
      <c r="H152" s="27"/>
      <c r="I152" s="28"/>
      <c r="J152" s="28"/>
      <c r="K152" s="28"/>
      <c r="L152" s="28"/>
      <c r="M152" s="55" t="str">
        <f t="shared" ca="1" si="24"/>
        <v/>
      </c>
      <c r="N152" s="27"/>
      <c r="O152" s="13" t="str">
        <f t="shared" ca="1" si="25"/>
        <v/>
      </c>
      <c r="P152" s="13" t="str">
        <f ca="1">IF(J152="","",IF(L152&lt;&gt;"",INDEX(_翻訳マスタ!$B$75:$D$75,1,MATCH(言語切替!$B$3,_翻訳マスタ!$B$1:$D$1,0)),IF(TODAY()&gt;J152,INDEX(_翻訳マスタ!$B$92:$D$92,1,MATCH(言語切替!$B$3,_翻訳マスタ!$B$1:$D$1,0)),IF(J152-TODAY()&lt;=7,INDEX(_翻訳マスタ!$B$91:$D$91,1,MATCH(言語切替!$B$3,_翻訳マスタ!$B$1:$D$1,0)),INDEX(_翻訳マスタ!$B$90:$D$90,1,MATCH(言語切替!$B$3,_翻訳マスタ!$B$1:$D$1,0))))))</f>
        <v/>
      </c>
      <c r="Q152" s="27"/>
      <c r="R152" s="36"/>
      <c r="S152" s="53" t="str">
        <f t="shared" si="28"/>
        <v/>
      </c>
      <c r="T152" s="53" t="str">
        <f t="shared" si="29"/>
        <v/>
      </c>
    </row>
    <row r="153" spans="1:20" s="22" customFormat="1" ht="15" customHeight="1" x14ac:dyDescent="0.25">
      <c r="A153" s="29"/>
      <c r="B153" s="30"/>
      <c r="C153" s="30"/>
      <c r="D153" s="30"/>
      <c r="E153" s="30"/>
      <c r="F153" s="46" t="str">
        <f t="shared" si="26"/>
        <v/>
      </c>
      <c r="G153" s="46" t="str">
        <f t="shared" si="27"/>
        <v/>
      </c>
      <c r="H153" s="30"/>
      <c r="I153" s="31"/>
      <c r="J153" s="31"/>
      <c r="K153" s="31"/>
      <c r="L153" s="31"/>
      <c r="M153" s="56" t="str">
        <f t="shared" ca="1" si="24"/>
        <v/>
      </c>
      <c r="N153" s="30"/>
      <c r="O153" s="16" t="str">
        <f t="shared" ca="1" si="25"/>
        <v/>
      </c>
      <c r="P153" s="16" t="str">
        <f ca="1">IF(J153="","",IF(L153&lt;&gt;"",INDEX(_翻訳マスタ!$B$75:$D$75,1,MATCH(言語切替!$B$3,_翻訳マスタ!$B$1:$D$1,0)),IF(TODAY()&gt;J153,INDEX(_翻訳マスタ!$B$92:$D$92,1,MATCH(言語切替!$B$3,_翻訳マスタ!$B$1:$D$1,0)),IF(J153-TODAY()&lt;=7,INDEX(_翻訳マスタ!$B$91:$D$91,1,MATCH(言語切替!$B$3,_翻訳マスタ!$B$1:$D$1,0)),INDEX(_翻訳マスタ!$B$90:$D$90,1,MATCH(言語切替!$B$3,_翻訳マスタ!$B$1:$D$1,0))))))</f>
        <v/>
      </c>
      <c r="Q153" s="30"/>
      <c r="R153" s="37"/>
      <c r="S153" s="52" t="str">
        <f t="shared" si="28"/>
        <v/>
      </c>
      <c r="T153" s="52" t="str">
        <f t="shared" si="29"/>
        <v/>
      </c>
    </row>
    <row r="154" spans="1:20" s="22" customFormat="1" ht="15" customHeight="1" x14ac:dyDescent="0.25">
      <c r="A154" s="26"/>
      <c r="B154" s="27"/>
      <c r="C154" s="27"/>
      <c r="D154" s="27"/>
      <c r="E154" s="27"/>
      <c r="F154" s="45" t="str">
        <f t="shared" si="26"/>
        <v/>
      </c>
      <c r="G154" s="45" t="str">
        <f t="shared" si="27"/>
        <v/>
      </c>
      <c r="H154" s="27"/>
      <c r="I154" s="28"/>
      <c r="J154" s="28"/>
      <c r="K154" s="28"/>
      <c r="L154" s="28"/>
      <c r="M154" s="55" t="str">
        <f t="shared" ca="1" si="24"/>
        <v/>
      </c>
      <c r="N154" s="27"/>
      <c r="O154" s="13" t="str">
        <f t="shared" ca="1" si="25"/>
        <v/>
      </c>
      <c r="P154" s="13" t="str">
        <f ca="1">IF(J154="","",IF(L154&lt;&gt;"",INDEX(_翻訳マスタ!$B$75:$D$75,1,MATCH(言語切替!$B$3,_翻訳マスタ!$B$1:$D$1,0)),IF(TODAY()&gt;J154,INDEX(_翻訳マスタ!$B$92:$D$92,1,MATCH(言語切替!$B$3,_翻訳マスタ!$B$1:$D$1,0)),IF(J154-TODAY()&lt;=7,INDEX(_翻訳マスタ!$B$91:$D$91,1,MATCH(言語切替!$B$3,_翻訳マスタ!$B$1:$D$1,0)),INDEX(_翻訳マスタ!$B$90:$D$90,1,MATCH(言語切替!$B$3,_翻訳マスタ!$B$1:$D$1,0))))))</f>
        <v/>
      </c>
      <c r="Q154" s="27"/>
      <c r="R154" s="36"/>
      <c r="S154" s="53" t="str">
        <f t="shared" si="28"/>
        <v/>
      </c>
      <c r="T154" s="53" t="str">
        <f t="shared" si="29"/>
        <v/>
      </c>
    </row>
    <row r="155" spans="1:20" s="22" customFormat="1" ht="15" customHeight="1" x14ac:dyDescent="0.25">
      <c r="A155" s="29"/>
      <c r="B155" s="30"/>
      <c r="C155" s="30"/>
      <c r="D155" s="30"/>
      <c r="E155" s="30"/>
      <c r="F155" s="46" t="str">
        <f t="shared" si="26"/>
        <v/>
      </c>
      <c r="G155" s="46" t="str">
        <f t="shared" si="27"/>
        <v/>
      </c>
      <c r="H155" s="30"/>
      <c r="I155" s="31"/>
      <c r="J155" s="31"/>
      <c r="K155" s="31"/>
      <c r="L155" s="31"/>
      <c r="M155" s="56" t="str">
        <f t="shared" ca="1" si="24"/>
        <v/>
      </c>
      <c r="N155" s="30"/>
      <c r="O155" s="16" t="str">
        <f t="shared" ca="1" si="25"/>
        <v/>
      </c>
      <c r="P155" s="16" t="str">
        <f ca="1">IF(J155="","",IF(L155&lt;&gt;"",INDEX(_翻訳マスタ!$B$75:$D$75,1,MATCH(言語切替!$B$3,_翻訳マスタ!$B$1:$D$1,0)),IF(TODAY()&gt;J155,INDEX(_翻訳マスタ!$B$92:$D$92,1,MATCH(言語切替!$B$3,_翻訳マスタ!$B$1:$D$1,0)),IF(J155-TODAY()&lt;=7,INDEX(_翻訳マスタ!$B$91:$D$91,1,MATCH(言語切替!$B$3,_翻訳マスタ!$B$1:$D$1,0)),INDEX(_翻訳マスタ!$B$90:$D$90,1,MATCH(言語切替!$B$3,_翻訳マスタ!$B$1:$D$1,0))))))</f>
        <v/>
      </c>
      <c r="Q155" s="30"/>
      <c r="R155" s="37"/>
      <c r="S155" s="52" t="str">
        <f t="shared" si="28"/>
        <v/>
      </c>
      <c r="T155" s="52" t="str">
        <f t="shared" si="29"/>
        <v/>
      </c>
    </row>
    <row r="156" spans="1:20" s="22" customFormat="1" ht="15" customHeight="1" x14ac:dyDescent="0.25">
      <c r="A156" s="26"/>
      <c r="B156" s="27"/>
      <c r="C156" s="27"/>
      <c r="D156" s="27"/>
      <c r="E156" s="27"/>
      <c r="F156" s="45" t="str">
        <f t="shared" si="26"/>
        <v/>
      </c>
      <c r="G156" s="45" t="str">
        <f t="shared" si="27"/>
        <v/>
      </c>
      <c r="H156" s="27"/>
      <c r="I156" s="28"/>
      <c r="J156" s="28"/>
      <c r="K156" s="28"/>
      <c r="L156" s="28"/>
      <c r="M156" s="55" t="str">
        <f t="shared" ca="1" si="24"/>
        <v/>
      </c>
      <c r="N156" s="27"/>
      <c r="O156" s="13" t="str">
        <f t="shared" ca="1" si="25"/>
        <v/>
      </c>
      <c r="P156" s="13" t="str">
        <f ca="1">IF(J156="","",IF(L156&lt;&gt;"",INDEX(_翻訳マスタ!$B$75:$D$75,1,MATCH(言語切替!$B$3,_翻訳マスタ!$B$1:$D$1,0)),IF(TODAY()&gt;J156,INDEX(_翻訳マスタ!$B$92:$D$92,1,MATCH(言語切替!$B$3,_翻訳マスタ!$B$1:$D$1,0)),IF(J156-TODAY()&lt;=7,INDEX(_翻訳マスタ!$B$91:$D$91,1,MATCH(言語切替!$B$3,_翻訳マスタ!$B$1:$D$1,0)),INDEX(_翻訳マスタ!$B$90:$D$90,1,MATCH(言語切替!$B$3,_翻訳マスタ!$B$1:$D$1,0))))))</f>
        <v/>
      </c>
      <c r="Q156" s="27"/>
      <c r="R156" s="36"/>
      <c r="S156" s="53" t="str">
        <f t="shared" si="28"/>
        <v/>
      </c>
      <c r="T156" s="53" t="str">
        <f t="shared" si="29"/>
        <v/>
      </c>
    </row>
    <row r="157" spans="1:20" s="22" customFormat="1" ht="15" customHeight="1" x14ac:dyDescent="0.25">
      <c r="A157" s="29"/>
      <c r="B157" s="30"/>
      <c r="C157" s="30"/>
      <c r="D157" s="30"/>
      <c r="E157" s="30"/>
      <c r="F157" s="46" t="str">
        <f t="shared" si="26"/>
        <v/>
      </c>
      <c r="G157" s="46" t="str">
        <f t="shared" si="27"/>
        <v/>
      </c>
      <c r="H157" s="30"/>
      <c r="I157" s="31"/>
      <c r="J157" s="31"/>
      <c r="K157" s="31"/>
      <c r="L157" s="31"/>
      <c r="M157" s="56" t="str">
        <f t="shared" ca="1" si="24"/>
        <v/>
      </c>
      <c r="N157" s="30"/>
      <c r="O157" s="16" t="str">
        <f t="shared" ca="1" si="25"/>
        <v/>
      </c>
      <c r="P157" s="16" t="str">
        <f ca="1">IF(J157="","",IF(L157&lt;&gt;"",INDEX(_翻訳マスタ!$B$75:$D$75,1,MATCH(言語切替!$B$3,_翻訳マスタ!$B$1:$D$1,0)),IF(TODAY()&gt;J157,INDEX(_翻訳マスタ!$B$92:$D$92,1,MATCH(言語切替!$B$3,_翻訳マスタ!$B$1:$D$1,0)),IF(J157-TODAY()&lt;=7,INDEX(_翻訳マスタ!$B$91:$D$91,1,MATCH(言語切替!$B$3,_翻訳マスタ!$B$1:$D$1,0)),INDEX(_翻訳マスタ!$B$90:$D$90,1,MATCH(言語切替!$B$3,_翻訳マスタ!$B$1:$D$1,0))))))</f>
        <v/>
      </c>
      <c r="Q157" s="30"/>
      <c r="R157" s="37"/>
      <c r="S157" s="52" t="str">
        <f t="shared" si="28"/>
        <v/>
      </c>
      <c r="T157" s="52" t="str">
        <f t="shared" si="29"/>
        <v/>
      </c>
    </row>
    <row r="158" spans="1:20" s="22" customFormat="1" ht="15" customHeight="1" x14ac:dyDescent="0.25">
      <c r="A158" s="26"/>
      <c r="B158" s="27"/>
      <c r="C158" s="27"/>
      <c r="D158" s="27"/>
      <c r="E158" s="27"/>
      <c r="F158" s="45" t="str">
        <f t="shared" si="26"/>
        <v/>
      </c>
      <c r="G158" s="45" t="str">
        <f t="shared" si="27"/>
        <v/>
      </c>
      <c r="H158" s="27"/>
      <c r="I158" s="28"/>
      <c r="J158" s="28"/>
      <c r="K158" s="28"/>
      <c r="L158" s="28"/>
      <c r="M158" s="55" t="str">
        <f t="shared" ca="1" si="24"/>
        <v/>
      </c>
      <c r="N158" s="27"/>
      <c r="O158" s="13" t="str">
        <f t="shared" ca="1" si="25"/>
        <v/>
      </c>
      <c r="P158" s="13" t="str">
        <f ca="1">IF(J158="","",IF(L158&lt;&gt;"",INDEX(_翻訳マスタ!$B$75:$D$75,1,MATCH(言語切替!$B$3,_翻訳マスタ!$B$1:$D$1,0)),IF(TODAY()&gt;J158,INDEX(_翻訳マスタ!$B$92:$D$92,1,MATCH(言語切替!$B$3,_翻訳マスタ!$B$1:$D$1,0)),IF(J158-TODAY()&lt;=7,INDEX(_翻訳マスタ!$B$91:$D$91,1,MATCH(言語切替!$B$3,_翻訳マスタ!$B$1:$D$1,0)),INDEX(_翻訳マスタ!$B$90:$D$90,1,MATCH(言語切替!$B$3,_翻訳マスタ!$B$1:$D$1,0))))))</f>
        <v/>
      </c>
      <c r="Q158" s="27"/>
      <c r="R158" s="36"/>
      <c r="S158" s="53" t="str">
        <f t="shared" si="28"/>
        <v/>
      </c>
      <c r="T158" s="53" t="str">
        <f t="shared" si="29"/>
        <v/>
      </c>
    </row>
    <row r="159" spans="1:20" s="22" customFormat="1" ht="15" customHeight="1" x14ac:dyDescent="0.25">
      <c r="A159" s="29"/>
      <c r="B159" s="30"/>
      <c r="C159" s="30"/>
      <c r="D159" s="30"/>
      <c r="E159" s="30"/>
      <c r="F159" s="46" t="str">
        <f t="shared" si="26"/>
        <v/>
      </c>
      <c r="G159" s="46" t="str">
        <f t="shared" si="27"/>
        <v/>
      </c>
      <c r="H159" s="30"/>
      <c r="I159" s="31"/>
      <c r="J159" s="31"/>
      <c r="K159" s="31"/>
      <c r="L159" s="31"/>
      <c r="M159" s="56" t="str">
        <f t="shared" ca="1" si="24"/>
        <v/>
      </c>
      <c r="N159" s="30"/>
      <c r="O159" s="16" t="str">
        <f t="shared" ca="1" si="25"/>
        <v/>
      </c>
      <c r="P159" s="16" t="str">
        <f ca="1">IF(J159="","",IF(L159&lt;&gt;"",INDEX(_翻訳マスタ!$B$75:$D$75,1,MATCH(言語切替!$B$3,_翻訳マスタ!$B$1:$D$1,0)),IF(TODAY()&gt;J159,INDEX(_翻訳マスタ!$B$92:$D$92,1,MATCH(言語切替!$B$3,_翻訳マスタ!$B$1:$D$1,0)),IF(J159-TODAY()&lt;=7,INDEX(_翻訳マスタ!$B$91:$D$91,1,MATCH(言語切替!$B$3,_翻訳マスタ!$B$1:$D$1,0)),INDEX(_翻訳マスタ!$B$90:$D$90,1,MATCH(言語切替!$B$3,_翻訳マスタ!$B$1:$D$1,0))))))</f>
        <v/>
      </c>
      <c r="Q159" s="30"/>
      <c r="R159" s="37"/>
      <c r="S159" s="52" t="str">
        <f t="shared" si="28"/>
        <v/>
      </c>
      <c r="T159" s="52" t="str">
        <f t="shared" si="29"/>
        <v/>
      </c>
    </row>
    <row r="160" spans="1:20" s="22" customFormat="1" ht="15" customHeight="1" x14ac:dyDescent="0.25">
      <c r="A160" s="26"/>
      <c r="B160" s="27"/>
      <c r="C160" s="27"/>
      <c r="D160" s="27"/>
      <c r="E160" s="27"/>
      <c r="F160" s="45" t="str">
        <f t="shared" si="26"/>
        <v/>
      </c>
      <c r="G160" s="45" t="str">
        <f t="shared" si="27"/>
        <v/>
      </c>
      <c r="H160" s="27"/>
      <c r="I160" s="28"/>
      <c r="J160" s="28"/>
      <c r="K160" s="28"/>
      <c r="L160" s="28"/>
      <c r="M160" s="55" t="str">
        <f t="shared" ca="1" si="24"/>
        <v/>
      </c>
      <c r="N160" s="27"/>
      <c r="O160" s="13" t="str">
        <f t="shared" ca="1" si="25"/>
        <v/>
      </c>
      <c r="P160" s="13" t="str">
        <f ca="1">IF(J160="","",IF(L160&lt;&gt;"",INDEX(_翻訳マスタ!$B$75:$D$75,1,MATCH(言語切替!$B$3,_翻訳マスタ!$B$1:$D$1,0)),IF(TODAY()&gt;J160,INDEX(_翻訳マスタ!$B$92:$D$92,1,MATCH(言語切替!$B$3,_翻訳マスタ!$B$1:$D$1,0)),IF(J160-TODAY()&lt;=7,INDEX(_翻訳マスタ!$B$91:$D$91,1,MATCH(言語切替!$B$3,_翻訳マスタ!$B$1:$D$1,0)),INDEX(_翻訳マスタ!$B$90:$D$90,1,MATCH(言語切替!$B$3,_翻訳マスタ!$B$1:$D$1,0))))))</f>
        <v/>
      </c>
      <c r="Q160" s="27"/>
      <c r="R160" s="36"/>
      <c r="S160" s="53" t="str">
        <f t="shared" si="28"/>
        <v/>
      </c>
      <c r="T160" s="53" t="str">
        <f t="shared" si="29"/>
        <v/>
      </c>
    </row>
    <row r="161" spans="1:20" s="22" customFormat="1" ht="15" customHeight="1" x14ac:dyDescent="0.25">
      <c r="A161" s="29"/>
      <c r="B161" s="30"/>
      <c r="C161" s="30"/>
      <c r="D161" s="30"/>
      <c r="E161" s="30"/>
      <c r="F161" s="46" t="str">
        <f t="shared" si="26"/>
        <v/>
      </c>
      <c r="G161" s="46" t="str">
        <f t="shared" si="27"/>
        <v/>
      </c>
      <c r="H161" s="30"/>
      <c r="I161" s="31"/>
      <c r="J161" s="31"/>
      <c r="K161" s="31"/>
      <c r="L161" s="31"/>
      <c r="M161" s="56" t="str">
        <f t="shared" ca="1" si="24"/>
        <v/>
      </c>
      <c r="N161" s="30"/>
      <c r="O161" s="16" t="str">
        <f t="shared" ca="1" si="25"/>
        <v/>
      </c>
      <c r="P161" s="16" t="str">
        <f ca="1">IF(J161="","",IF(L161&lt;&gt;"",INDEX(_翻訳マスタ!$B$75:$D$75,1,MATCH(言語切替!$B$3,_翻訳マスタ!$B$1:$D$1,0)),IF(TODAY()&gt;J161,INDEX(_翻訳マスタ!$B$92:$D$92,1,MATCH(言語切替!$B$3,_翻訳マスタ!$B$1:$D$1,0)),IF(J161-TODAY()&lt;=7,INDEX(_翻訳マスタ!$B$91:$D$91,1,MATCH(言語切替!$B$3,_翻訳マスタ!$B$1:$D$1,0)),INDEX(_翻訳マスタ!$B$90:$D$90,1,MATCH(言語切替!$B$3,_翻訳マスタ!$B$1:$D$1,0))))))</f>
        <v/>
      </c>
      <c r="Q161" s="30"/>
      <c r="R161" s="37"/>
      <c r="S161" s="52" t="str">
        <f t="shared" si="28"/>
        <v/>
      </c>
      <c r="T161" s="52" t="str">
        <f t="shared" si="29"/>
        <v/>
      </c>
    </row>
    <row r="162" spans="1:20" s="22" customFormat="1" ht="15" customHeight="1" x14ac:dyDescent="0.25">
      <c r="A162" s="26"/>
      <c r="B162" s="27"/>
      <c r="C162" s="27"/>
      <c r="D162" s="27"/>
      <c r="E162" s="27"/>
      <c r="F162" s="45" t="str">
        <f t="shared" si="26"/>
        <v/>
      </c>
      <c r="G162" s="45" t="str">
        <f t="shared" si="27"/>
        <v/>
      </c>
      <c r="H162" s="27"/>
      <c r="I162" s="28"/>
      <c r="J162" s="28"/>
      <c r="K162" s="28"/>
      <c r="L162" s="28"/>
      <c r="M162" s="55" t="str">
        <f t="shared" ca="1" si="24"/>
        <v/>
      </c>
      <c r="N162" s="27"/>
      <c r="O162" s="13" t="str">
        <f t="shared" ca="1" si="25"/>
        <v/>
      </c>
      <c r="P162" s="13" t="str">
        <f ca="1">IF(J162="","",IF(L162&lt;&gt;"",INDEX(_翻訳マスタ!$B$75:$D$75,1,MATCH(言語切替!$B$3,_翻訳マスタ!$B$1:$D$1,0)),IF(TODAY()&gt;J162,INDEX(_翻訳マスタ!$B$92:$D$92,1,MATCH(言語切替!$B$3,_翻訳マスタ!$B$1:$D$1,0)),IF(J162-TODAY()&lt;=7,INDEX(_翻訳マスタ!$B$91:$D$91,1,MATCH(言語切替!$B$3,_翻訳マスタ!$B$1:$D$1,0)),INDEX(_翻訳マスタ!$B$90:$D$90,1,MATCH(言語切替!$B$3,_翻訳マスタ!$B$1:$D$1,0))))))</f>
        <v/>
      </c>
      <c r="Q162" s="27"/>
      <c r="R162" s="36"/>
      <c r="S162" s="53" t="str">
        <f t="shared" si="28"/>
        <v/>
      </c>
      <c r="T162" s="53" t="str">
        <f t="shared" si="29"/>
        <v/>
      </c>
    </row>
    <row r="163" spans="1:20" s="22" customFormat="1" ht="15" customHeight="1" x14ac:dyDescent="0.25">
      <c r="A163" s="29"/>
      <c r="B163" s="30"/>
      <c r="C163" s="30"/>
      <c r="D163" s="30"/>
      <c r="E163" s="30"/>
      <c r="F163" s="46" t="str">
        <f t="shared" si="26"/>
        <v/>
      </c>
      <c r="G163" s="46" t="str">
        <f t="shared" si="27"/>
        <v/>
      </c>
      <c r="H163" s="30"/>
      <c r="I163" s="31"/>
      <c r="J163" s="31"/>
      <c r="K163" s="31"/>
      <c r="L163" s="31"/>
      <c r="M163" s="56" t="str">
        <f t="shared" ca="1" si="24"/>
        <v/>
      </c>
      <c r="N163" s="30"/>
      <c r="O163" s="16" t="str">
        <f t="shared" ca="1" si="25"/>
        <v/>
      </c>
      <c r="P163" s="16" t="str">
        <f ca="1">IF(J163="","",IF(L163&lt;&gt;"",INDEX(_翻訳マスタ!$B$75:$D$75,1,MATCH(言語切替!$B$3,_翻訳マスタ!$B$1:$D$1,0)),IF(TODAY()&gt;J163,INDEX(_翻訳マスタ!$B$92:$D$92,1,MATCH(言語切替!$B$3,_翻訳マスタ!$B$1:$D$1,0)),IF(J163-TODAY()&lt;=7,INDEX(_翻訳マスタ!$B$91:$D$91,1,MATCH(言語切替!$B$3,_翻訳マスタ!$B$1:$D$1,0)),INDEX(_翻訳マスタ!$B$90:$D$90,1,MATCH(言語切替!$B$3,_翻訳マスタ!$B$1:$D$1,0))))))</f>
        <v/>
      </c>
      <c r="Q163" s="30"/>
      <c r="R163" s="37"/>
      <c r="S163" s="52" t="str">
        <f t="shared" si="28"/>
        <v/>
      </c>
      <c r="T163" s="52" t="str">
        <f t="shared" si="29"/>
        <v/>
      </c>
    </row>
    <row r="164" spans="1:20" s="22" customFormat="1" ht="15" customHeight="1" x14ac:dyDescent="0.25">
      <c r="A164" s="26"/>
      <c r="B164" s="27"/>
      <c r="C164" s="27"/>
      <c r="D164" s="27"/>
      <c r="E164" s="27"/>
      <c r="F164" s="45" t="str">
        <f t="shared" si="26"/>
        <v/>
      </c>
      <c r="G164" s="45" t="str">
        <f t="shared" si="27"/>
        <v/>
      </c>
      <c r="H164" s="27"/>
      <c r="I164" s="28"/>
      <c r="J164" s="28"/>
      <c r="K164" s="28"/>
      <c r="L164" s="28"/>
      <c r="M164" s="55" t="str">
        <f t="shared" ca="1" si="24"/>
        <v/>
      </c>
      <c r="N164" s="27"/>
      <c r="O164" s="13" t="str">
        <f t="shared" ca="1" si="25"/>
        <v/>
      </c>
      <c r="P164" s="13" t="str">
        <f ca="1">IF(J164="","",IF(L164&lt;&gt;"",INDEX(_翻訳マスタ!$B$75:$D$75,1,MATCH(言語切替!$B$3,_翻訳マスタ!$B$1:$D$1,0)),IF(TODAY()&gt;J164,INDEX(_翻訳マスタ!$B$92:$D$92,1,MATCH(言語切替!$B$3,_翻訳マスタ!$B$1:$D$1,0)),IF(J164-TODAY()&lt;=7,INDEX(_翻訳マスタ!$B$91:$D$91,1,MATCH(言語切替!$B$3,_翻訳マスタ!$B$1:$D$1,0)),INDEX(_翻訳マスタ!$B$90:$D$90,1,MATCH(言語切替!$B$3,_翻訳マスタ!$B$1:$D$1,0))))))</f>
        <v/>
      </c>
      <c r="Q164" s="27"/>
      <c r="R164" s="36"/>
      <c r="S164" s="53" t="str">
        <f t="shared" si="28"/>
        <v/>
      </c>
      <c r="T164" s="53" t="str">
        <f t="shared" si="29"/>
        <v/>
      </c>
    </row>
    <row r="165" spans="1:20" s="22" customFormat="1" ht="15" customHeight="1" x14ac:dyDescent="0.25">
      <c r="A165" s="29"/>
      <c r="B165" s="30"/>
      <c r="C165" s="30"/>
      <c r="D165" s="30"/>
      <c r="E165" s="30"/>
      <c r="F165" s="46" t="str">
        <f t="shared" si="26"/>
        <v/>
      </c>
      <c r="G165" s="46" t="str">
        <f t="shared" si="27"/>
        <v/>
      </c>
      <c r="H165" s="30"/>
      <c r="I165" s="31"/>
      <c r="J165" s="31"/>
      <c r="K165" s="31"/>
      <c r="L165" s="31"/>
      <c r="M165" s="56" t="str">
        <f t="shared" ref="M165:M196" ca="1" si="30">IF(OR(I165="",J165=""),"",IF(L165&lt;&gt;"",1,IF(K165="",0,MAX(0,MIN(1,(TODAY()-I165)/(J165-I165+1))))))</f>
        <v/>
      </c>
      <c r="N165" s="30"/>
      <c r="O165" s="16" t="str">
        <f t="shared" ref="O165:O196" ca="1" si="31">IF(J165="","",J165-TODAY())</f>
        <v/>
      </c>
      <c r="P165" s="16" t="str">
        <f ca="1">IF(J165="","",IF(L165&lt;&gt;"",INDEX(_翻訳マスタ!$B$75:$D$75,1,MATCH(言語切替!$B$3,_翻訳マスタ!$B$1:$D$1,0)),IF(TODAY()&gt;J165,INDEX(_翻訳マスタ!$B$92:$D$92,1,MATCH(言語切替!$B$3,_翻訳マスタ!$B$1:$D$1,0)),IF(J165-TODAY()&lt;=7,INDEX(_翻訳マスタ!$B$91:$D$91,1,MATCH(言語切替!$B$3,_翻訳マスタ!$B$1:$D$1,0)),INDEX(_翻訳マスタ!$B$90:$D$90,1,MATCH(言語切替!$B$3,_翻訳マスタ!$B$1:$D$1,0))))))</f>
        <v/>
      </c>
      <c r="Q165" s="30"/>
      <c r="R165" s="37"/>
      <c r="S165" s="52" t="str">
        <f t="shared" si="28"/>
        <v/>
      </c>
      <c r="T165" s="52" t="str">
        <f t="shared" si="29"/>
        <v/>
      </c>
    </row>
    <row r="166" spans="1:20" s="22" customFormat="1" ht="15" customHeight="1" x14ac:dyDescent="0.25">
      <c r="A166" s="26"/>
      <c r="B166" s="27"/>
      <c r="C166" s="27"/>
      <c r="D166" s="27"/>
      <c r="E166" s="27"/>
      <c r="F166" s="45" t="str">
        <f t="shared" si="26"/>
        <v/>
      </c>
      <c r="G166" s="45" t="str">
        <f t="shared" si="27"/>
        <v/>
      </c>
      <c r="H166" s="27"/>
      <c r="I166" s="28"/>
      <c r="J166" s="28"/>
      <c r="K166" s="28"/>
      <c r="L166" s="28"/>
      <c r="M166" s="55" t="str">
        <f t="shared" ca="1" si="30"/>
        <v/>
      </c>
      <c r="N166" s="27"/>
      <c r="O166" s="13" t="str">
        <f t="shared" ca="1" si="31"/>
        <v/>
      </c>
      <c r="P166" s="13" t="str">
        <f ca="1">IF(J166="","",IF(L166&lt;&gt;"",INDEX(_翻訳マスタ!$B$75:$D$75,1,MATCH(言語切替!$B$3,_翻訳マスタ!$B$1:$D$1,0)),IF(TODAY()&gt;J166,INDEX(_翻訳マスタ!$B$92:$D$92,1,MATCH(言語切替!$B$3,_翻訳マスタ!$B$1:$D$1,0)),IF(J166-TODAY()&lt;=7,INDEX(_翻訳マスタ!$B$91:$D$91,1,MATCH(言語切替!$B$3,_翻訳マスタ!$B$1:$D$1,0)),INDEX(_翻訳マスタ!$B$90:$D$90,1,MATCH(言語切替!$B$3,_翻訳マスタ!$B$1:$D$1,0))))))</f>
        <v/>
      </c>
      <c r="Q166" s="27"/>
      <c r="R166" s="36"/>
      <c r="S166" s="53" t="str">
        <f t="shared" si="28"/>
        <v/>
      </c>
      <c r="T166" s="53" t="str">
        <f t="shared" si="29"/>
        <v/>
      </c>
    </row>
    <row r="167" spans="1:20" s="22" customFormat="1" ht="15" customHeight="1" x14ac:dyDescent="0.25">
      <c r="A167" s="29"/>
      <c r="B167" s="30"/>
      <c r="C167" s="30"/>
      <c r="D167" s="30"/>
      <c r="E167" s="30"/>
      <c r="F167" s="46" t="str">
        <f t="shared" si="26"/>
        <v/>
      </c>
      <c r="G167" s="46" t="str">
        <f t="shared" si="27"/>
        <v/>
      </c>
      <c r="H167" s="30"/>
      <c r="I167" s="31"/>
      <c r="J167" s="31"/>
      <c r="K167" s="31"/>
      <c r="L167" s="31"/>
      <c r="M167" s="56" t="str">
        <f t="shared" ca="1" si="30"/>
        <v/>
      </c>
      <c r="N167" s="30"/>
      <c r="O167" s="16" t="str">
        <f t="shared" ca="1" si="31"/>
        <v/>
      </c>
      <c r="P167" s="16" t="str">
        <f ca="1">IF(J167="","",IF(L167&lt;&gt;"",INDEX(_翻訳マスタ!$B$75:$D$75,1,MATCH(言語切替!$B$3,_翻訳マスタ!$B$1:$D$1,0)),IF(TODAY()&gt;J167,INDEX(_翻訳マスタ!$B$92:$D$92,1,MATCH(言語切替!$B$3,_翻訳マスタ!$B$1:$D$1,0)),IF(J167-TODAY()&lt;=7,INDEX(_翻訳マスタ!$B$91:$D$91,1,MATCH(言語切替!$B$3,_翻訳マスタ!$B$1:$D$1,0)),INDEX(_翻訳マスタ!$B$90:$D$90,1,MATCH(言語切替!$B$3,_翻訳マスタ!$B$1:$D$1,0))))))</f>
        <v/>
      </c>
      <c r="Q167" s="30"/>
      <c r="R167" s="37"/>
      <c r="S167" s="52" t="str">
        <f t="shared" si="28"/>
        <v/>
      </c>
      <c r="T167" s="52" t="str">
        <f t="shared" si="29"/>
        <v/>
      </c>
    </row>
    <row r="168" spans="1:20" s="22" customFormat="1" ht="15" customHeight="1" x14ac:dyDescent="0.25">
      <c r="A168" s="26"/>
      <c r="B168" s="27"/>
      <c r="C168" s="27"/>
      <c r="D168" s="27"/>
      <c r="E168" s="27"/>
      <c r="F168" s="45" t="str">
        <f t="shared" ref="F168:F199" si="32">IF(E168="","",_xlfn.TRANSLATE(E168,"vi","ja"))</f>
        <v/>
      </c>
      <c r="G168" s="45" t="str">
        <f t="shared" ref="G168:G204" si="33">IF(E168="","",_xlfn.TRANSLATE(E168,"vi","zh-Hans"))</f>
        <v/>
      </c>
      <c r="H168" s="27"/>
      <c r="I168" s="28"/>
      <c r="J168" s="28"/>
      <c r="K168" s="28"/>
      <c r="L168" s="28"/>
      <c r="M168" s="55" t="str">
        <f t="shared" ca="1" si="30"/>
        <v/>
      </c>
      <c r="N168" s="27"/>
      <c r="O168" s="13" t="str">
        <f t="shared" ca="1" si="31"/>
        <v/>
      </c>
      <c r="P168" s="13" t="str">
        <f ca="1">IF(J168="","",IF(L168&lt;&gt;"",INDEX(_翻訳マスタ!$B$75:$D$75,1,MATCH(言語切替!$B$3,_翻訳マスタ!$B$1:$D$1,0)),IF(TODAY()&gt;J168,INDEX(_翻訳マスタ!$B$92:$D$92,1,MATCH(言語切替!$B$3,_翻訳マスタ!$B$1:$D$1,0)),IF(J168-TODAY()&lt;=7,INDEX(_翻訳マスタ!$B$91:$D$91,1,MATCH(言語切替!$B$3,_翻訳マスタ!$B$1:$D$1,0)),INDEX(_翻訳マスタ!$B$90:$D$90,1,MATCH(言語切替!$B$3,_翻訳マスタ!$B$1:$D$1,0))))))</f>
        <v/>
      </c>
      <c r="Q168" s="27"/>
      <c r="R168" s="36"/>
      <c r="S168" s="53" t="str">
        <f t="shared" ref="S168:S199" si="34">IF(R168="","",_xlfn.TRANSLATE(R168,"vi","ja"))</f>
        <v/>
      </c>
      <c r="T168" s="53" t="str">
        <f t="shared" ref="T168:T204" si="35">IF(R168="","",_xlfn.TRANSLATE(R168,"vi","zh-Hans"))</f>
        <v/>
      </c>
    </row>
    <row r="169" spans="1:20" s="22" customFormat="1" ht="15" customHeight="1" x14ac:dyDescent="0.25">
      <c r="A169" s="29"/>
      <c r="B169" s="30"/>
      <c r="C169" s="30"/>
      <c r="D169" s="30"/>
      <c r="E169" s="30"/>
      <c r="F169" s="46" t="str">
        <f t="shared" si="32"/>
        <v/>
      </c>
      <c r="G169" s="46" t="str">
        <f t="shared" si="33"/>
        <v/>
      </c>
      <c r="H169" s="30"/>
      <c r="I169" s="31"/>
      <c r="J169" s="31"/>
      <c r="K169" s="31"/>
      <c r="L169" s="31"/>
      <c r="M169" s="56" t="str">
        <f t="shared" ca="1" si="30"/>
        <v/>
      </c>
      <c r="N169" s="30"/>
      <c r="O169" s="16" t="str">
        <f t="shared" ca="1" si="31"/>
        <v/>
      </c>
      <c r="P169" s="16" t="str">
        <f ca="1">IF(J169="","",IF(L169&lt;&gt;"",INDEX(_翻訳マスタ!$B$75:$D$75,1,MATCH(言語切替!$B$3,_翻訳マスタ!$B$1:$D$1,0)),IF(TODAY()&gt;J169,INDEX(_翻訳マスタ!$B$92:$D$92,1,MATCH(言語切替!$B$3,_翻訳マスタ!$B$1:$D$1,0)),IF(J169-TODAY()&lt;=7,INDEX(_翻訳マスタ!$B$91:$D$91,1,MATCH(言語切替!$B$3,_翻訳マスタ!$B$1:$D$1,0)),INDEX(_翻訳マスタ!$B$90:$D$90,1,MATCH(言語切替!$B$3,_翻訳マスタ!$B$1:$D$1,0))))))</f>
        <v/>
      </c>
      <c r="Q169" s="30"/>
      <c r="R169" s="37"/>
      <c r="S169" s="52" t="str">
        <f t="shared" si="34"/>
        <v/>
      </c>
      <c r="T169" s="52" t="str">
        <f t="shared" si="35"/>
        <v/>
      </c>
    </row>
    <row r="170" spans="1:20" s="22" customFormat="1" ht="15" customHeight="1" x14ac:dyDescent="0.25">
      <c r="A170" s="26"/>
      <c r="B170" s="27"/>
      <c r="C170" s="27"/>
      <c r="D170" s="27"/>
      <c r="E170" s="27"/>
      <c r="F170" s="45" t="str">
        <f t="shared" si="32"/>
        <v/>
      </c>
      <c r="G170" s="45" t="str">
        <f t="shared" si="33"/>
        <v/>
      </c>
      <c r="H170" s="27"/>
      <c r="I170" s="28"/>
      <c r="J170" s="28"/>
      <c r="K170" s="28"/>
      <c r="L170" s="28"/>
      <c r="M170" s="55" t="str">
        <f t="shared" ca="1" si="30"/>
        <v/>
      </c>
      <c r="N170" s="27"/>
      <c r="O170" s="13" t="str">
        <f t="shared" ca="1" si="31"/>
        <v/>
      </c>
      <c r="P170" s="13" t="str">
        <f ca="1">IF(J170="","",IF(L170&lt;&gt;"",INDEX(_翻訳マスタ!$B$75:$D$75,1,MATCH(言語切替!$B$3,_翻訳マスタ!$B$1:$D$1,0)),IF(TODAY()&gt;J170,INDEX(_翻訳マスタ!$B$92:$D$92,1,MATCH(言語切替!$B$3,_翻訳マスタ!$B$1:$D$1,0)),IF(J170-TODAY()&lt;=7,INDEX(_翻訳マスタ!$B$91:$D$91,1,MATCH(言語切替!$B$3,_翻訳マスタ!$B$1:$D$1,0)),INDEX(_翻訳マスタ!$B$90:$D$90,1,MATCH(言語切替!$B$3,_翻訳マスタ!$B$1:$D$1,0))))))</f>
        <v/>
      </c>
      <c r="Q170" s="27"/>
      <c r="R170" s="36"/>
      <c r="S170" s="53" t="str">
        <f t="shared" si="34"/>
        <v/>
      </c>
      <c r="T170" s="53" t="str">
        <f t="shared" si="35"/>
        <v/>
      </c>
    </row>
    <row r="171" spans="1:20" s="22" customFormat="1" ht="15" customHeight="1" x14ac:dyDescent="0.25">
      <c r="A171" s="29"/>
      <c r="B171" s="30"/>
      <c r="C171" s="30"/>
      <c r="D171" s="30"/>
      <c r="E171" s="30"/>
      <c r="F171" s="46" t="str">
        <f t="shared" si="32"/>
        <v/>
      </c>
      <c r="G171" s="46" t="str">
        <f t="shared" si="33"/>
        <v/>
      </c>
      <c r="H171" s="30"/>
      <c r="I171" s="31"/>
      <c r="J171" s="31"/>
      <c r="K171" s="31"/>
      <c r="L171" s="31"/>
      <c r="M171" s="56" t="str">
        <f t="shared" ca="1" si="30"/>
        <v/>
      </c>
      <c r="N171" s="30"/>
      <c r="O171" s="16" t="str">
        <f t="shared" ca="1" si="31"/>
        <v/>
      </c>
      <c r="P171" s="16" t="str">
        <f ca="1">IF(J171="","",IF(L171&lt;&gt;"",INDEX(_翻訳マスタ!$B$75:$D$75,1,MATCH(言語切替!$B$3,_翻訳マスタ!$B$1:$D$1,0)),IF(TODAY()&gt;J171,INDEX(_翻訳マスタ!$B$92:$D$92,1,MATCH(言語切替!$B$3,_翻訳マスタ!$B$1:$D$1,0)),IF(J171-TODAY()&lt;=7,INDEX(_翻訳マスタ!$B$91:$D$91,1,MATCH(言語切替!$B$3,_翻訳マスタ!$B$1:$D$1,0)),INDEX(_翻訳マスタ!$B$90:$D$90,1,MATCH(言語切替!$B$3,_翻訳マスタ!$B$1:$D$1,0))))))</f>
        <v/>
      </c>
      <c r="Q171" s="30"/>
      <c r="R171" s="37"/>
      <c r="S171" s="52" t="str">
        <f t="shared" si="34"/>
        <v/>
      </c>
      <c r="T171" s="52" t="str">
        <f t="shared" si="35"/>
        <v/>
      </c>
    </row>
    <row r="172" spans="1:20" s="22" customFormat="1" ht="15" customHeight="1" x14ac:dyDescent="0.25">
      <c r="A172" s="26"/>
      <c r="B172" s="27"/>
      <c r="C172" s="27"/>
      <c r="D172" s="27"/>
      <c r="E172" s="27"/>
      <c r="F172" s="45" t="str">
        <f t="shared" si="32"/>
        <v/>
      </c>
      <c r="G172" s="45" t="str">
        <f t="shared" si="33"/>
        <v/>
      </c>
      <c r="H172" s="27"/>
      <c r="I172" s="28"/>
      <c r="J172" s="28"/>
      <c r="K172" s="28"/>
      <c r="L172" s="28"/>
      <c r="M172" s="55" t="str">
        <f t="shared" ca="1" si="30"/>
        <v/>
      </c>
      <c r="N172" s="27"/>
      <c r="O172" s="13" t="str">
        <f t="shared" ca="1" si="31"/>
        <v/>
      </c>
      <c r="P172" s="13" t="str">
        <f ca="1">IF(J172="","",IF(L172&lt;&gt;"",INDEX(_翻訳マスタ!$B$75:$D$75,1,MATCH(言語切替!$B$3,_翻訳マスタ!$B$1:$D$1,0)),IF(TODAY()&gt;J172,INDEX(_翻訳マスタ!$B$92:$D$92,1,MATCH(言語切替!$B$3,_翻訳マスタ!$B$1:$D$1,0)),IF(J172-TODAY()&lt;=7,INDEX(_翻訳マスタ!$B$91:$D$91,1,MATCH(言語切替!$B$3,_翻訳マスタ!$B$1:$D$1,0)),INDEX(_翻訳マスタ!$B$90:$D$90,1,MATCH(言語切替!$B$3,_翻訳マスタ!$B$1:$D$1,0))))))</f>
        <v/>
      </c>
      <c r="Q172" s="27"/>
      <c r="R172" s="36"/>
      <c r="S172" s="53" t="str">
        <f t="shared" si="34"/>
        <v/>
      </c>
      <c r="T172" s="53" t="str">
        <f t="shared" si="35"/>
        <v/>
      </c>
    </row>
    <row r="173" spans="1:20" s="22" customFormat="1" ht="15" customHeight="1" x14ac:dyDescent="0.25">
      <c r="A173" s="29"/>
      <c r="B173" s="30"/>
      <c r="C173" s="30"/>
      <c r="D173" s="30"/>
      <c r="E173" s="30"/>
      <c r="F173" s="46" t="str">
        <f t="shared" si="32"/>
        <v/>
      </c>
      <c r="G173" s="46" t="str">
        <f t="shared" si="33"/>
        <v/>
      </c>
      <c r="H173" s="30"/>
      <c r="I173" s="31"/>
      <c r="J173" s="31"/>
      <c r="K173" s="31"/>
      <c r="L173" s="31"/>
      <c r="M173" s="56" t="str">
        <f t="shared" ca="1" si="30"/>
        <v/>
      </c>
      <c r="N173" s="30"/>
      <c r="O173" s="16" t="str">
        <f t="shared" ca="1" si="31"/>
        <v/>
      </c>
      <c r="P173" s="16" t="str">
        <f ca="1">IF(J173="","",IF(L173&lt;&gt;"",INDEX(_翻訳マスタ!$B$75:$D$75,1,MATCH(言語切替!$B$3,_翻訳マスタ!$B$1:$D$1,0)),IF(TODAY()&gt;J173,INDEX(_翻訳マスタ!$B$92:$D$92,1,MATCH(言語切替!$B$3,_翻訳マスタ!$B$1:$D$1,0)),IF(J173-TODAY()&lt;=7,INDEX(_翻訳マスタ!$B$91:$D$91,1,MATCH(言語切替!$B$3,_翻訳マスタ!$B$1:$D$1,0)),INDEX(_翻訳マスタ!$B$90:$D$90,1,MATCH(言語切替!$B$3,_翻訳マスタ!$B$1:$D$1,0))))))</f>
        <v/>
      </c>
      <c r="Q173" s="30"/>
      <c r="R173" s="37"/>
      <c r="S173" s="52" t="str">
        <f t="shared" si="34"/>
        <v/>
      </c>
      <c r="T173" s="52" t="str">
        <f t="shared" si="35"/>
        <v/>
      </c>
    </row>
    <row r="174" spans="1:20" s="22" customFormat="1" ht="15" customHeight="1" x14ac:dyDescent="0.25">
      <c r="A174" s="26"/>
      <c r="B174" s="27"/>
      <c r="C174" s="27"/>
      <c r="D174" s="27"/>
      <c r="E174" s="27"/>
      <c r="F174" s="45" t="str">
        <f t="shared" si="32"/>
        <v/>
      </c>
      <c r="G174" s="45" t="str">
        <f t="shared" si="33"/>
        <v/>
      </c>
      <c r="H174" s="27"/>
      <c r="I174" s="28"/>
      <c r="J174" s="28"/>
      <c r="K174" s="28"/>
      <c r="L174" s="28"/>
      <c r="M174" s="55" t="str">
        <f t="shared" ca="1" si="30"/>
        <v/>
      </c>
      <c r="N174" s="27"/>
      <c r="O174" s="13" t="str">
        <f t="shared" ca="1" si="31"/>
        <v/>
      </c>
      <c r="P174" s="13" t="str">
        <f ca="1">IF(J174="","",IF(L174&lt;&gt;"",INDEX(_翻訳マスタ!$B$75:$D$75,1,MATCH(言語切替!$B$3,_翻訳マスタ!$B$1:$D$1,0)),IF(TODAY()&gt;J174,INDEX(_翻訳マスタ!$B$92:$D$92,1,MATCH(言語切替!$B$3,_翻訳マスタ!$B$1:$D$1,0)),IF(J174-TODAY()&lt;=7,INDEX(_翻訳マスタ!$B$91:$D$91,1,MATCH(言語切替!$B$3,_翻訳マスタ!$B$1:$D$1,0)),INDEX(_翻訳マスタ!$B$90:$D$90,1,MATCH(言語切替!$B$3,_翻訳マスタ!$B$1:$D$1,0))))))</f>
        <v/>
      </c>
      <c r="Q174" s="27"/>
      <c r="R174" s="36"/>
      <c r="S174" s="53" t="str">
        <f t="shared" si="34"/>
        <v/>
      </c>
      <c r="T174" s="53" t="str">
        <f t="shared" si="35"/>
        <v/>
      </c>
    </row>
    <row r="175" spans="1:20" s="22" customFormat="1" ht="15" customHeight="1" x14ac:dyDescent="0.25">
      <c r="A175" s="29"/>
      <c r="B175" s="30"/>
      <c r="C175" s="30"/>
      <c r="D175" s="30"/>
      <c r="E175" s="30"/>
      <c r="F175" s="46" t="str">
        <f t="shared" si="32"/>
        <v/>
      </c>
      <c r="G175" s="46" t="str">
        <f t="shared" si="33"/>
        <v/>
      </c>
      <c r="H175" s="30"/>
      <c r="I175" s="31"/>
      <c r="J175" s="31"/>
      <c r="K175" s="31"/>
      <c r="L175" s="31"/>
      <c r="M175" s="56" t="str">
        <f t="shared" ca="1" si="30"/>
        <v/>
      </c>
      <c r="N175" s="30"/>
      <c r="O175" s="16" t="str">
        <f t="shared" ca="1" si="31"/>
        <v/>
      </c>
      <c r="P175" s="16" t="str">
        <f ca="1">IF(J175="","",IF(L175&lt;&gt;"",INDEX(_翻訳マスタ!$B$75:$D$75,1,MATCH(言語切替!$B$3,_翻訳マスタ!$B$1:$D$1,0)),IF(TODAY()&gt;J175,INDEX(_翻訳マスタ!$B$92:$D$92,1,MATCH(言語切替!$B$3,_翻訳マスタ!$B$1:$D$1,0)),IF(J175-TODAY()&lt;=7,INDEX(_翻訳マスタ!$B$91:$D$91,1,MATCH(言語切替!$B$3,_翻訳マスタ!$B$1:$D$1,0)),INDEX(_翻訳マスタ!$B$90:$D$90,1,MATCH(言語切替!$B$3,_翻訳マスタ!$B$1:$D$1,0))))))</f>
        <v/>
      </c>
      <c r="Q175" s="30"/>
      <c r="R175" s="37"/>
      <c r="S175" s="52" t="str">
        <f t="shared" si="34"/>
        <v/>
      </c>
      <c r="T175" s="52" t="str">
        <f t="shared" si="35"/>
        <v/>
      </c>
    </row>
    <row r="176" spans="1:20" s="22" customFormat="1" ht="15" customHeight="1" x14ac:dyDescent="0.25">
      <c r="A176" s="26"/>
      <c r="B176" s="27"/>
      <c r="C176" s="27"/>
      <c r="D176" s="27"/>
      <c r="E176" s="27"/>
      <c r="F176" s="45" t="str">
        <f t="shared" si="32"/>
        <v/>
      </c>
      <c r="G176" s="45" t="str">
        <f t="shared" si="33"/>
        <v/>
      </c>
      <c r="H176" s="27"/>
      <c r="I176" s="28"/>
      <c r="J176" s="28"/>
      <c r="K176" s="28"/>
      <c r="L176" s="28"/>
      <c r="M176" s="55" t="str">
        <f t="shared" ca="1" si="30"/>
        <v/>
      </c>
      <c r="N176" s="27"/>
      <c r="O176" s="13" t="str">
        <f t="shared" ca="1" si="31"/>
        <v/>
      </c>
      <c r="P176" s="13" t="str">
        <f ca="1">IF(J176="","",IF(L176&lt;&gt;"",INDEX(_翻訳マスタ!$B$75:$D$75,1,MATCH(言語切替!$B$3,_翻訳マスタ!$B$1:$D$1,0)),IF(TODAY()&gt;J176,INDEX(_翻訳マスタ!$B$92:$D$92,1,MATCH(言語切替!$B$3,_翻訳マスタ!$B$1:$D$1,0)),IF(J176-TODAY()&lt;=7,INDEX(_翻訳マスタ!$B$91:$D$91,1,MATCH(言語切替!$B$3,_翻訳マスタ!$B$1:$D$1,0)),INDEX(_翻訳マスタ!$B$90:$D$90,1,MATCH(言語切替!$B$3,_翻訳マスタ!$B$1:$D$1,0))))))</f>
        <v/>
      </c>
      <c r="Q176" s="27"/>
      <c r="R176" s="36"/>
      <c r="S176" s="53" t="str">
        <f t="shared" si="34"/>
        <v/>
      </c>
      <c r="T176" s="53" t="str">
        <f t="shared" si="35"/>
        <v/>
      </c>
    </row>
    <row r="177" spans="1:20" s="22" customFormat="1" ht="15" customHeight="1" x14ac:dyDescent="0.25">
      <c r="A177" s="29"/>
      <c r="B177" s="30"/>
      <c r="C177" s="30"/>
      <c r="D177" s="30"/>
      <c r="E177" s="30"/>
      <c r="F177" s="46" t="str">
        <f t="shared" si="32"/>
        <v/>
      </c>
      <c r="G177" s="46" t="str">
        <f t="shared" si="33"/>
        <v/>
      </c>
      <c r="H177" s="30"/>
      <c r="I177" s="31"/>
      <c r="J177" s="31"/>
      <c r="K177" s="31"/>
      <c r="L177" s="31"/>
      <c r="M177" s="56" t="str">
        <f t="shared" ca="1" si="30"/>
        <v/>
      </c>
      <c r="N177" s="30"/>
      <c r="O177" s="16" t="str">
        <f t="shared" ca="1" si="31"/>
        <v/>
      </c>
      <c r="P177" s="16" t="str">
        <f ca="1">IF(J177="","",IF(L177&lt;&gt;"",INDEX(_翻訳マスタ!$B$75:$D$75,1,MATCH(言語切替!$B$3,_翻訳マスタ!$B$1:$D$1,0)),IF(TODAY()&gt;J177,INDEX(_翻訳マスタ!$B$92:$D$92,1,MATCH(言語切替!$B$3,_翻訳マスタ!$B$1:$D$1,0)),IF(J177-TODAY()&lt;=7,INDEX(_翻訳マスタ!$B$91:$D$91,1,MATCH(言語切替!$B$3,_翻訳マスタ!$B$1:$D$1,0)),INDEX(_翻訳マスタ!$B$90:$D$90,1,MATCH(言語切替!$B$3,_翻訳マスタ!$B$1:$D$1,0))))))</f>
        <v/>
      </c>
      <c r="Q177" s="30"/>
      <c r="R177" s="37"/>
      <c r="S177" s="52" t="str">
        <f t="shared" si="34"/>
        <v/>
      </c>
      <c r="T177" s="52" t="str">
        <f t="shared" si="35"/>
        <v/>
      </c>
    </row>
    <row r="178" spans="1:20" s="22" customFormat="1" ht="15" customHeight="1" x14ac:dyDescent="0.25">
      <c r="A178" s="26"/>
      <c r="B178" s="27"/>
      <c r="C178" s="27"/>
      <c r="D178" s="27"/>
      <c r="E178" s="27"/>
      <c r="F178" s="45" t="str">
        <f t="shared" si="32"/>
        <v/>
      </c>
      <c r="G178" s="45" t="str">
        <f t="shared" si="33"/>
        <v/>
      </c>
      <c r="H178" s="27"/>
      <c r="I178" s="28"/>
      <c r="J178" s="28"/>
      <c r="K178" s="28"/>
      <c r="L178" s="28"/>
      <c r="M178" s="55" t="str">
        <f t="shared" ca="1" si="30"/>
        <v/>
      </c>
      <c r="N178" s="27"/>
      <c r="O178" s="13" t="str">
        <f t="shared" ca="1" si="31"/>
        <v/>
      </c>
      <c r="P178" s="13" t="str">
        <f ca="1">IF(J178="","",IF(L178&lt;&gt;"",INDEX(_翻訳マスタ!$B$75:$D$75,1,MATCH(言語切替!$B$3,_翻訳マスタ!$B$1:$D$1,0)),IF(TODAY()&gt;J178,INDEX(_翻訳マスタ!$B$92:$D$92,1,MATCH(言語切替!$B$3,_翻訳マスタ!$B$1:$D$1,0)),IF(J178-TODAY()&lt;=7,INDEX(_翻訳マスタ!$B$91:$D$91,1,MATCH(言語切替!$B$3,_翻訳マスタ!$B$1:$D$1,0)),INDEX(_翻訳マスタ!$B$90:$D$90,1,MATCH(言語切替!$B$3,_翻訳マスタ!$B$1:$D$1,0))))))</f>
        <v/>
      </c>
      <c r="Q178" s="27"/>
      <c r="R178" s="36"/>
      <c r="S178" s="53" t="str">
        <f t="shared" si="34"/>
        <v/>
      </c>
      <c r="T178" s="53" t="str">
        <f t="shared" si="35"/>
        <v/>
      </c>
    </row>
    <row r="179" spans="1:20" s="22" customFormat="1" ht="15" customHeight="1" x14ac:dyDescent="0.25">
      <c r="A179" s="29"/>
      <c r="B179" s="30"/>
      <c r="C179" s="30"/>
      <c r="D179" s="30"/>
      <c r="E179" s="30"/>
      <c r="F179" s="46" t="str">
        <f t="shared" si="32"/>
        <v/>
      </c>
      <c r="G179" s="46" t="str">
        <f t="shared" si="33"/>
        <v/>
      </c>
      <c r="H179" s="30"/>
      <c r="I179" s="31"/>
      <c r="J179" s="31"/>
      <c r="K179" s="31"/>
      <c r="L179" s="31"/>
      <c r="M179" s="56" t="str">
        <f t="shared" ca="1" si="30"/>
        <v/>
      </c>
      <c r="N179" s="30"/>
      <c r="O179" s="16" t="str">
        <f t="shared" ca="1" si="31"/>
        <v/>
      </c>
      <c r="P179" s="16" t="str">
        <f ca="1">IF(J179="","",IF(L179&lt;&gt;"",INDEX(_翻訳マスタ!$B$75:$D$75,1,MATCH(言語切替!$B$3,_翻訳マスタ!$B$1:$D$1,0)),IF(TODAY()&gt;J179,INDEX(_翻訳マスタ!$B$92:$D$92,1,MATCH(言語切替!$B$3,_翻訳マスタ!$B$1:$D$1,0)),IF(J179-TODAY()&lt;=7,INDEX(_翻訳マスタ!$B$91:$D$91,1,MATCH(言語切替!$B$3,_翻訳マスタ!$B$1:$D$1,0)),INDEX(_翻訳マスタ!$B$90:$D$90,1,MATCH(言語切替!$B$3,_翻訳マスタ!$B$1:$D$1,0))))))</f>
        <v/>
      </c>
      <c r="Q179" s="30"/>
      <c r="R179" s="37"/>
      <c r="S179" s="52" t="str">
        <f t="shared" si="34"/>
        <v/>
      </c>
      <c r="T179" s="52" t="str">
        <f t="shared" si="35"/>
        <v/>
      </c>
    </row>
    <row r="180" spans="1:20" s="22" customFormat="1" ht="15" customHeight="1" x14ac:dyDescent="0.25">
      <c r="A180" s="26"/>
      <c r="B180" s="27"/>
      <c r="C180" s="27"/>
      <c r="D180" s="27"/>
      <c r="E180" s="27"/>
      <c r="F180" s="45" t="str">
        <f t="shared" si="32"/>
        <v/>
      </c>
      <c r="G180" s="45" t="str">
        <f t="shared" si="33"/>
        <v/>
      </c>
      <c r="H180" s="27"/>
      <c r="I180" s="28"/>
      <c r="J180" s="28"/>
      <c r="K180" s="28"/>
      <c r="L180" s="28"/>
      <c r="M180" s="55" t="str">
        <f t="shared" ca="1" si="30"/>
        <v/>
      </c>
      <c r="N180" s="27"/>
      <c r="O180" s="13" t="str">
        <f t="shared" ca="1" si="31"/>
        <v/>
      </c>
      <c r="P180" s="13" t="str">
        <f ca="1">IF(J180="","",IF(L180&lt;&gt;"",INDEX(_翻訳マスタ!$B$75:$D$75,1,MATCH(言語切替!$B$3,_翻訳マスタ!$B$1:$D$1,0)),IF(TODAY()&gt;J180,INDEX(_翻訳マスタ!$B$92:$D$92,1,MATCH(言語切替!$B$3,_翻訳マスタ!$B$1:$D$1,0)),IF(J180-TODAY()&lt;=7,INDEX(_翻訳マスタ!$B$91:$D$91,1,MATCH(言語切替!$B$3,_翻訳マスタ!$B$1:$D$1,0)),INDEX(_翻訳マスタ!$B$90:$D$90,1,MATCH(言語切替!$B$3,_翻訳マスタ!$B$1:$D$1,0))))))</f>
        <v/>
      </c>
      <c r="Q180" s="27"/>
      <c r="R180" s="36"/>
      <c r="S180" s="53" t="str">
        <f t="shared" si="34"/>
        <v/>
      </c>
      <c r="T180" s="53" t="str">
        <f t="shared" si="35"/>
        <v/>
      </c>
    </row>
    <row r="181" spans="1:20" s="22" customFormat="1" ht="15" customHeight="1" x14ac:dyDescent="0.25">
      <c r="A181" s="29"/>
      <c r="B181" s="30"/>
      <c r="C181" s="30"/>
      <c r="D181" s="30"/>
      <c r="E181" s="30"/>
      <c r="F181" s="46" t="str">
        <f t="shared" si="32"/>
        <v/>
      </c>
      <c r="G181" s="46" t="str">
        <f t="shared" si="33"/>
        <v/>
      </c>
      <c r="H181" s="30"/>
      <c r="I181" s="31"/>
      <c r="J181" s="31"/>
      <c r="K181" s="31"/>
      <c r="L181" s="31"/>
      <c r="M181" s="56" t="str">
        <f t="shared" ca="1" si="30"/>
        <v/>
      </c>
      <c r="N181" s="30"/>
      <c r="O181" s="16" t="str">
        <f t="shared" ca="1" si="31"/>
        <v/>
      </c>
      <c r="P181" s="16" t="str">
        <f ca="1">IF(J181="","",IF(L181&lt;&gt;"",INDEX(_翻訳マスタ!$B$75:$D$75,1,MATCH(言語切替!$B$3,_翻訳マスタ!$B$1:$D$1,0)),IF(TODAY()&gt;J181,INDEX(_翻訳マスタ!$B$92:$D$92,1,MATCH(言語切替!$B$3,_翻訳マスタ!$B$1:$D$1,0)),IF(J181-TODAY()&lt;=7,INDEX(_翻訳マスタ!$B$91:$D$91,1,MATCH(言語切替!$B$3,_翻訳マスタ!$B$1:$D$1,0)),INDEX(_翻訳マスタ!$B$90:$D$90,1,MATCH(言語切替!$B$3,_翻訳マスタ!$B$1:$D$1,0))))))</f>
        <v/>
      </c>
      <c r="Q181" s="30"/>
      <c r="R181" s="37"/>
      <c r="S181" s="52" t="str">
        <f t="shared" si="34"/>
        <v/>
      </c>
      <c r="T181" s="52" t="str">
        <f t="shared" si="35"/>
        <v/>
      </c>
    </row>
    <row r="182" spans="1:20" s="22" customFormat="1" ht="15" customHeight="1" x14ac:dyDescent="0.25">
      <c r="A182" s="26"/>
      <c r="B182" s="27"/>
      <c r="C182" s="27"/>
      <c r="D182" s="27"/>
      <c r="E182" s="27"/>
      <c r="F182" s="45" t="str">
        <f t="shared" si="32"/>
        <v/>
      </c>
      <c r="G182" s="45" t="str">
        <f t="shared" si="33"/>
        <v/>
      </c>
      <c r="H182" s="27"/>
      <c r="I182" s="28"/>
      <c r="J182" s="28"/>
      <c r="K182" s="28"/>
      <c r="L182" s="28"/>
      <c r="M182" s="55" t="str">
        <f t="shared" ca="1" si="30"/>
        <v/>
      </c>
      <c r="N182" s="27"/>
      <c r="O182" s="13" t="str">
        <f t="shared" ca="1" si="31"/>
        <v/>
      </c>
      <c r="P182" s="13" t="str">
        <f ca="1">IF(J182="","",IF(L182&lt;&gt;"",INDEX(_翻訳マスタ!$B$75:$D$75,1,MATCH(言語切替!$B$3,_翻訳マスタ!$B$1:$D$1,0)),IF(TODAY()&gt;J182,INDEX(_翻訳マスタ!$B$92:$D$92,1,MATCH(言語切替!$B$3,_翻訳マスタ!$B$1:$D$1,0)),IF(J182-TODAY()&lt;=7,INDEX(_翻訳マスタ!$B$91:$D$91,1,MATCH(言語切替!$B$3,_翻訳マスタ!$B$1:$D$1,0)),INDEX(_翻訳マスタ!$B$90:$D$90,1,MATCH(言語切替!$B$3,_翻訳マスタ!$B$1:$D$1,0))))))</f>
        <v/>
      </c>
      <c r="Q182" s="27"/>
      <c r="R182" s="36"/>
      <c r="S182" s="53" t="str">
        <f t="shared" si="34"/>
        <v/>
      </c>
      <c r="T182" s="53" t="str">
        <f t="shared" si="35"/>
        <v/>
      </c>
    </row>
    <row r="183" spans="1:20" s="22" customFormat="1" ht="15" customHeight="1" x14ac:dyDescent="0.25">
      <c r="A183" s="29"/>
      <c r="B183" s="30"/>
      <c r="C183" s="30"/>
      <c r="D183" s="30"/>
      <c r="E183" s="30"/>
      <c r="F183" s="46" t="str">
        <f t="shared" si="32"/>
        <v/>
      </c>
      <c r="G183" s="46" t="str">
        <f t="shared" si="33"/>
        <v/>
      </c>
      <c r="H183" s="30"/>
      <c r="I183" s="31"/>
      <c r="J183" s="31"/>
      <c r="K183" s="31"/>
      <c r="L183" s="31"/>
      <c r="M183" s="56" t="str">
        <f t="shared" ca="1" si="30"/>
        <v/>
      </c>
      <c r="N183" s="30"/>
      <c r="O183" s="16" t="str">
        <f t="shared" ca="1" si="31"/>
        <v/>
      </c>
      <c r="P183" s="16" t="str">
        <f ca="1">IF(J183="","",IF(L183&lt;&gt;"",INDEX(_翻訳マスタ!$B$75:$D$75,1,MATCH(言語切替!$B$3,_翻訳マスタ!$B$1:$D$1,0)),IF(TODAY()&gt;J183,INDEX(_翻訳マスタ!$B$92:$D$92,1,MATCH(言語切替!$B$3,_翻訳マスタ!$B$1:$D$1,0)),IF(J183-TODAY()&lt;=7,INDEX(_翻訳マスタ!$B$91:$D$91,1,MATCH(言語切替!$B$3,_翻訳マスタ!$B$1:$D$1,0)),INDEX(_翻訳マスタ!$B$90:$D$90,1,MATCH(言語切替!$B$3,_翻訳マスタ!$B$1:$D$1,0))))))</f>
        <v/>
      </c>
      <c r="Q183" s="30"/>
      <c r="R183" s="37"/>
      <c r="S183" s="52" t="str">
        <f t="shared" si="34"/>
        <v/>
      </c>
      <c r="T183" s="52" t="str">
        <f t="shared" si="35"/>
        <v/>
      </c>
    </row>
    <row r="184" spans="1:20" s="22" customFormat="1" ht="15" customHeight="1" x14ac:dyDescent="0.25">
      <c r="A184" s="26"/>
      <c r="B184" s="27"/>
      <c r="C184" s="27"/>
      <c r="D184" s="27"/>
      <c r="E184" s="27"/>
      <c r="F184" s="45" t="str">
        <f t="shared" si="32"/>
        <v/>
      </c>
      <c r="G184" s="45" t="str">
        <f t="shared" si="33"/>
        <v/>
      </c>
      <c r="H184" s="27"/>
      <c r="I184" s="28"/>
      <c r="J184" s="28"/>
      <c r="K184" s="28"/>
      <c r="L184" s="28"/>
      <c r="M184" s="55" t="str">
        <f t="shared" ca="1" si="30"/>
        <v/>
      </c>
      <c r="N184" s="27"/>
      <c r="O184" s="13" t="str">
        <f t="shared" ca="1" si="31"/>
        <v/>
      </c>
      <c r="P184" s="13" t="str">
        <f ca="1">IF(J184="","",IF(L184&lt;&gt;"",INDEX(_翻訳マスタ!$B$75:$D$75,1,MATCH(言語切替!$B$3,_翻訳マスタ!$B$1:$D$1,0)),IF(TODAY()&gt;J184,INDEX(_翻訳マスタ!$B$92:$D$92,1,MATCH(言語切替!$B$3,_翻訳マスタ!$B$1:$D$1,0)),IF(J184-TODAY()&lt;=7,INDEX(_翻訳マスタ!$B$91:$D$91,1,MATCH(言語切替!$B$3,_翻訳マスタ!$B$1:$D$1,0)),INDEX(_翻訳マスタ!$B$90:$D$90,1,MATCH(言語切替!$B$3,_翻訳マスタ!$B$1:$D$1,0))))))</f>
        <v/>
      </c>
      <c r="Q184" s="27"/>
      <c r="R184" s="36"/>
      <c r="S184" s="53" t="str">
        <f t="shared" si="34"/>
        <v/>
      </c>
      <c r="T184" s="53" t="str">
        <f t="shared" si="35"/>
        <v/>
      </c>
    </row>
    <row r="185" spans="1:20" s="22" customFormat="1" ht="15" customHeight="1" x14ac:dyDescent="0.25">
      <c r="A185" s="29"/>
      <c r="B185" s="30"/>
      <c r="C185" s="30"/>
      <c r="D185" s="30"/>
      <c r="E185" s="30"/>
      <c r="F185" s="46" t="str">
        <f t="shared" si="32"/>
        <v/>
      </c>
      <c r="G185" s="46" t="str">
        <f t="shared" si="33"/>
        <v/>
      </c>
      <c r="H185" s="30"/>
      <c r="I185" s="31"/>
      <c r="J185" s="31"/>
      <c r="K185" s="31"/>
      <c r="L185" s="31"/>
      <c r="M185" s="56" t="str">
        <f t="shared" ca="1" si="30"/>
        <v/>
      </c>
      <c r="N185" s="30"/>
      <c r="O185" s="16" t="str">
        <f t="shared" ca="1" si="31"/>
        <v/>
      </c>
      <c r="P185" s="16" t="str">
        <f ca="1">IF(J185="","",IF(L185&lt;&gt;"",INDEX(_翻訳マスタ!$B$75:$D$75,1,MATCH(言語切替!$B$3,_翻訳マスタ!$B$1:$D$1,0)),IF(TODAY()&gt;J185,INDEX(_翻訳マスタ!$B$92:$D$92,1,MATCH(言語切替!$B$3,_翻訳マスタ!$B$1:$D$1,0)),IF(J185-TODAY()&lt;=7,INDEX(_翻訳マスタ!$B$91:$D$91,1,MATCH(言語切替!$B$3,_翻訳マスタ!$B$1:$D$1,0)),INDEX(_翻訳マスタ!$B$90:$D$90,1,MATCH(言語切替!$B$3,_翻訳マスタ!$B$1:$D$1,0))))))</f>
        <v/>
      </c>
      <c r="Q185" s="30"/>
      <c r="R185" s="37"/>
      <c r="S185" s="52" t="str">
        <f t="shared" si="34"/>
        <v/>
      </c>
      <c r="T185" s="52" t="str">
        <f t="shared" si="35"/>
        <v/>
      </c>
    </row>
    <row r="186" spans="1:20" s="22" customFormat="1" ht="15" customHeight="1" x14ac:dyDescent="0.25">
      <c r="A186" s="26"/>
      <c r="B186" s="27"/>
      <c r="C186" s="27"/>
      <c r="D186" s="27"/>
      <c r="E186" s="27"/>
      <c r="F186" s="45" t="str">
        <f t="shared" si="32"/>
        <v/>
      </c>
      <c r="G186" s="45" t="str">
        <f t="shared" si="33"/>
        <v/>
      </c>
      <c r="H186" s="27"/>
      <c r="I186" s="28"/>
      <c r="J186" s="28"/>
      <c r="K186" s="28"/>
      <c r="L186" s="28"/>
      <c r="M186" s="55" t="str">
        <f t="shared" ca="1" si="30"/>
        <v/>
      </c>
      <c r="N186" s="27"/>
      <c r="O186" s="13" t="str">
        <f t="shared" ca="1" si="31"/>
        <v/>
      </c>
      <c r="P186" s="13" t="str">
        <f ca="1">IF(J186="","",IF(L186&lt;&gt;"",INDEX(_翻訳マスタ!$B$75:$D$75,1,MATCH(言語切替!$B$3,_翻訳マスタ!$B$1:$D$1,0)),IF(TODAY()&gt;J186,INDEX(_翻訳マスタ!$B$92:$D$92,1,MATCH(言語切替!$B$3,_翻訳マスタ!$B$1:$D$1,0)),IF(J186-TODAY()&lt;=7,INDEX(_翻訳マスタ!$B$91:$D$91,1,MATCH(言語切替!$B$3,_翻訳マスタ!$B$1:$D$1,0)),INDEX(_翻訳マスタ!$B$90:$D$90,1,MATCH(言語切替!$B$3,_翻訳マスタ!$B$1:$D$1,0))))))</f>
        <v/>
      </c>
      <c r="Q186" s="27"/>
      <c r="R186" s="36"/>
      <c r="S186" s="53" t="str">
        <f t="shared" si="34"/>
        <v/>
      </c>
      <c r="T186" s="53" t="str">
        <f t="shared" si="35"/>
        <v/>
      </c>
    </row>
    <row r="187" spans="1:20" s="22" customFormat="1" ht="15" customHeight="1" x14ac:dyDescent="0.25">
      <c r="A187" s="29"/>
      <c r="B187" s="30"/>
      <c r="C187" s="30"/>
      <c r="D187" s="30"/>
      <c r="E187" s="30"/>
      <c r="F187" s="46" t="str">
        <f t="shared" si="32"/>
        <v/>
      </c>
      <c r="G187" s="46" t="str">
        <f t="shared" si="33"/>
        <v/>
      </c>
      <c r="H187" s="30"/>
      <c r="I187" s="31"/>
      <c r="J187" s="31"/>
      <c r="K187" s="31"/>
      <c r="L187" s="31"/>
      <c r="M187" s="56" t="str">
        <f t="shared" ca="1" si="30"/>
        <v/>
      </c>
      <c r="N187" s="30"/>
      <c r="O187" s="16" t="str">
        <f t="shared" ca="1" si="31"/>
        <v/>
      </c>
      <c r="P187" s="16" t="str">
        <f ca="1">IF(J187="","",IF(L187&lt;&gt;"",INDEX(_翻訳マスタ!$B$75:$D$75,1,MATCH(言語切替!$B$3,_翻訳マスタ!$B$1:$D$1,0)),IF(TODAY()&gt;J187,INDEX(_翻訳マスタ!$B$92:$D$92,1,MATCH(言語切替!$B$3,_翻訳マスタ!$B$1:$D$1,0)),IF(J187-TODAY()&lt;=7,INDEX(_翻訳マスタ!$B$91:$D$91,1,MATCH(言語切替!$B$3,_翻訳マスタ!$B$1:$D$1,0)),INDEX(_翻訳マスタ!$B$90:$D$90,1,MATCH(言語切替!$B$3,_翻訳マスタ!$B$1:$D$1,0))))))</f>
        <v/>
      </c>
      <c r="Q187" s="30"/>
      <c r="R187" s="37"/>
      <c r="S187" s="52" t="str">
        <f t="shared" si="34"/>
        <v/>
      </c>
      <c r="T187" s="52" t="str">
        <f t="shared" si="35"/>
        <v/>
      </c>
    </row>
    <row r="188" spans="1:20" s="22" customFormat="1" ht="15" customHeight="1" x14ac:dyDescent="0.25">
      <c r="A188" s="26"/>
      <c r="B188" s="27"/>
      <c r="C188" s="27"/>
      <c r="D188" s="27"/>
      <c r="E188" s="27"/>
      <c r="F188" s="45" t="str">
        <f t="shared" si="32"/>
        <v/>
      </c>
      <c r="G188" s="45" t="str">
        <f t="shared" si="33"/>
        <v/>
      </c>
      <c r="H188" s="27"/>
      <c r="I188" s="28"/>
      <c r="J188" s="28"/>
      <c r="K188" s="28"/>
      <c r="L188" s="28"/>
      <c r="M188" s="55" t="str">
        <f t="shared" ca="1" si="30"/>
        <v/>
      </c>
      <c r="N188" s="27"/>
      <c r="O188" s="13" t="str">
        <f t="shared" ca="1" si="31"/>
        <v/>
      </c>
      <c r="P188" s="13" t="str">
        <f ca="1">IF(J188="","",IF(L188&lt;&gt;"",INDEX(_翻訳マスタ!$B$75:$D$75,1,MATCH(言語切替!$B$3,_翻訳マスタ!$B$1:$D$1,0)),IF(TODAY()&gt;J188,INDEX(_翻訳マスタ!$B$92:$D$92,1,MATCH(言語切替!$B$3,_翻訳マスタ!$B$1:$D$1,0)),IF(J188-TODAY()&lt;=7,INDEX(_翻訳マスタ!$B$91:$D$91,1,MATCH(言語切替!$B$3,_翻訳マスタ!$B$1:$D$1,0)),INDEX(_翻訳マスタ!$B$90:$D$90,1,MATCH(言語切替!$B$3,_翻訳マスタ!$B$1:$D$1,0))))))</f>
        <v/>
      </c>
      <c r="Q188" s="27"/>
      <c r="R188" s="36"/>
      <c r="S188" s="53" t="str">
        <f t="shared" si="34"/>
        <v/>
      </c>
      <c r="T188" s="53" t="str">
        <f t="shared" si="35"/>
        <v/>
      </c>
    </row>
    <row r="189" spans="1:20" s="22" customFormat="1" ht="15" customHeight="1" x14ac:dyDescent="0.25">
      <c r="A189" s="29"/>
      <c r="B189" s="30"/>
      <c r="C189" s="30"/>
      <c r="D189" s="30"/>
      <c r="E189" s="30"/>
      <c r="F189" s="46" t="str">
        <f t="shared" si="32"/>
        <v/>
      </c>
      <c r="G189" s="46" t="str">
        <f t="shared" si="33"/>
        <v/>
      </c>
      <c r="H189" s="30"/>
      <c r="I189" s="31"/>
      <c r="J189" s="31"/>
      <c r="K189" s="31"/>
      <c r="L189" s="31"/>
      <c r="M189" s="56" t="str">
        <f t="shared" ca="1" si="30"/>
        <v/>
      </c>
      <c r="N189" s="30"/>
      <c r="O189" s="16" t="str">
        <f t="shared" ca="1" si="31"/>
        <v/>
      </c>
      <c r="P189" s="16" t="str">
        <f ca="1">IF(J189="","",IF(L189&lt;&gt;"",INDEX(_翻訳マスタ!$B$75:$D$75,1,MATCH(言語切替!$B$3,_翻訳マスタ!$B$1:$D$1,0)),IF(TODAY()&gt;J189,INDEX(_翻訳マスタ!$B$92:$D$92,1,MATCH(言語切替!$B$3,_翻訳マスタ!$B$1:$D$1,0)),IF(J189-TODAY()&lt;=7,INDEX(_翻訳マスタ!$B$91:$D$91,1,MATCH(言語切替!$B$3,_翻訳マスタ!$B$1:$D$1,0)),INDEX(_翻訳マスタ!$B$90:$D$90,1,MATCH(言語切替!$B$3,_翻訳マスタ!$B$1:$D$1,0))))))</f>
        <v/>
      </c>
      <c r="Q189" s="30"/>
      <c r="R189" s="37"/>
      <c r="S189" s="52" t="str">
        <f t="shared" si="34"/>
        <v/>
      </c>
      <c r="T189" s="52" t="str">
        <f t="shared" si="35"/>
        <v/>
      </c>
    </row>
    <row r="190" spans="1:20" s="22" customFormat="1" ht="15" customHeight="1" x14ac:dyDescent="0.25">
      <c r="A190" s="26"/>
      <c r="B190" s="27"/>
      <c r="C190" s="27"/>
      <c r="D190" s="27"/>
      <c r="E190" s="27"/>
      <c r="F190" s="45" t="str">
        <f t="shared" si="32"/>
        <v/>
      </c>
      <c r="G190" s="45" t="str">
        <f t="shared" si="33"/>
        <v/>
      </c>
      <c r="H190" s="27"/>
      <c r="I190" s="28"/>
      <c r="J190" s="28"/>
      <c r="K190" s="28"/>
      <c r="L190" s="28"/>
      <c r="M190" s="55" t="str">
        <f t="shared" ca="1" si="30"/>
        <v/>
      </c>
      <c r="N190" s="27"/>
      <c r="O190" s="13" t="str">
        <f t="shared" ca="1" si="31"/>
        <v/>
      </c>
      <c r="P190" s="13" t="str">
        <f ca="1">IF(J190="","",IF(L190&lt;&gt;"",INDEX(_翻訳マスタ!$B$75:$D$75,1,MATCH(言語切替!$B$3,_翻訳マスタ!$B$1:$D$1,0)),IF(TODAY()&gt;J190,INDEX(_翻訳マスタ!$B$92:$D$92,1,MATCH(言語切替!$B$3,_翻訳マスタ!$B$1:$D$1,0)),IF(J190-TODAY()&lt;=7,INDEX(_翻訳マスタ!$B$91:$D$91,1,MATCH(言語切替!$B$3,_翻訳マスタ!$B$1:$D$1,0)),INDEX(_翻訳マスタ!$B$90:$D$90,1,MATCH(言語切替!$B$3,_翻訳マスタ!$B$1:$D$1,0))))))</f>
        <v/>
      </c>
      <c r="Q190" s="27"/>
      <c r="R190" s="36"/>
      <c r="S190" s="53" t="str">
        <f t="shared" si="34"/>
        <v/>
      </c>
      <c r="T190" s="53" t="str">
        <f t="shared" si="35"/>
        <v/>
      </c>
    </row>
    <row r="191" spans="1:20" s="22" customFormat="1" ht="15" customHeight="1" x14ac:dyDescent="0.25">
      <c r="A191" s="29"/>
      <c r="B191" s="30"/>
      <c r="C191" s="30"/>
      <c r="D191" s="30"/>
      <c r="E191" s="30"/>
      <c r="F191" s="46" t="str">
        <f t="shared" si="32"/>
        <v/>
      </c>
      <c r="G191" s="46" t="str">
        <f t="shared" si="33"/>
        <v/>
      </c>
      <c r="H191" s="30"/>
      <c r="I191" s="31"/>
      <c r="J191" s="31"/>
      <c r="K191" s="31"/>
      <c r="L191" s="31"/>
      <c r="M191" s="56" t="str">
        <f t="shared" ca="1" si="30"/>
        <v/>
      </c>
      <c r="N191" s="30"/>
      <c r="O191" s="16" t="str">
        <f t="shared" ca="1" si="31"/>
        <v/>
      </c>
      <c r="P191" s="16" t="str">
        <f ca="1">IF(J191="","",IF(L191&lt;&gt;"",INDEX(_翻訳マスタ!$B$75:$D$75,1,MATCH(言語切替!$B$3,_翻訳マスタ!$B$1:$D$1,0)),IF(TODAY()&gt;J191,INDEX(_翻訳マスタ!$B$92:$D$92,1,MATCH(言語切替!$B$3,_翻訳マスタ!$B$1:$D$1,0)),IF(J191-TODAY()&lt;=7,INDEX(_翻訳マスタ!$B$91:$D$91,1,MATCH(言語切替!$B$3,_翻訳マスタ!$B$1:$D$1,0)),INDEX(_翻訳マスタ!$B$90:$D$90,1,MATCH(言語切替!$B$3,_翻訳マスタ!$B$1:$D$1,0))))))</f>
        <v/>
      </c>
      <c r="Q191" s="30"/>
      <c r="R191" s="37"/>
      <c r="S191" s="52" t="str">
        <f t="shared" si="34"/>
        <v/>
      </c>
      <c r="T191" s="52" t="str">
        <f t="shared" si="35"/>
        <v/>
      </c>
    </row>
    <row r="192" spans="1:20" s="22" customFormat="1" ht="15" customHeight="1" x14ac:dyDescent="0.25">
      <c r="A192" s="26"/>
      <c r="B192" s="27"/>
      <c r="C192" s="27"/>
      <c r="D192" s="27"/>
      <c r="E192" s="27"/>
      <c r="F192" s="45" t="str">
        <f t="shared" si="32"/>
        <v/>
      </c>
      <c r="G192" s="45" t="str">
        <f t="shared" si="33"/>
        <v/>
      </c>
      <c r="H192" s="27"/>
      <c r="I192" s="28"/>
      <c r="J192" s="28"/>
      <c r="K192" s="28"/>
      <c r="L192" s="28"/>
      <c r="M192" s="55" t="str">
        <f t="shared" ca="1" si="30"/>
        <v/>
      </c>
      <c r="N192" s="27"/>
      <c r="O192" s="13" t="str">
        <f t="shared" ca="1" si="31"/>
        <v/>
      </c>
      <c r="P192" s="13" t="str">
        <f ca="1">IF(J192="","",IF(L192&lt;&gt;"",INDEX(_翻訳マスタ!$B$75:$D$75,1,MATCH(言語切替!$B$3,_翻訳マスタ!$B$1:$D$1,0)),IF(TODAY()&gt;J192,INDEX(_翻訳マスタ!$B$92:$D$92,1,MATCH(言語切替!$B$3,_翻訳マスタ!$B$1:$D$1,0)),IF(J192-TODAY()&lt;=7,INDEX(_翻訳マスタ!$B$91:$D$91,1,MATCH(言語切替!$B$3,_翻訳マスタ!$B$1:$D$1,0)),INDEX(_翻訳マスタ!$B$90:$D$90,1,MATCH(言語切替!$B$3,_翻訳マスタ!$B$1:$D$1,0))))))</f>
        <v/>
      </c>
      <c r="Q192" s="27"/>
      <c r="R192" s="36"/>
      <c r="S192" s="53" t="str">
        <f t="shared" si="34"/>
        <v/>
      </c>
      <c r="T192" s="53" t="str">
        <f t="shared" si="35"/>
        <v/>
      </c>
    </row>
    <row r="193" spans="1:20" s="22" customFormat="1" ht="15" customHeight="1" x14ac:dyDescent="0.25">
      <c r="A193" s="29"/>
      <c r="B193" s="30"/>
      <c r="C193" s="30"/>
      <c r="D193" s="30"/>
      <c r="E193" s="30"/>
      <c r="F193" s="46" t="str">
        <f t="shared" si="32"/>
        <v/>
      </c>
      <c r="G193" s="46" t="str">
        <f t="shared" si="33"/>
        <v/>
      </c>
      <c r="H193" s="30"/>
      <c r="I193" s="31"/>
      <c r="J193" s="31"/>
      <c r="K193" s="31"/>
      <c r="L193" s="31"/>
      <c r="M193" s="56" t="str">
        <f t="shared" ca="1" si="30"/>
        <v/>
      </c>
      <c r="N193" s="30"/>
      <c r="O193" s="16" t="str">
        <f t="shared" ca="1" si="31"/>
        <v/>
      </c>
      <c r="P193" s="16" t="str">
        <f ca="1">IF(J193="","",IF(L193&lt;&gt;"",INDEX(_翻訳マスタ!$B$75:$D$75,1,MATCH(言語切替!$B$3,_翻訳マスタ!$B$1:$D$1,0)),IF(TODAY()&gt;J193,INDEX(_翻訳マスタ!$B$92:$D$92,1,MATCH(言語切替!$B$3,_翻訳マスタ!$B$1:$D$1,0)),IF(J193-TODAY()&lt;=7,INDEX(_翻訳マスタ!$B$91:$D$91,1,MATCH(言語切替!$B$3,_翻訳マスタ!$B$1:$D$1,0)),INDEX(_翻訳マスタ!$B$90:$D$90,1,MATCH(言語切替!$B$3,_翻訳マスタ!$B$1:$D$1,0))))))</f>
        <v/>
      </c>
      <c r="Q193" s="30"/>
      <c r="R193" s="37"/>
      <c r="S193" s="52" t="str">
        <f t="shared" si="34"/>
        <v/>
      </c>
      <c r="T193" s="52" t="str">
        <f t="shared" si="35"/>
        <v/>
      </c>
    </row>
    <row r="194" spans="1:20" s="22" customFormat="1" ht="15" customHeight="1" x14ac:dyDescent="0.25">
      <c r="A194" s="26"/>
      <c r="B194" s="27"/>
      <c r="C194" s="27"/>
      <c r="D194" s="27"/>
      <c r="E194" s="27"/>
      <c r="F194" s="45" t="str">
        <f t="shared" si="32"/>
        <v/>
      </c>
      <c r="G194" s="45" t="str">
        <f t="shared" si="33"/>
        <v/>
      </c>
      <c r="H194" s="27"/>
      <c r="I194" s="28"/>
      <c r="J194" s="28"/>
      <c r="K194" s="28"/>
      <c r="L194" s="28"/>
      <c r="M194" s="55" t="str">
        <f t="shared" ca="1" si="30"/>
        <v/>
      </c>
      <c r="N194" s="27"/>
      <c r="O194" s="13" t="str">
        <f t="shared" ca="1" si="31"/>
        <v/>
      </c>
      <c r="P194" s="13" t="str">
        <f ca="1">IF(J194="","",IF(L194&lt;&gt;"",INDEX(_翻訳マスタ!$B$75:$D$75,1,MATCH(言語切替!$B$3,_翻訳マスタ!$B$1:$D$1,0)),IF(TODAY()&gt;J194,INDEX(_翻訳マスタ!$B$92:$D$92,1,MATCH(言語切替!$B$3,_翻訳マスタ!$B$1:$D$1,0)),IF(J194-TODAY()&lt;=7,INDEX(_翻訳マスタ!$B$91:$D$91,1,MATCH(言語切替!$B$3,_翻訳マスタ!$B$1:$D$1,0)),INDEX(_翻訳マスタ!$B$90:$D$90,1,MATCH(言語切替!$B$3,_翻訳マスタ!$B$1:$D$1,0))))))</f>
        <v/>
      </c>
      <c r="Q194" s="27"/>
      <c r="R194" s="36"/>
      <c r="S194" s="53" t="str">
        <f t="shared" si="34"/>
        <v/>
      </c>
      <c r="T194" s="53" t="str">
        <f t="shared" si="35"/>
        <v/>
      </c>
    </row>
    <row r="195" spans="1:20" s="22" customFormat="1" ht="15" customHeight="1" x14ac:dyDescent="0.25">
      <c r="A195" s="29"/>
      <c r="B195" s="30"/>
      <c r="C195" s="30"/>
      <c r="D195" s="30"/>
      <c r="E195" s="30"/>
      <c r="F195" s="46" t="str">
        <f t="shared" si="32"/>
        <v/>
      </c>
      <c r="G195" s="46" t="str">
        <f t="shared" si="33"/>
        <v/>
      </c>
      <c r="H195" s="30"/>
      <c r="I195" s="31"/>
      <c r="J195" s="31"/>
      <c r="K195" s="31"/>
      <c r="L195" s="31"/>
      <c r="M195" s="56" t="str">
        <f t="shared" ca="1" si="30"/>
        <v/>
      </c>
      <c r="N195" s="30"/>
      <c r="O195" s="16" t="str">
        <f t="shared" ca="1" si="31"/>
        <v/>
      </c>
      <c r="P195" s="16" t="str">
        <f ca="1">IF(J195="","",IF(L195&lt;&gt;"",INDEX(_翻訳マスタ!$B$75:$D$75,1,MATCH(言語切替!$B$3,_翻訳マスタ!$B$1:$D$1,0)),IF(TODAY()&gt;J195,INDEX(_翻訳マスタ!$B$92:$D$92,1,MATCH(言語切替!$B$3,_翻訳マスタ!$B$1:$D$1,0)),IF(J195-TODAY()&lt;=7,INDEX(_翻訳マスタ!$B$91:$D$91,1,MATCH(言語切替!$B$3,_翻訳マスタ!$B$1:$D$1,0)),INDEX(_翻訳マスタ!$B$90:$D$90,1,MATCH(言語切替!$B$3,_翻訳マスタ!$B$1:$D$1,0))))))</f>
        <v/>
      </c>
      <c r="Q195" s="30"/>
      <c r="R195" s="37"/>
      <c r="S195" s="52" t="str">
        <f t="shared" si="34"/>
        <v/>
      </c>
      <c r="T195" s="52" t="str">
        <f t="shared" si="35"/>
        <v/>
      </c>
    </row>
    <row r="196" spans="1:20" s="22" customFormat="1" ht="15" customHeight="1" x14ac:dyDescent="0.25">
      <c r="A196" s="26"/>
      <c r="B196" s="27"/>
      <c r="C196" s="27"/>
      <c r="D196" s="27"/>
      <c r="E196" s="27"/>
      <c r="F196" s="45" t="str">
        <f t="shared" si="32"/>
        <v/>
      </c>
      <c r="G196" s="45" t="str">
        <f t="shared" si="33"/>
        <v/>
      </c>
      <c r="H196" s="27"/>
      <c r="I196" s="28"/>
      <c r="J196" s="28"/>
      <c r="K196" s="28"/>
      <c r="L196" s="28"/>
      <c r="M196" s="55" t="str">
        <f t="shared" ca="1" si="30"/>
        <v/>
      </c>
      <c r="N196" s="27"/>
      <c r="O196" s="13" t="str">
        <f t="shared" ca="1" si="31"/>
        <v/>
      </c>
      <c r="P196" s="13" t="str">
        <f ca="1">IF(J196="","",IF(L196&lt;&gt;"",INDEX(_翻訳マスタ!$B$75:$D$75,1,MATCH(言語切替!$B$3,_翻訳マスタ!$B$1:$D$1,0)),IF(TODAY()&gt;J196,INDEX(_翻訳マスタ!$B$92:$D$92,1,MATCH(言語切替!$B$3,_翻訳マスタ!$B$1:$D$1,0)),IF(J196-TODAY()&lt;=7,INDEX(_翻訳マスタ!$B$91:$D$91,1,MATCH(言語切替!$B$3,_翻訳マスタ!$B$1:$D$1,0)),INDEX(_翻訳マスタ!$B$90:$D$90,1,MATCH(言語切替!$B$3,_翻訳マスタ!$B$1:$D$1,0))))))</f>
        <v/>
      </c>
      <c r="Q196" s="27"/>
      <c r="R196" s="36"/>
      <c r="S196" s="53" t="str">
        <f t="shared" si="34"/>
        <v/>
      </c>
      <c r="T196" s="53" t="str">
        <f t="shared" si="35"/>
        <v/>
      </c>
    </row>
    <row r="197" spans="1:20" s="22" customFormat="1" ht="15" customHeight="1" x14ac:dyDescent="0.25">
      <c r="A197" s="29"/>
      <c r="B197" s="30"/>
      <c r="C197" s="30"/>
      <c r="D197" s="30"/>
      <c r="E197" s="30"/>
      <c r="F197" s="46" t="str">
        <f t="shared" si="32"/>
        <v/>
      </c>
      <c r="G197" s="46" t="str">
        <f t="shared" si="33"/>
        <v/>
      </c>
      <c r="H197" s="30"/>
      <c r="I197" s="31"/>
      <c r="J197" s="31"/>
      <c r="K197" s="31"/>
      <c r="L197" s="31"/>
      <c r="M197" s="56" t="str">
        <f t="shared" ref="M197:M204" ca="1" si="36">IF(OR(I197="",J197=""),"",IF(L197&lt;&gt;"",1,IF(K197="",0,MAX(0,MIN(1,(TODAY()-I197)/(J197-I197+1))))))</f>
        <v/>
      </c>
      <c r="N197" s="30"/>
      <c r="O197" s="16" t="str">
        <f t="shared" ref="O197:O204" ca="1" si="37">IF(J197="","",J197-TODAY())</f>
        <v/>
      </c>
      <c r="P197" s="16" t="str">
        <f ca="1">IF(J197="","",IF(L197&lt;&gt;"",INDEX(_翻訳マスタ!$B$75:$D$75,1,MATCH(言語切替!$B$3,_翻訳マスタ!$B$1:$D$1,0)),IF(TODAY()&gt;J197,INDEX(_翻訳マスタ!$B$92:$D$92,1,MATCH(言語切替!$B$3,_翻訳マスタ!$B$1:$D$1,0)),IF(J197-TODAY()&lt;=7,INDEX(_翻訳マスタ!$B$91:$D$91,1,MATCH(言語切替!$B$3,_翻訳マスタ!$B$1:$D$1,0)),INDEX(_翻訳マスタ!$B$90:$D$90,1,MATCH(言語切替!$B$3,_翻訳マスタ!$B$1:$D$1,0))))))</f>
        <v/>
      </c>
      <c r="Q197" s="30"/>
      <c r="R197" s="37"/>
      <c r="S197" s="52" t="str">
        <f t="shared" si="34"/>
        <v/>
      </c>
      <c r="T197" s="52" t="str">
        <f t="shared" si="35"/>
        <v/>
      </c>
    </row>
    <row r="198" spans="1:20" s="22" customFormat="1" ht="15" customHeight="1" x14ac:dyDescent="0.25">
      <c r="A198" s="26"/>
      <c r="B198" s="27"/>
      <c r="C198" s="27"/>
      <c r="D198" s="27"/>
      <c r="E198" s="27"/>
      <c r="F198" s="45" t="str">
        <f t="shared" si="32"/>
        <v/>
      </c>
      <c r="G198" s="45" t="str">
        <f t="shared" si="33"/>
        <v/>
      </c>
      <c r="H198" s="27"/>
      <c r="I198" s="28"/>
      <c r="J198" s="28"/>
      <c r="K198" s="28"/>
      <c r="L198" s="28"/>
      <c r="M198" s="55" t="str">
        <f t="shared" ca="1" si="36"/>
        <v/>
      </c>
      <c r="N198" s="27"/>
      <c r="O198" s="13" t="str">
        <f t="shared" ca="1" si="37"/>
        <v/>
      </c>
      <c r="P198" s="13" t="str">
        <f ca="1">IF(J198="","",IF(L198&lt;&gt;"",INDEX(_翻訳マスタ!$B$75:$D$75,1,MATCH(言語切替!$B$3,_翻訳マスタ!$B$1:$D$1,0)),IF(TODAY()&gt;J198,INDEX(_翻訳マスタ!$B$92:$D$92,1,MATCH(言語切替!$B$3,_翻訳マスタ!$B$1:$D$1,0)),IF(J198-TODAY()&lt;=7,INDEX(_翻訳マスタ!$B$91:$D$91,1,MATCH(言語切替!$B$3,_翻訳マスタ!$B$1:$D$1,0)),INDEX(_翻訳マスタ!$B$90:$D$90,1,MATCH(言語切替!$B$3,_翻訳マスタ!$B$1:$D$1,0))))))</f>
        <v/>
      </c>
      <c r="Q198" s="27"/>
      <c r="R198" s="36"/>
      <c r="S198" s="53" t="str">
        <f t="shared" si="34"/>
        <v/>
      </c>
      <c r="T198" s="53" t="str">
        <f t="shared" si="35"/>
        <v/>
      </c>
    </row>
    <row r="199" spans="1:20" s="22" customFormat="1" ht="15" customHeight="1" x14ac:dyDescent="0.25">
      <c r="A199" s="29"/>
      <c r="B199" s="30"/>
      <c r="C199" s="30"/>
      <c r="D199" s="30"/>
      <c r="E199" s="30"/>
      <c r="F199" s="46" t="str">
        <f t="shared" si="32"/>
        <v/>
      </c>
      <c r="G199" s="46" t="str">
        <f t="shared" si="33"/>
        <v/>
      </c>
      <c r="H199" s="30"/>
      <c r="I199" s="31"/>
      <c r="J199" s="31"/>
      <c r="K199" s="31"/>
      <c r="L199" s="31"/>
      <c r="M199" s="56" t="str">
        <f t="shared" ca="1" si="36"/>
        <v/>
      </c>
      <c r="N199" s="30"/>
      <c r="O199" s="16" t="str">
        <f t="shared" ca="1" si="37"/>
        <v/>
      </c>
      <c r="P199" s="16" t="str">
        <f ca="1">IF(J199="","",IF(L199&lt;&gt;"",INDEX(_翻訳マスタ!$B$75:$D$75,1,MATCH(言語切替!$B$3,_翻訳マスタ!$B$1:$D$1,0)),IF(TODAY()&gt;J199,INDEX(_翻訳マスタ!$B$92:$D$92,1,MATCH(言語切替!$B$3,_翻訳マスタ!$B$1:$D$1,0)),IF(J199-TODAY()&lt;=7,INDEX(_翻訳マスタ!$B$91:$D$91,1,MATCH(言語切替!$B$3,_翻訳マスタ!$B$1:$D$1,0)),INDEX(_翻訳マスタ!$B$90:$D$90,1,MATCH(言語切替!$B$3,_翻訳マスタ!$B$1:$D$1,0))))))</f>
        <v/>
      </c>
      <c r="Q199" s="30"/>
      <c r="R199" s="37"/>
      <c r="S199" s="52" t="str">
        <f t="shared" si="34"/>
        <v/>
      </c>
      <c r="T199" s="52" t="str">
        <f t="shared" si="35"/>
        <v/>
      </c>
    </row>
    <row r="200" spans="1:20" s="22" customFormat="1" ht="15" customHeight="1" x14ac:dyDescent="0.25">
      <c r="A200" s="26"/>
      <c r="B200" s="27"/>
      <c r="C200" s="27"/>
      <c r="D200" s="27"/>
      <c r="E200" s="27"/>
      <c r="F200" s="45" t="str">
        <f t="shared" ref="F200:F204" si="38">IF(E200="","",_xlfn.TRANSLATE(E200,"vi","ja"))</f>
        <v/>
      </c>
      <c r="G200" s="45" t="str">
        <f t="shared" si="33"/>
        <v/>
      </c>
      <c r="H200" s="27"/>
      <c r="I200" s="28"/>
      <c r="J200" s="28"/>
      <c r="K200" s="28"/>
      <c r="L200" s="28"/>
      <c r="M200" s="55" t="str">
        <f t="shared" ca="1" si="36"/>
        <v/>
      </c>
      <c r="N200" s="27"/>
      <c r="O200" s="13" t="str">
        <f t="shared" ca="1" si="37"/>
        <v/>
      </c>
      <c r="P200" s="13" t="str">
        <f ca="1">IF(J200="","",IF(L200&lt;&gt;"",INDEX(_翻訳マスタ!$B$75:$D$75,1,MATCH(言語切替!$B$3,_翻訳マスタ!$B$1:$D$1,0)),IF(TODAY()&gt;J200,INDEX(_翻訳マスタ!$B$92:$D$92,1,MATCH(言語切替!$B$3,_翻訳マスタ!$B$1:$D$1,0)),IF(J200-TODAY()&lt;=7,INDEX(_翻訳マスタ!$B$91:$D$91,1,MATCH(言語切替!$B$3,_翻訳マスタ!$B$1:$D$1,0)),INDEX(_翻訳マスタ!$B$90:$D$90,1,MATCH(言語切替!$B$3,_翻訳マスタ!$B$1:$D$1,0))))))</f>
        <v/>
      </c>
      <c r="Q200" s="27"/>
      <c r="R200" s="36"/>
      <c r="S200" s="53" t="str">
        <f t="shared" ref="S200:S204" si="39">IF(R200="","",_xlfn.TRANSLATE(R200,"vi","ja"))</f>
        <v/>
      </c>
      <c r="T200" s="53" t="str">
        <f t="shared" si="35"/>
        <v/>
      </c>
    </row>
    <row r="201" spans="1:20" s="22" customFormat="1" ht="15" customHeight="1" x14ac:dyDescent="0.25">
      <c r="A201" s="29"/>
      <c r="B201" s="30"/>
      <c r="C201" s="30"/>
      <c r="D201" s="30"/>
      <c r="E201" s="30"/>
      <c r="F201" s="46" t="str">
        <f t="shared" si="38"/>
        <v/>
      </c>
      <c r="G201" s="46" t="str">
        <f t="shared" si="33"/>
        <v/>
      </c>
      <c r="H201" s="30"/>
      <c r="I201" s="31"/>
      <c r="J201" s="31"/>
      <c r="K201" s="31"/>
      <c r="L201" s="31"/>
      <c r="M201" s="56" t="str">
        <f t="shared" ca="1" si="36"/>
        <v/>
      </c>
      <c r="N201" s="30"/>
      <c r="O201" s="16" t="str">
        <f t="shared" ca="1" si="37"/>
        <v/>
      </c>
      <c r="P201" s="16" t="str">
        <f ca="1">IF(J201="","",IF(L201&lt;&gt;"",INDEX(_翻訳マスタ!$B$75:$D$75,1,MATCH(言語切替!$B$3,_翻訳マスタ!$B$1:$D$1,0)),IF(TODAY()&gt;J201,INDEX(_翻訳マスタ!$B$92:$D$92,1,MATCH(言語切替!$B$3,_翻訳マスタ!$B$1:$D$1,0)),IF(J201-TODAY()&lt;=7,INDEX(_翻訳マスタ!$B$91:$D$91,1,MATCH(言語切替!$B$3,_翻訳マスタ!$B$1:$D$1,0)),INDEX(_翻訳マスタ!$B$90:$D$90,1,MATCH(言語切替!$B$3,_翻訳マスタ!$B$1:$D$1,0))))))</f>
        <v/>
      </c>
      <c r="Q201" s="30"/>
      <c r="R201" s="37"/>
      <c r="S201" s="52" t="str">
        <f t="shared" si="39"/>
        <v/>
      </c>
      <c r="T201" s="52" t="str">
        <f t="shared" si="35"/>
        <v/>
      </c>
    </row>
    <row r="202" spans="1:20" s="22" customFormat="1" ht="15" customHeight="1" x14ac:dyDescent="0.25">
      <c r="A202" s="26"/>
      <c r="B202" s="27"/>
      <c r="C202" s="27"/>
      <c r="D202" s="27"/>
      <c r="E202" s="27"/>
      <c r="F202" s="45" t="str">
        <f t="shared" si="38"/>
        <v/>
      </c>
      <c r="G202" s="45" t="str">
        <f t="shared" si="33"/>
        <v/>
      </c>
      <c r="H202" s="27"/>
      <c r="I202" s="28"/>
      <c r="J202" s="28"/>
      <c r="K202" s="28"/>
      <c r="L202" s="28"/>
      <c r="M202" s="55" t="str">
        <f t="shared" ca="1" si="36"/>
        <v/>
      </c>
      <c r="N202" s="27"/>
      <c r="O202" s="13" t="str">
        <f t="shared" ca="1" si="37"/>
        <v/>
      </c>
      <c r="P202" s="13" t="str">
        <f ca="1">IF(J202="","",IF(L202&lt;&gt;"",INDEX(_翻訳マスタ!$B$75:$D$75,1,MATCH(言語切替!$B$3,_翻訳マスタ!$B$1:$D$1,0)),IF(TODAY()&gt;J202,INDEX(_翻訳マスタ!$B$92:$D$92,1,MATCH(言語切替!$B$3,_翻訳マスタ!$B$1:$D$1,0)),IF(J202-TODAY()&lt;=7,INDEX(_翻訳マスタ!$B$91:$D$91,1,MATCH(言語切替!$B$3,_翻訳マスタ!$B$1:$D$1,0)),INDEX(_翻訳マスタ!$B$90:$D$90,1,MATCH(言語切替!$B$3,_翻訳マスタ!$B$1:$D$1,0))))))</f>
        <v/>
      </c>
      <c r="Q202" s="27"/>
      <c r="R202" s="36"/>
      <c r="S202" s="53" t="str">
        <f t="shared" si="39"/>
        <v/>
      </c>
      <c r="T202" s="53" t="str">
        <f t="shared" si="35"/>
        <v/>
      </c>
    </row>
    <row r="203" spans="1:20" s="22" customFormat="1" ht="15" customHeight="1" x14ac:dyDescent="0.25">
      <c r="A203" s="29"/>
      <c r="B203" s="30"/>
      <c r="C203" s="30"/>
      <c r="D203" s="30"/>
      <c r="E203" s="30"/>
      <c r="F203" s="46" t="str">
        <f t="shared" si="38"/>
        <v/>
      </c>
      <c r="G203" s="46" t="str">
        <f t="shared" si="33"/>
        <v/>
      </c>
      <c r="H203" s="30"/>
      <c r="I203" s="31"/>
      <c r="J203" s="31"/>
      <c r="K203" s="31"/>
      <c r="L203" s="31"/>
      <c r="M203" s="56" t="str">
        <f t="shared" ca="1" si="36"/>
        <v/>
      </c>
      <c r="N203" s="30"/>
      <c r="O203" s="16" t="str">
        <f t="shared" ca="1" si="37"/>
        <v/>
      </c>
      <c r="P203" s="16" t="str">
        <f ca="1">IF(J203="","",IF(L203&lt;&gt;"",INDEX(_翻訳マスタ!$B$75:$D$75,1,MATCH(言語切替!$B$3,_翻訳マスタ!$B$1:$D$1,0)),IF(TODAY()&gt;J203,INDEX(_翻訳マスタ!$B$92:$D$92,1,MATCH(言語切替!$B$3,_翻訳マスタ!$B$1:$D$1,0)),IF(J203-TODAY()&lt;=7,INDEX(_翻訳マスタ!$B$91:$D$91,1,MATCH(言語切替!$B$3,_翻訳マスタ!$B$1:$D$1,0)),INDEX(_翻訳マスタ!$B$90:$D$90,1,MATCH(言語切替!$B$3,_翻訳マスタ!$B$1:$D$1,0))))))</f>
        <v/>
      </c>
      <c r="Q203" s="30"/>
      <c r="R203" s="37"/>
      <c r="S203" s="52" t="str">
        <f t="shared" si="39"/>
        <v/>
      </c>
      <c r="T203" s="52" t="str">
        <f t="shared" si="35"/>
        <v/>
      </c>
    </row>
    <row r="204" spans="1:20" s="22" customFormat="1" ht="15" customHeight="1" x14ac:dyDescent="0.25">
      <c r="A204" s="32"/>
      <c r="B204" s="33"/>
      <c r="C204" s="33"/>
      <c r="D204" s="33"/>
      <c r="E204" s="33"/>
      <c r="F204" s="47" t="str">
        <f t="shared" si="38"/>
        <v/>
      </c>
      <c r="G204" s="47" t="str">
        <f t="shared" si="33"/>
        <v/>
      </c>
      <c r="H204" s="33"/>
      <c r="I204" s="34"/>
      <c r="J204" s="34"/>
      <c r="K204" s="34"/>
      <c r="L204" s="34"/>
      <c r="M204" s="57" t="str">
        <f t="shared" ca="1" si="36"/>
        <v/>
      </c>
      <c r="N204" s="33"/>
      <c r="O204" s="19" t="str">
        <f t="shared" ca="1" si="37"/>
        <v/>
      </c>
      <c r="P204" s="19" t="str">
        <f ca="1">IF(J204="","",IF(L204&lt;&gt;"",INDEX(_翻訳マスタ!$B$75:$D$75,1,MATCH(言語切替!$B$3,_翻訳マスタ!$B$1:$D$1,0)),IF(TODAY()&gt;J204,INDEX(_翻訳マスタ!$B$92:$D$92,1,MATCH(言語切替!$B$3,_翻訳マスタ!$B$1:$D$1,0)),IF(J204-TODAY()&lt;=7,INDEX(_翻訳マスタ!$B$91:$D$91,1,MATCH(言語切替!$B$3,_翻訳マスタ!$B$1:$D$1,0)),INDEX(_翻訳マスタ!$B$90:$D$90,1,MATCH(言語切替!$B$3,_翻訳マスタ!$B$1:$D$1,0))))))</f>
        <v/>
      </c>
      <c r="Q204" s="33"/>
      <c r="R204" s="38"/>
      <c r="S204" s="53" t="str">
        <f t="shared" si="39"/>
        <v/>
      </c>
      <c r="T204" s="53" t="str">
        <f t="shared" si="35"/>
        <v/>
      </c>
    </row>
    <row r="205" spans="1:20" ht="15" customHeight="1" x14ac:dyDescent="0.25"/>
    <row r="206" spans="1:20" ht="15" customHeight="1" x14ac:dyDescent="0.25"/>
    <row r="207" spans="1:20" ht="15" customHeight="1" x14ac:dyDescent="0.25"/>
    <row r="208" spans="1:20" ht="15" customHeight="1" x14ac:dyDescent="0.25"/>
  </sheetData>
  <sheetProtection sheet="1" scenarios="1"/>
  <autoFilter ref="A4:R204" xr:uid="{00000000-0001-0000-0300-000000000000}"/>
  <mergeCells count="2">
    <mergeCell ref="A2:P2"/>
    <mergeCell ref="A1:P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B5:B204</xm:sqref>
        </x14:dataValidation>
        <x14:dataValidation type="list" allowBlank="1" xr:uid="{00000000-0002-0000-0300-000001000000}">
          <x14:formula1>
            <xm:f>'02_マスタ'!$C$5:$C$8</xm:f>
          </x14:formula1>
          <xm:sqref>C5:C204</xm:sqref>
        </x14:dataValidation>
        <x14:dataValidation type="list" allowBlank="1" xr:uid="{00000000-0002-0000-0300-000002000000}">
          <x14:formula1>
            <xm:f>'02_マスタ'!$E$5:$E$12</xm:f>
          </x14:formula1>
          <xm:sqref>N5:N204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3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1" style="1" customWidth="1"/>
    <col min="2" max="2" width="12" style="1" customWidth="1"/>
    <col min="3" max="3" width="20" style="1" customWidth="1"/>
    <col min="4" max="4" width="12" style="1" customWidth="1"/>
    <col min="5" max="7" width="30" style="1" customWidth="1"/>
    <col min="8" max="13" width="34" style="1" customWidth="1"/>
    <col min="14" max="15" width="18" style="1" customWidth="1"/>
    <col min="16" max="17" width="12" style="1" customWidth="1"/>
    <col min="18" max="18" width="11" style="1" customWidth="1"/>
    <col min="19" max="19" width="15" style="1" customWidth="1"/>
    <col min="20" max="23" width="24" style="1" customWidth="1"/>
    <col min="24" max="26" width="36" style="1" customWidth="1"/>
    <col min="27" max="27" width="28" style="1" customWidth="1"/>
    <col min="28" max="28" width="10" style="1" customWidth="1"/>
    <col min="29" max="29" width="13" style="1" customWidth="1"/>
    <col min="30" max="30" width="12" style="1" customWidth="1"/>
    <col min="31" max="16384" width="8.75" style="1"/>
  </cols>
  <sheetData>
    <row r="1" spans="1:30" ht="27.95" customHeight="1" x14ac:dyDescent="0.25">
      <c r="A1" s="64" t="str">
        <f>INDEX(_翻訳マスタ!$B$117:$D$247,MATCH("ISSUE_TITLE",_翻訳マスタ!$A$117:$A$247,0),MATCH(言語切替!$B$3,_翻訳マスタ!$B$1:$D$1,0))</f>
        <v>Quản lý Vấn đề &amp; ToDo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30" ht="27.95" customHeight="1" x14ac:dyDescent="0.25">
      <c r="A2" s="65" t="str">
        <f>INDEX(_翻訳マスタ!$B$117:$D$247,MATCH("ISSUE_DESC",_翻訳マスタ!$A$117:$A$247,0),MATCH(言語切替!$B$3,_翻訳マスタ!$B$1:$D$1,0))</f>
        <v>Quản lý tập trung vấn đề, ToDo, quyết định và rủi ro. Số ngày còn lại và cảnh báo được tính tự động. 4 dòng là ví dụ nhập liệu.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30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30" ht="45" customHeight="1" x14ac:dyDescent="0.25">
      <c r="A4" s="6" t="str">
        <f>INDEX(_翻訳マスタ!$B$117:$D$247,MATCH("ISSUE_COL_ID",_翻訳マスタ!$A$117:$A$247,0),MATCH(言語切替!$B$3,_翻訳マスタ!$B$1:$D$1,0))</f>
        <v>ID</v>
      </c>
      <c r="B4" s="7" t="str">
        <f>INDEX(_翻訳マスタ!$B$117:$D$247,MATCH("ISSUE_COL_TYPE",_翻訳マスタ!$A$117:$A$247,0),MATCH(言語切替!$B$3,_翻訳マスタ!$B$1:$D$1,0))</f>
        <v>Phân loại</v>
      </c>
      <c r="C4" s="7" t="str">
        <f>INDEX(_翻訳マスタ!$B$117:$D$247,MATCH("ISSUE_COL_WG",_翻訳マスタ!$A$117:$A$247,0),MATCH(言語切替!$B$3,_翻訳マスタ!$B$1:$D$1,0))</f>
        <v>WG</v>
      </c>
      <c r="D4" s="7" t="str">
        <f>INDEX(_翻訳マスタ!$B$117:$D$247,MATCH("ISSUE_COL_SITE",_翻訳マスタ!$A$117:$A$247,0),MATCH(言語切替!$B$3,_翻訳マスタ!$B$1:$D$1,0))</f>
        <v>Đơn vị</v>
      </c>
      <c r="E4" s="7" t="str">
        <f>INDEX(_翻訳マスタ!$B$2:$D$300,MATCH("ISSUE_COL_TITLE",_翻訳マスタ!$A$2:$A$300,0),MATCH(言語切替!$B$3,_翻訳マスタ!$B$1:$D$1,0))&amp;INDEX(_翻訳マスタ!$B$2:$D$300,MATCH("NEW_VI_SUFFIX",_翻訳マスタ!$A$2:$A$300,0),MATCH(言語切替!$B$3,_翻訳マスタ!$B$1:$D$1,0))</f>
        <v>Tiêu đề (VI)</v>
      </c>
      <c r="F4" s="7" t="str">
        <f>INDEX(_翻訳マスタ!$B$2:$D$300,MATCH("ISSUE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G4" s="7" t="str">
        <f>INDEX(_翻訳マスタ!$B$2:$D$300,MATCH("ISSUE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H4" s="7" t="str">
        <f>INDEX(_翻訳マスタ!$B$2:$D$300,MATCH("ISSUE_COL_BG",_翻訳マスタ!$A$2:$A$300,0),MATCH(言語切替!$B$3,_翻訳マスタ!$B$1:$D$1,0))&amp;INDEX(_翻訳マスタ!$B$2:$D$300,MATCH("NEW_VI_SUFFIX",_翻訳マスタ!$A$2:$A$300,0),MATCH(言語切替!$B$3,_翻訳マスタ!$B$1:$D$1,0))</f>
        <v>Bối cảnh / Vấn đề (VI)</v>
      </c>
      <c r="I4" s="7" t="str">
        <f>INDEX(_翻訳マスタ!$B$2:$D$300,MATCH("ISSUE_COL_BG",_翻訳マスタ!$A$2:$A$300,0),MATCH(言語切替!$B$3,_翻訳マスタ!$B$1:$D$1,0))&amp;INDEX(_翻訳マスタ!$B$2:$D$300,MATCH("NEW_JP_SUFFIX",_翻訳マスタ!$A$2:$A$300,0),MATCH(言語切替!$B$3,_翻訳マスタ!$B$1:$D$1,0))</f>
        <v>Bối cảnh / Vấn đề (JP)</v>
      </c>
      <c r="J4" s="7" t="str">
        <f>INDEX(_翻訳マスタ!$B$2:$D$300,MATCH("ISSUE_COL_BG",_翻訳マスタ!$A$2:$A$300,0),MATCH(言語切替!$B$3,_翻訳マスタ!$B$1:$D$1,0))&amp;INDEX(_翻訳マスタ!$B$2:$D$300,MATCH("NEW_CN_SUFFIX",_翻訳マスタ!$A$2:$A$300,0),MATCH(言語切替!$B$3,_翻訳マスタ!$B$1:$D$1,0))</f>
        <v>Bối cảnh / Vấn đề (CN)</v>
      </c>
      <c r="K4" s="7" t="str">
        <f>INDEX(_翻訳マスタ!$B$2:$D$300,MATCH("ISSUE_COL_ACTION",_翻訳マスタ!$A$2:$A$300,0),MATCH(言語切替!$B$3,_翻訳マスタ!$B$1:$D$1,0))&amp;INDEX(_翻訳マスタ!$B$2:$D$300,MATCH("NEW_VI_SUFFIX",_翻訳マスタ!$A$2:$A$300,0),MATCH(言語切替!$B$3,_翻訳マスタ!$B$1:$D$1,0))</f>
        <v>Hành động tiếp theo (VI)</v>
      </c>
      <c r="L4" s="7" t="str">
        <f>INDEX(_翻訳マスタ!$B$2:$D$300,MATCH("ISSUE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M4" s="7" t="str">
        <f>INDEX(_翻訳マスタ!$B$2:$D$300,MATCH("ISSUE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N4" s="7" t="str">
        <f>INDEX(_翻訳マスタ!$B$117:$D$247,MATCH("ISSUE_COL_OWNER",_翻訳マスタ!$A$117:$A$247,0),MATCH(言語切替!$B$3,_翻訳マスタ!$B$1:$D$1,0))</f>
        <v>Người phụ trách</v>
      </c>
      <c r="O4" s="7" t="str">
        <f>INDEX(_翻訳マスタ!$B$117:$D$247,MATCH("ISSUE_COL_COOP",_翻訳マスタ!$A$117:$A$247,0),MATCH(言語切替!$B$3,_翻訳マスタ!$B$1:$D$1,0))</f>
        <v>Người phối hợp</v>
      </c>
      <c r="P4" s="7" t="str">
        <f>INDEX(_翻訳マスタ!$B$117:$D$247,MATCH("ISSUE_COL_START",_翻訳マスタ!$A$117:$A$247,0),MATCH(言語切替!$B$3,_翻訳マスタ!$B$1:$D$1,0))</f>
        <v>Ngày tạo</v>
      </c>
      <c r="Q4" s="7" t="str">
        <f>INDEX(_翻訳マスタ!$B$117:$D$247,MATCH("ISSUE_COL_DUE",_翻訳マスタ!$A$117:$A$247,0),MATCH(言語切替!$B$3,_翻訳マスタ!$B$1:$D$1,0))</f>
        <v>Thời hạn</v>
      </c>
      <c r="R4" s="7" t="str">
        <f>INDEX(_翻訳マスタ!$B$117:$D$247,MATCH("ISSUE_COL_PRIORITY",_翻訳マスタ!$A$117:$A$247,0),MATCH(言語切替!$B$3,_翻訳マスタ!$B$1:$D$1,0))</f>
        <v>Mức ưu tiên</v>
      </c>
      <c r="S4" s="7" t="str">
        <f>INDEX(_翻訳マスタ!$B$117:$D$247,MATCH("ISSUE_COL_STATUS",_翻訳マスタ!$A$117:$A$247,0),MATCH(言語切替!$B$3,_翻訳マスタ!$B$1:$D$1,0))</f>
        <v>Trạng thái</v>
      </c>
      <c r="T4" s="7" t="str">
        <f>INDEX(_翻訳マスタ!$B$117:$D$247,MATCH("ISSUE_COL_DEP",_翻訳マスタ!$A$117:$A$247,0),MATCH(言語切替!$B$3,_翻訳マスタ!$B$1:$D$1,0))</f>
        <v>WG liên quan / Phụ thuộc</v>
      </c>
      <c r="U4" s="7" t="str">
        <f>INDEX(_翻訳マスタ!$B$2:$D$300,MATCH("ISSUE_COL_COND",_翻訳マスタ!$A$2:$A$300,0),MATCH(言語切替!$B$3,_翻訳マスタ!$B$1:$D$1,0))&amp;INDEX(_翻訳マスタ!$B$2:$D$300,MATCH("NEW_VI_SUFFIX",_翻訳マスタ!$A$2:$A$300,0),MATCH(言語切替!$B$3,_翻訳マスタ!$B$1:$D$1,0))</f>
        <v>Điều kiện hoàn thành (VI)</v>
      </c>
      <c r="V4" s="7" t="str">
        <f>INDEX(_翻訳マスタ!$B$2:$D$300,MATCH("ISSUE_COL_COND",_翻訳マスタ!$A$2:$A$300,0),MATCH(言語切替!$B$3,_翻訳マスタ!$B$1:$D$1,0))&amp;INDEX(_翻訳マスタ!$B$2:$D$300,MATCH("NEW_JP_SUFFIX",_翻訳マスタ!$A$2:$A$300,0),MATCH(言語切替!$B$3,_翻訳マスタ!$B$1:$D$1,0))</f>
        <v>Điều kiện hoàn thành (JP)</v>
      </c>
      <c r="W4" s="7" t="str">
        <f>INDEX(_翻訳マスタ!$B$2:$D$300,MATCH("ISSUE_COL_COND",_翻訳マスタ!$A$2:$A$300,0),MATCH(言語切替!$B$3,_翻訳マスタ!$B$1:$D$1,0))&amp;INDEX(_翻訳マスタ!$B$2:$D$300,MATCH("NEW_CN_SUFFIX",_翻訳マスタ!$A$2:$A$300,0),MATCH(言語切替!$B$3,_翻訳マスタ!$B$1:$D$1,0))</f>
        <v>Điều kiện hoàn thành (CN)</v>
      </c>
      <c r="X4" s="7" t="str">
        <f>INDEX(_翻訳マスタ!$B$2:$D$300,MATCH("ISSUE_COL_RESULT",_翻訳マスタ!$A$2:$A$300,0),MATCH(言語切替!$B$3,_翻訳マスタ!$B$1:$D$1,0))&amp;INDEX(_翻訳マスタ!$B$2:$D$300,MATCH("NEW_VI_SUFFIX",_翻訳マスタ!$A$2:$A$300,0),MATCH(言語切替!$B$3,_翻訳マスタ!$B$1:$D$1,0))</f>
        <v>Tình trạng xử lý / Kết luận (VI)</v>
      </c>
      <c r="Y4" s="7" t="str">
        <f>INDEX(_翻訳マスタ!$B$2:$D$300,MATCH("ISSUE_COL_RESULT",_翻訳マスタ!$A$2:$A$300,0),MATCH(言語切替!$B$3,_翻訳マスタ!$B$1:$D$1,0))&amp;INDEX(_翻訳マスタ!$B$2:$D$300,MATCH("NEW_JP_SUFFIX",_翻訳マスタ!$A$2:$A$300,0),MATCH(言語切替!$B$3,_翻訳マスタ!$B$1:$D$1,0))</f>
        <v>Tình trạng xử lý / Kết luận (JP)</v>
      </c>
      <c r="Z4" s="7" t="str">
        <f>INDEX(_翻訳マスタ!$B$2:$D$300,MATCH("ISSUE_COL_RESULT",_翻訳マスタ!$A$2:$A$300,0),MATCH(言語切替!$B$3,_翻訳マスタ!$B$1:$D$1,0))&amp;INDEX(_翻訳マスタ!$B$2:$D$300,MATCH("NEW_CN_SUFFIX",_翻訳マスタ!$A$2:$A$300,0),MATCH(言語切替!$B$3,_翻訳マスタ!$B$1:$D$1,0))</f>
        <v>Tình trạng xử lý / Kết luận (CN)</v>
      </c>
      <c r="AA4" s="7" t="str">
        <f>INDEX(_翻訳マスタ!$B$117:$D$247,MATCH("ISSUE_COL_LINK",_翻訳マスタ!$A$117:$A$247,0),MATCH(言語切替!$B$3,_翻訳マスタ!$B$1:$D$1,0))</f>
        <v>Liên kết liên quan</v>
      </c>
      <c r="AB4" s="7" t="str">
        <f>INDEX(_翻訳マスタ!$B$117:$D$247,MATCH("ISSUE_COL_DAYS",_翻訳マスタ!$A$117:$A$247,0),MATCH(言語切替!$B$3,_翻訳マスタ!$B$1:$D$1,0))</f>
        <v>Số ngày còn lại</v>
      </c>
      <c r="AC4" s="7" t="str">
        <f>INDEX(_翻訳マスタ!$B$117:$D$247,MATCH("ISSUE_COL_ALERT",_翻訳マスタ!$A$117:$A$247,0),MATCH(言語切替!$B$3,_翻訳マスタ!$B$1:$D$1,0))</f>
        <v>Cảnh báo</v>
      </c>
      <c r="AD4" s="8" t="str">
        <f>INDEX(_翻訳マスタ!$B$117:$D$247,MATCH("ISSUE_COL_UPDATED",_翻訳マスタ!$A$117:$A$247,0),MATCH(言語切替!$B$3,_翻訳マスタ!$B$1:$D$1,0))</f>
        <v>Ngày cập nhật cuối</v>
      </c>
    </row>
    <row r="5" spans="1:30" s="22" customFormat="1" ht="31.5" customHeight="1" x14ac:dyDescent="0.25">
      <c r="A5" s="23" t="s">
        <v>131</v>
      </c>
      <c r="B5" s="24" t="str">
        <f>'02_マスタ'!$I$6</f>
        <v>ToDo</v>
      </c>
      <c r="C5" s="24" t="str">
        <f>'02_マスタ'!$A$5</f>
        <v>Toàn bộ</v>
      </c>
      <c r="D5" s="24" t="str">
        <f>'02_マスタ'!$C$5</f>
        <v>Chung</v>
      </c>
      <c r="E5" s="24" t="str">
        <f>INDEX(_翻訳マスタ!$D$2:$D$300,MATCH("ISSUE_EX1_TITLE",_翻訳マスタ!$A$2:$A$300,0))</f>
        <v>Xác định quy tắc quản lý</v>
      </c>
      <c r="F5" s="44" t="e" vm="1">
        <f>IF(E5="","",_xlfn.TRANSLATE(E5,"","ja"))</f>
        <v>#VALUE!</v>
      </c>
      <c r="G5" s="44" t="e" vm="1">
        <f>IF(E5="","",_xlfn.TRANSLATE(E5,"","zh-Hans"))</f>
        <v>#VALUE!</v>
      </c>
      <c r="H5" s="24" t="str">
        <f>INDEX(_翻訳マスタ!$D$2:$D$300,MATCH("ISSUE_EX1_BG",_翻訳マスタ!$A$2:$A$300,0))</f>
        <v>Cần quy tắc chung trước khi khởi động WG</v>
      </c>
      <c r="I5" s="44" t="e" vm="1">
        <f>IF(H5="","",_xlfn.TRANSLATE(H5,"","ja"))</f>
        <v>#VALUE!</v>
      </c>
      <c r="J5" s="44" t="e" vm="1">
        <f>IF(H5="","",_xlfn.TRANSLATE(H5,"","zh-Hans"))</f>
        <v>#VALUE!</v>
      </c>
      <c r="K5" s="24" t="str">
        <f>INDEX(_翻訳マスタ!$D$2:$D$300,MATCH("ISSUE_EX1_ACT",_翻訳マスタ!$A$2:$A$300,0))</f>
        <v>Thống nhất các mục, trách nhiệm và thời hạn trong ban điều hành</v>
      </c>
      <c r="L5" s="44" t="e" vm="1">
        <f>IF(K5="","",_xlfn.TRANSLATE(K5,"","ja"))</f>
        <v>#VALUE!</v>
      </c>
      <c r="M5" s="44" t="e" vm="1">
        <f>IF(K5="","",_xlfn.TRANSLATE(K5,"","zh-Hans"))</f>
        <v>#VALUE!</v>
      </c>
      <c r="N5" s="24" t="str">
        <f>INDEX(_翻訳マスタ!$B$117:$D$247,MATCH("ROLE_PMO",_翻訳マスタ!$A$117:$A$247,0),MATCH(言語切替!$B$3,_翻訳マスタ!$B$1:$D$1,0))</f>
        <v>Ban điều hành</v>
      </c>
      <c r="O5" s="24" t="str">
        <f>INDEX(_翻訳マスタ!$B$117:$D$247,MATCH("ROLE_ALL_LEADERS",_翻訳マスタ!$A$117:$A$247,0),MATCH(言語切替!$B$3,_翻訳マスタ!$B$1:$D$1,0))</f>
        <v>Tất cả trưởng nhóm</v>
      </c>
      <c r="P5" s="25">
        <v>46288</v>
      </c>
      <c r="Q5" s="25">
        <v>46295</v>
      </c>
      <c r="R5" s="24" t="s">
        <v>61</v>
      </c>
      <c r="S5" s="24" t="str">
        <f>'02_マスタ'!$E$6</f>
        <v>Đang xử lý</v>
      </c>
      <c r="T5" s="24"/>
      <c r="U5" s="24" t="str">
        <f>INDEX(_翻訳マスタ!$D$2:$D$300,MATCH("ISSUE_EX1_COND",_翻訳マスタ!$A$2:$A$300,0))</f>
        <v>Quy tắc vận hành được phê duyệt</v>
      </c>
      <c r="V5" s="44" t="e" vm="1">
        <f>IF(U5="","",_xlfn.TRANSLATE(U5,"","ja"))</f>
        <v>#VALUE!</v>
      </c>
      <c r="W5" s="44" t="e" vm="1">
        <f>IF(U5="","",_xlfn.TRANSLATE(U5,"","zh-Hans"))</f>
        <v>#VALUE!</v>
      </c>
      <c r="X5" s="24"/>
      <c r="Y5" s="44" t="str">
        <f>IF(X5="","",_xlfn.TRANSLATE(X5,"","ja"))</f>
        <v/>
      </c>
      <c r="Z5" s="44" t="str">
        <f>IF(X5="","",_xlfn.TRANSLATE(X5,"","zh-Hans"))</f>
        <v/>
      </c>
      <c r="AA5" s="24"/>
      <c r="AB5" s="10">
        <f t="shared" ref="AB5:AB68" ca="1" si="0">IF(Q5="","",Q5-TODAY())</f>
        <v>0</v>
      </c>
      <c r="AC5" s="10" t="str">
        <f ca="1">IF(A5="","",IF(OR(S5='02_マスタ'!$E$10,S5='02_マスタ'!$E$12),"",IF(R5="High","High",IF(AND(Q5&lt;&gt;"",Q5&lt;TODAY()),INDEX(_翻訳マスタ!$B$117:$D$247,MATCH("ALERT_OVERDUE",_翻訳マスタ!$A$117:$A$247,0),MATCH(言語切替!$B$3,_翻訳マスタ!$B$1:$D$1,0)),IF(AND(Q5&lt;&gt;"",Q5-TODAY()&lt;=7),INDEX(_翻訳マスタ!$B$117:$D$247,MATCH("ALERT_APPROACHING",_翻訳マスタ!$A$117:$A$247,0),MATCH(言語切替!$B$3,_翻訳マスタ!$B$1:$D$1,0)),IF(OR(S5='02_マスタ'!$E$7,S5='02_マスタ'!$E$8),INDEX(_翻訳マスタ!$B$117:$D$247,MATCH("ALERT_CHECK",_翻訳マスタ!$A$117:$A$247,0),MATCH(言語切替!$B$3,_翻訳マスタ!$B$1:$D$1,0)),""))))))</f>
        <v>High</v>
      </c>
      <c r="AD5" s="39">
        <v>46288</v>
      </c>
    </row>
    <row r="6" spans="1:30" s="22" customFormat="1" ht="31.5" customHeight="1" x14ac:dyDescent="0.25">
      <c r="A6" s="26" t="s">
        <v>136</v>
      </c>
      <c r="B6" s="27" t="str">
        <f>'02_マスタ'!$I$5</f>
        <v>Vấn đề</v>
      </c>
      <c r="C6" s="27" t="str">
        <f>'02_マスタ'!$A$9</f>
        <v>WG-4</v>
      </c>
      <c r="D6" s="27" t="str">
        <f>'02_マスタ'!$C$5</f>
        <v>Chung</v>
      </c>
      <c r="E6" s="27" t="str">
        <f>INDEX(_翻訳マスタ!$D$2:$D$300,MATCH("ISSUE_EX2_TITLE",_翻訳マスタ!$A$2:$A$300,0))</f>
        <v>Vận hành và vai trò BOP chưa rõ ràng</v>
      </c>
      <c r="F6" s="45" t="e" vm="1">
        <f>IF(E6="","",_xlfn.TRANSLATE(E6,"","ja"))</f>
        <v>#VALUE!</v>
      </c>
      <c r="G6" s="45" t="e" vm="1">
        <f>IF(E6="","",_xlfn.TRANSLATE(E6,"","zh-Hans"))</f>
        <v>#VALUE!</v>
      </c>
      <c r="H6" s="27" t="str">
        <f>INDEX(_翻訳マスタ!$D$2:$D$300,MATCH("ISSUE_EX2_BG",_翻訳マスタ!$A$2:$A$300,0))</f>
        <v>Chưa định nghĩa vai trò sau khi tạo, phê duyệt và liên kết</v>
      </c>
      <c r="I6" s="45" t="e" vm="1">
        <f>IF(H6="","",_xlfn.TRANSLATE(H6,"","ja"))</f>
        <v>#VALUE!</v>
      </c>
      <c r="J6" s="45" t="e" vm="1">
        <f>IF(H6="","",_xlfn.TRANSLATE(H6,"","zh-Hans"))</f>
        <v>#VALUE!</v>
      </c>
      <c r="K6" s="27" t="str">
        <f>INDEX(_翻訳マスタ!$D$2:$D$300,MATCH("ISSUE_EX2_ACT",_翻訳マスタ!$A$2:$A$300,0))</f>
        <v>Rà soát nghiệp vụ hiện tại và phân công trách nhiệm</v>
      </c>
      <c r="L6" s="45" t="e" vm="1">
        <f>IF(K6="","",_xlfn.TRANSLATE(K6,"","ja"))</f>
        <v>#VALUE!</v>
      </c>
      <c r="M6" s="45" t="e" vm="1">
        <f>IF(K6="","",_xlfn.TRANSLATE(K6,"","zh-Hans"))</f>
        <v>#VALUE!</v>
      </c>
      <c r="N6" s="27" t="s">
        <v>112</v>
      </c>
      <c r="O6" s="27" t="s">
        <v>140</v>
      </c>
      <c r="P6" s="28">
        <v>46294</v>
      </c>
      <c r="Q6" s="28">
        <v>46311</v>
      </c>
      <c r="R6" s="27" t="s">
        <v>61</v>
      </c>
      <c r="S6" s="27" t="str">
        <f>'02_マスタ'!$E$5</f>
        <v>Chưa bắt đầu</v>
      </c>
      <c r="T6" s="27" t="str">
        <f>INDEX(_翻訳マスタ!$B$117:$D$247,MATCH("ISSUE_EX2_DEP",_翻訳マスタ!$A$117:$A$247,0),MATCH(言語切替!$B$3,_翻訳マスタ!$B$1:$D$1,0))</f>
        <v>WG-8 Tích hợp hệ thống</v>
      </c>
      <c r="U6" s="27" t="str">
        <f>INDEX(_翻訳マスタ!$D$2:$D$300,MATCH("ISSUE_EX2_COND",_翻訳マスタ!$A$2:$A$300,0))</f>
        <v>Thống nhất bảng RACI</v>
      </c>
      <c r="V6" s="45" t="e" vm="1">
        <f>IF(U6="","",_xlfn.TRANSLATE(U6,"","ja"))</f>
        <v>#VALUE!</v>
      </c>
      <c r="W6" s="45" t="e" vm="1">
        <f>IF(U6="","",_xlfn.TRANSLATE(U6,"","zh-Hans"))</f>
        <v>#VALUE!</v>
      </c>
      <c r="X6" s="27"/>
      <c r="Y6" s="45" t="str">
        <f>IF(X6="","",_xlfn.TRANSLATE(X6,"","ja"))</f>
        <v/>
      </c>
      <c r="Z6" s="45" t="str">
        <f>IF(X6="","",_xlfn.TRANSLATE(X6,"","zh-Hans"))</f>
        <v/>
      </c>
      <c r="AA6" s="27"/>
      <c r="AB6" s="13">
        <f t="shared" ca="1" si="0"/>
        <v>16</v>
      </c>
      <c r="AC6" s="13" t="str">
        <f ca="1">IF(A6="","",IF(OR(S6='02_マスタ'!$E$10,S6='02_マスタ'!$E$12),"",IF(R6="High","High",IF(AND(Q6&lt;&gt;"",Q6&lt;TODAY()),INDEX(_翻訳マスタ!$B$117:$D$247,MATCH("ALERT_OVERDUE",_翻訳マスタ!$A$117:$A$247,0),MATCH(言語切替!$B$3,_翻訳マスタ!$B$1:$D$1,0)),IF(AND(Q6&lt;&gt;"",Q6-TODAY()&lt;=7),INDEX(_翻訳マスタ!$B$117:$D$247,MATCH("ALERT_APPROACHING",_翻訳マスタ!$A$117:$A$247,0),MATCH(言語切替!$B$3,_翻訳マスタ!$B$1:$D$1,0)),IF(OR(S6='02_マスタ'!$E$7,S6='02_マスタ'!$E$8),INDEX(_翻訳マスタ!$B$117:$D$247,MATCH("ALERT_CHECK",_翻訳マスタ!$A$117:$A$247,0),MATCH(言語切替!$B$3,_翻訳マスタ!$B$1:$D$1,0)),""))))))</f>
        <v>High</v>
      </c>
      <c r="AD6" s="40">
        <v>46288</v>
      </c>
    </row>
    <row r="7" spans="1:30" s="22" customFormat="1" ht="31.5" customHeight="1" x14ac:dyDescent="0.25">
      <c r="A7" s="29" t="s">
        <v>142</v>
      </c>
      <c r="B7" s="30" t="str">
        <f>'02_マスタ'!$I$5</f>
        <v>Vấn đề</v>
      </c>
      <c r="C7" s="30" t="str">
        <f>'02_マスタ'!$A$12</f>
        <v>WG-7</v>
      </c>
      <c r="D7" s="30" t="s">
        <v>77</v>
      </c>
      <c r="E7" s="30" t="str">
        <f>INDEX(_翻訳マスタ!$D$2:$D$300,MATCH("ISSUE_EX3_TITLE",_翻訳マスタ!$A$2:$A$300,0))</f>
        <v>Phạm vi mục tiêu chưa xác định</v>
      </c>
      <c r="F7" s="46" t="e" vm="1">
        <f>IF(E7="","",_xlfn.TRANSLATE(E7,"","ja"))</f>
        <v>#VALUE!</v>
      </c>
      <c r="G7" s="46" t="e" vm="1">
        <f>IF(E7="","",_xlfn.TRANSLATE(E7,"","zh-Hans"))</f>
        <v>#VALUE!</v>
      </c>
      <c r="H7" s="30" t="str">
        <f>INDEX(_翻訳マスタ!$D$2:$D$300,MATCH("ISSUE_EX3_BG",_翻訳マスタ!$A$2:$A$300,0))</f>
        <v>Phạm vi logistics giao hàng rộng</v>
      </c>
      <c r="I7" s="46" t="e" vm="1">
        <f>IF(H7="","",_xlfn.TRANSLATE(H7,"","ja"))</f>
        <v>#VALUE!</v>
      </c>
      <c r="J7" s="46" t="e" vm="1">
        <f>IF(H7="","",_xlfn.TRANSLATE(H7,"","zh-Hans"))</f>
        <v>#VALUE!</v>
      </c>
      <c r="K7" s="30" t="str">
        <f>INDEX(_翻訳マスタ!$D$2:$D$300,MATCH("ISSUE_EX3_ACT",_翻訳マスタ!$A$2:$A$300,0))</f>
        <v>Rà soát công chuẩn hiện tại và thống nhất chủ đề ưu tiên</v>
      </c>
      <c r="L7" s="46" t="e" vm="1">
        <f>IF(K7="","",_xlfn.TRANSLATE(K7,"","ja"))</f>
        <v>#VALUE!</v>
      </c>
      <c r="M7" s="46" t="e" vm="1">
        <f>IF(K7="","",_xlfn.TRANSLATE(K7,"","zh-Hans"))</f>
        <v>#VALUE!</v>
      </c>
      <c r="N7" s="30" t="s">
        <v>112</v>
      </c>
      <c r="O7" s="30" t="str">
        <f>INDEX(_翻訳マスタ!$B$117:$D$247,MATCH("ROLE_PMO",_翻訳マスタ!$A$117:$A$247,0),MATCH(言語切替!$B$3,_翻訳マスタ!$B$1:$D$1,0))</f>
        <v>Ban điều hành</v>
      </c>
      <c r="P7" s="31">
        <v>46294</v>
      </c>
      <c r="Q7" s="31">
        <v>46311</v>
      </c>
      <c r="R7" s="30" t="s">
        <v>67</v>
      </c>
      <c r="S7" s="30" t="str">
        <f>'02_マスタ'!$E$5</f>
        <v>Chưa bắt đầu</v>
      </c>
      <c r="T7" s="30"/>
      <c r="U7" s="30" t="str">
        <f>INDEX(_翻訳マスタ!$D$2:$D$300,MATCH("ISSUE_EX3_COND",_翻訳マスタ!$A$2:$A$300,0))</f>
        <v>Phê duyệt phạm vi mục tiêu</v>
      </c>
      <c r="V7" s="46" t="e" vm="1">
        <f>IF(U7="","",_xlfn.TRANSLATE(U7,"","ja"))</f>
        <v>#VALUE!</v>
      </c>
      <c r="W7" s="46" t="e" vm="1">
        <f>IF(U7="","",_xlfn.TRANSLATE(U7,"","zh-Hans"))</f>
        <v>#VALUE!</v>
      </c>
      <c r="X7" s="30"/>
      <c r="Y7" s="46" t="str">
        <f>IF(X7="","",_xlfn.TRANSLATE(X7,"","ja"))</f>
        <v/>
      </c>
      <c r="Z7" s="46" t="str">
        <f>IF(X7="","",_xlfn.TRANSLATE(X7,"","zh-Hans"))</f>
        <v/>
      </c>
      <c r="AA7" s="30"/>
      <c r="AB7" s="16">
        <f t="shared" ca="1" si="0"/>
        <v>16</v>
      </c>
      <c r="AC7" s="16" t="str">
        <f ca="1">IF(A7="","",IF(OR(S7='02_マスタ'!$E$10,S7='02_マスタ'!$E$12),"",IF(R7="High","High",IF(AND(Q7&lt;&gt;"",Q7&lt;TODAY()),INDEX(_翻訳マスタ!$B$117:$D$247,MATCH("ALERT_OVERDUE",_翻訳マスタ!$A$117:$A$247,0),MATCH(言語切替!$B$3,_翻訳マスタ!$B$1:$D$1,0)),IF(AND(Q7&lt;&gt;"",Q7-TODAY()&lt;=7),INDEX(_翻訳マスタ!$B$117:$D$247,MATCH("ALERT_APPROACHING",_翻訳マスタ!$A$117:$A$247,0),MATCH(言語切替!$B$3,_翻訳マスタ!$B$1:$D$1,0)),IF(OR(S7='02_マスタ'!$E$7,S7='02_マスタ'!$E$8),INDEX(_翻訳マスタ!$B$117:$D$247,MATCH("ALERT_CHECK",_翻訳マスタ!$A$117:$A$247,0),MATCH(言語切替!$B$3,_翻訳マスタ!$B$1:$D$1,0)),""))))))</f>
        <v/>
      </c>
      <c r="AD7" s="41">
        <v>46288</v>
      </c>
    </row>
    <row r="8" spans="1:30" s="22" customFormat="1" ht="31.5" customHeight="1" x14ac:dyDescent="0.25">
      <c r="A8" s="26" t="s">
        <v>147</v>
      </c>
      <c r="B8" s="27" t="str">
        <f>'02_マスタ'!$I$8</f>
        <v>Rủi ro</v>
      </c>
      <c r="C8" s="27" t="str">
        <f>'02_マスタ'!$A$14</f>
        <v>WG-9</v>
      </c>
      <c r="D8" s="27" t="str">
        <f>'02_マスタ'!$C$5</f>
        <v>Chung</v>
      </c>
      <c r="E8" s="27" t="str">
        <f>INDEX(_翻訳マスタ!$D$2:$D$300,MATCH("ISSUE_EX4_TITLE",_翻訳マスタ!$A$2:$A$300,0))</f>
        <v>Triển khai với đối tác bị đình trệ</v>
      </c>
      <c r="F8" s="45" t="e" vm="1">
        <f>IF(E8="","",_xlfn.TRANSLATE(E8,"","ja"))</f>
        <v>#VALUE!</v>
      </c>
      <c r="G8" s="45" t="e" vm="1">
        <f>IF(E8="","",_xlfn.TRANSLATE(E8,"","zh-Hans"))</f>
        <v>#VALUE!</v>
      </c>
      <c r="H8" s="27" t="str">
        <f>INDEX(_翻訳マスタ!$D$2:$D$300,MATCH("ISSUE_EX4_BG",_翻訳マスタ!$A$2:$A$300,0))</f>
        <v>Chưa sắp xếp quy cách, chia sẻ chi phí và logistics thu hồi</v>
      </c>
      <c r="I8" s="45" t="e" vm="1">
        <f>IF(H8="","",_xlfn.TRANSLATE(H8,"","ja"))</f>
        <v>#VALUE!</v>
      </c>
      <c r="J8" s="45" t="e" vm="1">
        <f>IF(H8="","",_xlfn.TRANSLATE(H8,"","zh-Hans"))</f>
        <v>#VALUE!</v>
      </c>
      <c r="K8" s="27" t="str">
        <f>INDEX(_翻訳マスタ!$D$2:$D$300,MATCH("ISSUE_EX4_ACT",_翻訳マスタ!$A$2:$A$300,0))</f>
        <v>Sắp xếp các yếu tố cản trở và vấn đề cần quyết định</v>
      </c>
      <c r="L8" s="45" t="e" vm="1">
        <f>IF(K8="","",_xlfn.TRANSLATE(K8,"","ja"))</f>
        <v>#VALUE!</v>
      </c>
      <c r="M8" s="45" t="e" vm="1">
        <f>IF(K8="","",_xlfn.TRANSLATE(K8,"","zh-Hans"))</f>
        <v>#VALUE!</v>
      </c>
      <c r="N8" s="27" t="s">
        <v>112</v>
      </c>
      <c r="O8" s="27" t="str">
        <f>INDEX(_翻訳マスタ!$B$117:$D$247,MATCH("ROLE_MATERIALS",_翻訳マスタ!$A$117:$A$247,0),MATCH(言語切替!$B$3,_翻訳マスタ!$B$1:$D$1,0))</f>
        <v>Vật tư</v>
      </c>
      <c r="P8" s="28">
        <v>46294</v>
      </c>
      <c r="Q8" s="28">
        <v>46318</v>
      </c>
      <c r="R8" s="27" t="s">
        <v>67</v>
      </c>
      <c r="S8" s="27" t="str">
        <f>'02_マスタ'!$E$5</f>
        <v>Chưa bắt đầu</v>
      </c>
      <c r="T8" s="27" t="str">
        <f>INDEX(_翻訳マスタ!$B$117:$D$247,MATCH("ISSUE_EX4_DEP",_翻訳マスタ!$A$117:$A$247,0),MATCH(言語切替!$B$3,_翻訳マスタ!$B$1:$D$1,0))</f>
        <v>WG-1 Tiếp nhận linh kiện</v>
      </c>
      <c r="U8" s="27" t="str">
        <f>INDEX(_翻訳マスタ!$D$2:$D$300,MATCH("ISSUE_EX4_COND",_翻訳マスタ!$A$2:$A$300,0))</f>
        <v>Thống nhất định hướng triển khai</v>
      </c>
      <c r="V8" s="45" t="e" vm="1">
        <f>IF(U8="","",_xlfn.TRANSLATE(U8,"","ja"))</f>
        <v>#VALUE!</v>
      </c>
      <c r="W8" s="45" t="e" vm="1">
        <f>IF(U8="","",_xlfn.TRANSLATE(U8,"","zh-Hans"))</f>
        <v>#VALUE!</v>
      </c>
      <c r="X8" s="27"/>
      <c r="Y8" s="45" t="str">
        <f>IF(X8="","",_xlfn.TRANSLATE(X8,"","ja"))</f>
        <v/>
      </c>
      <c r="Z8" s="45" t="str">
        <f>IF(X8="","",_xlfn.TRANSLATE(X8,"","zh-Hans"))</f>
        <v/>
      </c>
      <c r="AA8" s="27"/>
      <c r="AB8" s="13">
        <f t="shared" ca="1" si="0"/>
        <v>23</v>
      </c>
      <c r="AC8" s="13" t="str">
        <f ca="1">IF(A8="","",IF(OR(S8='02_マスタ'!$E$10,S8='02_マスタ'!$E$12),"",IF(R8="High","High",IF(AND(Q8&lt;&gt;"",Q8&lt;TODAY()),INDEX(_翻訳マスタ!$B$117:$D$247,MATCH("ALERT_OVERDUE",_翻訳マスタ!$A$117:$A$247,0),MATCH(言語切替!$B$3,_翻訳マスタ!$B$1:$D$1,0)),IF(AND(Q8&lt;&gt;"",Q8-TODAY()&lt;=7),INDEX(_翻訳マスタ!$B$117:$D$247,MATCH("ALERT_APPROACHING",_翻訳マスタ!$A$117:$A$247,0),MATCH(言語切替!$B$3,_翻訳マスタ!$B$1:$D$1,0)),IF(OR(S8='02_マスタ'!$E$7,S8='02_マスタ'!$E$8),INDEX(_翻訳マスタ!$B$117:$D$247,MATCH("ALERT_CHECK",_翻訳マスタ!$A$117:$A$247,0),MATCH(言語切替!$B$3,_翻訳マスタ!$B$1:$D$1,0)),""))))))</f>
        <v/>
      </c>
      <c r="AD8" s="40">
        <v>46288</v>
      </c>
    </row>
    <row r="9" spans="1:30" s="22" customFormat="1" ht="30" customHeight="1" x14ac:dyDescent="0.25">
      <c r="A9" s="29"/>
      <c r="B9" s="30"/>
      <c r="C9" s="30"/>
      <c r="D9" s="30"/>
      <c r="E9" s="30"/>
      <c r="F9" s="46" t="str">
        <f>IF(E9="","",_xlfn.TRANSLATE(E9,"","ja"))</f>
        <v/>
      </c>
      <c r="G9" s="46" t="str">
        <f>IF(E9="","",_xlfn.TRANSLATE(E9,"","zh-Hans"))</f>
        <v/>
      </c>
      <c r="H9" s="30"/>
      <c r="I9" s="46" t="str">
        <f>IF(H9="","",_xlfn.TRANSLATE(H9,"","ja"))</f>
        <v/>
      </c>
      <c r="J9" s="46" t="str">
        <f>IF(H9="","",_xlfn.TRANSLATE(H9,"","zh-Hans"))</f>
        <v/>
      </c>
      <c r="K9" s="30"/>
      <c r="L9" s="46" t="str">
        <f>IF(K9="","",_xlfn.TRANSLATE(K9,"","ja"))</f>
        <v/>
      </c>
      <c r="M9" s="46" t="str">
        <f>IF(K9="","",_xlfn.TRANSLATE(K9,"","zh-Hans"))</f>
        <v/>
      </c>
      <c r="N9" s="30"/>
      <c r="O9" s="30"/>
      <c r="P9" s="31"/>
      <c r="Q9" s="31"/>
      <c r="R9" s="30"/>
      <c r="S9" s="30"/>
      <c r="T9" s="30"/>
      <c r="U9" s="30"/>
      <c r="V9" s="46" t="str">
        <f>IF(U9="","",_xlfn.TRANSLATE(U9,"","ja"))</f>
        <v/>
      </c>
      <c r="W9" s="46" t="str">
        <f>IF(U9="","",_xlfn.TRANSLATE(U9,"","zh-Hans"))</f>
        <v/>
      </c>
      <c r="X9" s="30"/>
      <c r="Y9" s="46" t="str">
        <f>IF(X9="","",_xlfn.TRANSLATE(X9,"","ja"))</f>
        <v/>
      </c>
      <c r="Z9" s="46" t="str">
        <f>IF(X9="","",_xlfn.TRANSLATE(X9,"","zh-Hans"))</f>
        <v/>
      </c>
      <c r="AA9" s="30"/>
      <c r="AB9" s="13" t="str">
        <f t="shared" ca="1" si="0"/>
        <v/>
      </c>
      <c r="AC9" s="13" t="str">
        <f ca="1">IF(A9="","",IF(OR(S9='02_マスタ'!$E$10,S9='02_マスタ'!$E$12),"",IF(R9="High","High",IF(AND(Q9&lt;&gt;"",Q9&lt;TODAY()),INDEX(_翻訳マスタ!$B$117:$D$247,MATCH("ALERT_OVERDUE",_翻訳マスタ!$A$117:$A$247,0),MATCH(言語切替!$B$3,_翻訳マスタ!$B$1:$D$1,0)),IF(AND(Q9&lt;&gt;"",Q9-TODAY()&lt;=7),INDEX(_翻訳マスタ!$B$117:$D$247,MATCH("ALERT_APPROACHING",_翻訳マスタ!$A$117:$A$247,0),MATCH(言語切替!$B$3,_翻訳マスタ!$B$1:$D$1,0)),IF(OR(S9='02_マスタ'!$E$7,S9='02_マスタ'!$E$8),INDEX(_翻訳マスタ!$B$117:$D$247,MATCH("ALERT_CHECK",_翻訳マスタ!$A$117:$A$247,0),MATCH(言語切替!$B$3,_翻訳マスタ!$B$1:$D$1,0)),""))))))</f>
        <v/>
      </c>
      <c r="AD9" s="41"/>
    </row>
    <row r="10" spans="1:30" s="22" customFormat="1" ht="30" customHeight="1" x14ac:dyDescent="0.25">
      <c r="A10" s="26"/>
      <c r="B10" s="27"/>
      <c r="C10" s="27"/>
      <c r="D10" s="27"/>
      <c r="E10" s="27"/>
      <c r="F10" s="45" t="str">
        <f>IF(E10="","",_xlfn.TRANSLATE(E10,"","ja"))</f>
        <v/>
      </c>
      <c r="G10" s="45" t="str">
        <f>IF(E10="","",_xlfn.TRANSLATE(E10,"","zh-Hans"))</f>
        <v/>
      </c>
      <c r="H10" s="27"/>
      <c r="I10" s="45" t="str">
        <f>IF(H10="","",_xlfn.TRANSLATE(H10,"","ja"))</f>
        <v/>
      </c>
      <c r="J10" s="45" t="str">
        <f>IF(H10="","",_xlfn.TRANSLATE(H10,"","zh-Hans"))</f>
        <v/>
      </c>
      <c r="K10" s="27"/>
      <c r="L10" s="45" t="str">
        <f>IF(K10="","",_xlfn.TRANSLATE(K10,"","ja"))</f>
        <v/>
      </c>
      <c r="M10" s="45" t="str">
        <f>IF(K10="","",_xlfn.TRANSLATE(K10,"","zh-Hans"))</f>
        <v/>
      </c>
      <c r="N10" s="27"/>
      <c r="O10" s="27"/>
      <c r="P10" s="28"/>
      <c r="Q10" s="28"/>
      <c r="R10" s="27"/>
      <c r="S10" s="27"/>
      <c r="T10" s="27"/>
      <c r="U10" s="27"/>
      <c r="V10" s="45" t="str">
        <f>IF(U10="","",_xlfn.TRANSLATE(U10,"","ja"))</f>
        <v/>
      </c>
      <c r="W10" s="45" t="str">
        <f>IF(U10="","",_xlfn.TRANSLATE(U10,"","zh-Hans"))</f>
        <v/>
      </c>
      <c r="X10" s="27"/>
      <c r="Y10" s="45" t="str">
        <f>IF(X10="","",_xlfn.TRANSLATE(X10,"","ja"))</f>
        <v/>
      </c>
      <c r="Z10" s="45" t="str">
        <f>IF(X10="","",_xlfn.TRANSLATE(X10,"","zh-Hans"))</f>
        <v/>
      </c>
      <c r="AA10" s="27"/>
      <c r="AB10" s="13" t="str">
        <f t="shared" ca="1" si="0"/>
        <v/>
      </c>
      <c r="AC10" s="13" t="str">
        <f ca="1">IF(A10="","",IF(OR(S10='02_マスタ'!$E$10,S10='02_マスタ'!$E$12),"",IF(R10="High","High",IF(AND(Q10&lt;&gt;"",Q10&lt;TODAY()),INDEX(_翻訳マスタ!$B$117:$D$247,MATCH("ALERT_OVERDUE",_翻訳マスタ!$A$117:$A$247,0),MATCH(言語切替!$B$3,_翻訳マスタ!$B$1:$D$1,0)),IF(AND(Q10&lt;&gt;"",Q10-TODAY()&lt;=7),INDEX(_翻訳マスタ!$B$117:$D$247,MATCH("ALERT_APPROACHING",_翻訳マスタ!$A$117:$A$247,0),MATCH(言語切替!$B$3,_翻訳マスタ!$B$1:$D$1,0)),IF(OR(S10='02_マスタ'!$E$7,S10='02_マスタ'!$E$8),INDEX(_翻訳マスタ!$B$117:$D$247,MATCH("ALERT_CHECK",_翻訳マスタ!$A$117:$A$247,0),MATCH(言語切替!$B$3,_翻訳マスタ!$B$1:$D$1,0)),""))))))</f>
        <v/>
      </c>
      <c r="AD10" s="40"/>
    </row>
    <row r="11" spans="1:30" s="22" customFormat="1" ht="30" customHeight="1" x14ac:dyDescent="0.25">
      <c r="A11" s="29"/>
      <c r="B11" s="30"/>
      <c r="C11" s="30"/>
      <c r="D11" s="30"/>
      <c r="E11" s="30"/>
      <c r="F11" s="46" t="str">
        <f>IF(E11="","",_xlfn.TRANSLATE(E11,"","ja"))</f>
        <v/>
      </c>
      <c r="G11" s="46" t="str">
        <f>IF(E11="","",_xlfn.TRANSLATE(E11,"","zh-Hans"))</f>
        <v/>
      </c>
      <c r="H11" s="30"/>
      <c r="I11" s="46" t="str">
        <f>IF(H11="","",_xlfn.TRANSLATE(H11,"","ja"))</f>
        <v/>
      </c>
      <c r="J11" s="46" t="str">
        <f>IF(H11="","",_xlfn.TRANSLATE(H11,"","zh-Hans"))</f>
        <v/>
      </c>
      <c r="K11" s="30"/>
      <c r="L11" s="46" t="str">
        <f>IF(K11="","",_xlfn.TRANSLATE(K11,"","ja"))</f>
        <v/>
      </c>
      <c r="M11" s="46" t="str">
        <f>IF(K11="","",_xlfn.TRANSLATE(K11,"","zh-Hans"))</f>
        <v/>
      </c>
      <c r="N11" s="30"/>
      <c r="O11" s="30"/>
      <c r="P11" s="31"/>
      <c r="Q11" s="31"/>
      <c r="R11" s="30"/>
      <c r="S11" s="30"/>
      <c r="T11" s="30"/>
      <c r="U11" s="30"/>
      <c r="V11" s="46" t="str">
        <f>IF(U11="","",_xlfn.TRANSLATE(U11,"","ja"))</f>
        <v/>
      </c>
      <c r="W11" s="46" t="str">
        <f>IF(U11="","",_xlfn.TRANSLATE(U11,"","zh-Hans"))</f>
        <v/>
      </c>
      <c r="X11" s="30"/>
      <c r="Y11" s="46" t="str">
        <f>IF(X11="","",_xlfn.TRANSLATE(X11,"","ja"))</f>
        <v/>
      </c>
      <c r="Z11" s="46" t="str">
        <f>IF(X11="","",_xlfn.TRANSLATE(X11,"","zh-Hans"))</f>
        <v/>
      </c>
      <c r="AA11" s="30"/>
      <c r="AB11" s="13" t="str">
        <f t="shared" ca="1" si="0"/>
        <v/>
      </c>
      <c r="AC11" s="13" t="str">
        <f ca="1">IF(A11="","",IF(OR(S11='02_マスタ'!$E$10,S11='02_マスタ'!$E$12),"",IF(R11="High","High",IF(AND(Q11&lt;&gt;"",Q11&lt;TODAY()),INDEX(_翻訳マスタ!$B$117:$D$247,MATCH("ALERT_OVERDUE",_翻訳マスタ!$A$117:$A$247,0),MATCH(言語切替!$B$3,_翻訳マスタ!$B$1:$D$1,0)),IF(AND(Q11&lt;&gt;"",Q11-TODAY()&lt;=7),INDEX(_翻訳マスタ!$B$117:$D$247,MATCH("ALERT_APPROACHING",_翻訳マスタ!$A$117:$A$247,0),MATCH(言語切替!$B$3,_翻訳マスタ!$B$1:$D$1,0)),IF(OR(S11='02_マスタ'!$E$7,S11='02_マスタ'!$E$8),INDEX(_翻訳マスタ!$B$117:$D$247,MATCH("ALERT_CHECK",_翻訳マスタ!$A$117:$A$247,0),MATCH(言語切替!$B$3,_翻訳マスタ!$B$1:$D$1,0)),""))))))</f>
        <v/>
      </c>
      <c r="AD11" s="41"/>
    </row>
    <row r="12" spans="1:30" s="22" customFormat="1" ht="30" customHeight="1" x14ac:dyDescent="0.25">
      <c r="A12" s="26"/>
      <c r="B12" s="27"/>
      <c r="C12" s="27"/>
      <c r="D12" s="27"/>
      <c r="E12" s="27"/>
      <c r="F12" s="45" t="str">
        <f>IF(E12="","",_xlfn.TRANSLATE(E12,"","ja"))</f>
        <v/>
      </c>
      <c r="G12" s="45" t="str">
        <f>IF(E12="","",_xlfn.TRANSLATE(E12,"","zh-Hans"))</f>
        <v/>
      </c>
      <c r="H12" s="27"/>
      <c r="I12" s="45" t="str">
        <f>IF(H12="","",_xlfn.TRANSLATE(H12,"","ja"))</f>
        <v/>
      </c>
      <c r="J12" s="45" t="str">
        <f>IF(H12="","",_xlfn.TRANSLATE(H12,"","zh-Hans"))</f>
        <v/>
      </c>
      <c r="K12" s="27"/>
      <c r="L12" s="45" t="str">
        <f>IF(K12="","",_xlfn.TRANSLATE(K12,"","ja"))</f>
        <v/>
      </c>
      <c r="M12" s="45" t="str">
        <f>IF(K12="","",_xlfn.TRANSLATE(K12,"","zh-Hans"))</f>
        <v/>
      </c>
      <c r="N12" s="27"/>
      <c r="O12" s="27"/>
      <c r="P12" s="28"/>
      <c r="Q12" s="28"/>
      <c r="R12" s="27"/>
      <c r="S12" s="27"/>
      <c r="T12" s="27"/>
      <c r="U12" s="27"/>
      <c r="V12" s="45" t="str">
        <f>IF(U12="","",_xlfn.TRANSLATE(U12,"","ja"))</f>
        <v/>
      </c>
      <c r="W12" s="45" t="str">
        <f>IF(U12="","",_xlfn.TRANSLATE(U12,"","zh-Hans"))</f>
        <v/>
      </c>
      <c r="X12" s="27"/>
      <c r="Y12" s="45" t="str">
        <f>IF(X12="","",_xlfn.TRANSLATE(X12,"","ja"))</f>
        <v/>
      </c>
      <c r="Z12" s="45" t="str">
        <f>IF(X12="","",_xlfn.TRANSLATE(X12,"","zh-Hans"))</f>
        <v/>
      </c>
      <c r="AA12" s="27"/>
      <c r="AB12" s="13" t="str">
        <f t="shared" ca="1" si="0"/>
        <v/>
      </c>
      <c r="AC12" s="13" t="str">
        <f ca="1">IF(A12="","",IF(OR(S12='02_マスタ'!$E$10,S12='02_マスタ'!$E$12),"",IF(R12="High","High",IF(AND(Q12&lt;&gt;"",Q12&lt;TODAY()),INDEX(_翻訳マスタ!$B$117:$D$247,MATCH("ALERT_OVERDUE",_翻訳マスタ!$A$117:$A$247,0),MATCH(言語切替!$B$3,_翻訳マスタ!$B$1:$D$1,0)),IF(AND(Q12&lt;&gt;"",Q12-TODAY()&lt;=7),INDEX(_翻訳マスタ!$B$117:$D$247,MATCH("ALERT_APPROACHING",_翻訳マスタ!$A$117:$A$247,0),MATCH(言語切替!$B$3,_翻訳マスタ!$B$1:$D$1,0)),IF(OR(S12='02_マスタ'!$E$7,S12='02_マスタ'!$E$8),INDEX(_翻訳マスタ!$B$117:$D$247,MATCH("ALERT_CHECK",_翻訳マスタ!$A$117:$A$247,0),MATCH(言語切替!$B$3,_翻訳マスタ!$B$1:$D$1,0)),""))))))</f>
        <v/>
      </c>
      <c r="AD12" s="40"/>
    </row>
    <row r="13" spans="1:30" s="22" customFormat="1" ht="30" customHeight="1" x14ac:dyDescent="0.25">
      <c r="A13" s="29"/>
      <c r="B13" s="30"/>
      <c r="C13" s="30"/>
      <c r="D13" s="30"/>
      <c r="E13" s="30"/>
      <c r="F13" s="46" t="str">
        <f>IF(E13="","",_xlfn.TRANSLATE(E13,"","ja"))</f>
        <v/>
      </c>
      <c r="G13" s="46" t="str">
        <f>IF(E13="","",_xlfn.TRANSLATE(E13,"","zh-Hans"))</f>
        <v/>
      </c>
      <c r="H13" s="30"/>
      <c r="I13" s="46" t="str">
        <f>IF(H13="","",_xlfn.TRANSLATE(H13,"","ja"))</f>
        <v/>
      </c>
      <c r="J13" s="46" t="str">
        <f>IF(H13="","",_xlfn.TRANSLATE(H13,"","zh-Hans"))</f>
        <v/>
      </c>
      <c r="K13" s="30"/>
      <c r="L13" s="46" t="str">
        <f>IF(K13="","",_xlfn.TRANSLATE(K13,"","ja"))</f>
        <v/>
      </c>
      <c r="M13" s="46" t="str">
        <f>IF(K13="","",_xlfn.TRANSLATE(K13,"","zh-Hans"))</f>
        <v/>
      </c>
      <c r="N13" s="30"/>
      <c r="O13" s="30"/>
      <c r="P13" s="31"/>
      <c r="Q13" s="31"/>
      <c r="R13" s="30"/>
      <c r="S13" s="30"/>
      <c r="T13" s="30"/>
      <c r="U13" s="30"/>
      <c r="V13" s="46" t="str">
        <f>IF(U13="","",_xlfn.TRANSLATE(U13,"","ja"))</f>
        <v/>
      </c>
      <c r="W13" s="46" t="str">
        <f>IF(U13="","",_xlfn.TRANSLATE(U13,"","zh-Hans"))</f>
        <v/>
      </c>
      <c r="X13" s="30"/>
      <c r="Y13" s="46" t="str">
        <f>IF(X13="","",_xlfn.TRANSLATE(X13,"","ja"))</f>
        <v/>
      </c>
      <c r="Z13" s="46" t="str">
        <f>IF(X13="","",_xlfn.TRANSLATE(X13,"","zh-Hans"))</f>
        <v/>
      </c>
      <c r="AA13" s="30"/>
      <c r="AB13" s="16" t="str">
        <f t="shared" ca="1" si="0"/>
        <v/>
      </c>
      <c r="AC13" s="16" t="str">
        <f ca="1">IF(A13="","",IF(OR(S13='02_マスタ'!$E$10,S13='02_マスタ'!$E$12),"",IF(R13="High","High",IF(AND(Q13&lt;&gt;"",Q13&lt;TODAY()),INDEX(_翻訳マスタ!$B$117:$D$247,MATCH("ALERT_OVERDUE",_翻訳マスタ!$A$117:$A$247,0),MATCH(言語切替!$B$3,_翻訳マスタ!$B$1:$D$1,0)),IF(AND(Q13&lt;&gt;"",Q13-TODAY()&lt;=7),INDEX(_翻訳マスタ!$B$117:$D$247,MATCH("ALERT_APPROACHING",_翻訳マスタ!$A$117:$A$247,0),MATCH(言語切替!$B$3,_翻訳マスタ!$B$1:$D$1,0)),IF(OR(S13='02_マスタ'!$E$7,S13='02_マスタ'!$E$8),INDEX(_翻訳マスタ!$B$117:$D$247,MATCH("ALERT_CHECK",_翻訳マスタ!$A$117:$A$247,0),MATCH(言語切替!$B$3,_翻訳マスタ!$B$1:$D$1,0)),""))))))</f>
        <v/>
      </c>
      <c r="AD13" s="41"/>
    </row>
    <row r="14" spans="1:30" s="22" customFormat="1" ht="30" customHeight="1" x14ac:dyDescent="0.25">
      <c r="A14" s="26"/>
      <c r="B14" s="27"/>
      <c r="C14" s="27"/>
      <c r="D14" s="27"/>
      <c r="E14" s="27"/>
      <c r="F14" s="45" t="str">
        <f>IF(E14="","",_xlfn.TRANSLATE(E14,"","ja"))</f>
        <v/>
      </c>
      <c r="G14" s="45" t="str">
        <f>IF(E14="","",_xlfn.TRANSLATE(E14,"","zh-Hans"))</f>
        <v/>
      </c>
      <c r="H14" s="27"/>
      <c r="I14" s="45" t="str">
        <f>IF(H14="","",_xlfn.TRANSLATE(H14,"","ja"))</f>
        <v/>
      </c>
      <c r="J14" s="45" t="str">
        <f>IF(H14="","",_xlfn.TRANSLATE(H14,"","zh-Hans"))</f>
        <v/>
      </c>
      <c r="K14" s="27"/>
      <c r="L14" s="45" t="str">
        <f>IF(K14="","",_xlfn.TRANSLATE(K14,"","ja"))</f>
        <v/>
      </c>
      <c r="M14" s="45" t="str">
        <f>IF(K14="","",_xlfn.TRANSLATE(K14,"","zh-Hans"))</f>
        <v/>
      </c>
      <c r="N14" s="27"/>
      <c r="O14" s="27"/>
      <c r="P14" s="28"/>
      <c r="Q14" s="28"/>
      <c r="R14" s="27"/>
      <c r="S14" s="27"/>
      <c r="T14" s="27"/>
      <c r="U14" s="27"/>
      <c r="V14" s="45" t="str">
        <f>IF(U14="","",_xlfn.TRANSLATE(U14,"","ja"))</f>
        <v/>
      </c>
      <c r="W14" s="45" t="str">
        <f>IF(U14="","",_xlfn.TRANSLATE(U14,"","zh-Hans"))</f>
        <v/>
      </c>
      <c r="X14" s="27"/>
      <c r="Y14" s="45" t="str">
        <f>IF(X14="","",_xlfn.TRANSLATE(X14,"","ja"))</f>
        <v/>
      </c>
      <c r="Z14" s="45" t="str">
        <f>IF(X14="","",_xlfn.TRANSLATE(X14,"","zh-Hans"))</f>
        <v/>
      </c>
      <c r="AA14" s="27"/>
      <c r="AB14" s="13" t="str">
        <f t="shared" ca="1" si="0"/>
        <v/>
      </c>
      <c r="AC14" s="13" t="str">
        <f ca="1">IF(A14="","",IF(OR(S14='02_マスタ'!$E$10,S14='02_マスタ'!$E$12),"",IF(R14="High","High",IF(AND(Q14&lt;&gt;"",Q14&lt;TODAY()),INDEX(_翻訳マスタ!$B$117:$D$247,MATCH("ALERT_OVERDUE",_翻訳マスタ!$A$117:$A$247,0),MATCH(言語切替!$B$3,_翻訳マスタ!$B$1:$D$1,0)),IF(AND(Q14&lt;&gt;"",Q14-TODAY()&lt;=7),INDEX(_翻訳マスタ!$B$117:$D$247,MATCH("ALERT_APPROACHING",_翻訳マスタ!$A$117:$A$247,0),MATCH(言語切替!$B$3,_翻訳マスタ!$B$1:$D$1,0)),IF(OR(S14='02_マスタ'!$E$7,S14='02_マスタ'!$E$8),INDEX(_翻訳マスタ!$B$117:$D$247,MATCH("ALERT_CHECK",_翻訳マスタ!$A$117:$A$247,0),MATCH(言語切替!$B$3,_翻訳マスタ!$B$1:$D$1,0)),""))))))</f>
        <v/>
      </c>
      <c r="AD14" s="40"/>
    </row>
    <row r="15" spans="1:30" s="22" customFormat="1" ht="30" customHeight="1" x14ac:dyDescent="0.25">
      <c r="A15" s="29"/>
      <c r="B15" s="30"/>
      <c r="C15" s="30"/>
      <c r="D15" s="30"/>
      <c r="E15" s="30"/>
      <c r="F15" s="46" t="str">
        <f>IF(E15="","",_xlfn.TRANSLATE(E15,"","ja"))</f>
        <v/>
      </c>
      <c r="G15" s="46" t="str">
        <f>IF(E15="","",_xlfn.TRANSLATE(E15,"","zh-Hans"))</f>
        <v/>
      </c>
      <c r="H15" s="30"/>
      <c r="I15" s="46" t="str">
        <f>IF(H15="","",_xlfn.TRANSLATE(H15,"","ja"))</f>
        <v/>
      </c>
      <c r="J15" s="46" t="str">
        <f>IF(H15="","",_xlfn.TRANSLATE(H15,"","zh-Hans"))</f>
        <v/>
      </c>
      <c r="K15" s="30"/>
      <c r="L15" s="46" t="str">
        <f>IF(K15="","",_xlfn.TRANSLATE(K15,"","ja"))</f>
        <v/>
      </c>
      <c r="M15" s="46" t="str">
        <f>IF(K15="","",_xlfn.TRANSLATE(K15,"","zh-Hans"))</f>
        <v/>
      </c>
      <c r="N15" s="30"/>
      <c r="O15" s="30"/>
      <c r="P15" s="31"/>
      <c r="Q15" s="31"/>
      <c r="R15" s="30"/>
      <c r="S15" s="30"/>
      <c r="T15" s="30"/>
      <c r="U15" s="30"/>
      <c r="V15" s="46" t="str">
        <f>IF(U15="","",_xlfn.TRANSLATE(U15,"","ja"))</f>
        <v/>
      </c>
      <c r="W15" s="46" t="str">
        <f>IF(U15="","",_xlfn.TRANSLATE(U15,"","zh-Hans"))</f>
        <v/>
      </c>
      <c r="X15" s="30"/>
      <c r="Y15" s="46" t="str">
        <f>IF(X15="","",_xlfn.TRANSLATE(X15,"","ja"))</f>
        <v/>
      </c>
      <c r="Z15" s="46" t="str">
        <f>IF(X15="","",_xlfn.TRANSLATE(X15,"","zh-Hans"))</f>
        <v/>
      </c>
      <c r="AA15" s="30"/>
      <c r="AB15" s="16" t="str">
        <f t="shared" ca="1" si="0"/>
        <v/>
      </c>
      <c r="AC15" s="16" t="str">
        <f ca="1">IF(A15="","",IF(OR(S15='02_マスタ'!$E$10,S15='02_マスタ'!$E$12),"",IF(R15="High","High",IF(AND(Q15&lt;&gt;"",Q15&lt;TODAY()),INDEX(_翻訳マスタ!$B$117:$D$247,MATCH("ALERT_OVERDUE",_翻訳マスタ!$A$117:$A$247,0),MATCH(言語切替!$B$3,_翻訳マスタ!$B$1:$D$1,0)),IF(AND(Q15&lt;&gt;"",Q15-TODAY()&lt;=7),INDEX(_翻訳マスタ!$B$117:$D$247,MATCH("ALERT_APPROACHING",_翻訳マスタ!$A$117:$A$247,0),MATCH(言語切替!$B$3,_翻訳マスタ!$B$1:$D$1,0)),IF(OR(S15='02_マスタ'!$E$7,S15='02_マスタ'!$E$8),INDEX(_翻訳マスタ!$B$117:$D$247,MATCH("ALERT_CHECK",_翻訳マスタ!$A$117:$A$247,0),MATCH(言語切替!$B$3,_翻訳マスタ!$B$1:$D$1,0)),""))))))</f>
        <v/>
      </c>
      <c r="AD15" s="41"/>
    </row>
    <row r="16" spans="1:30" s="22" customFormat="1" ht="30" customHeight="1" x14ac:dyDescent="0.25">
      <c r="A16" s="26"/>
      <c r="B16" s="27"/>
      <c r="C16" s="27"/>
      <c r="D16" s="27"/>
      <c r="E16" s="27"/>
      <c r="F16" s="45" t="str">
        <f>IF(E16="","",_xlfn.TRANSLATE(E16,"","ja"))</f>
        <v/>
      </c>
      <c r="G16" s="45" t="str">
        <f>IF(E16="","",_xlfn.TRANSLATE(E16,"","zh-Hans"))</f>
        <v/>
      </c>
      <c r="H16" s="27"/>
      <c r="I16" s="45" t="str">
        <f>IF(H16="","",_xlfn.TRANSLATE(H16,"","ja"))</f>
        <v/>
      </c>
      <c r="J16" s="45" t="str">
        <f>IF(H16="","",_xlfn.TRANSLATE(H16,"","zh-Hans"))</f>
        <v/>
      </c>
      <c r="K16" s="27"/>
      <c r="L16" s="45" t="str">
        <f>IF(K16="","",_xlfn.TRANSLATE(K16,"","ja"))</f>
        <v/>
      </c>
      <c r="M16" s="45" t="str">
        <f>IF(K16="","",_xlfn.TRANSLATE(K16,"","zh-Hans"))</f>
        <v/>
      </c>
      <c r="N16" s="27"/>
      <c r="O16" s="27"/>
      <c r="P16" s="28"/>
      <c r="Q16" s="28"/>
      <c r="R16" s="27"/>
      <c r="S16" s="27"/>
      <c r="T16" s="27"/>
      <c r="U16" s="27"/>
      <c r="V16" s="45" t="str">
        <f>IF(U16="","",_xlfn.TRANSLATE(U16,"","ja"))</f>
        <v/>
      </c>
      <c r="W16" s="45" t="str">
        <f>IF(U16="","",_xlfn.TRANSLATE(U16,"","zh-Hans"))</f>
        <v/>
      </c>
      <c r="X16" s="27"/>
      <c r="Y16" s="45" t="str">
        <f>IF(X16="","",_xlfn.TRANSLATE(X16,"","ja"))</f>
        <v/>
      </c>
      <c r="Z16" s="45" t="str">
        <f>IF(X16="","",_xlfn.TRANSLATE(X16,"","zh-Hans"))</f>
        <v/>
      </c>
      <c r="AA16" s="27"/>
      <c r="AB16" s="13" t="str">
        <f t="shared" ca="1" si="0"/>
        <v/>
      </c>
      <c r="AC16" s="13" t="str">
        <f ca="1">IF(A16="","",IF(OR(S16='02_マスタ'!$E$10,S16='02_マスタ'!$E$12),"",IF(R16="High","High",IF(AND(Q16&lt;&gt;"",Q16&lt;TODAY()),INDEX(_翻訳マスタ!$B$117:$D$247,MATCH("ALERT_OVERDUE",_翻訳マスタ!$A$117:$A$247,0),MATCH(言語切替!$B$3,_翻訳マスタ!$B$1:$D$1,0)),IF(AND(Q16&lt;&gt;"",Q16-TODAY()&lt;=7),INDEX(_翻訳マスタ!$B$117:$D$247,MATCH("ALERT_APPROACHING",_翻訳マスタ!$A$117:$A$247,0),MATCH(言語切替!$B$3,_翻訳マスタ!$B$1:$D$1,0)),IF(OR(S16='02_マスタ'!$E$7,S16='02_マスタ'!$E$8),INDEX(_翻訳マスタ!$B$117:$D$247,MATCH("ALERT_CHECK",_翻訳マスタ!$A$117:$A$247,0),MATCH(言語切替!$B$3,_翻訳マスタ!$B$1:$D$1,0)),""))))))</f>
        <v/>
      </c>
      <c r="AD16" s="40"/>
    </row>
    <row r="17" spans="1:30" s="22" customFormat="1" ht="30" customHeight="1" x14ac:dyDescent="0.25">
      <c r="A17" s="29"/>
      <c r="B17" s="30"/>
      <c r="C17" s="30"/>
      <c r="D17" s="30"/>
      <c r="E17" s="30"/>
      <c r="F17" s="46" t="str">
        <f>IF(E17="","",_xlfn.TRANSLATE(E17,"","ja"))</f>
        <v/>
      </c>
      <c r="G17" s="46" t="str">
        <f>IF(E17="","",_xlfn.TRANSLATE(E17,"","zh-Hans"))</f>
        <v/>
      </c>
      <c r="H17" s="30"/>
      <c r="I17" s="46" t="str">
        <f>IF(H17="","",_xlfn.TRANSLATE(H17,"","ja"))</f>
        <v/>
      </c>
      <c r="J17" s="46" t="str">
        <f>IF(H17="","",_xlfn.TRANSLATE(H17,"","zh-Hans"))</f>
        <v/>
      </c>
      <c r="K17" s="30"/>
      <c r="L17" s="46" t="str">
        <f>IF(K17="","",_xlfn.TRANSLATE(K17,"","ja"))</f>
        <v/>
      </c>
      <c r="M17" s="46" t="str">
        <f>IF(K17="","",_xlfn.TRANSLATE(K17,"","zh-Hans"))</f>
        <v/>
      </c>
      <c r="N17" s="30"/>
      <c r="O17" s="30"/>
      <c r="P17" s="31"/>
      <c r="Q17" s="31"/>
      <c r="R17" s="30"/>
      <c r="S17" s="30"/>
      <c r="T17" s="30"/>
      <c r="U17" s="30"/>
      <c r="V17" s="46" t="str">
        <f>IF(U17="","",_xlfn.TRANSLATE(U17,"","ja"))</f>
        <v/>
      </c>
      <c r="W17" s="46" t="str">
        <f>IF(U17="","",_xlfn.TRANSLATE(U17,"","zh-Hans"))</f>
        <v/>
      </c>
      <c r="X17" s="30"/>
      <c r="Y17" s="46" t="str">
        <f>IF(X17="","",_xlfn.TRANSLATE(X17,"","ja"))</f>
        <v/>
      </c>
      <c r="Z17" s="46" t="str">
        <f>IF(X17="","",_xlfn.TRANSLATE(X17,"","zh-Hans"))</f>
        <v/>
      </c>
      <c r="AA17" s="30"/>
      <c r="AB17" s="16" t="str">
        <f t="shared" ca="1" si="0"/>
        <v/>
      </c>
      <c r="AC17" s="16" t="str">
        <f ca="1">IF(A17="","",IF(OR(S17='02_マスタ'!$E$10,S17='02_マスタ'!$E$12),"",IF(R17="High","High",IF(AND(Q17&lt;&gt;"",Q17&lt;TODAY()),INDEX(_翻訳マスタ!$B$117:$D$247,MATCH("ALERT_OVERDUE",_翻訳マスタ!$A$117:$A$247,0),MATCH(言語切替!$B$3,_翻訳マスタ!$B$1:$D$1,0)),IF(AND(Q17&lt;&gt;"",Q17-TODAY()&lt;=7),INDEX(_翻訳マスタ!$B$117:$D$247,MATCH("ALERT_APPROACHING",_翻訳マスタ!$A$117:$A$247,0),MATCH(言語切替!$B$3,_翻訳マスタ!$B$1:$D$1,0)),IF(OR(S17='02_マスタ'!$E$7,S17='02_マスタ'!$E$8),INDEX(_翻訳マスタ!$B$117:$D$247,MATCH("ALERT_CHECK",_翻訳マスタ!$A$117:$A$247,0),MATCH(言語切替!$B$3,_翻訳マスタ!$B$1:$D$1,0)),""))))))</f>
        <v/>
      </c>
      <c r="AD17" s="41"/>
    </row>
    <row r="18" spans="1:30" s="22" customFormat="1" ht="30" customHeight="1" x14ac:dyDescent="0.25">
      <c r="A18" s="26"/>
      <c r="B18" s="27"/>
      <c r="C18" s="27"/>
      <c r="D18" s="27"/>
      <c r="E18" s="27"/>
      <c r="F18" s="45" t="str">
        <f>IF(E18="","",_xlfn.TRANSLATE(E18,"","ja"))</f>
        <v/>
      </c>
      <c r="G18" s="45" t="str">
        <f>IF(E18="","",_xlfn.TRANSLATE(E18,"","zh-Hans"))</f>
        <v/>
      </c>
      <c r="H18" s="27"/>
      <c r="I18" s="45" t="str">
        <f>IF(H18="","",_xlfn.TRANSLATE(H18,"","ja"))</f>
        <v/>
      </c>
      <c r="J18" s="45" t="str">
        <f>IF(H18="","",_xlfn.TRANSLATE(H18,"","zh-Hans"))</f>
        <v/>
      </c>
      <c r="K18" s="27"/>
      <c r="L18" s="45" t="str">
        <f>IF(K18="","",_xlfn.TRANSLATE(K18,"","ja"))</f>
        <v/>
      </c>
      <c r="M18" s="45" t="str">
        <f>IF(K18="","",_xlfn.TRANSLATE(K18,"","zh-Hans"))</f>
        <v/>
      </c>
      <c r="N18" s="27"/>
      <c r="O18" s="27"/>
      <c r="P18" s="28"/>
      <c r="Q18" s="28"/>
      <c r="R18" s="27"/>
      <c r="S18" s="27"/>
      <c r="T18" s="27"/>
      <c r="U18" s="27"/>
      <c r="V18" s="45" t="str">
        <f>IF(U18="","",_xlfn.TRANSLATE(U18,"","ja"))</f>
        <v/>
      </c>
      <c r="W18" s="45" t="str">
        <f>IF(U18="","",_xlfn.TRANSLATE(U18,"","zh-Hans"))</f>
        <v/>
      </c>
      <c r="X18" s="27"/>
      <c r="Y18" s="45" t="str">
        <f>IF(X18="","",_xlfn.TRANSLATE(X18,"","ja"))</f>
        <v/>
      </c>
      <c r="Z18" s="45" t="str">
        <f>IF(X18="","",_xlfn.TRANSLATE(X18,"","zh-Hans"))</f>
        <v/>
      </c>
      <c r="AA18" s="27"/>
      <c r="AB18" s="13" t="str">
        <f t="shared" ca="1" si="0"/>
        <v/>
      </c>
      <c r="AC18" s="13" t="str">
        <f ca="1">IF(A18="","",IF(OR(S18='02_マスタ'!$E$10,S18='02_マスタ'!$E$12),"",IF(R18="High","High",IF(AND(Q18&lt;&gt;"",Q18&lt;TODAY()),INDEX(_翻訳マスタ!$B$117:$D$247,MATCH("ALERT_OVERDUE",_翻訳マスタ!$A$117:$A$247,0),MATCH(言語切替!$B$3,_翻訳マスタ!$B$1:$D$1,0)),IF(AND(Q18&lt;&gt;"",Q18-TODAY()&lt;=7),INDEX(_翻訳マスタ!$B$117:$D$247,MATCH("ALERT_APPROACHING",_翻訳マスタ!$A$117:$A$247,0),MATCH(言語切替!$B$3,_翻訳マスタ!$B$1:$D$1,0)),IF(OR(S18='02_マスタ'!$E$7,S18='02_マスタ'!$E$8),INDEX(_翻訳マスタ!$B$117:$D$247,MATCH("ALERT_CHECK",_翻訳マスタ!$A$117:$A$247,0),MATCH(言語切替!$B$3,_翻訳マスタ!$B$1:$D$1,0)),""))))))</f>
        <v/>
      </c>
      <c r="AD18" s="40"/>
    </row>
    <row r="19" spans="1:30" s="22" customFormat="1" ht="30" customHeight="1" x14ac:dyDescent="0.25">
      <c r="A19" s="29"/>
      <c r="B19" s="30"/>
      <c r="C19" s="30"/>
      <c r="D19" s="30"/>
      <c r="E19" s="30"/>
      <c r="F19" s="46" t="str">
        <f>IF(E19="","",_xlfn.TRANSLATE(E19,"","ja"))</f>
        <v/>
      </c>
      <c r="G19" s="46" t="str">
        <f>IF(E19="","",_xlfn.TRANSLATE(E19,"","zh-Hans"))</f>
        <v/>
      </c>
      <c r="H19" s="30"/>
      <c r="I19" s="46" t="str">
        <f>IF(H19="","",_xlfn.TRANSLATE(H19,"","ja"))</f>
        <v/>
      </c>
      <c r="J19" s="46" t="str">
        <f>IF(H19="","",_xlfn.TRANSLATE(H19,"","zh-Hans"))</f>
        <v/>
      </c>
      <c r="K19" s="30"/>
      <c r="L19" s="46" t="str">
        <f>IF(K19="","",_xlfn.TRANSLATE(K19,"","ja"))</f>
        <v/>
      </c>
      <c r="M19" s="46" t="str">
        <f>IF(K19="","",_xlfn.TRANSLATE(K19,"","zh-Hans"))</f>
        <v/>
      </c>
      <c r="N19" s="30"/>
      <c r="O19" s="30"/>
      <c r="P19" s="31"/>
      <c r="Q19" s="31"/>
      <c r="R19" s="30"/>
      <c r="S19" s="30"/>
      <c r="T19" s="30"/>
      <c r="U19" s="30"/>
      <c r="V19" s="46" t="str">
        <f>IF(U19="","",_xlfn.TRANSLATE(U19,"","ja"))</f>
        <v/>
      </c>
      <c r="W19" s="46" t="str">
        <f>IF(U19="","",_xlfn.TRANSLATE(U19,"","zh-Hans"))</f>
        <v/>
      </c>
      <c r="X19" s="30"/>
      <c r="Y19" s="46" t="str">
        <f>IF(X19="","",_xlfn.TRANSLATE(X19,"","ja"))</f>
        <v/>
      </c>
      <c r="Z19" s="46" t="str">
        <f>IF(X19="","",_xlfn.TRANSLATE(X19,"","zh-Hans"))</f>
        <v/>
      </c>
      <c r="AA19" s="30"/>
      <c r="AB19" s="16" t="str">
        <f t="shared" ca="1" si="0"/>
        <v/>
      </c>
      <c r="AC19" s="16" t="str">
        <f ca="1">IF(A19="","",IF(OR(S19='02_マスタ'!$E$10,S19='02_マスタ'!$E$12),"",IF(R19="High","High",IF(AND(Q19&lt;&gt;"",Q19&lt;TODAY()),INDEX(_翻訳マスタ!$B$117:$D$247,MATCH("ALERT_OVERDUE",_翻訳マスタ!$A$117:$A$247,0),MATCH(言語切替!$B$3,_翻訳マスタ!$B$1:$D$1,0)),IF(AND(Q19&lt;&gt;"",Q19-TODAY()&lt;=7),INDEX(_翻訳マスタ!$B$117:$D$247,MATCH("ALERT_APPROACHING",_翻訳マスタ!$A$117:$A$247,0),MATCH(言語切替!$B$3,_翻訳マスタ!$B$1:$D$1,0)),IF(OR(S19='02_マスタ'!$E$7,S19='02_マスタ'!$E$8),INDEX(_翻訳マスタ!$B$117:$D$247,MATCH("ALERT_CHECK",_翻訳マスタ!$A$117:$A$247,0),MATCH(言語切替!$B$3,_翻訳マスタ!$B$1:$D$1,0)),""))))))</f>
        <v/>
      </c>
      <c r="AD19" s="41"/>
    </row>
    <row r="20" spans="1:30" s="22" customFormat="1" x14ac:dyDescent="0.25">
      <c r="A20" s="26"/>
      <c r="B20" s="27"/>
      <c r="C20" s="27"/>
      <c r="D20" s="27"/>
      <c r="E20" s="27"/>
      <c r="F20" s="45" t="str">
        <f>IF(E20="","",_xlfn.TRANSLATE(E20,"","ja"))</f>
        <v/>
      </c>
      <c r="G20" s="45" t="str">
        <f>IF(E20="","",_xlfn.TRANSLATE(E20,"","zh-Hans"))</f>
        <v/>
      </c>
      <c r="H20" s="27"/>
      <c r="I20" s="45" t="str">
        <f>IF(H20="","",_xlfn.TRANSLATE(H20,"","ja"))</f>
        <v/>
      </c>
      <c r="J20" s="45" t="str">
        <f>IF(H20="","",_xlfn.TRANSLATE(H20,"","zh-Hans"))</f>
        <v/>
      </c>
      <c r="K20" s="27"/>
      <c r="L20" s="45" t="str">
        <f>IF(K20="","",_xlfn.TRANSLATE(K20,"","ja"))</f>
        <v/>
      </c>
      <c r="M20" s="45" t="str">
        <f>IF(K20="","",_xlfn.TRANSLATE(K20,"","zh-Hans"))</f>
        <v/>
      </c>
      <c r="N20" s="27"/>
      <c r="O20" s="27"/>
      <c r="P20" s="28"/>
      <c r="Q20" s="28"/>
      <c r="R20" s="27"/>
      <c r="S20" s="27"/>
      <c r="T20" s="27"/>
      <c r="U20" s="27"/>
      <c r="V20" s="45" t="str">
        <f>IF(U20="","",_xlfn.TRANSLATE(U20,"","ja"))</f>
        <v/>
      </c>
      <c r="W20" s="45" t="str">
        <f>IF(U20="","",_xlfn.TRANSLATE(U20,"","zh-Hans"))</f>
        <v/>
      </c>
      <c r="X20" s="27"/>
      <c r="Y20" s="45" t="str">
        <f>IF(X20="","",_xlfn.TRANSLATE(X20,"","ja"))</f>
        <v/>
      </c>
      <c r="Z20" s="45" t="str">
        <f>IF(X20="","",_xlfn.TRANSLATE(X20,"","zh-Hans"))</f>
        <v/>
      </c>
      <c r="AA20" s="27"/>
      <c r="AB20" s="13" t="str">
        <f t="shared" ca="1" si="0"/>
        <v/>
      </c>
      <c r="AC20" s="13" t="str">
        <f ca="1">IF(A20="","",IF(OR(S20='02_マスタ'!$E$10,S20='02_マスタ'!$E$12),"",IF(R20="High","High",IF(AND(Q20&lt;&gt;"",Q20&lt;TODAY()),INDEX(_翻訳マスタ!$B$117:$D$247,MATCH("ALERT_OVERDUE",_翻訳マスタ!$A$117:$A$247,0),MATCH(言語切替!$B$3,_翻訳マスタ!$B$1:$D$1,0)),IF(AND(Q20&lt;&gt;"",Q20-TODAY()&lt;=7),INDEX(_翻訳マスタ!$B$117:$D$247,MATCH("ALERT_APPROACHING",_翻訳マスタ!$A$117:$A$247,0),MATCH(言語切替!$B$3,_翻訳マスタ!$B$1:$D$1,0)),IF(OR(S20='02_マスタ'!$E$7,S20='02_マスタ'!$E$8),INDEX(_翻訳マスタ!$B$117:$D$247,MATCH("ALERT_CHECK",_翻訳マスタ!$A$117:$A$247,0),MATCH(言語切替!$B$3,_翻訳マスタ!$B$1:$D$1,0)),""))))))</f>
        <v/>
      </c>
      <c r="AD20" s="40"/>
    </row>
    <row r="21" spans="1:30" s="22" customFormat="1" x14ac:dyDescent="0.25">
      <c r="A21" s="29"/>
      <c r="B21" s="30"/>
      <c r="C21" s="30"/>
      <c r="D21" s="30"/>
      <c r="E21" s="30"/>
      <c r="F21" s="46" t="str">
        <f>IF(E21="","",_xlfn.TRANSLATE(E21,"","ja"))</f>
        <v/>
      </c>
      <c r="G21" s="46" t="str">
        <f>IF(E21="","",_xlfn.TRANSLATE(E21,"","zh-Hans"))</f>
        <v/>
      </c>
      <c r="H21" s="30"/>
      <c r="I21" s="46" t="str">
        <f>IF(H21="","",_xlfn.TRANSLATE(H21,"","ja"))</f>
        <v/>
      </c>
      <c r="J21" s="46" t="str">
        <f>IF(H21="","",_xlfn.TRANSLATE(H21,"","zh-Hans"))</f>
        <v/>
      </c>
      <c r="K21" s="30"/>
      <c r="L21" s="46" t="str">
        <f>IF(K21="","",_xlfn.TRANSLATE(K21,"","ja"))</f>
        <v/>
      </c>
      <c r="M21" s="46" t="str">
        <f>IF(K21="","",_xlfn.TRANSLATE(K21,"","zh-Hans"))</f>
        <v/>
      </c>
      <c r="N21" s="30"/>
      <c r="O21" s="30"/>
      <c r="P21" s="31"/>
      <c r="Q21" s="31"/>
      <c r="R21" s="30"/>
      <c r="S21" s="30"/>
      <c r="T21" s="30"/>
      <c r="U21" s="30"/>
      <c r="V21" s="46" t="str">
        <f>IF(U21="","",_xlfn.TRANSLATE(U21,"","ja"))</f>
        <v/>
      </c>
      <c r="W21" s="46" t="str">
        <f>IF(U21="","",_xlfn.TRANSLATE(U21,"","zh-Hans"))</f>
        <v/>
      </c>
      <c r="X21" s="30"/>
      <c r="Y21" s="46" t="str">
        <f>IF(X21="","",_xlfn.TRANSLATE(X21,"","ja"))</f>
        <v/>
      </c>
      <c r="Z21" s="46" t="str">
        <f>IF(X21="","",_xlfn.TRANSLATE(X21,"","zh-Hans"))</f>
        <v/>
      </c>
      <c r="AA21" s="30"/>
      <c r="AB21" s="16" t="str">
        <f t="shared" ca="1" si="0"/>
        <v/>
      </c>
      <c r="AC21" s="16" t="str">
        <f ca="1">IF(A21="","",IF(OR(S21='02_マスタ'!$E$10,S21='02_マスタ'!$E$12),"",IF(R21="High","High",IF(AND(Q21&lt;&gt;"",Q21&lt;TODAY()),INDEX(_翻訳マスタ!$B$117:$D$247,MATCH("ALERT_OVERDUE",_翻訳マスタ!$A$117:$A$247,0),MATCH(言語切替!$B$3,_翻訳マスタ!$B$1:$D$1,0)),IF(AND(Q21&lt;&gt;"",Q21-TODAY()&lt;=7),INDEX(_翻訳マスタ!$B$117:$D$247,MATCH("ALERT_APPROACHING",_翻訳マスタ!$A$117:$A$247,0),MATCH(言語切替!$B$3,_翻訳マスタ!$B$1:$D$1,0)),IF(OR(S21='02_マスタ'!$E$7,S21='02_マスタ'!$E$8),INDEX(_翻訳マスタ!$B$117:$D$247,MATCH("ALERT_CHECK",_翻訳マスタ!$A$117:$A$247,0),MATCH(言語切替!$B$3,_翻訳マスタ!$B$1:$D$1,0)),""))))))</f>
        <v/>
      </c>
      <c r="AD21" s="41"/>
    </row>
    <row r="22" spans="1:30" s="22" customFormat="1" x14ac:dyDescent="0.25">
      <c r="A22" s="26"/>
      <c r="B22" s="27"/>
      <c r="C22" s="27"/>
      <c r="D22" s="27"/>
      <c r="E22" s="27"/>
      <c r="F22" s="45" t="str">
        <f>IF(E22="","",_xlfn.TRANSLATE(E22,"","ja"))</f>
        <v/>
      </c>
      <c r="G22" s="45" t="str">
        <f>IF(E22="","",_xlfn.TRANSLATE(E22,"","zh-Hans"))</f>
        <v/>
      </c>
      <c r="H22" s="27"/>
      <c r="I22" s="45" t="str">
        <f>IF(H22="","",_xlfn.TRANSLATE(H22,"","ja"))</f>
        <v/>
      </c>
      <c r="J22" s="45" t="str">
        <f>IF(H22="","",_xlfn.TRANSLATE(H22,"","zh-Hans"))</f>
        <v/>
      </c>
      <c r="K22" s="27"/>
      <c r="L22" s="45" t="str">
        <f>IF(K22="","",_xlfn.TRANSLATE(K22,"","ja"))</f>
        <v/>
      </c>
      <c r="M22" s="45" t="str">
        <f>IF(K22="","",_xlfn.TRANSLATE(K22,"","zh-Hans"))</f>
        <v/>
      </c>
      <c r="N22" s="27"/>
      <c r="O22" s="27"/>
      <c r="P22" s="28"/>
      <c r="Q22" s="28"/>
      <c r="R22" s="27"/>
      <c r="S22" s="27"/>
      <c r="T22" s="27"/>
      <c r="U22" s="27"/>
      <c r="V22" s="45" t="str">
        <f>IF(U22="","",_xlfn.TRANSLATE(U22,"","ja"))</f>
        <v/>
      </c>
      <c r="W22" s="45" t="str">
        <f>IF(U22="","",_xlfn.TRANSLATE(U22,"","zh-Hans"))</f>
        <v/>
      </c>
      <c r="X22" s="27"/>
      <c r="Y22" s="45" t="str">
        <f>IF(X22="","",_xlfn.TRANSLATE(X22,"","ja"))</f>
        <v/>
      </c>
      <c r="Z22" s="45" t="str">
        <f>IF(X22="","",_xlfn.TRANSLATE(X22,"","zh-Hans"))</f>
        <v/>
      </c>
      <c r="AA22" s="27"/>
      <c r="AB22" s="13" t="str">
        <f t="shared" ca="1" si="0"/>
        <v/>
      </c>
      <c r="AC22" s="13" t="str">
        <f ca="1">IF(A22="","",IF(OR(S22='02_マスタ'!$E$10,S22='02_マスタ'!$E$12),"",IF(R22="High","High",IF(AND(Q22&lt;&gt;"",Q22&lt;TODAY()),INDEX(_翻訳マスタ!$B$117:$D$247,MATCH("ALERT_OVERDUE",_翻訳マスタ!$A$117:$A$247,0),MATCH(言語切替!$B$3,_翻訳マスタ!$B$1:$D$1,0)),IF(AND(Q22&lt;&gt;"",Q22-TODAY()&lt;=7),INDEX(_翻訳マスタ!$B$117:$D$247,MATCH("ALERT_APPROACHING",_翻訳マスタ!$A$117:$A$247,0),MATCH(言語切替!$B$3,_翻訳マスタ!$B$1:$D$1,0)),IF(OR(S22='02_マスタ'!$E$7,S22='02_マスタ'!$E$8),INDEX(_翻訳マスタ!$B$117:$D$247,MATCH("ALERT_CHECK",_翻訳マスタ!$A$117:$A$247,0),MATCH(言語切替!$B$3,_翻訳マスタ!$B$1:$D$1,0)),""))))))</f>
        <v/>
      </c>
      <c r="AD22" s="40"/>
    </row>
    <row r="23" spans="1:30" s="22" customFormat="1" x14ac:dyDescent="0.25">
      <c r="A23" s="29"/>
      <c r="B23" s="30"/>
      <c r="C23" s="30"/>
      <c r="D23" s="30"/>
      <c r="E23" s="30"/>
      <c r="F23" s="46" t="str">
        <f>IF(E23="","",_xlfn.TRANSLATE(E23,"","ja"))</f>
        <v/>
      </c>
      <c r="G23" s="46" t="str">
        <f>IF(E23="","",_xlfn.TRANSLATE(E23,"","zh-Hans"))</f>
        <v/>
      </c>
      <c r="H23" s="30"/>
      <c r="I23" s="46" t="str">
        <f>IF(H23="","",_xlfn.TRANSLATE(H23,"","ja"))</f>
        <v/>
      </c>
      <c r="J23" s="46" t="str">
        <f>IF(H23="","",_xlfn.TRANSLATE(H23,"","zh-Hans"))</f>
        <v/>
      </c>
      <c r="K23" s="30"/>
      <c r="L23" s="46" t="str">
        <f>IF(K23="","",_xlfn.TRANSLATE(K23,"","ja"))</f>
        <v/>
      </c>
      <c r="M23" s="46" t="str">
        <f>IF(K23="","",_xlfn.TRANSLATE(K23,"","zh-Hans"))</f>
        <v/>
      </c>
      <c r="N23" s="30"/>
      <c r="O23" s="30"/>
      <c r="P23" s="31"/>
      <c r="Q23" s="31"/>
      <c r="R23" s="30"/>
      <c r="S23" s="30"/>
      <c r="T23" s="30"/>
      <c r="U23" s="30"/>
      <c r="V23" s="46" t="str">
        <f>IF(U23="","",_xlfn.TRANSLATE(U23,"","ja"))</f>
        <v/>
      </c>
      <c r="W23" s="46" t="str">
        <f>IF(U23="","",_xlfn.TRANSLATE(U23,"","zh-Hans"))</f>
        <v/>
      </c>
      <c r="X23" s="30"/>
      <c r="Y23" s="46" t="str">
        <f>IF(X23="","",_xlfn.TRANSLATE(X23,"","ja"))</f>
        <v/>
      </c>
      <c r="Z23" s="46" t="str">
        <f>IF(X23="","",_xlfn.TRANSLATE(X23,"","zh-Hans"))</f>
        <v/>
      </c>
      <c r="AA23" s="30"/>
      <c r="AB23" s="16" t="str">
        <f t="shared" ca="1" si="0"/>
        <v/>
      </c>
      <c r="AC23" s="16" t="str">
        <f ca="1">IF(A23="","",IF(OR(S23='02_マスタ'!$E$10,S23='02_マスタ'!$E$12),"",IF(R23="High","High",IF(AND(Q23&lt;&gt;"",Q23&lt;TODAY()),INDEX(_翻訳マスタ!$B$117:$D$247,MATCH("ALERT_OVERDUE",_翻訳マスタ!$A$117:$A$247,0),MATCH(言語切替!$B$3,_翻訳マスタ!$B$1:$D$1,0)),IF(AND(Q23&lt;&gt;"",Q23-TODAY()&lt;=7),INDEX(_翻訳マスタ!$B$117:$D$247,MATCH("ALERT_APPROACHING",_翻訳マスタ!$A$117:$A$247,0),MATCH(言語切替!$B$3,_翻訳マスタ!$B$1:$D$1,0)),IF(OR(S23='02_マスタ'!$E$7,S23='02_マスタ'!$E$8),INDEX(_翻訳マスタ!$B$117:$D$247,MATCH("ALERT_CHECK",_翻訳マスタ!$A$117:$A$247,0),MATCH(言語切替!$B$3,_翻訳マスタ!$B$1:$D$1,0)),""))))))</f>
        <v/>
      </c>
      <c r="AD23" s="41"/>
    </row>
    <row r="24" spans="1:30" s="22" customFormat="1" x14ac:dyDescent="0.25">
      <c r="A24" s="26"/>
      <c r="B24" s="27"/>
      <c r="C24" s="27"/>
      <c r="D24" s="27"/>
      <c r="E24" s="27"/>
      <c r="F24" s="45" t="str">
        <f>IF(E24="","",_xlfn.TRANSLATE(E24,"","ja"))</f>
        <v/>
      </c>
      <c r="G24" s="45" t="str">
        <f>IF(E24="","",_xlfn.TRANSLATE(E24,"","zh-Hans"))</f>
        <v/>
      </c>
      <c r="H24" s="27"/>
      <c r="I24" s="45" t="str">
        <f>IF(H24="","",_xlfn.TRANSLATE(H24,"","ja"))</f>
        <v/>
      </c>
      <c r="J24" s="45" t="str">
        <f>IF(H24="","",_xlfn.TRANSLATE(H24,"","zh-Hans"))</f>
        <v/>
      </c>
      <c r="K24" s="27"/>
      <c r="L24" s="45" t="str">
        <f>IF(K24="","",_xlfn.TRANSLATE(K24,"","ja"))</f>
        <v/>
      </c>
      <c r="M24" s="45" t="str">
        <f>IF(K24="","",_xlfn.TRANSLATE(K24,"","zh-Hans"))</f>
        <v/>
      </c>
      <c r="N24" s="27"/>
      <c r="O24" s="27"/>
      <c r="P24" s="28"/>
      <c r="Q24" s="28"/>
      <c r="R24" s="27"/>
      <c r="S24" s="27"/>
      <c r="T24" s="27"/>
      <c r="U24" s="27"/>
      <c r="V24" s="45" t="str">
        <f>IF(U24="","",_xlfn.TRANSLATE(U24,"","ja"))</f>
        <v/>
      </c>
      <c r="W24" s="45" t="str">
        <f>IF(U24="","",_xlfn.TRANSLATE(U24,"","zh-Hans"))</f>
        <v/>
      </c>
      <c r="X24" s="27"/>
      <c r="Y24" s="45" t="str">
        <f>IF(X24="","",_xlfn.TRANSLATE(X24,"","ja"))</f>
        <v/>
      </c>
      <c r="Z24" s="45" t="str">
        <f>IF(X24="","",_xlfn.TRANSLATE(X24,"","zh-Hans"))</f>
        <v/>
      </c>
      <c r="AA24" s="27"/>
      <c r="AB24" s="13" t="str">
        <f t="shared" ca="1" si="0"/>
        <v/>
      </c>
      <c r="AC24" s="13" t="str">
        <f ca="1">IF(A24="","",IF(OR(S24='02_マスタ'!$E$10,S24='02_マスタ'!$E$12),"",IF(R24="High","High",IF(AND(Q24&lt;&gt;"",Q24&lt;TODAY()),INDEX(_翻訳マスタ!$B$117:$D$247,MATCH("ALERT_OVERDUE",_翻訳マスタ!$A$117:$A$247,0),MATCH(言語切替!$B$3,_翻訳マスタ!$B$1:$D$1,0)),IF(AND(Q24&lt;&gt;"",Q24-TODAY()&lt;=7),INDEX(_翻訳マスタ!$B$117:$D$247,MATCH("ALERT_APPROACHING",_翻訳マスタ!$A$117:$A$247,0),MATCH(言語切替!$B$3,_翻訳マスタ!$B$1:$D$1,0)),IF(OR(S24='02_マスタ'!$E$7,S24='02_マスタ'!$E$8),INDEX(_翻訳マスタ!$B$117:$D$247,MATCH("ALERT_CHECK",_翻訳マスタ!$A$117:$A$247,0),MATCH(言語切替!$B$3,_翻訳マスタ!$B$1:$D$1,0)),""))))))</f>
        <v/>
      </c>
      <c r="AD24" s="40"/>
    </row>
    <row r="25" spans="1:30" s="22" customFormat="1" x14ac:dyDescent="0.25">
      <c r="A25" s="29"/>
      <c r="B25" s="30"/>
      <c r="C25" s="30"/>
      <c r="D25" s="30"/>
      <c r="E25" s="30"/>
      <c r="F25" s="46" t="str">
        <f t="shared" ref="F9:F72" si="1">IF(E25="","",_xlfn.TRANSLATE(E25,"vi","ja"))</f>
        <v/>
      </c>
      <c r="G25" s="46" t="str">
        <f t="shared" ref="G9:G72" si="2">IF(E25="","",_xlfn.TRANSLATE(E25,"vi","zh-Hans"))</f>
        <v/>
      </c>
      <c r="H25" s="30"/>
      <c r="I25" s="46" t="str">
        <f t="shared" ref="I9:I72" si="3">IF(H25="","",_xlfn.TRANSLATE(H25,"vi","ja"))</f>
        <v/>
      </c>
      <c r="J25" s="46" t="str">
        <f t="shared" ref="J9:J72" si="4">IF(H25="","",_xlfn.TRANSLATE(H25,"vi","zh-Hans"))</f>
        <v/>
      </c>
      <c r="K25" s="30"/>
      <c r="L25" s="46" t="str">
        <f t="shared" ref="L9:L72" si="5">IF(K25="","",_xlfn.TRANSLATE(K25,"vi","ja"))</f>
        <v/>
      </c>
      <c r="M25" s="46" t="str">
        <f t="shared" ref="M9:M72" si="6">IF(K25="","",_xlfn.TRANSLATE(K25,"vi","zh-Hans"))</f>
        <v/>
      </c>
      <c r="N25" s="30"/>
      <c r="O25" s="30"/>
      <c r="P25" s="31"/>
      <c r="Q25" s="31"/>
      <c r="R25" s="30"/>
      <c r="S25" s="30"/>
      <c r="T25" s="30"/>
      <c r="U25" s="30"/>
      <c r="V25" s="46" t="str">
        <f t="shared" ref="V9:V72" si="7">IF(U25="","",_xlfn.TRANSLATE(U25,"vi","ja"))</f>
        <v/>
      </c>
      <c r="W25" s="46" t="str">
        <f t="shared" ref="W9:W72" si="8">IF(U25="","",_xlfn.TRANSLATE(U25,"vi","zh-Hans"))</f>
        <v/>
      </c>
      <c r="X25" s="30"/>
      <c r="Y25" s="46" t="str">
        <f t="shared" ref="Y5:Y68" si="9">IF(X25="","",_xlfn.TRANSLATE(X25,"vi","ja"))</f>
        <v/>
      </c>
      <c r="Z25" s="46" t="str">
        <f t="shared" ref="Z5:Z68" si="10">IF(X25="","",_xlfn.TRANSLATE(X25,"vi","zh-Hans"))</f>
        <v/>
      </c>
      <c r="AA25" s="30"/>
      <c r="AB25" s="16" t="str">
        <f t="shared" ca="1" si="0"/>
        <v/>
      </c>
      <c r="AC25" s="16" t="str">
        <f ca="1">IF(A25="","",IF(OR(S25='02_マスタ'!$E$10,S25='02_マスタ'!$E$12),"",IF(R25="High","High",IF(AND(Q25&lt;&gt;"",Q25&lt;TODAY()),INDEX(_翻訳マスタ!$B$117:$D$247,MATCH("ALERT_OVERDUE",_翻訳マスタ!$A$117:$A$247,0),MATCH(言語切替!$B$3,_翻訳マスタ!$B$1:$D$1,0)),IF(AND(Q25&lt;&gt;"",Q25-TODAY()&lt;=7),INDEX(_翻訳マスタ!$B$117:$D$247,MATCH("ALERT_APPROACHING",_翻訳マスタ!$A$117:$A$247,0),MATCH(言語切替!$B$3,_翻訳マスタ!$B$1:$D$1,0)),IF(OR(S25='02_マスタ'!$E$7,S25='02_マスタ'!$E$8),INDEX(_翻訳マスタ!$B$117:$D$247,MATCH("ALERT_CHECK",_翻訳マスタ!$A$117:$A$247,0),MATCH(言語切替!$B$3,_翻訳マスタ!$B$1:$D$1,0)),""))))))</f>
        <v/>
      </c>
      <c r="AD25" s="41"/>
    </row>
    <row r="26" spans="1:30" s="22" customFormat="1" x14ac:dyDescent="0.25">
      <c r="A26" s="26"/>
      <c r="B26" s="27"/>
      <c r="C26" s="27"/>
      <c r="D26" s="27"/>
      <c r="E26" s="27"/>
      <c r="F26" s="45" t="str">
        <f t="shared" si="1"/>
        <v/>
      </c>
      <c r="G26" s="45" t="str">
        <f t="shared" si="2"/>
        <v/>
      </c>
      <c r="H26" s="27"/>
      <c r="I26" s="45" t="str">
        <f t="shared" si="3"/>
        <v/>
      </c>
      <c r="J26" s="45" t="str">
        <f t="shared" si="4"/>
        <v/>
      </c>
      <c r="K26" s="27"/>
      <c r="L26" s="45" t="str">
        <f t="shared" si="5"/>
        <v/>
      </c>
      <c r="M26" s="45" t="str">
        <f t="shared" si="6"/>
        <v/>
      </c>
      <c r="N26" s="27"/>
      <c r="O26" s="27"/>
      <c r="P26" s="28"/>
      <c r="Q26" s="28"/>
      <c r="R26" s="27"/>
      <c r="S26" s="27"/>
      <c r="T26" s="27"/>
      <c r="U26" s="27"/>
      <c r="V26" s="45" t="str">
        <f t="shared" si="7"/>
        <v/>
      </c>
      <c r="W26" s="45" t="str">
        <f t="shared" si="8"/>
        <v/>
      </c>
      <c r="X26" s="27"/>
      <c r="Y26" s="45" t="str">
        <f t="shared" si="9"/>
        <v/>
      </c>
      <c r="Z26" s="45" t="str">
        <f t="shared" si="10"/>
        <v/>
      </c>
      <c r="AA26" s="27"/>
      <c r="AB26" s="13" t="str">
        <f t="shared" ca="1" si="0"/>
        <v/>
      </c>
      <c r="AC26" s="13" t="str">
        <f ca="1">IF(A26="","",IF(OR(S26='02_マスタ'!$E$10,S26='02_マスタ'!$E$12),"",IF(R26="High","High",IF(AND(Q26&lt;&gt;"",Q26&lt;TODAY()),INDEX(_翻訳マスタ!$B$117:$D$247,MATCH("ALERT_OVERDUE",_翻訳マスタ!$A$117:$A$247,0),MATCH(言語切替!$B$3,_翻訳マスタ!$B$1:$D$1,0)),IF(AND(Q26&lt;&gt;"",Q26-TODAY()&lt;=7),INDEX(_翻訳マスタ!$B$117:$D$247,MATCH("ALERT_APPROACHING",_翻訳マスタ!$A$117:$A$247,0),MATCH(言語切替!$B$3,_翻訳マスタ!$B$1:$D$1,0)),IF(OR(S26='02_マスタ'!$E$7,S26='02_マスタ'!$E$8),INDEX(_翻訳マスタ!$B$117:$D$247,MATCH("ALERT_CHECK",_翻訳マスタ!$A$117:$A$247,0),MATCH(言語切替!$B$3,_翻訳マスタ!$B$1:$D$1,0)),""))))))</f>
        <v/>
      </c>
      <c r="AD26" s="40"/>
    </row>
    <row r="27" spans="1:30" s="22" customFormat="1" x14ac:dyDescent="0.25">
      <c r="A27" s="29"/>
      <c r="B27" s="30"/>
      <c r="C27" s="30"/>
      <c r="D27" s="30"/>
      <c r="E27" s="30"/>
      <c r="F27" s="46" t="str">
        <f t="shared" si="1"/>
        <v/>
      </c>
      <c r="G27" s="46" t="str">
        <f t="shared" si="2"/>
        <v/>
      </c>
      <c r="H27" s="30"/>
      <c r="I27" s="46" t="str">
        <f t="shared" si="3"/>
        <v/>
      </c>
      <c r="J27" s="46" t="str">
        <f t="shared" si="4"/>
        <v/>
      </c>
      <c r="K27" s="30"/>
      <c r="L27" s="46" t="str">
        <f t="shared" si="5"/>
        <v/>
      </c>
      <c r="M27" s="46" t="str">
        <f t="shared" si="6"/>
        <v/>
      </c>
      <c r="N27" s="30"/>
      <c r="O27" s="30"/>
      <c r="P27" s="31"/>
      <c r="Q27" s="31"/>
      <c r="R27" s="30"/>
      <c r="S27" s="30"/>
      <c r="T27" s="30"/>
      <c r="U27" s="30"/>
      <c r="V27" s="46" t="str">
        <f t="shared" si="7"/>
        <v/>
      </c>
      <c r="W27" s="46" t="str">
        <f t="shared" si="8"/>
        <v/>
      </c>
      <c r="X27" s="30"/>
      <c r="Y27" s="46" t="str">
        <f t="shared" si="9"/>
        <v/>
      </c>
      <c r="Z27" s="46" t="str">
        <f t="shared" si="10"/>
        <v/>
      </c>
      <c r="AA27" s="30"/>
      <c r="AB27" s="16" t="str">
        <f t="shared" ca="1" si="0"/>
        <v/>
      </c>
      <c r="AC27" s="16" t="str">
        <f ca="1">IF(A27="","",IF(OR(S27='02_マスタ'!$E$10,S27='02_マスタ'!$E$12),"",IF(R27="High","High",IF(AND(Q27&lt;&gt;"",Q27&lt;TODAY()),INDEX(_翻訳マスタ!$B$117:$D$247,MATCH("ALERT_OVERDUE",_翻訳マスタ!$A$117:$A$247,0),MATCH(言語切替!$B$3,_翻訳マスタ!$B$1:$D$1,0)),IF(AND(Q27&lt;&gt;"",Q27-TODAY()&lt;=7),INDEX(_翻訳マスタ!$B$117:$D$247,MATCH("ALERT_APPROACHING",_翻訳マスタ!$A$117:$A$247,0),MATCH(言語切替!$B$3,_翻訳マスタ!$B$1:$D$1,0)),IF(OR(S27='02_マスタ'!$E$7,S27='02_マスタ'!$E$8),INDEX(_翻訳マスタ!$B$117:$D$247,MATCH("ALERT_CHECK",_翻訳マスタ!$A$117:$A$247,0),MATCH(言語切替!$B$3,_翻訳マスタ!$B$1:$D$1,0)),""))))))</f>
        <v/>
      </c>
      <c r="AD27" s="41"/>
    </row>
    <row r="28" spans="1:30" s="22" customFormat="1" x14ac:dyDescent="0.25">
      <c r="A28" s="26"/>
      <c r="B28" s="27"/>
      <c r="C28" s="27"/>
      <c r="D28" s="27"/>
      <c r="E28" s="27"/>
      <c r="F28" s="45" t="str">
        <f t="shared" si="1"/>
        <v/>
      </c>
      <c r="G28" s="45" t="str">
        <f t="shared" si="2"/>
        <v/>
      </c>
      <c r="H28" s="27"/>
      <c r="I28" s="45" t="str">
        <f t="shared" si="3"/>
        <v/>
      </c>
      <c r="J28" s="45" t="str">
        <f t="shared" si="4"/>
        <v/>
      </c>
      <c r="K28" s="27"/>
      <c r="L28" s="45" t="str">
        <f t="shared" si="5"/>
        <v/>
      </c>
      <c r="M28" s="45" t="str">
        <f t="shared" si="6"/>
        <v/>
      </c>
      <c r="N28" s="27"/>
      <c r="O28" s="27"/>
      <c r="P28" s="28"/>
      <c r="Q28" s="28"/>
      <c r="R28" s="27"/>
      <c r="S28" s="27"/>
      <c r="T28" s="27"/>
      <c r="U28" s="27"/>
      <c r="V28" s="45" t="str">
        <f t="shared" si="7"/>
        <v/>
      </c>
      <c r="W28" s="45" t="str">
        <f t="shared" si="8"/>
        <v/>
      </c>
      <c r="X28" s="27"/>
      <c r="Y28" s="45" t="str">
        <f t="shared" si="9"/>
        <v/>
      </c>
      <c r="Z28" s="45" t="str">
        <f t="shared" si="10"/>
        <v/>
      </c>
      <c r="AA28" s="27"/>
      <c r="AB28" s="13" t="str">
        <f t="shared" ca="1" si="0"/>
        <v/>
      </c>
      <c r="AC28" s="13" t="str">
        <f ca="1">IF(A28="","",IF(OR(S28='02_マスタ'!$E$10,S28='02_マスタ'!$E$12),"",IF(R28="High","High",IF(AND(Q28&lt;&gt;"",Q28&lt;TODAY()),INDEX(_翻訳マスタ!$B$117:$D$247,MATCH("ALERT_OVERDUE",_翻訳マスタ!$A$117:$A$247,0),MATCH(言語切替!$B$3,_翻訳マスタ!$B$1:$D$1,0)),IF(AND(Q28&lt;&gt;"",Q28-TODAY()&lt;=7),INDEX(_翻訳マスタ!$B$117:$D$247,MATCH("ALERT_APPROACHING",_翻訳マスタ!$A$117:$A$247,0),MATCH(言語切替!$B$3,_翻訳マスタ!$B$1:$D$1,0)),IF(OR(S28='02_マスタ'!$E$7,S28='02_マスタ'!$E$8),INDEX(_翻訳マスタ!$B$117:$D$247,MATCH("ALERT_CHECK",_翻訳マスタ!$A$117:$A$247,0),MATCH(言語切替!$B$3,_翻訳マスタ!$B$1:$D$1,0)),""))))))</f>
        <v/>
      </c>
      <c r="AD28" s="40"/>
    </row>
    <row r="29" spans="1:30" s="22" customFormat="1" x14ac:dyDescent="0.25">
      <c r="A29" s="29"/>
      <c r="B29" s="30"/>
      <c r="C29" s="30"/>
      <c r="D29" s="30"/>
      <c r="E29" s="30"/>
      <c r="F29" s="46" t="str">
        <f t="shared" si="1"/>
        <v/>
      </c>
      <c r="G29" s="46" t="str">
        <f t="shared" si="2"/>
        <v/>
      </c>
      <c r="H29" s="30"/>
      <c r="I29" s="46" t="str">
        <f t="shared" si="3"/>
        <v/>
      </c>
      <c r="J29" s="46" t="str">
        <f t="shared" si="4"/>
        <v/>
      </c>
      <c r="K29" s="30"/>
      <c r="L29" s="46" t="str">
        <f t="shared" si="5"/>
        <v/>
      </c>
      <c r="M29" s="46" t="str">
        <f t="shared" si="6"/>
        <v/>
      </c>
      <c r="N29" s="30"/>
      <c r="O29" s="30"/>
      <c r="P29" s="31"/>
      <c r="Q29" s="31"/>
      <c r="R29" s="30"/>
      <c r="S29" s="30"/>
      <c r="T29" s="30"/>
      <c r="U29" s="30"/>
      <c r="V29" s="46" t="str">
        <f t="shared" si="7"/>
        <v/>
      </c>
      <c r="W29" s="46" t="str">
        <f t="shared" si="8"/>
        <v/>
      </c>
      <c r="X29" s="30"/>
      <c r="Y29" s="46" t="str">
        <f t="shared" si="9"/>
        <v/>
      </c>
      <c r="Z29" s="46" t="str">
        <f t="shared" si="10"/>
        <v/>
      </c>
      <c r="AA29" s="30"/>
      <c r="AB29" s="16" t="str">
        <f t="shared" ca="1" si="0"/>
        <v/>
      </c>
      <c r="AC29" s="16" t="str">
        <f ca="1">IF(A29="","",IF(OR(S29='02_マスタ'!$E$10,S29='02_マスタ'!$E$12),"",IF(R29="High","High",IF(AND(Q29&lt;&gt;"",Q29&lt;TODAY()),INDEX(_翻訳マスタ!$B$117:$D$247,MATCH("ALERT_OVERDUE",_翻訳マスタ!$A$117:$A$247,0),MATCH(言語切替!$B$3,_翻訳マスタ!$B$1:$D$1,0)),IF(AND(Q29&lt;&gt;"",Q29-TODAY()&lt;=7),INDEX(_翻訳マスタ!$B$117:$D$247,MATCH("ALERT_APPROACHING",_翻訳マスタ!$A$117:$A$247,0),MATCH(言語切替!$B$3,_翻訳マスタ!$B$1:$D$1,0)),IF(OR(S29='02_マスタ'!$E$7,S29='02_マスタ'!$E$8),INDEX(_翻訳マスタ!$B$117:$D$247,MATCH("ALERT_CHECK",_翻訳マスタ!$A$117:$A$247,0),MATCH(言語切替!$B$3,_翻訳マスタ!$B$1:$D$1,0)),""))))))</f>
        <v/>
      </c>
      <c r="AD29" s="41"/>
    </row>
    <row r="30" spans="1:30" s="22" customFormat="1" x14ac:dyDescent="0.25">
      <c r="A30" s="26"/>
      <c r="B30" s="27"/>
      <c r="C30" s="27"/>
      <c r="D30" s="27"/>
      <c r="E30" s="27"/>
      <c r="F30" s="45" t="str">
        <f t="shared" si="1"/>
        <v/>
      </c>
      <c r="G30" s="45" t="str">
        <f t="shared" si="2"/>
        <v/>
      </c>
      <c r="H30" s="27"/>
      <c r="I30" s="45" t="str">
        <f t="shared" si="3"/>
        <v/>
      </c>
      <c r="J30" s="45" t="str">
        <f t="shared" si="4"/>
        <v/>
      </c>
      <c r="K30" s="27"/>
      <c r="L30" s="45" t="str">
        <f t="shared" si="5"/>
        <v/>
      </c>
      <c r="M30" s="45" t="str">
        <f t="shared" si="6"/>
        <v/>
      </c>
      <c r="N30" s="27"/>
      <c r="O30" s="27"/>
      <c r="P30" s="28"/>
      <c r="Q30" s="28"/>
      <c r="R30" s="27"/>
      <c r="S30" s="27"/>
      <c r="T30" s="27"/>
      <c r="U30" s="27"/>
      <c r="V30" s="45" t="str">
        <f t="shared" si="7"/>
        <v/>
      </c>
      <c r="W30" s="45" t="str">
        <f t="shared" si="8"/>
        <v/>
      </c>
      <c r="X30" s="27"/>
      <c r="Y30" s="45" t="str">
        <f t="shared" si="9"/>
        <v/>
      </c>
      <c r="Z30" s="45" t="str">
        <f t="shared" si="10"/>
        <v/>
      </c>
      <c r="AA30" s="27"/>
      <c r="AB30" s="13" t="str">
        <f t="shared" ca="1" si="0"/>
        <v/>
      </c>
      <c r="AC30" s="13" t="str">
        <f ca="1">IF(A30="","",IF(OR(S30='02_マスタ'!$E$10,S30='02_マスタ'!$E$12),"",IF(R30="High","High",IF(AND(Q30&lt;&gt;"",Q30&lt;TODAY()),INDEX(_翻訳マスタ!$B$117:$D$247,MATCH("ALERT_OVERDUE",_翻訳マスタ!$A$117:$A$247,0),MATCH(言語切替!$B$3,_翻訳マスタ!$B$1:$D$1,0)),IF(AND(Q30&lt;&gt;"",Q30-TODAY()&lt;=7),INDEX(_翻訳マスタ!$B$117:$D$247,MATCH("ALERT_APPROACHING",_翻訳マスタ!$A$117:$A$247,0),MATCH(言語切替!$B$3,_翻訳マスタ!$B$1:$D$1,0)),IF(OR(S30='02_マスタ'!$E$7,S30='02_マスタ'!$E$8),INDEX(_翻訳マスタ!$B$117:$D$247,MATCH("ALERT_CHECK",_翻訳マスタ!$A$117:$A$247,0),MATCH(言語切替!$B$3,_翻訳マスタ!$B$1:$D$1,0)),""))))))</f>
        <v/>
      </c>
      <c r="AD30" s="40"/>
    </row>
    <row r="31" spans="1:30" s="22" customFormat="1" x14ac:dyDescent="0.25">
      <c r="A31" s="29"/>
      <c r="B31" s="30"/>
      <c r="C31" s="30"/>
      <c r="D31" s="30"/>
      <c r="E31" s="30"/>
      <c r="F31" s="46" t="str">
        <f t="shared" si="1"/>
        <v/>
      </c>
      <c r="G31" s="46" t="str">
        <f t="shared" si="2"/>
        <v/>
      </c>
      <c r="H31" s="30"/>
      <c r="I31" s="46" t="str">
        <f t="shared" si="3"/>
        <v/>
      </c>
      <c r="J31" s="46" t="str">
        <f t="shared" si="4"/>
        <v/>
      </c>
      <c r="K31" s="30"/>
      <c r="L31" s="46" t="str">
        <f t="shared" si="5"/>
        <v/>
      </c>
      <c r="M31" s="46" t="str">
        <f t="shared" si="6"/>
        <v/>
      </c>
      <c r="N31" s="30"/>
      <c r="O31" s="30"/>
      <c r="P31" s="31"/>
      <c r="Q31" s="31"/>
      <c r="R31" s="30"/>
      <c r="S31" s="30"/>
      <c r="T31" s="30"/>
      <c r="U31" s="30"/>
      <c r="V31" s="46" t="str">
        <f t="shared" si="7"/>
        <v/>
      </c>
      <c r="W31" s="46" t="str">
        <f t="shared" si="8"/>
        <v/>
      </c>
      <c r="X31" s="30"/>
      <c r="Y31" s="46" t="str">
        <f t="shared" si="9"/>
        <v/>
      </c>
      <c r="Z31" s="46" t="str">
        <f t="shared" si="10"/>
        <v/>
      </c>
      <c r="AA31" s="30"/>
      <c r="AB31" s="16" t="str">
        <f t="shared" ca="1" si="0"/>
        <v/>
      </c>
      <c r="AC31" s="16" t="str">
        <f ca="1">IF(A31="","",IF(OR(S31='02_マスタ'!$E$10,S31='02_マスタ'!$E$12),"",IF(R31="High","High",IF(AND(Q31&lt;&gt;"",Q31&lt;TODAY()),INDEX(_翻訳マスタ!$B$117:$D$247,MATCH("ALERT_OVERDUE",_翻訳マスタ!$A$117:$A$247,0),MATCH(言語切替!$B$3,_翻訳マスタ!$B$1:$D$1,0)),IF(AND(Q31&lt;&gt;"",Q31-TODAY()&lt;=7),INDEX(_翻訳マスタ!$B$117:$D$247,MATCH("ALERT_APPROACHING",_翻訳マスタ!$A$117:$A$247,0),MATCH(言語切替!$B$3,_翻訳マスタ!$B$1:$D$1,0)),IF(OR(S31='02_マスタ'!$E$7,S31='02_マスタ'!$E$8),INDEX(_翻訳マスタ!$B$117:$D$247,MATCH("ALERT_CHECK",_翻訳マスタ!$A$117:$A$247,0),MATCH(言語切替!$B$3,_翻訳マスタ!$B$1:$D$1,0)),""))))))</f>
        <v/>
      </c>
      <c r="AD31" s="41"/>
    </row>
    <row r="32" spans="1:30" s="22" customFormat="1" x14ac:dyDescent="0.25">
      <c r="A32" s="26"/>
      <c r="B32" s="27"/>
      <c r="C32" s="27"/>
      <c r="D32" s="27"/>
      <c r="E32" s="27"/>
      <c r="F32" s="45" t="str">
        <f t="shared" si="1"/>
        <v/>
      </c>
      <c r="G32" s="45" t="str">
        <f t="shared" si="2"/>
        <v/>
      </c>
      <c r="H32" s="27"/>
      <c r="I32" s="45" t="str">
        <f t="shared" si="3"/>
        <v/>
      </c>
      <c r="J32" s="45" t="str">
        <f t="shared" si="4"/>
        <v/>
      </c>
      <c r="K32" s="27"/>
      <c r="L32" s="45" t="str">
        <f t="shared" si="5"/>
        <v/>
      </c>
      <c r="M32" s="45" t="str">
        <f t="shared" si="6"/>
        <v/>
      </c>
      <c r="N32" s="27"/>
      <c r="O32" s="27"/>
      <c r="P32" s="28"/>
      <c r="Q32" s="28"/>
      <c r="R32" s="27"/>
      <c r="S32" s="27"/>
      <c r="T32" s="27"/>
      <c r="U32" s="27"/>
      <c r="V32" s="45" t="str">
        <f t="shared" si="7"/>
        <v/>
      </c>
      <c r="W32" s="45" t="str">
        <f t="shared" si="8"/>
        <v/>
      </c>
      <c r="X32" s="27"/>
      <c r="Y32" s="45" t="str">
        <f t="shared" si="9"/>
        <v/>
      </c>
      <c r="Z32" s="45" t="str">
        <f t="shared" si="10"/>
        <v/>
      </c>
      <c r="AA32" s="27"/>
      <c r="AB32" s="13" t="str">
        <f t="shared" ca="1" si="0"/>
        <v/>
      </c>
      <c r="AC32" s="13" t="str">
        <f ca="1">IF(A32="","",IF(OR(S32='02_マスタ'!$E$10,S32='02_マスタ'!$E$12),"",IF(R32="High","High",IF(AND(Q32&lt;&gt;"",Q32&lt;TODAY()),INDEX(_翻訳マスタ!$B$117:$D$247,MATCH("ALERT_OVERDUE",_翻訳マスタ!$A$117:$A$247,0),MATCH(言語切替!$B$3,_翻訳マスタ!$B$1:$D$1,0)),IF(AND(Q32&lt;&gt;"",Q32-TODAY()&lt;=7),INDEX(_翻訳マスタ!$B$117:$D$247,MATCH("ALERT_APPROACHING",_翻訳マスタ!$A$117:$A$247,0),MATCH(言語切替!$B$3,_翻訳マスタ!$B$1:$D$1,0)),IF(OR(S32='02_マスタ'!$E$7,S32='02_マスタ'!$E$8),INDEX(_翻訳マスタ!$B$117:$D$247,MATCH("ALERT_CHECK",_翻訳マスタ!$A$117:$A$247,0),MATCH(言語切替!$B$3,_翻訳マスタ!$B$1:$D$1,0)),""))))))</f>
        <v/>
      </c>
      <c r="AD32" s="40"/>
    </row>
    <row r="33" spans="1:30" s="22" customFormat="1" x14ac:dyDescent="0.25">
      <c r="A33" s="29"/>
      <c r="B33" s="30"/>
      <c r="C33" s="30"/>
      <c r="D33" s="30"/>
      <c r="E33" s="30"/>
      <c r="F33" s="46" t="str">
        <f t="shared" si="1"/>
        <v/>
      </c>
      <c r="G33" s="46" t="str">
        <f t="shared" si="2"/>
        <v/>
      </c>
      <c r="H33" s="30"/>
      <c r="I33" s="46" t="str">
        <f t="shared" si="3"/>
        <v/>
      </c>
      <c r="J33" s="46" t="str">
        <f t="shared" si="4"/>
        <v/>
      </c>
      <c r="K33" s="30"/>
      <c r="L33" s="46" t="str">
        <f t="shared" si="5"/>
        <v/>
      </c>
      <c r="M33" s="46" t="str">
        <f t="shared" si="6"/>
        <v/>
      </c>
      <c r="N33" s="30"/>
      <c r="O33" s="30"/>
      <c r="P33" s="31"/>
      <c r="Q33" s="31"/>
      <c r="R33" s="30"/>
      <c r="S33" s="30"/>
      <c r="T33" s="30"/>
      <c r="U33" s="30"/>
      <c r="V33" s="46" t="str">
        <f t="shared" si="7"/>
        <v/>
      </c>
      <c r="W33" s="46" t="str">
        <f t="shared" si="8"/>
        <v/>
      </c>
      <c r="X33" s="30"/>
      <c r="Y33" s="46" t="str">
        <f t="shared" si="9"/>
        <v/>
      </c>
      <c r="Z33" s="46" t="str">
        <f t="shared" si="10"/>
        <v/>
      </c>
      <c r="AA33" s="30"/>
      <c r="AB33" s="16" t="str">
        <f t="shared" ca="1" si="0"/>
        <v/>
      </c>
      <c r="AC33" s="16" t="str">
        <f ca="1">IF(A33="","",IF(OR(S33='02_マスタ'!$E$10,S33='02_マスタ'!$E$12),"",IF(R33="High","High",IF(AND(Q33&lt;&gt;"",Q33&lt;TODAY()),INDEX(_翻訳マスタ!$B$117:$D$247,MATCH("ALERT_OVERDUE",_翻訳マスタ!$A$117:$A$247,0),MATCH(言語切替!$B$3,_翻訳マスタ!$B$1:$D$1,0)),IF(AND(Q33&lt;&gt;"",Q33-TODAY()&lt;=7),INDEX(_翻訳マスタ!$B$117:$D$247,MATCH("ALERT_APPROACHING",_翻訳マスタ!$A$117:$A$247,0),MATCH(言語切替!$B$3,_翻訳マスタ!$B$1:$D$1,0)),IF(OR(S33='02_マスタ'!$E$7,S33='02_マスタ'!$E$8),INDEX(_翻訳マスタ!$B$117:$D$247,MATCH("ALERT_CHECK",_翻訳マスタ!$A$117:$A$247,0),MATCH(言語切替!$B$3,_翻訳マスタ!$B$1:$D$1,0)),""))))))</f>
        <v/>
      </c>
      <c r="AD33" s="41"/>
    </row>
    <row r="34" spans="1:30" s="22" customFormat="1" x14ac:dyDescent="0.25">
      <c r="A34" s="26"/>
      <c r="B34" s="27"/>
      <c r="C34" s="27"/>
      <c r="D34" s="27"/>
      <c r="E34" s="27"/>
      <c r="F34" s="45" t="str">
        <f t="shared" si="1"/>
        <v/>
      </c>
      <c r="G34" s="45" t="str">
        <f t="shared" si="2"/>
        <v/>
      </c>
      <c r="H34" s="27"/>
      <c r="I34" s="45" t="str">
        <f t="shared" si="3"/>
        <v/>
      </c>
      <c r="J34" s="45" t="str">
        <f t="shared" si="4"/>
        <v/>
      </c>
      <c r="K34" s="27"/>
      <c r="L34" s="45" t="str">
        <f t="shared" si="5"/>
        <v/>
      </c>
      <c r="M34" s="45" t="str">
        <f t="shared" si="6"/>
        <v/>
      </c>
      <c r="N34" s="27"/>
      <c r="O34" s="27"/>
      <c r="P34" s="28"/>
      <c r="Q34" s="28"/>
      <c r="R34" s="27"/>
      <c r="S34" s="27"/>
      <c r="T34" s="27"/>
      <c r="U34" s="27"/>
      <c r="V34" s="45" t="str">
        <f t="shared" si="7"/>
        <v/>
      </c>
      <c r="W34" s="45" t="str">
        <f t="shared" si="8"/>
        <v/>
      </c>
      <c r="X34" s="27"/>
      <c r="Y34" s="45" t="str">
        <f t="shared" si="9"/>
        <v/>
      </c>
      <c r="Z34" s="45" t="str">
        <f t="shared" si="10"/>
        <v/>
      </c>
      <c r="AA34" s="27"/>
      <c r="AB34" s="13" t="str">
        <f t="shared" ca="1" si="0"/>
        <v/>
      </c>
      <c r="AC34" s="13" t="str">
        <f ca="1">IF(A34="","",IF(OR(S34='02_マスタ'!$E$10,S34='02_マスタ'!$E$12),"",IF(R34="High","High",IF(AND(Q34&lt;&gt;"",Q34&lt;TODAY()),INDEX(_翻訳マスタ!$B$117:$D$247,MATCH("ALERT_OVERDUE",_翻訳マスタ!$A$117:$A$247,0),MATCH(言語切替!$B$3,_翻訳マスタ!$B$1:$D$1,0)),IF(AND(Q34&lt;&gt;"",Q34-TODAY()&lt;=7),INDEX(_翻訳マスタ!$B$117:$D$247,MATCH("ALERT_APPROACHING",_翻訳マスタ!$A$117:$A$247,0),MATCH(言語切替!$B$3,_翻訳マスタ!$B$1:$D$1,0)),IF(OR(S34='02_マスタ'!$E$7,S34='02_マスタ'!$E$8),INDEX(_翻訳マスタ!$B$117:$D$247,MATCH("ALERT_CHECK",_翻訳マスタ!$A$117:$A$247,0),MATCH(言語切替!$B$3,_翻訳マスタ!$B$1:$D$1,0)),""))))))</f>
        <v/>
      </c>
      <c r="AD34" s="40"/>
    </row>
    <row r="35" spans="1:30" s="22" customFormat="1" x14ac:dyDescent="0.25">
      <c r="A35" s="29"/>
      <c r="B35" s="30"/>
      <c r="C35" s="30"/>
      <c r="D35" s="30"/>
      <c r="E35" s="30"/>
      <c r="F35" s="46" t="str">
        <f t="shared" si="1"/>
        <v/>
      </c>
      <c r="G35" s="46" t="str">
        <f t="shared" si="2"/>
        <v/>
      </c>
      <c r="H35" s="30"/>
      <c r="I35" s="46" t="str">
        <f t="shared" si="3"/>
        <v/>
      </c>
      <c r="J35" s="46" t="str">
        <f t="shared" si="4"/>
        <v/>
      </c>
      <c r="K35" s="30"/>
      <c r="L35" s="46" t="str">
        <f t="shared" si="5"/>
        <v/>
      </c>
      <c r="M35" s="46" t="str">
        <f t="shared" si="6"/>
        <v/>
      </c>
      <c r="N35" s="30"/>
      <c r="O35" s="30"/>
      <c r="P35" s="31"/>
      <c r="Q35" s="31"/>
      <c r="R35" s="30"/>
      <c r="S35" s="30"/>
      <c r="T35" s="30"/>
      <c r="U35" s="30"/>
      <c r="V35" s="46" t="str">
        <f t="shared" si="7"/>
        <v/>
      </c>
      <c r="W35" s="46" t="str">
        <f t="shared" si="8"/>
        <v/>
      </c>
      <c r="X35" s="30"/>
      <c r="Y35" s="46" t="str">
        <f t="shared" si="9"/>
        <v/>
      </c>
      <c r="Z35" s="46" t="str">
        <f t="shared" si="10"/>
        <v/>
      </c>
      <c r="AA35" s="30"/>
      <c r="AB35" s="16" t="str">
        <f t="shared" ca="1" si="0"/>
        <v/>
      </c>
      <c r="AC35" s="16" t="str">
        <f ca="1">IF(A35="","",IF(OR(S35='02_マスタ'!$E$10,S35='02_マスタ'!$E$12),"",IF(R35="High","High",IF(AND(Q35&lt;&gt;"",Q35&lt;TODAY()),INDEX(_翻訳マスタ!$B$117:$D$247,MATCH("ALERT_OVERDUE",_翻訳マスタ!$A$117:$A$247,0),MATCH(言語切替!$B$3,_翻訳マスタ!$B$1:$D$1,0)),IF(AND(Q35&lt;&gt;"",Q35-TODAY()&lt;=7),INDEX(_翻訳マスタ!$B$117:$D$247,MATCH("ALERT_APPROACHING",_翻訳マスタ!$A$117:$A$247,0),MATCH(言語切替!$B$3,_翻訳マスタ!$B$1:$D$1,0)),IF(OR(S35='02_マスタ'!$E$7,S35='02_マスタ'!$E$8),INDEX(_翻訳マスタ!$B$117:$D$247,MATCH("ALERT_CHECK",_翻訳マスタ!$A$117:$A$247,0),MATCH(言語切替!$B$3,_翻訳マスタ!$B$1:$D$1,0)),""))))))</f>
        <v/>
      </c>
      <c r="AD35" s="41"/>
    </row>
    <row r="36" spans="1:30" s="22" customFormat="1" x14ac:dyDescent="0.25">
      <c r="A36" s="26"/>
      <c r="B36" s="27"/>
      <c r="C36" s="27"/>
      <c r="D36" s="27"/>
      <c r="E36" s="27"/>
      <c r="F36" s="45" t="str">
        <f t="shared" si="1"/>
        <v/>
      </c>
      <c r="G36" s="45" t="str">
        <f t="shared" si="2"/>
        <v/>
      </c>
      <c r="H36" s="27"/>
      <c r="I36" s="45" t="str">
        <f t="shared" si="3"/>
        <v/>
      </c>
      <c r="J36" s="45" t="str">
        <f t="shared" si="4"/>
        <v/>
      </c>
      <c r="K36" s="27"/>
      <c r="L36" s="45" t="str">
        <f t="shared" si="5"/>
        <v/>
      </c>
      <c r="M36" s="45" t="str">
        <f t="shared" si="6"/>
        <v/>
      </c>
      <c r="N36" s="27"/>
      <c r="O36" s="27"/>
      <c r="P36" s="28"/>
      <c r="Q36" s="28"/>
      <c r="R36" s="27"/>
      <c r="S36" s="27"/>
      <c r="T36" s="27"/>
      <c r="U36" s="27"/>
      <c r="V36" s="45" t="str">
        <f t="shared" si="7"/>
        <v/>
      </c>
      <c r="W36" s="45" t="str">
        <f t="shared" si="8"/>
        <v/>
      </c>
      <c r="X36" s="27"/>
      <c r="Y36" s="45" t="str">
        <f t="shared" si="9"/>
        <v/>
      </c>
      <c r="Z36" s="45" t="str">
        <f t="shared" si="10"/>
        <v/>
      </c>
      <c r="AA36" s="27"/>
      <c r="AB36" s="13" t="str">
        <f t="shared" ca="1" si="0"/>
        <v/>
      </c>
      <c r="AC36" s="13" t="str">
        <f ca="1">IF(A36="","",IF(OR(S36='02_マスタ'!$E$10,S36='02_マスタ'!$E$12),"",IF(R36="High","High",IF(AND(Q36&lt;&gt;"",Q36&lt;TODAY()),INDEX(_翻訳マスタ!$B$117:$D$247,MATCH("ALERT_OVERDUE",_翻訳マスタ!$A$117:$A$247,0),MATCH(言語切替!$B$3,_翻訳マスタ!$B$1:$D$1,0)),IF(AND(Q36&lt;&gt;"",Q36-TODAY()&lt;=7),INDEX(_翻訳マスタ!$B$117:$D$247,MATCH("ALERT_APPROACHING",_翻訳マスタ!$A$117:$A$247,0),MATCH(言語切替!$B$3,_翻訳マスタ!$B$1:$D$1,0)),IF(OR(S36='02_マスタ'!$E$7,S36='02_マスタ'!$E$8),INDEX(_翻訳マスタ!$B$117:$D$247,MATCH("ALERT_CHECK",_翻訳マスタ!$A$117:$A$247,0),MATCH(言語切替!$B$3,_翻訳マスタ!$B$1:$D$1,0)),""))))))</f>
        <v/>
      </c>
      <c r="AD36" s="40"/>
    </row>
    <row r="37" spans="1:30" s="22" customFormat="1" x14ac:dyDescent="0.25">
      <c r="A37" s="29"/>
      <c r="B37" s="30"/>
      <c r="C37" s="30"/>
      <c r="D37" s="30"/>
      <c r="E37" s="30"/>
      <c r="F37" s="46" t="str">
        <f t="shared" si="1"/>
        <v/>
      </c>
      <c r="G37" s="46" t="str">
        <f t="shared" si="2"/>
        <v/>
      </c>
      <c r="H37" s="30"/>
      <c r="I37" s="46" t="str">
        <f t="shared" si="3"/>
        <v/>
      </c>
      <c r="J37" s="46" t="str">
        <f t="shared" si="4"/>
        <v/>
      </c>
      <c r="K37" s="30"/>
      <c r="L37" s="46" t="str">
        <f t="shared" si="5"/>
        <v/>
      </c>
      <c r="M37" s="46" t="str">
        <f t="shared" si="6"/>
        <v/>
      </c>
      <c r="N37" s="30"/>
      <c r="O37" s="30"/>
      <c r="P37" s="31"/>
      <c r="Q37" s="31"/>
      <c r="R37" s="30"/>
      <c r="S37" s="30"/>
      <c r="T37" s="30"/>
      <c r="U37" s="30"/>
      <c r="V37" s="46" t="str">
        <f t="shared" si="7"/>
        <v/>
      </c>
      <c r="W37" s="46" t="str">
        <f t="shared" si="8"/>
        <v/>
      </c>
      <c r="X37" s="30"/>
      <c r="Y37" s="46" t="str">
        <f t="shared" si="9"/>
        <v/>
      </c>
      <c r="Z37" s="46" t="str">
        <f t="shared" si="10"/>
        <v/>
      </c>
      <c r="AA37" s="30"/>
      <c r="AB37" s="16" t="str">
        <f t="shared" ca="1" si="0"/>
        <v/>
      </c>
      <c r="AC37" s="16" t="str">
        <f ca="1">IF(A37="","",IF(OR(S37='02_マスタ'!$E$10,S37='02_マスタ'!$E$12),"",IF(R37="High","High",IF(AND(Q37&lt;&gt;"",Q37&lt;TODAY()),INDEX(_翻訳マスタ!$B$117:$D$247,MATCH("ALERT_OVERDUE",_翻訳マスタ!$A$117:$A$247,0),MATCH(言語切替!$B$3,_翻訳マスタ!$B$1:$D$1,0)),IF(AND(Q37&lt;&gt;"",Q37-TODAY()&lt;=7),INDEX(_翻訳マスタ!$B$117:$D$247,MATCH("ALERT_APPROACHING",_翻訳マスタ!$A$117:$A$247,0),MATCH(言語切替!$B$3,_翻訳マスタ!$B$1:$D$1,0)),IF(OR(S37='02_マスタ'!$E$7,S37='02_マスタ'!$E$8),INDEX(_翻訳マスタ!$B$117:$D$247,MATCH("ALERT_CHECK",_翻訳マスタ!$A$117:$A$247,0),MATCH(言語切替!$B$3,_翻訳マスタ!$B$1:$D$1,0)),""))))))</f>
        <v/>
      </c>
      <c r="AD37" s="41"/>
    </row>
    <row r="38" spans="1:30" s="22" customFormat="1" x14ac:dyDescent="0.25">
      <c r="A38" s="26"/>
      <c r="B38" s="27"/>
      <c r="C38" s="27"/>
      <c r="D38" s="27"/>
      <c r="E38" s="27"/>
      <c r="F38" s="45" t="str">
        <f t="shared" si="1"/>
        <v/>
      </c>
      <c r="G38" s="45" t="str">
        <f t="shared" si="2"/>
        <v/>
      </c>
      <c r="H38" s="27"/>
      <c r="I38" s="45" t="str">
        <f t="shared" si="3"/>
        <v/>
      </c>
      <c r="J38" s="45" t="str">
        <f t="shared" si="4"/>
        <v/>
      </c>
      <c r="K38" s="27"/>
      <c r="L38" s="45" t="str">
        <f t="shared" si="5"/>
        <v/>
      </c>
      <c r="M38" s="45" t="str">
        <f t="shared" si="6"/>
        <v/>
      </c>
      <c r="N38" s="27"/>
      <c r="O38" s="27"/>
      <c r="P38" s="28"/>
      <c r="Q38" s="28"/>
      <c r="R38" s="27"/>
      <c r="S38" s="27"/>
      <c r="T38" s="27"/>
      <c r="U38" s="27"/>
      <c r="V38" s="45" t="str">
        <f t="shared" si="7"/>
        <v/>
      </c>
      <c r="W38" s="45" t="str">
        <f t="shared" si="8"/>
        <v/>
      </c>
      <c r="X38" s="27"/>
      <c r="Y38" s="45" t="str">
        <f t="shared" si="9"/>
        <v/>
      </c>
      <c r="Z38" s="45" t="str">
        <f t="shared" si="10"/>
        <v/>
      </c>
      <c r="AA38" s="27"/>
      <c r="AB38" s="13" t="str">
        <f t="shared" ca="1" si="0"/>
        <v/>
      </c>
      <c r="AC38" s="13" t="str">
        <f ca="1">IF(A38="","",IF(OR(S38='02_マスタ'!$E$10,S38='02_マスタ'!$E$12),"",IF(R38="High","High",IF(AND(Q38&lt;&gt;"",Q38&lt;TODAY()),INDEX(_翻訳マスタ!$B$117:$D$247,MATCH("ALERT_OVERDUE",_翻訳マスタ!$A$117:$A$247,0),MATCH(言語切替!$B$3,_翻訳マスタ!$B$1:$D$1,0)),IF(AND(Q38&lt;&gt;"",Q38-TODAY()&lt;=7),INDEX(_翻訳マスタ!$B$117:$D$247,MATCH("ALERT_APPROACHING",_翻訳マスタ!$A$117:$A$247,0),MATCH(言語切替!$B$3,_翻訳マスタ!$B$1:$D$1,0)),IF(OR(S38='02_マスタ'!$E$7,S38='02_マスタ'!$E$8),INDEX(_翻訳マスタ!$B$117:$D$247,MATCH("ALERT_CHECK",_翻訳マスタ!$A$117:$A$247,0),MATCH(言語切替!$B$3,_翻訳マスタ!$B$1:$D$1,0)),""))))))</f>
        <v/>
      </c>
      <c r="AD38" s="40"/>
    </row>
    <row r="39" spans="1:30" s="22" customFormat="1" x14ac:dyDescent="0.25">
      <c r="A39" s="29"/>
      <c r="B39" s="30"/>
      <c r="C39" s="30"/>
      <c r="D39" s="30"/>
      <c r="E39" s="30"/>
      <c r="F39" s="46" t="str">
        <f t="shared" si="1"/>
        <v/>
      </c>
      <c r="G39" s="46" t="str">
        <f t="shared" si="2"/>
        <v/>
      </c>
      <c r="H39" s="30"/>
      <c r="I39" s="46" t="str">
        <f t="shared" si="3"/>
        <v/>
      </c>
      <c r="J39" s="46" t="str">
        <f t="shared" si="4"/>
        <v/>
      </c>
      <c r="K39" s="30"/>
      <c r="L39" s="46" t="str">
        <f t="shared" si="5"/>
        <v/>
      </c>
      <c r="M39" s="46" t="str">
        <f t="shared" si="6"/>
        <v/>
      </c>
      <c r="N39" s="30"/>
      <c r="O39" s="30"/>
      <c r="P39" s="31"/>
      <c r="Q39" s="31"/>
      <c r="R39" s="30"/>
      <c r="S39" s="30"/>
      <c r="T39" s="30"/>
      <c r="U39" s="30"/>
      <c r="V39" s="46" t="str">
        <f t="shared" si="7"/>
        <v/>
      </c>
      <c r="W39" s="46" t="str">
        <f t="shared" si="8"/>
        <v/>
      </c>
      <c r="X39" s="30"/>
      <c r="Y39" s="46" t="str">
        <f t="shared" si="9"/>
        <v/>
      </c>
      <c r="Z39" s="46" t="str">
        <f t="shared" si="10"/>
        <v/>
      </c>
      <c r="AA39" s="30"/>
      <c r="AB39" s="16" t="str">
        <f t="shared" ca="1" si="0"/>
        <v/>
      </c>
      <c r="AC39" s="16" t="str">
        <f ca="1">IF(A39="","",IF(OR(S39='02_マスタ'!$E$10,S39='02_マスタ'!$E$12),"",IF(R39="High","High",IF(AND(Q39&lt;&gt;"",Q39&lt;TODAY()),INDEX(_翻訳マスタ!$B$117:$D$247,MATCH("ALERT_OVERDUE",_翻訳マスタ!$A$117:$A$247,0),MATCH(言語切替!$B$3,_翻訳マスタ!$B$1:$D$1,0)),IF(AND(Q39&lt;&gt;"",Q39-TODAY()&lt;=7),INDEX(_翻訳マスタ!$B$117:$D$247,MATCH("ALERT_APPROACHING",_翻訳マスタ!$A$117:$A$247,0),MATCH(言語切替!$B$3,_翻訳マスタ!$B$1:$D$1,0)),IF(OR(S39='02_マスタ'!$E$7,S39='02_マスタ'!$E$8),INDEX(_翻訳マスタ!$B$117:$D$247,MATCH("ALERT_CHECK",_翻訳マスタ!$A$117:$A$247,0),MATCH(言語切替!$B$3,_翻訳マスタ!$B$1:$D$1,0)),""))))))</f>
        <v/>
      </c>
      <c r="AD39" s="41"/>
    </row>
    <row r="40" spans="1:30" s="22" customFormat="1" x14ac:dyDescent="0.25">
      <c r="A40" s="26"/>
      <c r="B40" s="27"/>
      <c r="C40" s="27"/>
      <c r="D40" s="27"/>
      <c r="E40" s="27"/>
      <c r="F40" s="45" t="str">
        <f t="shared" si="1"/>
        <v/>
      </c>
      <c r="G40" s="45" t="str">
        <f t="shared" si="2"/>
        <v/>
      </c>
      <c r="H40" s="27"/>
      <c r="I40" s="45" t="str">
        <f t="shared" si="3"/>
        <v/>
      </c>
      <c r="J40" s="45" t="str">
        <f t="shared" si="4"/>
        <v/>
      </c>
      <c r="K40" s="27"/>
      <c r="L40" s="45" t="str">
        <f t="shared" si="5"/>
        <v/>
      </c>
      <c r="M40" s="45" t="str">
        <f t="shared" si="6"/>
        <v/>
      </c>
      <c r="N40" s="27"/>
      <c r="O40" s="27"/>
      <c r="P40" s="28"/>
      <c r="Q40" s="28"/>
      <c r="R40" s="27"/>
      <c r="S40" s="27"/>
      <c r="T40" s="27"/>
      <c r="U40" s="27"/>
      <c r="V40" s="45" t="str">
        <f t="shared" si="7"/>
        <v/>
      </c>
      <c r="W40" s="45" t="str">
        <f t="shared" si="8"/>
        <v/>
      </c>
      <c r="X40" s="27"/>
      <c r="Y40" s="45" t="str">
        <f t="shared" si="9"/>
        <v/>
      </c>
      <c r="Z40" s="45" t="str">
        <f t="shared" si="10"/>
        <v/>
      </c>
      <c r="AA40" s="27"/>
      <c r="AB40" s="13" t="str">
        <f t="shared" ca="1" si="0"/>
        <v/>
      </c>
      <c r="AC40" s="13" t="str">
        <f ca="1">IF(A40="","",IF(OR(S40='02_マスタ'!$E$10,S40='02_マスタ'!$E$12),"",IF(R40="High","High",IF(AND(Q40&lt;&gt;"",Q40&lt;TODAY()),INDEX(_翻訳マスタ!$B$117:$D$247,MATCH("ALERT_OVERDUE",_翻訳マスタ!$A$117:$A$247,0),MATCH(言語切替!$B$3,_翻訳マスタ!$B$1:$D$1,0)),IF(AND(Q40&lt;&gt;"",Q40-TODAY()&lt;=7),INDEX(_翻訳マスタ!$B$117:$D$247,MATCH("ALERT_APPROACHING",_翻訳マスタ!$A$117:$A$247,0),MATCH(言語切替!$B$3,_翻訳マスタ!$B$1:$D$1,0)),IF(OR(S40='02_マスタ'!$E$7,S40='02_マスタ'!$E$8),INDEX(_翻訳マスタ!$B$117:$D$247,MATCH("ALERT_CHECK",_翻訳マスタ!$A$117:$A$247,0),MATCH(言語切替!$B$3,_翻訳マスタ!$B$1:$D$1,0)),""))))))</f>
        <v/>
      </c>
      <c r="AD40" s="40"/>
    </row>
    <row r="41" spans="1:30" s="22" customFormat="1" x14ac:dyDescent="0.25">
      <c r="A41" s="29"/>
      <c r="B41" s="30"/>
      <c r="C41" s="30"/>
      <c r="D41" s="30"/>
      <c r="E41" s="30"/>
      <c r="F41" s="46" t="str">
        <f t="shared" si="1"/>
        <v/>
      </c>
      <c r="G41" s="46" t="str">
        <f t="shared" si="2"/>
        <v/>
      </c>
      <c r="H41" s="30"/>
      <c r="I41" s="46" t="str">
        <f t="shared" si="3"/>
        <v/>
      </c>
      <c r="J41" s="46" t="str">
        <f t="shared" si="4"/>
        <v/>
      </c>
      <c r="K41" s="30"/>
      <c r="L41" s="46" t="str">
        <f t="shared" si="5"/>
        <v/>
      </c>
      <c r="M41" s="46" t="str">
        <f t="shared" si="6"/>
        <v/>
      </c>
      <c r="N41" s="30"/>
      <c r="O41" s="30"/>
      <c r="P41" s="31"/>
      <c r="Q41" s="31"/>
      <c r="R41" s="30"/>
      <c r="S41" s="30"/>
      <c r="T41" s="30"/>
      <c r="U41" s="30"/>
      <c r="V41" s="46" t="str">
        <f t="shared" si="7"/>
        <v/>
      </c>
      <c r="W41" s="46" t="str">
        <f t="shared" si="8"/>
        <v/>
      </c>
      <c r="X41" s="30"/>
      <c r="Y41" s="46" t="str">
        <f t="shared" si="9"/>
        <v/>
      </c>
      <c r="Z41" s="46" t="str">
        <f t="shared" si="10"/>
        <v/>
      </c>
      <c r="AA41" s="30"/>
      <c r="AB41" s="16" t="str">
        <f t="shared" ca="1" si="0"/>
        <v/>
      </c>
      <c r="AC41" s="16" t="str">
        <f ca="1">IF(A41="","",IF(OR(S41='02_マスタ'!$E$10,S41='02_マスタ'!$E$12),"",IF(R41="High","High",IF(AND(Q41&lt;&gt;"",Q41&lt;TODAY()),INDEX(_翻訳マスタ!$B$117:$D$247,MATCH("ALERT_OVERDUE",_翻訳マスタ!$A$117:$A$247,0),MATCH(言語切替!$B$3,_翻訳マスタ!$B$1:$D$1,0)),IF(AND(Q41&lt;&gt;"",Q41-TODAY()&lt;=7),INDEX(_翻訳マスタ!$B$117:$D$247,MATCH("ALERT_APPROACHING",_翻訳マスタ!$A$117:$A$247,0),MATCH(言語切替!$B$3,_翻訳マスタ!$B$1:$D$1,0)),IF(OR(S41='02_マスタ'!$E$7,S41='02_マスタ'!$E$8),INDEX(_翻訳マスタ!$B$117:$D$247,MATCH("ALERT_CHECK",_翻訳マスタ!$A$117:$A$247,0),MATCH(言語切替!$B$3,_翻訳マスタ!$B$1:$D$1,0)),""))))))</f>
        <v/>
      </c>
      <c r="AD41" s="41"/>
    </row>
    <row r="42" spans="1:30" s="22" customFormat="1" x14ac:dyDescent="0.25">
      <c r="A42" s="26"/>
      <c r="B42" s="27"/>
      <c r="C42" s="27"/>
      <c r="D42" s="27"/>
      <c r="E42" s="27"/>
      <c r="F42" s="45" t="str">
        <f t="shared" si="1"/>
        <v/>
      </c>
      <c r="G42" s="45" t="str">
        <f t="shared" si="2"/>
        <v/>
      </c>
      <c r="H42" s="27"/>
      <c r="I42" s="45" t="str">
        <f t="shared" si="3"/>
        <v/>
      </c>
      <c r="J42" s="45" t="str">
        <f t="shared" si="4"/>
        <v/>
      </c>
      <c r="K42" s="27"/>
      <c r="L42" s="45" t="str">
        <f t="shared" si="5"/>
        <v/>
      </c>
      <c r="M42" s="45" t="str">
        <f t="shared" si="6"/>
        <v/>
      </c>
      <c r="N42" s="27"/>
      <c r="O42" s="27"/>
      <c r="P42" s="28"/>
      <c r="Q42" s="28"/>
      <c r="R42" s="27"/>
      <c r="S42" s="27"/>
      <c r="T42" s="27"/>
      <c r="U42" s="27"/>
      <c r="V42" s="45" t="str">
        <f t="shared" si="7"/>
        <v/>
      </c>
      <c r="W42" s="45" t="str">
        <f t="shared" si="8"/>
        <v/>
      </c>
      <c r="X42" s="27"/>
      <c r="Y42" s="45" t="str">
        <f t="shared" si="9"/>
        <v/>
      </c>
      <c r="Z42" s="45" t="str">
        <f t="shared" si="10"/>
        <v/>
      </c>
      <c r="AA42" s="27"/>
      <c r="AB42" s="13" t="str">
        <f t="shared" ca="1" si="0"/>
        <v/>
      </c>
      <c r="AC42" s="13" t="str">
        <f ca="1">IF(A42="","",IF(OR(S42='02_マスタ'!$E$10,S42='02_マスタ'!$E$12),"",IF(R42="High","High",IF(AND(Q42&lt;&gt;"",Q42&lt;TODAY()),INDEX(_翻訳マスタ!$B$117:$D$247,MATCH("ALERT_OVERDUE",_翻訳マスタ!$A$117:$A$247,0),MATCH(言語切替!$B$3,_翻訳マスタ!$B$1:$D$1,0)),IF(AND(Q42&lt;&gt;"",Q42-TODAY()&lt;=7),INDEX(_翻訳マスタ!$B$117:$D$247,MATCH("ALERT_APPROACHING",_翻訳マスタ!$A$117:$A$247,0),MATCH(言語切替!$B$3,_翻訳マスタ!$B$1:$D$1,0)),IF(OR(S42='02_マスタ'!$E$7,S42='02_マスタ'!$E$8),INDEX(_翻訳マスタ!$B$117:$D$247,MATCH("ALERT_CHECK",_翻訳マスタ!$A$117:$A$247,0),MATCH(言語切替!$B$3,_翻訳マスタ!$B$1:$D$1,0)),""))))))</f>
        <v/>
      </c>
      <c r="AD42" s="40"/>
    </row>
    <row r="43" spans="1:30" s="22" customFormat="1" x14ac:dyDescent="0.25">
      <c r="A43" s="29"/>
      <c r="B43" s="30"/>
      <c r="C43" s="30"/>
      <c r="D43" s="30"/>
      <c r="E43" s="30"/>
      <c r="F43" s="46" t="str">
        <f t="shared" si="1"/>
        <v/>
      </c>
      <c r="G43" s="46" t="str">
        <f t="shared" si="2"/>
        <v/>
      </c>
      <c r="H43" s="30"/>
      <c r="I43" s="46" t="str">
        <f t="shared" si="3"/>
        <v/>
      </c>
      <c r="J43" s="46" t="str">
        <f t="shared" si="4"/>
        <v/>
      </c>
      <c r="K43" s="30"/>
      <c r="L43" s="46" t="str">
        <f t="shared" si="5"/>
        <v/>
      </c>
      <c r="M43" s="46" t="str">
        <f t="shared" si="6"/>
        <v/>
      </c>
      <c r="N43" s="30"/>
      <c r="O43" s="30"/>
      <c r="P43" s="31"/>
      <c r="Q43" s="31"/>
      <c r="R43" s="30"/>
      <c r="S43" s="30"/>
      <c r="T43" s="30"/>
      <c r="U43" s="30"/>
      <c r="V43" s="46" t="str">
        <f t="shared" si="7"/>
        <v/>
      </c>
      <c r="W43" s="46" t="str">
        <f t="shared" si="8"/>
        <v/>
      </c>
      <c r="X43" s="30"/>
      <c r="Y43" s="46" t="str">
        <f t="shared" si="9"/>
        <v/>
      </c>
      <c r="Z43" s="46" t="str">
        <f t="shared" si="10"/>
        <v/>
      </c>
      <c r="AA43" s="30"/>
      <c r="AB43" s="16" t="str">
        <f t="shared" ca="1" si="0"/>
        <v/>
      </c>
      <c r="AC43" s="16" t="str">
        <f ca="1">IF(A43="","",IF(OR(S43='02_マスタ'!$E$10,S43='02_マスタ'!$E$12),"",IF(R43="High","High",IF(AND(Q43&lt;&gt;"",Q43&lt;TODAY()),INDEX(_翻訳マスタ!$B$117:$D$247,MATCH("ALERT_OVERDUE",_翻訳マスタ!$A$117:$A$247,0),MATCH(言語切替!$B$3,_翻訳マスタ!$B$1:$D$1,0)),IF(AND(Q43&lt;&gt;"",Q43-TODAY()&lt;=7),INDEX(_翻訳マスタ!$B$117:$D$247,MATCH("ALERT_APPROACHING",_翻訳マスタ!$A$117:$A$247,0),MATCH(言語切替!$B$3,_翻訳マスタ!$B$1:$D$1,0)),IF(OR(S43='02_マスタ'!$E$7,S43='02_マスタ'!$E$8),INDEX(_翻訳マスタ!$B$117:$D$247,MATCH("ALERT_CHECK",_翻訳マスタ!$A$117:$A$247,0),MATCH(言語切替!$B$3,_翻訳マスタ!$B$1:$D$1,0)),""))))))</f>
        <v/>
      </c>
      <c r="AD43" s="41"/>
    </row>
    <row r="44" spans="1:30" s="22" customFormat="1" x14ac:dyDescent="0.25">
      <c r="A44" s="26"/>
      <c r="B44" s="27"/>
      <c r="C44" s="27"/>
      <c r="D44" s="27"/>
      <c r="E44" s="27"/>
      <c r="F44" s="45" t="str">
        <f t="shared" si="1"/>
        <v/>
      </c>
      <c r="G44" s="45" t="str">
        <f t="shared" si="2"/>
        <v/>
      </c>
      <c r="H44" s="27"/>
      <c r="I44" s="45" t="str">
        <f t="shared" si="3"/>
        <v/>
      </c>
      <c r="J44" s="45" t="str">
        <f t="shared" si="4"/>
        <v/>
      </c>
      <c r="K44" s="27"/>
      <c r="L44" s="45" t="str">
        <f t="shared" si="5"/>
        <v/>
      </c>
      <c r="M44" s="45" t="str">
        <f t="shared" si="6"/>
        <v/>
      </c>
      <c r="N44" s="27"/>
      <c r="O44" s="27"/>
      <c r="P44" s="28"/>
      <c r="Q44" s="28"/>
      <c r="R44" s="27"/>
      <c r="S44" s="27"/>
      <c r="T44" s="27"/>
      <c r="U44" s="27"/>
      <c r="V44" s="45" t="str">
        <f t="shared" si="7"/>
        <v/>
      </c>
      <c r="W44" s="45" t="str">
        <f t="shared" si="8"/>
        <v/>
      </c>
      <c r="X44" s="27"/>
      <c r="Y44" s="45" t="str">
        <f t="shared" si="9"/>
        <v/>
      </c>
      <c r="Z44" s="45" t="str">
        <f t="shared" si="10"/>
        <v/>
      </c>
      <c r="AA44" s="27"/>
      <c r="AB44" s="13" t="str">
        <f t="shared" ca="1" si="0"/>
        <v/>
      </c>
      <c r="AC44" s="13" t="str">
        <f ca="1">IF(A44="","",IF(OR(S44='02_マスタ'!$E$10,S44='02_マスタ'!$E$12),"",IF(R44="High","High",IF(AND(Q44&lt;&gt;"",Q44&lt;TODAY()),INDEX(_翻訳マスタ!$B$117:$D$247,MATCH("ALERT_OVERDUE",_翻訳マスタ!$A$117:$A$247,0),MATCH(言語切替!$B$3,_翻訳マスタ!$B$1:$D$1,0)),IF(AND(Q44&lt;&gt;"",Q44-TODAY()&lt;=7),INDEX(_翻訳マスタ!$B$117:$D$247,MATCH("ALERT_APPROACHING",_翻訳マスタ!$A$117:$A$247,0),MATCH(言語切替!$B$3,_翻訳マスタ!$B$1:$D$1,0)),IF(OR(S44='02_マスタ'!$E$7,S44='02_マスタ'!$E$8),INDEX(_翻訳マスタ!$B$117:$D$247,MATCH("ALERT_CHECK",_翻訳マスタ!$A$117:$A$247,0),MATCH(言語切替!$B$3,_翻訳マスタ!$B$1:$D$1,0)),""))))))</f>
        <v/>
      </c>
      <c r="AD44" s="40"/>
    </row>
    <row r="45" spans="1:30" s="22" customFormat="1" x14ac:dyDescent="0.25">
      <c r="A45" s="29"/>
      <c r="B45" s="30"/>
      <c r="C45" s="30"/>
      <c r="D45" s="30"/>
      <c r="E45" s="30"/>
      <c r="F45" s="46" t="str">
        <f t="shared" si="1"/>
        <v/>
      </c>
      <c r="G45" s="46" t="str">
        <f t="shared" si="2"/>
        <v/>
      </c>
      <c r="H45" s="30"/>
      <c r="I45" s="46" t="str">
        <f t="shared" si="3"/>
        <v/>
      </c>
      <c r="J45" s="46" t="str">
        <f t="shared" si="4"/>
        <v/>
      </c>
      <c r="K45" s="30"/>
      <c r="L45" s="46" t="str">
        <f t="shared" si="5"/>
        <v/>
      </c>
      <c r="M45" s="46" t="str">
        <f t="shared" si="6"/>
        <v/>
      </c>
      <c r="N45" s="30"/>
      <c r="O45" s="30"/>
      <c r="P45" s="31"/>
      <c r="Q45" s="31"/>
      <c r="R45" s="30"/>
      <c r="S45" s="30"/>
      <c r="T45" s="30"/>
      <c r="U45" s="30"/>
      <c r="V45" s="46" t="str">
        <f t="shared" si="7"/>
        <v/>
      </c>
      <c r="W45" s="46" t="str">
        <f t="shared" si="8"/>
        <v/>
      </c>
      <c r="X45" s="30"/>
      <c r="Y45" s="46" t="str">
        <f t="shared" si="9"/>
        <v/>
      </c>
      <c r="Z45" s="46" t="str">
        <f t="shared" si="10"/>
        <v/>
      </c>
      <c r="AA45" s="30"/>
      <c r="AB45" s="16" t="str">
        <f t="shared" ca="1" si="0"/>
        <v/>
      </c>
      <c r="AC45" s="16" t="str">
        <f ca="1">IF(A45="","",IF(OR(S45='02_マスタ'!$E$10,S45='02_マスタ'!$E$12),"",IF(R45="High","High",IF(AND(Q45&lt;&gt;"",Q45&lt;TODAY()),INDEX(_翻訳マスタ!$B$117:$D$247,MATCH("ALERT_OVERDUE",_翻訳マスタ!$A$117:$A$247,0),MATCH(言語切替!$B$3,_翻訳マスタ!$B$1:$D$1,0)),IF(AND(Q45&lt;&gt;"",Q45-TODAY()&lt;=7),INDEX(_翻訳マスタ!$B$117:$D$247,MATCH("ALERT_APPROACHING",_翻訳マスタ!$A$117:$A$247,0),MATCH(言語切替!$B$3,_翻訳マスタ!$B$1:$D$1,0)),IF(OR(S45='02_マスタ'!$E$7,S45='02_マスタ'!$E$8),INDEX(_翻訳マスタ!$B$117:$D$247,MATCH("ALERT_CHECK",_翻訳マスタ!$A$117:$A$247,0),MATCH(言語切替!$B$3,_翻訳マスタ!$B$1:$D$1,0)),""))))))</f>
        <v/>
      </c>
      <c r="AD45" s="41"/>
    </row>
    <row r="46" spans="1:30" s="22" customFormat="1" x14ac:dyDescent="0.25">
      <c r="A46" s="26"/>
      <c r="B46" s="27"/>
      <c r="C46" s="27"/>
      <c r="D46" s="27"/>
      <c r="E46" s="27"/>
      <c r="F46" s="45" t="str">
        <f t="shared" si="1"/>
        <v/>
      </c>
      <c r="G46" s="45" t="str">
        <f t="shared" si="2"/>
        <v/>
      </c>
      <c r="H46" s="27"/>
      <c r="I46" s="45" t="str">
        <f t="shared" si="3"/>
        <v/>
      </c>
      <c r="J46" s="45" t="str">
        <f t="shared" si="4"/>
        <v/>
      </c>
      <c r="K46" s="27"/>
      <c r="L46" s="45" t="str">
        <f t="shared" si="5"/>
        <v/>
      </c>
      <c r="M46" s="45" t="str">
        <f t="shared" si="6"/>
        <v/>
      </c>
      <c r="N46" s="27"/>
      <c r="O46" s="27"/>
      <c r="P46" s="28"/>
      <c r="Q46" s="28"/>
      <c r="R46" s="27"/>
      <c r="S46" s="27"/>
      <c r="T46" s="27"/>
      <c r="U46" s="27"/>
      <c r="V46" s="45" t="str">
        <f t="shared" si="7"/>
        <v/>
      </c>
      <c r="W46" s="45" t="str">
        <f t="shared" si="8"/>
        <v/>
      </c>
      <c r="X46" s="27"/>
      <c r="Y46" s="45" t="str">
        <f t="shared" si="9"/>
        <v/>
      </c>
      <c r="Z46" s="45" t="str">
        <f t="shared" si="10"/>
        <v/>
      </c>
      <c r="AA46" s="27"/>
      <c r="AB46" s="13" t="str">
        <f t="shared" ca="1" si="0"/>
        <v/>
      </c>
      <c r="AC46" s="13" t="str">
        <f ca="1">IF(A46="","",IF(OR(S46='02_マスタ'!$E$10,S46='02_マスタ'!$E$12),"",IF(R46="High","High",IF(AND(Q46&lt;&gt;"",Q46&lt;TODAY()),INDEX(_翻訳マスタ!$B$117:$D$247,MATCH("ALERT_OVERDUE",_翻訳マスタ!$A$117:$A$247,0),MATCH(言語切替!$B$3,_翻訳マスタ!$B$1:$D$1,0)),IF(AND(Q46&lt;&gt;"",Q46-TODAY()&lt;=7),INDEX(_翻訳マスタ!$B$117:$D$247,MATCH("ALERT_APPROACHING",_翻訳マスタ!$A$117:$A$247,0),MATCH(言語切替!$B$3,_翻訳マスタ!$B$1:$D$1,0)),IF(OR(S46='02_マスタ'!$E$7,S46='02_マスタ'!$E$8),INDEX(_翻訳マスタ!$B$117:$D$247,MATCH("ALERT_CHECK",_翻訳マスタ!$A$117:$A$247,0),MATCH(言語切替!$B$3,_翻訳マスタ!$B$1:$D$1,0)),""))))))</f>
        <v/>
      </c>
      <c r="AD46" s="40"/>
    </row>
    <row r="47" spans="1:30" s="22" customFormat="1" x14ac:dyDescent="0.25">
      <c r="A47" s="29"/>
      <c r="B47" s="30"/>
      <c r="C47" s="30"/>
      <c r="D47" s="30"/>
      <c r="E47" s="30"/>
      <c r="F47" s="46" t="str">
        <f t="shared" si="1"/>
        <v/>
      </c>
      <c r="G47" s="46" t="str">
        <f t="shared" si="2"/>
        <v/>
      </c>
      <c r="H47" s="30"/>
      <c r="I47" s="46" t="str">
        <f t="shared" si="3"/>
        <v/>
      </c>
      <c r="J47" s="46" t="str">
        <f t="shared" si="4"/>
        <v/>
      </c>
      <c r="K47" s="30"/>
      <c r="L47" s="46" t="str">
        <f t="shared" si="5"/>
        <v/>
      </c>
      <c r="M47" s="46" t="str">
        <f t="shared" si="6"/>
        <v/>
      </c>
      <c r="N47" s="30"/>
      <c r="O47" s="30"/>
      <c r="P47" s="31"/>
      <c r="Q47" s="31"/>
      <c r="R47" s="30"/>
      <c r="S47" s="30"/>
      <c r="T47" s="30"/>
      <c r="U47" s="30"/>
      <c r="V47" s="46" t="str">
        <f t="shared" si="7"/>
        <v/>
      </c>
      <c r="W47" s="46" t="str">
        <f t="shared" si="8"/>
        <v/>
      </c>
      <c r="X47" s="30"/>
      <c r="Y47" s="46" t="str">
        <f t="shared" si="9"/>
        <v/>
      </c>
      <c r="Z47" s="46" t="str">
        <f t="shared" si="10"/>
        <v/>
      </c>
      <c r="AA47" s="30"/>
      <c r="AB47" s="16" t="str">
        <f t="shared" ca="1" si="0"/>
        <v/>
      </c>
      <c r="AC47" s="16" t="str">
        <f ca="1">IF(A47="","",IF(OR(S47='02_マスタ'!$E$10,S47='02_マスタ'!$E$12),"",IF(R47="High","High",IF(AND(Q47&lt;&gt;"",Q47&lt;TODAY()),INDEX(_翻訳マスタ!$B$117:$D$247,MATCH("ALERT_OVERDUE",_翻訳マスタ!$A$117:$A$247,0),MATCH(言語切替!$B$3,_翻訳マスタ!$B$1:$D$1,0)),IF(AND(Q47&lt;&gt;"",Q47-TODAY()&lt;=7),INDEX(_翻訳マスタ!$B$117:$D$247,MATCH("ALERT_APPROACHING",_翻訳マスタ!$A$117:$A$247,0),MATCH(言語切替!$B$3,_翻訳マスタ!$B$1:$D$1,0)),IF(OR(S47='02_マスタ'!$E$7,S47='02_マスタ'!$E$8),INDEX(_翻訳マスタ!$B$117:$D$247,MATCH("ALERT_CHECK",_翻訳マスタ!$A$117:$A$247,0),MATCH(言語切替!$B$3,_翻訳マスタ!$B$1:$D$1,0)),""))))))</f>
        <v/>
      </c>
      <c r="AD47" s="41"/>
    </row>
    <row r="48" spans="1:30" s="22" customFormat="1" x14ac:dyDescent="0.25">
      <c r="A48" s="26"/>
      <c r="B48" s="27"/>
      <c r="C48" s="27"/>
      <c r="D48" s="27"/>
      <c r="E48" s="27"/>
      <c r="F48" s="45" t="str">
        <f t="shared" si="1"/>
        <v/>
      </c>
      <c r="G48" s="45" t="str">
        <f t="shared" si="2"/>
        <v/>
      </c>
      <c r="H48" s="27"/>
      <c r="I48" s="45" t="str">
        <f t="shared" si="3"/>
        <v/>
      </c>
      <c r="J48" s="45" t="str">
        <f t="shared" si="4"/>
        <v/>
      </c>
      <c r="K48" s="27"/>
      <c r="L48" s="45" t="str">
        <f t="shared" si="5"/>
        <v/>
      </c>
      <c r="M48" s="45" t="str">
        <f t="shared" si="6"/>
        <v/>
      </c>
      <c r="N48" s="27"/>
      <c r="O48" s="27"/>
      <c r="P48" s="28"/>
      <c r="Q48" s="28"/>
      <c r="R48" s="27"/>
      <c r="S48" s="27"/>
      <c r="T48" s="27"/>
      <c r="U48" s="27"/>
      <c r="V48" s="45" t="str">
        <f t="shared" si="7"/>
        <v/>
      </c>
      <c r="W48" s="45" t="str">
        <f t="shared" si="8"/>
        <v/>
      </c>
      <c r="X48" s="27"/>
      <c r="Y48" s="45" t="str">
        <f t="shared" si="9"/>
        <v/>
      </c>
      <c r="Z48" s="45" t="str">
        <f t="shared" si="10"/>
        <v/>
      </c>
      <c r="AA48" s="27"/>
      <c r="AB48" s="13" t="str">
        <f t="shared" ca="1" si="0"/>
        <v/>
      </c>
      <c r="AC48" s="13" t="str">
        <f ca="1">IF(A48="","",IF(OR(S48='02_マスタ'!$E$10,S48='02_マスタ'!$E$12),"",IF(R48="High","High",IF(AND(Q48&lt;&gt;"",Q48&lt;TODAY()),INDEX(_翻訳マスタ!$B$117:$D$247,MATCH("ALERT_OVERDUE",_翻訳マスタ!$A$117:$A$247,0),MATCH(言語切替!$B$3,_翻訳マスタ!$B$1:$D$1,0)),IF(AND(Q48&lt;&gt;"",Q48-TODAY()&lt;=7),INDEX(_翻訳マスタ!$B$117:$D$247,MATCH("ALERT_APPROACHING",_翻訳マスタ!$A$117:$A$247,0),MATCH(言語切替!$B$3,_翻訳マスタ!$B$1:$D$1,0)),IF(OR(S48='02_マスタ'!$E$7,S48='02_マスタ'!$E$8),INDEX(_翻訳マスタ!$B$117:$D$247,MATCH("ALERT_CHECK",_翻訳マスタ!$A$117:$A$247,0),MATCH(言語切替!$B$3,_翻訳マスタ!$B$1:$D$1,0)),""))))))</f>
        <v/>
      </c>
      <c r="AD48" s="40"/>
    </row>
    <row r="49" spans="1:30" s="22" customFormat="1" x14ac:dyDescent="0.25">
      <c r="A49" s="29"/>
      <c r="B49" s="30"/>
      <c r="C49" s="30"/>
      <c r="D49" s="30"/>
      <c r="E49" s="30"/>
      <c r="F49" s="46" t="str">
        <f t="shared" si="1"/>
        <v/>
      </c>
      <c r="G49" s="46" t="str">
        <f t="shared" si="2"/>
        <v/>
      </c>
      <c r="H49" s="30"/>
      <c r="I49" s="46" t="str">
        <f t="shared" si="3"/>
        <v/>
      </c>
      <c r="J49" s="46" t="str">
        <f t="shared" si="4"/>
        <v/>
      </c>
      <c r="K49" s="30"/>
      <c r="L49" s="46" t="str">
        <f t="shared" si="5"/>
        <v/>
      </c>
      <c r="M49" s="46" t="str">
        <f t="shared" si="6"/>
        <v/>
      </c>
      <c r="N49" s="30"/>
      <c r="O49" s="30"/>
      <c r="P49" s="31"/>
      <c r="Q49" s="31"/>
      <c r="R49" s="30"/>
      <c r="S49" s="30"/>
      <c r="T49" s="30"/>
      <c r="U49" s="30"/>
      <c r="V49" s="46" t="str">
        <f t="shared" si="7"/>
        <v/>
      </c>
      <c r="W49" s="46" t="str">
        <f t="shared" si="8"/>
        <v/>
      </c>
      <c r="X49" s="30"/>
      <c r="Y49" s="46" t="str">
        <f t="shared" si="9"/>
        <v/>
      </c>
      <c r="Z49" s="46" t="str">
        <f t="shared" si="10"/>
        <v/>
      </c>
      <c r="AA49" s="30"/>
      <c r="AB49" s="16" t="str">
        <f t="shared" ca="1" si="0"/>
        <v/>
      </c>
      <c r="AC49" s="16" t="str">
        <f ca="1">IF(A49="","",IF(OR(S49='02_マスタ'!$E$10,S49='02_マスタ'!$E$12),"",IF(R49="High","High",IF(AND(Q49&lt;&gt;"",Q49&lt;TODAY()),INDEX(_翻訳マスタ!$B$117:$D$247,MATCH("ALERT_OVERDUE",_翻訳マスタ!$A$117:$A$247,0),MATCH(言語切替!$B$3,_翻訳マスタ!$B$1:$D$1,0)),IF(AND(Q49&lt;&gt;"",Q49-TODAY()&lt;=7),INDEX(_翻訳マスタ!$B$117:$D$247,MATCH("ALERT_APPROACHING",_翻訳マスタ!$A$117:$A$247,0),MATCH(言語切替!$B$3,_翻訳マスタ!$B$1:$D$1,0)),IF(OR(S49='02_マスタ'!$E$7,S49='02_マスタ'!$E$8),INDEX(_翻訳マスタ!$B$117:$D$247,MATCH("ALERT_CHECK",_翻訳マスタ!$A$117:$A$247,0),MATCH(言語切替!$B$3,_翻訳マスタ!$B$1:$D$1,0)),""))))))</f>
        <v/>
      </c>
      <c r="AD49" s="41"/>
    </row>
    <row r="50" spans="1:30" s="22" customFormat="1" x14ac:dyDescent="0.25">
      <c r="A50" s="26"/>
      <c r="B50" s="27"/>
      <c r="C50" s="27"/>
      <c r="D50" s="27"/>
      <c r="E50" s="27"/>
      <c r="F50" s="45" t="str">
        <f t="shared" si="1"/>
        <v/>
      </c>
      <c r="G50" s="45" t="str">
        <f t="shared" si="2"/>
        <v/>
      </c>
      <c r="H50" s="27"/>
      <c r="I50" s="45" t="str">
        <f t="shared" si="3"/>
        <v/>
      </c>
      <c r="J50" s="45" t="str">
        <f t="shared" si="4"/>
        <v/>
      </c>
      <c r="K50" s="27"/>
      <c r="L50" s="45" t="str">
        <f t="shared" si="5"/>
        <v/>
      </c>
      <c r="M50" s="45" t="str">
        <f t="shared" si="6"/>
        <v/>
      </c>
      <c r="N50" s="27"/>
      <c r="O50" s="27"/>
      <c r="P50" s="28"/>
      <c r="Q50" s="28"/>
      <c r="R50" s="27"/>
      <c r="S50" s="27"/>
      <c r="T50" s="27"/>
      <c r="U50" s="27"/>
      <c r="V50" s="45" t="str">
        <f t="shared" si="7"/>
        <v/>
      </c>
      <c r="W50" s="45" t="str">
        <f t="shared" si="8"/>
        <v/>
      </c>
      <c r="X50" s="27"/>
      <c r="Y50" s="45" t="str">
        <f t="shared" si="9"/>
        <v/>
      </c>
      <c r="Z50" s="45" t="str">
        <f t="shared" si="10"/>
        <v/>
      </c>
      <c r="AA50" s="27"/>
      <c r="AB50" s="13" t="str">
        <f t="shared" ca="1" si="0"/>
        <v/>
      </c>
      <c r="AC50" s="13" t="str">
        <f ca="1">IF(A50="","",IF(OR(S50='02_マスタ'!$E$10,S50='02_マスタ'!$E$12),"",IF(R50="High","High",IF(AND(Q50&lt;&gt;"",Q50&lt;TODAY()),INDEX(_翻訳マスタ!$B$117:$D$247,MATCH("ALERT_OVERDUE",_翻訳マスタ!$A$117:$A$247,0),MATCH(言語切替!$B$3,_翻訳マスタ!$B$1:$D$1,0)),IF(AND(Q50&lt;&gt;"",Q50-TODAY()&lt;=7),INDEX(_翻訳マスタ!$B$117:$D$247,MATCH("ALERT_APPROACHING",_翻訳マスタ!$A$117:$A$247,0),MATCH(言語切替!$B$3,_翻訳マスタ!$B$1:$D$1,0)),IF(OR(S50='02_マスタ'!$E$7,S50='02_マスタ'!$E$8),INDEX(_翻訳マスタ!$B$117:$D$247,MATCH("ALERT_CHECK",_翻訳マスタ!$A$117:$A$247,0),MATCH(言語切替!$B$3,_翻訳マスタ!$B$1:$D$1,0)),""))))))</f>
        <v/>
      </c>
      <c r="AD50" s="40"/>
    </row>
    <row r="51" spans="1:30" s="22" customFormat="1" x14ac:dyDescent="0.25">
      <c r="A51" s="29"/>
      <c r="B51" s="30"/>
      <c r="C51" s="30"/>
      <c r="D51" s="30"/>
      <c r="E51" s="30"/>
      <c r="F51" s="46" t="str">
        <f t="shared" si="1"/>
        <v/>
      </c>
      <c r="G51" s="46" t="str">
        <f t="shared" si="2"/>
        <v/>
      </c>
      <c r="H51" s="30"/>
      <c r="I51" s="46" t="str">
        <f t="shared" si="3"/>
        <v/>
      </c>
      <c r="J51" s="46" t="str">
        <f t="shared" si="4"/>
        <v/>
      </c>
      <c r="K51" s="30"/>
      <c r="L51" s="46" t="str">
        <f t="shared" si="5"/>
        <v/>
      </c>
      <c r="M51" s="46" t="str">
        <f t="shared" si="6"/>
        <v/>
      </c>
      <c r="N51" s="30"/>
      <c r="O51" s="30"/>
      <c r="P51" s="31"/>
      <c r="Q51" s="31"/>
      <c r="R51" s="30"/>
      <c r="S51" s="30"/>
      <c r="T51" s="30"/>
      <c r="U51" s="30"/>
      <c r="V51" s="46" t="str">
        <f t="shared" si="7"/>
        <v/>
      </c>
      <c r="W51" s="46" t="str">
        <f t="shared" si="8"/>
        <v/>
      </c>
      <c r="X51" s="30"/>
      <c r="Y51" s="46" t="str">
        <f t="shared" si="9"/>
        <v/>
      </c>
      <c r="Z51" s="46" t="str">
        <f t="shared" si="10"/>
        <v/>
      </c>
      <c r="AA51" s="30"/>
      <c r="AB51" s="16" t="str">
        <f t="shared" ca="1" si="0"/>
        <v/>
      </c>
      <c r="AC51" s="16" t="str">
        <f ca="1">IF(A51="","",IF(OR(S51='02_マスタ'!$E$10,S51='02_マスタ'!$E$12),"",IF(R51="High","High",IF(AND(Q51&lt;&gt;"",Q51&lt;TODAY()),INDEX(_翻訳マスタ!$B$117:$D$247,MATCH("ALERT_OVERDUE",_翻訳マスタ!$A$117:$A$247,0),MATCH(言語切替!$B$3,_翻訳マスタ!$B$1:$D$1,0)),IF(AND(Q51&lt;&gt;"",Q51-TODAY()&lt;=7),INDEX(_翻訳マスタ!$B$117:$D$247,MATCH("ALERT_APPROACHING",_翻訳マスタ!$A$117:$A$247,0),MATCH(言語切替!$B$3,_翻訳マスタ!$B$1:$D$1,0)),IF(OR(S51='02_マスタ'!$E$7,S51='02_マスタ'!$E$8),INDEX(_翻訳マスタ!$B$117:$D$247,MATCH("ALERT_CHECK",_翻訳マスタ!$A$117:$A$247,0),MATCH(言語切替!$B$3,_翻訳マスタ!$B$1:$D$1,0)),""))))))</f>
        <v/>
      </c>
      <c r="AD51" s="41"/>
    </row>
    <row r="52" spans="1:30" s="22" customFormat="1" x14ac:dyDescent="0.25">
      <c r="A52" s="26"/>
      <c r="B52" s="27"/>
      <c r="C52" s="27"/>
      <c r="D52" s="27"/>
      <c r="E52" s="27"/>
      <c r="F52" s="45" t="str">
        <f t="shared" si="1"/>
        <v/>
      </c>
      <c r="G52" s="45" t="str">
        <f t="shared" si="2"/>
        <v/>
      </c>
      <c r="H52" s="27"/>
      <c r="I52" s="45" t="str">
        <f t="shared" si="3"/>
        <v/>
      </c>
      <c r="J52" s="45" t="str">
        <f t="shared" si="4"/>
        <v/>
      </c>
      <c r="K52" s="27"/>
      <c r="L52" s="45" t="str">
        <f t="shared" si="5"/>
        <v/>
      </c>
      <c r="M52" s="45" t="str">
        <f t="shared" si="6"/>
        <v/>
      </c>
      <c r="N52" s="27"/>
      <c r="O52" s="27"/>
      <c r="P52" s="28"/>
      <c r="Q52" s="28"/>
      <c r="R52" s="27"/>
      <c r="S52" s="27"/>
      <c r="T52" s="27"/>
      <c r="U52" s="27"/>
      <c r="V52" s="45" t="str">
        <f t="shared" si="7"/>
        <v/>
      </c>
      <c r="W52" s="45" t="str">
        <f t="shared" si="8"/>
        <v/>
      </c>
      <c r="X52" s="27"/>
      <c r="Y52" s="45" t="str">
        <f t="shared" si="9"/>
        <v/>
      </c>
      <c r="Z52" s="45" t="str">
        <f t="shared" si="10"/>
        <v/>
      </c>
      <c r="AA52" s="27"/>
      <c r="AB52" s="13" t="str">
        <f t="shared" ca="1" si="0"/>
        <v/>
      </c>
      <c r="AC52" s="13" t="str">
        <f ca="1">IF(A52="","",IF(OR(S52='02_マスタ'!$E$10,S52='02_マスタ'!$E$12),"",IF(R52="High","High",IF(AND(Q52&lt;&gt;"",Q52&lt;TODAY()),INDEX(_翻訳マスタ!$B$117:$D$247,MATCH("ALERT_OVERDUE",_翻訳マスタ!$A$117:$A$247,0),MATCH(言語切替!$B$3,_翻訳マスタ!$B$1:$D$1,0)),IF(AND(Q52&lt;&gt;"",Q52-TODAY()&lt;=7),INDEX(_翻訳マスタ!$B$117:$D$247,MATCH("ALERT_APPROACHING",_翻訳マスタ!$A$117:$A$247,0),MATCH(言語切替!$B$3,_翻訳マスタ!$B$1:$D$1,0)),IF(OR(S52='02_マスタ'!$E$7,S52='02_マスタ'!$E$8),INDEX(_翻訳マスタ!$B$117:$D$247,MATCH("ALERT_CHECK",_翻訳マスタ!$A$117:$A$247,0),MATCH(言語切替!$B$3,_翻訳マスタ!$B$1:$D$1,0)),""))))))</f>
        <v/>
      </c>
      <c r="AD52" s="40"/>
    </row>
    <row r="53" spans="1:30" s="22" customFormat="1" x14ac:dyDescent="0.25">
      <c r="A53" s="29"/>
      <c r="B53" s="30"/>
      <c r="C53" s="30"/>
      <c r="D53" s="30"/>
      <c r="E53" s="30"/>
      <c r="F53" s="46" t="str">
        <f t="shared" si="1"/>
        <v/>
      </c>
      <c r="G53" s="46" t="str">
        <f t="shared" si="2"/>
        <v/>
      </c>
      <c r="H53" s="30"/>
      <c r="I53" s="46" t="str">
        <f t="shared" si="3"/>
        <v/>
      </c>
      <c r="J53" s="46" t="str">
        <f t="shared" si="4"/>
        <v/>
      </c>
      <c r="K53" s="30"/>
      <c r="L53" s="46" t="str">
        <f t="shared" si="5"/>
        <v/>
      </c>
      <c r="M53" s="46" t="str">
        <f t="shared" si="6"/>
        <v/>
      </c>
      <c r="N53" s="30"/>
      <c r="O53" s="30"/>
      <c r="P53" s="31"/>
      <c r="Q53" s="31"/>
      <c r="R53" s="30"/>
      <c r="S53" s="30"/>
      <c r="T53" s="30"/>
      <c r="U53" s="30"/>
      <c r="V53" s="46" t="str">
        <f t="shared" si="7"/>
        <v/>
      </c>
      <c r="W53" s="46" t="str">
        <f t="shared" si="8"/>
        <v/>
      </c>
      <c r="X53" s="30"/>
      <c r="Y53" s="46" t="str">
        <f t="shared" si="9"/>
        <v/>
      </c>
      <c r="Z53" s="46" t="str">
        <f t="shared" si="10"/>
        <v/>
      </c>
      <c r="AA53" s="30"/>
      <c r="AB53" s="16" t="str">
        <f t="shared" ca="1" si="0"/>
        <v/>
      </c>
      <c r="AC53" s="16" t="str">
        <f ca="1">IF(A53="","",IF(OR(S53='02_マスタ'!$E$10,S53='02_マスタ'!$E$12),"",IF(R53="High","High",IF(AND(Q53&lt;&gt;"",Q53&lt;TODAY()),INDEX(_翻訳マスタ!$B$117:$D$247,MATCH("ALERT_OVERDUE",_翻訳マスタ!$A$117:$A$247,0),MATCH(言語切替!$B$3,_翻訳マスタ!$B$1:$D$1,0)),IF(AND(Q53&lt;&gt;"",Q53-TODAY()&lt;=7),INDEX(_翻訳マスタ!$B$117:$D$247,MATCH("ALERT_APPROACHING",_翻訳マスタ!$A$117:$A$247,0),MATCH(言語切替!$B$3,_翻訳マスタ!$B$1:$D$1,0)),IF(OR(S53='02_マスタ'!$E$7,S53='02_マスタ'!$E$8),INDEX(_翻訳マスタ!$B$117:$D$247,MATCH("ALERT_CHECK",_翻訳マスタ!$A$117:$A$247,0),MATCH(言語切替!$B$3,_翻訳マスタ!$B$1:$D$1,0)),""))))))</f>
        <v/>
      </c>
      <c r="AD53" s="41"/>
    </row>
    <row r="54" spans="1:30" s="22" customFormat="1" x14ac:dyDescent="0.25">
      <c r="A54" s="26"/>
      <c r="B54" s="27"/>
      <c r="C54" s="27"/>
      <c r="D54" s="27"/>
      <c r="E54" s="27"/>
      <c r="F54" s="45" t="str">
        <f t="shared" si="1"/>
        <v/>
      </c>
      <c r="G54" s="45" t="str">
        <f t="shared" si="2"/>
        <v/>
      </c>
      <c r="H54" s="27"/>
      <c r="I54" s="45" t="str">
        <f t="shared" si="3"/>
        <v/>
      </c>
      <c r="J54" s="45" t="str">
        <f t="shared" si="4"/>
        <v/>
      </c>
      <c r="K54" s="27"/>
      <c r="L54" s="45" t="str">
        <f t="shared" si="5"/>
        <v/>
      </c>
      <c r="M54" s="45" t="str">
        <f t="shared" si="6"/>
        <v/>
      </c>
      <c r="N54" s="27"/>
      <c r="O54" s="27"/>
      <c r="P54" s="28"/>
      <c r="Q54" s="28"/>
      <c r="R54" s="27"/>
      <c r="S54" s="27"/>
      <c r="T54" s="27"/>
      <c r="U54" s="27"/>
      <c r="V54" s="45" t="str">
        <f t="shared" si="7"/>
        <v/>
      </c>
      <c r="W54" s="45" t="str">
        <f t="shared" si="8"/>
        <v/>
      </c>
      <c r="X54" s="27"/>
      <c r="Y54" s="45" t="str">
        <f t="shared" si="9"/>
        <v/>
      </c>
      <c r="Z54" s="45" t="str">
        <f t="shared" si="10"/>
        <v/>
      </c>
      <c r="AA54" s="27"/>
      <c r="AB54" s="13" t="str">
        <f t="shared" ca="1" si="0"/>
        <v/>
      </c>
      <c r="AC54" s="13" t="str">
        <f ca="1">IF(A54="","",IF(OR(S54='02_マスタ'!$E$10,S54='02_マスタ'!$E$12),"",IF(R54="High","High",IF(AND(Q54&lt;&gt;"",Q54&lt;TODAY()),INDEX(_翻訳マスタ!$B$117:$D$247,MATCH("ALERT_OVERDUE",_翻訳マスタ!$A$117:$A$247,0),MATCH(言語切替!$B$3,_翻訳マスタ!$B$1:$D$1,0)),IF(AND(Q54&lt;&gt;"",Q54-TODAY()&lt;=7),INDEX(_翻訳マスタ!$B$117:$D$247,MATCH("ALERT_APPROACHING",_翻訳マスタ!$A$117:$A$247,0),MATCH(言語切替!$B$3,_翻訳マスタ!$B$1:$D$1,0)),IF(OR(S54='02_マスタ'!$E$7,S54='02_マスタ'!$E$8),INDEX(_翻訳マスタ!$B$117:$D$247,MATCH("ALERT_CHECK",_翻訳マスタ!$A$117:$A$247,0),MATCH(言語切替!$B$3,_翻訳マスタ!$B$1:$D$1,0)),""))))))</f>
        <v/>
      </c>
      <c r="AD54" s="40"/>
    </row>
    <row r="55" spans="1:30" s="22" customFormat="1" x14ac:dyDescent="0.25">
      <c r="A55" s="29"/>
      <c r="B55" s="30"/>
      <c r="C55" s="30"/>
      <c r="D55" s="30"/>
      <c r="E55" s="30"/>
      <c r="F55" s="46" t="str">
        <f t="shared" si="1"/>
        <v/>
      </c>
      <c r="G55" s="46" t="str">
        <f t="shared" si="2"/>
        <v/>
      </c>
      <c r="H55" s="30"/>
      <c r="I55" s="46" t="str">
        <f t="shared" si="3"/>
        <v/>
      </c>
      <c r="J55" s="46" t="str">
        <f t="shared" si="4"/>
        <v/>
      </c>
      <c r="K55" s="30"/>
      <c r="L55" s="46" t="str">
        <f t="shared" si="5"/>
        <v/>
      </c>
      <c r="M55" s="46" t="str">
        <f t="shared" si="6"/>
        <v/>
      </c>
      <c r="N55" s="30"/>
      <c r="O55" s="30"/>
      <c r="P55" s="31"/>
      <c r="Q55" s="31"/>
      <c r="R55" s="30"/>
      <c r="S55" s="30"/>
      <c r="T55" s="30"/>
      <c r="U55" s="30"/>
      <c r="V55" s="46" t="str">
        <f t="shared" si="7"/>
        <v/>
      </c>
      <c r="W55" s="46" t="str">
        <f t="shared" si="8"/>
        <v/>
      </c>
      <c r="X55" s="30"/>
      <c r="Y55" s="46" t="str">
        <f t="shared" si="9"/>
        <v/>
      </c>
      <c r="Z55" s="46" t="str">
        <f t="shared" si="10"/>
        <v/>
      </c>
      <c r="AA55" s="30"/>
      <c r="AB55" s="16" t="str">
        <f t="shared" ca="1" si="0"/>
        <v/>
      </c>
      <c r="AC55" s="16" t="str">
        <f ca="1">IF(A55="","",IF(OR(S55='02_マスタ'!$E$10,S55='02_マスタ'!$E$12),"",IF(R55="High","High",IF(AND(Q55&lt;&gt;"",Q55&lt;TODAY()),INDEX(_翻訳マスタ!$B$117:$D$247,MATCH("ALERT_OVERDUE",_翻訳マスタ!$A$117:$A$247,0),MATCH(言語切替!$B$3,_翻訳マスタ!$B$1:$D$1,0)),IF(AND(Q55&lt;&gt;"",Q55-TODAY()&lt;=7),INDEX(_翻訳マスタ!$B$117:$D$247,MATCH("ALERT_APPROACHING",_翻訳マスタ!$A$117:$A$247,0),MATCH(言語切替!$B$3,_翻訳マスタ!$B$1:$D$1,0)),IF(OR(S55='02_マスタ'!$E$7,S55='02_マスタ'!$E$8),INDEX(_翻訳マスタ!$B$117:$D$247,MATCH("ALERT_CHECK",_翻訳マスタ!$A$117:$A$247,0),MATCH(言語切替!$B$3,_翻訳マスタ!$B$1:$D$1,0)),""))))))</f>
        <v/>
      </c>
      <c r="AD55" s="41"/>
    </row>
    <row r="56" spans="1:30" s="22" customFormat="1" x14ac:dyDescent="0.25">
      <c r="A56" s="26"/>
      <c r="B56" s="27"/>
      <c r="C56" s="27"/>
      <c r="D56" s="27"/>
      <c r="E56" s="27"/>
      <c r="F56" s="45" t="str">
        <f t="shared" si="1"/>
        <v/>
      </c>
      <c r="G56" s="45" t="str">
        <f t="shared" si="2"/>
        <v/>
      </c>
      <c r="H56" s="27"/>
      <c r="I56" s="45" t="str">
        <f t="shared" si="3"/>
        <v/>
      </c>
      <c r="J56" s="45" t="str">
        <f t="shared" si="4"/>
        <v/>
      </c>
      <c r="K56" s="27"/>
      <c r="L56" s="45" t="str">
        <f t="shared" si="5"/>
        <v/>
      </c>
      <c r="M56" s="45" t="str">
        <f t="shared" si="6"/>
        <v/>
      </c>
      <c r="N56" s="27"/>
      <c r="O56" s="27"/>
      <c r="P56" s="28"/>
      <c r="Q56" s="28"/>
      <c r="R56" s="27"/>
      <c r="S56" s="27"/>
      <c r="T56" s="27"/>
      <c r="U56" s="27"/>
      <c r="V56" s="45" t="str">
        <f t="shared" si="7"/>
        <v/>
      </c>
      <c r="W56" s="45" t="str">
        <f t="shared" si="8"/>
        <v/>
      </c>
      <c r="X56" s="27"/>
      <c r="Y56" s="45" t="str">
        <f t="shared" si="9"/>
        <v/>
      </c>
      <c r="Z56" s="45" t="str">
        <f t="shared" si="10"/>
        <v/>
      </c>
      <c r="AA56" s="27"/>
      <c r="AB56" s="13" t="str">
        <f t="shared" ca="1" si="0"/>
        <v/>
      </c>
      <c r="AC56" s="13" t="str">
        <f ca="1">IF(A56="","",IF(OR(S56='02_マスタ'!$E$10,S56='02_マスタ'!$E$12),"",IF(R56="High","High",IF(AND(Q56&lt;&gt;"",Q56&lt;TODAY()),INDEX(_翻訳マスタ!$B$117:$D$247,MATCH("ALERT_OVERDUE",_翻訳マスタ!$A$117:$A$247,0),MATCH(言語切替!$B$3,_翻訳マスタ!$B$1:$D$1,0)),IF(AND(Q56&lt;&gt;"",Q56-TODAY()&lt;=7),INDEX(_翻訳マスタ!$B$117:$D$247,MATCH("ALERT_APPROACHING",_翻訳マスタ!$A$117:$A$247,0),MATCH(言語切替!$B$3,_翻訳マスタ!$B$1:$D$1,0)),IF(OR(S56='02_マスタ'!$E$7,S56='02_マスタ'!$E$8),INDEX(_翻訳マスタ!$B$117:$D$247,MATCH("ALERT_CHECK",_翻訳マスタ!$A$117:$A$247,0),MATCH(言語切替!$B$3,_翻訳マスタ!$B$1:$D$1,0)),""))))))</f>
        <v/>
      </c>
      <c r="AD56" s="40"/>
    </row>
    <row r="57" spans="1:30" s="22" customFormat="1" x14ac:dyDescent="0.25">
      <c r="A57" s="29"/>
      <c r="B57" s="30"/>
      <c r="C57" s="30"/>
      <c r="D57" s="30"/>
      <c r="E57" s="30"/>
      <c r="F57" s="46" t="str">
        <f t="shared" si="1"/>
        <v/>
      </c>
      <c r="G57" s="46" t="str">
        <f t="shared" si="2"/>
        <v/>
      </c>
      <c r="H57" s="30"/>
      <c r="I57" s="46" t="str">
        <f t="shared" si="3"/>
        <v/>
      </c>
      <c r="J57" s="46" t="str">
        <f t="shared" si="4"/>
        <v/>
      </c>
      <c r="K57" s="30"/>
      <c r="L57" s="46" t="str">
        <f t="shared" si="5"/>
        <v/>
      </c>
      <c r="M57" s="46" t="str">
        <f t="shared" si="6"/>
        <v/>
      </c>
      <c r="N57" s="30"/>
      <c r="O57" s="30"/>
      <c r="P57" s="31"/>
      <c r="Q57" s="31"/>
      <c r="R57" s="30"/>
      <c r="S57" s="30"/>
      <c r="T57" s="30"/>
      <c r="U57" s="30"/>
      <c r="V57" s="46" t="str">
        <f t="shared" si="7"/>
        <v/>
      </c>
      <c r="W57" s="46" t="str">
        <f t="shared" si="8"/>
        <v/>
      </c>
      <c r="X57" s="30"/>
      <c r="Y57" s="46" t="str">
        <f t="shared" si="9"/>
        <v/>
      </c>
      <c r="Z57" s="46" t="str">
        <f t="shared" si="10"/>
        <v/>
      </c>
      <c r="AA57" s="30"/>
      <c r="AB57" s="16" t="str">
        <f t="shared" ca="1" si="0"/>
        <v/>
      </c>
      <c r="AC57" s="16" t="str">
        <f ca="1">IF(A57="","",IF(OR(S57='02_マスタ'!$E$10,S57='02_マスタ'!$E$12),"",IF(R57="High","High",IF(AND(Q57&lt;&gt;"",Q57&lt;TODAY()),INDEX(_翻訳マスタ!$B$117:$D$247,MATCH("ALERT_OVERDUE",_翻訳マスタ!$A$117:$A$247,0),MATCH(言語切替!$B$3,_翻訳マスタ!$B$1:$D$1,0)),IF(AND(Q57&lt;&gt;"",Q57-TODAY()&lt;=7),INDEX(_翻訳マスタ!$B$117:$D$247,MATCH("ALERT_APPROACHING",_翻訳マスタ!$A$117:$A$247,0),MATCH(言語切替!$B$3,_翻訳マスタ!$B$1:$D$1,0)),IF(OR(S57='02_マスタ'!$E$7,S57='02_マスタ'!$E$8),INDEX(_翻訳マスタ!$B$117:$D$247,MATCH("ALERT_CHECK",_翻訳マスタ!$A$117:$A$247,0),MATCH(言語切替!$B$3,_翻訳マスタ!$B$1:$D$1,0)),""))))))</f>
        <v/>
      </c>
      <c r="AD57" s="41"/>
    </row>
    <row r="58" spans="1:30" s="22" customFormat="1" x14ac:dyDescent="0.25">
      <c r="A58" s="26"/>
      <c r="B58" s="27"/>
      <c r="C58" s="27"/>
      <c r="D58" s="27"/>
      <c r="E58" s="27"/>
      <c r="F58" s="45" t="str">
        <f t="shared" si="1"/>
        <v/>
      </c>
      <c r="G58" s="45" t="str">
        <f t="shared" si="2"/>
        <v/>
      </c>
      <c r="H58" s="27"/>
      <c r="I58" s="45" t="str">
        <f t="shared" si="3"/>
        <v/>
      </c>
      <c r="J58" s="45" t="str">
        <f t="shared" si="4"/>
        <v/>
      </c>
      <c r="K58" s="27"/>
      <c r="L58" s="45" t="str">
        <f t="shared" si="5"/>
        <v/>
      </c>
      <c r="M58" s="45" t="str">
        <f t="shared" si="6"/>
        <v/>
      </c>
      <c r="N58" s="27"/>
      <c r="O58" s="27"/>
      <c r="P58" s="28"/>
      <c r="Q58" s="28"/>
      <c r="R58" s="27"/>
      <c r="S58" s="27"/>
      <c r="T58" s="27"/>
      <c r="U58" s="27"/>
      <c r="V58" s="45" t="str">
        <f t="shared" si="7"/>
        <v/>
      </c>
      <c r="W58" s="45" t="str">
        <f t="shared" si="8"/>
        <v/>
      </c>
      <c r="X58" s="27"/>
      <c r="Y58" s="45" t="str">
        <f t="shared" si="9"/>
        <v/>
      </c>
      <c r="Z58" s="45" t="str">
        <f t="shared" si="10"/>
        <v/>
      </c>
      <c r="AA58" s="27"/>
      <c r="AB58" s="13" t="str">
        <f t="shared" ca="1" si="0"/>
        <v/>
      </c>
      <c r="AC58" s="13" t="str">
        <f ca="1">IF(A58="","",IF(OR(S58='02_マスタ'!$E$10,S58='02_マスタ'!$E$12),"",IF(R58="High","High",IF(AND(Q58&lt;&gt;"",Q58&lt;TODAY()),INDEX(_翻訳マスタ!$B$117:$D$247,MATCH("ALERT_OVERDUE",_翻訳マスタ!$A$117:$A$247,0),MATCH(言語切替!$B$3,_翻訳マスタ!$B$1:$D$1,0)),IF(AND(Q58&lt;&gt;"",Q58-TODAY()&lt;=7),INDEX(_翻訳マスタ!$B$117:$D$247,MATCH("ALERT_APPROACHING",_翻訳マスタ!$A$117:$A$247,0),MATCH(言語切替!$B$3,_翻訳マスタ!$B$1:$D$1,0)),IF(OR(S58='02_マスタ'!$E$7,S58='02_マスタ'!$E$8),INDEX(_翻訳マスタ!$B$117:$D$247,MATCH("ALERT_CHECK",_翻訳マスタ!$A$117:$A$247,0),MATCH(言語切替!$B$3,_翻訳マスタ!$B$1:$D$1,0)),""))))))</f>
        <v/>
      </c>
      <c r="AD58" s="40"/>
    </row>
    <row r="59" spans="1:30" s="22" customFormat="1" x14ac:dyDescent="0.25">
      <c r="A59" s="29"/>
      <c r="B59" s="30"/>
      <c r="C59" s="30"/>
      <c r="D59" s="30"/>
      <c r="E59" s="30"/>
      <c r="F59" s="46" t="str">
        <f t="shared" si="1"/>
        <v/>
      </c>
      <c r="G59" s="46" t="str">
        <f t="shared" si="2"/>
        <v/>
      </c>
      <c r="H59" s="30"/>
      <c r="I59" s="46" t="str">
        <f t="shared" si="3"/>
        <v/>
      </c>
      <c r="J59" s="46" t="str">
        <f t="shared" si="4"/>
        <v/>
      </c>
      <c r="K59" s="30"/>
      <c r="L59" s="46" t="str">
        <f t="shared" si="5"/>
        <v/>
      </c>
      <c r="M59" s="46" t="str">
        <f t="shared" si="6"/>
        <v/>
      </c>
      <c r="N59" s="30"/>
      <c r="O59" s="30"/>
      <c r="P59" s="31"/>
      <c r="Q59" s="31"/>
      <c r="R59" s="30"/>
      <c r="S59" s="30"/>
      <c r="T59" s="30"/>
      <c r="U59" s="30"/>
      <c r="V59" s="46" t="str">
        <f t="shared" si="7"/>
        <v/>
      </c>
      <c r="W59" s="46" t="str">
        <f t="shared" si="8"/>
        <v/>
      </c>
      <c r="X59" s="30"/>
      <c r="Y59" s="46" t="str">
        <f t="shared" si="9"/>
        <v/>
      </c>
      <c r="Z59" s="46" t="str">
        <f t="shared" si="10"/>
        <v/>
      </c>
      <c r="AA59" s="30"/>
      <c r="AB59" s="16" t="str">
        <f t="shared" ca="1" si="0"/>
        <v/>
      </c>
      <c r="AC59" s="16" t="str">
        <f ca="1">IF(A59="","",IF(OR(S59='02_マスタ'!$E$10,S59='02_マスタ'!$E$12),"",IF(R59="High","High",IF(AND(Q59&lt;&gt;"",Q59&lt;TODAY()),INDEX(_翻訳マスタ!$B$117:$D$247,MATCH("ALERT_OVERDUE",_翻訳マスタ!$A$117:$A$247,0),MATCH(言語切替!$B$3,_翻訳マスタ!$B$1:$D$1,0)),IF(AND(Q59&lt;&gt;"",Q59-TODAY()&lt;=7),INDEX(_翻訳マスタ!$B$117:$D$247,MATCH("ALERT_APPROACHING",_翻訳マスタ!$A$117:$A$247,0),MATCH(言語切替!$B$3,_翻訳マスタ!$B$1:$D$1,0)),IF(OR(S59='02_マスタ'!$E$7,S59='02_マスタ'!$E$8),INDEX(_翻訳マスタ!$B$117:$D$247,MATCH("ALERT_CHECK",_翻訳マスタ!$A$117:$A$247,0),MATCH(言語切替!$B$3,_翻訳マスタ!$B$1:$D$1,0)),""))))))</f>
        <v/>
      </c>
      <c r="AD59" s="41"/>
    </row>
    <row r="60" spans="1:30" s="22" customFormat="1" x14ac:dyDescent="0.25">
      <c r="A60" s="26"/>
      <c r="B60" s="27"/>
      <c r="C60" s="27"/>
      <c r="D60" s="27"/>
      <c r="E60" s="27"/>
      <c r="F60" s="45" t="str">
        <f t="shared" si="1"/>
        <v/>
      </c>
      <c r="G60" s="45" t="str">
        <f t="shared" si="2"/>
        <v/>
      </c>
      <c r="H60" s="27"/>
      <c r="I60" s="45" t="str">
        <f t="shared" si="3"/>
        <v/>
      </c>
      <c r="J60" s="45" t="str">
        <f t="shared" si="4"/>
        <v/>
      </c>
      <c r="K60" s="27"/>
      <c r="L60" s="45" t="str">
        <f t="shared" si="5"/>
        <v/>
      </c>
      <c r="M60" s="45" t="str">
        <f t="shared" si="6"/>
        <v/>
      </c>
      <c r="N60" s="27"/>
      <c r="O60" s="27"/>
      <c r="P60" s="28"/>
      <c r="Q60" s="28"/>
      <c r="R60" s="27"/>
      <c r="S60" s="27"/>
      <c r="T60" s="27"/>
      <c r="U60" s="27"/>
      <c r="V60" s="45" t="str">
        <f t="shared" si="7"/>
        <v/>
      </c>
      <c r="W60" s="45" t="str">
        <f t="shared" si="8"/>
        <v/>
      </c>
      <c r="X60" s="27"/>
      <c r="Y60" s="45" t="str">
        <f t="shared" si="9"/>
        <v/>
      </c>
      <c r="Z60" s="45" t="str">
        <f t="shared" si="10"/>
        <v/>
      </c>
      <c r="AA60" s="27"/>
      <c r="AB60" s="13" t="str">
        <f t="shared" ca="1" si="0"/>
        <v/>
      </c>
      <c r="AC60" s="13" t="str">
        <f ca="1">IF(A60="","",IF(OR(S60='02_マスタ'!$E$10,S60='02_マスタ'!$E$12),"",IF(R60="High","High",IF(AND(Q60&lt;&gt;"",Q60&lt;TODAY()),INDEX(_翻訳マスタ!$B$117:$D$247,MATCH("ALERT_OVERDUE",_翻訳マスタ!$A$117:$A$247,0),MATCH(言語切替!$B$3,_翻訳マスタ!$B$1:$D$1,0)),IF(AND(Q60&lt;&gt;"",Q60-TODAY()&lt;=7),INDEX(_翻訳マスタ!$B$117:$D$247,MATCH("ALERT_APPROACHING",_翻訳マスタ!$A$117:$A$247,0),MATCH(言語切替!$B$3,_翻訳マスタ!$B$1:$D$1,0)),IF(OR(S60='02_マスタ'!$E$7,S60='02_マスタ'!$E$8),INDEX(_翻訳マスタ!$B$117:$D$247,MATCH("ALERT_CHECK",_翻訳マスタ!$A$117:$A$247,0),MATCH(言語切替!$B$3,_翻訳マスタ!$B$1:$D$1,0)),""))))))</f>
        <v/>
      </c>
      <c r="AD60" s="40"/>
    </row>
    <row r="61" spans="1:30" s="22" customFormat="1" x14ac:dyDescent="0.25">
      <c r="A61" s="29"/>
      <c r="B61" s="30"/>
      <c r="C61" s="30"/>
      <c r="D61" s="30"/>
      <c r="E61" s="30"/>
      <c r="F61" s="46" t="str">
        <f t="shared" si="1"/>
        <v/>
      </c>
      <c r="G61" s="46" t="str">
        <f t="shared" si="2"/>
        <v/>
      </c>
      <c r="H61" s="30"/>
      <c r="I61" s="46" t="str">
        <f t="shared" si="3"/>
        <v/>
      </c>
      <c r="J61" s="46" t="str">
        <f t="shared" si="4"/>
        <v/>
      </c>
      <c r="K61" s="30"/>
      <c r="L61" s="46" t="str">
        <f t="shared" si="5"/>
        <v/>
      </c>
      <c r="M61" s="46" t="str">
        <f t="shared" si="6"/>
        <v/>
      </c>
      <c r="N61" s="30"/>
      <c r="O61" s="30"/>
      <c r="P61" s="31"/>
      <c r="Q61" s="31"/>
      <c r="R61" s="30"/>
      <c r="S61" s="30"/>
      <c r="T61" s="30"/>
      <c r="U61" s="30"/>
      <c r="V61" s="46" t="str">
        <f t="shared" si="7"/>
        <v/>
      </c>
      <c r="W61" s="46" t="str">
        <f t="shared" si="8"/>
        <v/>
      </c>
      <c r="X61" s="30"/>
      <c r="Y61" s="46" t="str">
        <f t="shared" si="9"/>
        <v/>
      </c>
      <c r="Z61" s="46" t="str">
        <f t="shared" si="10"/>
        <v/>
      </c>
      <c r="AA61" s="30"/>
      <c r="AB61" s="16" t="str">
        <f t="shared" ca="1" si="0"/>
        <v/>
      </c>
      <c r="AC61" s="16" t="str">
        <f ca="1">IF(A61="","",IF(OR(S61='02_マスタ'!$E$10,S61='02_マスタ'!$E$12),"",IF(R61="High","High",IF(AND(Q61&lt;&gt;"",Q61&lt;TODAY()),INDEX(_翻訳マスタ!$B$117:$D$247,MATCH("ALERT_OVERDUE",_翻訳マスタ!$A$117:$A$247,0),MATCH(言語切替!$B$3,_翻訳マスタ!$B$1:$D$1,0)),IF(AND(Q61&lt;&gt;"",Q61-TODAY()&lt;=7),INDEX(_翻訳マスタ!$B$117:$D$247,MATCH("ALERT_APPROACHING",_翻訳マスタ!$A$117:$A$247,0),MATCH(言語切替!$B$3,_翻訳マスタ!$B$1:$D$1,0)),IF(OR(S61='02_マスタ'!$E$7,S61='02_マスタ'!$E$8),INDEX(_翻訳マスタ!$B$117:$D$247,MATCH("ALERT_CHECK",_翻訳マスタ!$A$117:$A$247,0),MATCH(言語切替!$B$3,_翻訳マスタ!$B$1:$D$1,0)),""))))))</f>
        <v/>
      </c>
      <c r="AD61" s="41"/>
    </row>
    <row r="62" spans="1:30" s="22" customFormat="1" x14ac:dyDescent="0.25">
      <c r="A62" s="26"/>
      <c r="B62" s="27"/>
      <c r="C62" s="27"/>
      <c r="D62" s="27"/>
      <c r="E62" s="27"/>
      <c r="F62" s="45" t="str">
        <f t="shared" si="1"/>
        <v/>
      </c>
      <c r="G62" s="45" t="str">
        <f t="shared" si="2"/>
        <v/>
      </c>
      <c r="H62" s="27"/>
      <c r="I62" s="45" t="str">
        <f t="shared" si="3"/>
        <v/>
      </c>
      <c r="J62" s="45" t="str">
        <f t="shared" si="4"/>
        <v/>
      </c>
      <c r="K62" s="27"/>
      <c r="L62" s="45" t="str">
        <f t="shared" si="5"/>
        <v/>
      </c>
      <c r="M62" s="45" t="str">
        <f t="shared" si="6"/>
        <v/>
      </c>
      <c r="N62" s="27"/>
      <c r="O62" s="27"/>
      <c r="P62" s="28"/>
      <c r="Q62" s="28"/>
      <c r="R62" s="27"/>
      <c r="S62" s="27"/>
      <c r="T62" s="27"/>
      <c r="U62" s="27"/>
      <c r="V62" s="45" t="str">
        <f t="shared" si="7"/>
        <v/>
      </c>
      <c r="W62" s="45" t="str">
        <f t="shared" si="8"/>
        <v/>
      </c>
      <c r="X62" s="27"/>
      <c r="Y62" s="45" t="str">
        <f t="shared" si="9"/>
        <v/>
      </c>
      <c r="Z62" s="45" t="str">
        <f t="shared" si="10"/>
        <v/>
      </c>
      <c r="AA62" s="27"/>
      <c r="AB62" s="13" t="str">
        <f t="shared" ca="1" si="0"/>
        <v/>
      </c>
      <c r="AC62" s="13" t="str">
        <f ca="1">IF(A62="","",IF(OR(S62='02_マスタ'!$E$10,S62='02_マスタ'!$E$12),"",IF(R62="High","High",IF(AND(Q62&lt;&gt;"",Q62&lt;TODAY()),INDEX(_翻訳マスタ!$B$117:$D$247,MATCH("ALERT_OVERDUE",_翻訳マスタ!$A$117:$A$247,0),MATCH(言語切替!$B$3,_翻訳マスタ!$B$1:$D$1,0)),IF(AND(Q62&lt;&gt;"",Q62-TODAY()&lt;=7),INDEX(_翻訳マスタ!$B$117:$D$247,MATCH("ALERT_APPROACHING",_翻訳マスタ!$A$117:$A$247,0),MATCH(言語切替!$B$3,_翻訳マスタ!$B$1:$D$1,0)),IF(OR(S62='02_マスタ'!$E$7,S62='02_マスタ'!$E$8),INDEX(_翻訳マスタ!$B$117:$D$247,MATCH("ALERT_CHECK",_翻訳マスタ!$A$117:$A$247,0),MATCH(言語切替!$B$3,_翻訳マスタ!$B$1:$D$1,0)),""))))))</f>
        <v/>
      </c>
      <c r="AD62" s="40"/>
    </row>
    <row r="63" spans="1:30" s="22" customFormat="1" x14ac:dyDescent="0.25">
      <c r="A63" s="29"/>
      <c r="B63" s="30"/>
      <c r="C63" s="30"/>
      <c r="D63" s="30"/>
      <c r="E63" s="30"/>
      <c r="F63" s="46" t="str">
        <f t="shared" si="1"/>
        <v/>
      </c>
      <c r="G63" s="46" t="str">
        <f t="shared" si="2"/>
        <v/>
      </c>
      <c r="H63" s="30"/>
      <c r="I63" s="46" t="str">
        <f t="shared" si="3"/>
        <v/>
      </c>
      <c r="J63" s="46" t="str">
        <f t="shared" si="4"/>
        <v/>
      </c>
      <c r="K63" s="30"/>
      <c r="L63" s="46" t="str">
        <f t="shared" si="5"/>
        <v/>
      </c>
      <c r="M63" s="46" t="str">
        <f t="shared" si="6"/>
        <v/>
      </c>
      <c r="N63" s="30"/>
      <c r="O63" s="30"/>
      <c r="P63" s="31"/>
      <c r="Q63" s="31"/>
      <c r="R63" s="30"/>
      <c r="S63" s="30"/>
      <c r="T63" s="30"/>
      <c r="U63" s="30"/>
      <c r="V63" s="46" t="str">
        <f t="shared" si="7"/>
        <v/>
      </c>
      <c r="W63" s="46" t="str">
        <f t="shared" si="8"/>
        <v/>
      </c>
      <c r="X63" s="30"/>
      <c r="Y63" s="46" t="str">
        <f t="shared" si="9"/>
        <v/>
      </c>
      <c r="Z63" s="46" t="str">
        <f t="shared" si="10"/>
        <v/>
      </c>
      <c r="AA63" s="30"/>
      <c r="AB63" s="16" t="str">
        <f t="shared" ca="1" si="0"/>
        <v/>
      </c>
      <c r="AC63" s="16" t="str">
        <f ca="1">IF(A63="","",IF(OR(S63='02_マスタ'!$E$10,S63='02_マスタ'!$E$12),"",IF(R63="High","High",IF(AND(Q63&lt;&gt;"",Q63&lt;TODAY()),INDEX(_翻訳マスタ!$B$117:$D$247,MATCH("ALERT_OVERDUE",_翻訳マスタ!$A$117:$A$247,0),MATCH(言語切替!$B$3,_翻訳マスタ!$B$1:$D$1,0)),IF(AND(Q63&lt;&gt;"",Q63-TODAY()&lt;=7),INDEX(_翻訳マスタ!$B$117:$D$247,MATCH("ALERT_APPROACHING",_翻訳マスタ!$A$117:$A$247,0),MATCH(言語切替!$B$3,_翻訳マスタ!$B$1:$D$1,0)),IF(OR(S63='02_マスタ'!$E$7,S63='02_マスタ'!$E$8),INDEX(_翻訳マスタ!$B$117:$D$247,MATCH("ALERT_CHECK",_翻訳マスタ!$A$117:$A$247,0),MATCH(言語切替!$B$3,_翻訳マスタ!$B$1:$D$1,0)),""))))))</f>
        <v/>
      </c>
      <c r="AD63" s="41"/>
    </row>
    <row r="64" spans="1:30" s="22" customFormat="1" x14ac:dyDescent="0.25">
      <c r="A64" s="26"/>
      <c r="B64" s="27"/>
      <c r="C64" s="27"/>
      <c r="D64" s="27"/>
      <c r="E64" s="27"/>
      <c r="F64" s="45" t="str">
        <f t="shared" si="1"/>
        <v/>
      </c>
      <c r="G64" s="45" t="str">
        <f t="shared" si="2"/>
        <v/>
      </c>
      <c r="H64" s="27"/>
      <c r="I64" s="45" t="str">
        <f t="shared" si="3"/>
        <v/>
      </c>
      <c r="J64" s="45" t="str">
        <f t="shared" si="4"/>
        <v/>
      </c>
      <c r="K64" s="27"/>
      <c r="L64" s="45" t="str">
        <f t="shared" si="5"/>
        <v/>
      </c>
      <c r="M64" s="45" t="str">
        <f t="shared" si="6"/>
        <v/>
      </c>
      <c r="N64" s="27"/>
      <c r="O64" s="27"/>
      <c r="P64" s="28"/>
      <c r="Q64" s="28"/>
      <c r="R64" s="27"/>
      <c r="S64" s="27"/>
      <c r="T64" s="27"/>
      <c r="U64" s="27"/>
      <c r="V64" s="45" t="str">
        <f t="shared" si="7"/>
        <v/>
      </c>
      <c r="W64" s="45" t="str">
        <f t="shared" si="8"/>
        <v/>
      </c>
      <c r="X64" s="27"/>
      <c r="Y64" s="45" t="str">
        <f t="shared" si="9"/>
        <v/>
      </c>
      <c r="Z64" s="45" t="str">
        <f t="shared" si="10"/>
        <v/>
      </c>
      <c r="AA64" s="27"/>
      <c r="AB64" s="13" t="str">
        <f t="shared" ca="1" si="0"/>
        <v/>
      </c>
      <c r="AC64" s="13" t="str">
        <f ca="1">IF(A64="","",IF(OR(S64='02_マスタ'!$E$10,S64='02_マスタ'!$E$12),"",IF(R64="High","High",IF(AND(Q64&lt;&gt;"",Q64&lt;TODAY()),INDEX(_翻訳マスタ!$B$117:$D$247,MATCH("ALERT_OVERDUE",_翻訳マスタ!$A$117:$A$247,0),MATCH(言語切替!$B$3,_翻訳マスタ!$B$1:$D$1,0)),IF(AND(Q64&lt;&gt;"",Q64-TODAY()&lt;=7),INDEX(_翻訳マスタ!$B$117:$D$247,MATCH("ALERT_APPROACHING",_翻訳マスタ!$A$117:$A$247,0),MATCH(言語切替!$B$3,_翻訳マスタ!$B$1:$D$1,0)),IF(OR(S64='02_マスタ'!$E$7,S64='02_マスタ'!$E$8),INDEX(_翻訳マスタ!$B$117:$D$247,MATCH("ALERT_CHECK",_翻訳マスタ!$A$117:$A$247,0),MATCH(言語切替!$B$3,_翻訳マスタ!$B$1:$D$1,0)),""))))))</f>
        <v/>
      </c>
      <c r="AD64" s="40"/>
    </row>
    <row r="65" spans="1:30" s="22" customFormat="1" x14ac:dyDescent="0.25">
      <c r="A65" s="29"/>
      <c r="B65" s="30"/>
      <c r="C65" s="30"/>
      <c r="D65" s="30"/>
      <c r="E65" s="30"/>
      <c r="F65" s="46" t="str">
        <f t="shared" si="1"/>
        <v/>
      </c>
      <c r="G65" s="46" t="str">
        <f t="shared" si="2"/>
        <v/>
      </c>
      <c r="H65" s="30"/>
      <c r="I65" s="46" t="str">
        <f t="shared" si="3"/>
        <v/>
      </c>
      <c r="J65" s="46" t="str">
        <f t="shared" si="4"/>
        <v/>
      </c>
      <c r="K65" s="30"/>
      <c r="L65" s="46" t="str">
        <f t="shared" si="5"/>
        <v/>
      </c>
      <c r="M65" s="46" t="str">
        <f t="shared" si="6"/>
        <v/>
      </c>
      <c r="N65" s="30"/>
      <c r="O65" s="30"/>
      <c r="P65" s="31"/>
      <c r="Q65" s="31"/>
      <c r="R65" s="30"/>
      <c r="S65" s="30"/>
      <c r="T65" s="30"/>
      <c r="U65" s="30"/>
      <c r="V65" s="46" t="str">
        <f t="shared" si="7"/>
        <v/>
      </c>
      <c r="W65" s="46" t="str">
        <f t="shared" si="8"/>
        <v/>
      </c>
      <c r="X65" s="30"/>
      <c r="Y65" s="46" t="str">
        <f t="shared" si="9"/>
        <v/>
      </c>
      <c r="Z65" s="46" t="str">
        <f t="shared" si="10"/>
        <v/>
      </c>
      <c r="AA65" s="30"/>
      <c r="AB65" s="16" t="str">
        <f t="shared" ca="1" si="0"/>
        <v/>
      </c>
      <c r="AC65" s="16" t="str">
        <f ca="1">IF(A65="","",IF(OR(S65='02_マスタ'!$E$10,S65='02_マスタ'!$E$12),"",IF(R65="High","High",IF(AND(Q65&lt;&gt;"",Q65&lt;TODAY()),INDEX(_翻訳マスタ!$B$117:$D$247,MATCH("ALERT_OVERDUE",_翻訳マスタ!$A$117:$A$247,0),MATCH(言語切替!$B$3,_翻訳マスタ!$B$1:$D$1,0)),IF(AND(Q65&lt;&gt;"",Q65-TODAY()&lt;=7),INDEX(_翻訳マスタ!$B$117:$D$247,MATCH("ALERT_APPROACHING",_翻訳マスタ!$A$117:$A$247,0),MATCH(言語切替!$B$3,_翻訳マスタ!$B$1:$D$1,0)),IF(OR(S65='02_マスタ'!$E$7,S65='02_マスタ'!$E$8),INDEX(_翻訳マスタ!$B$117:$D$247,MATCH("ALERT_CHECK",_翻訳マスタ!$A$117:$A$247,0),MATCH(言語切替!$B$3,_翻訳マスタ!$B$1:$D$1,0)),""))))))</f>
        <v/>
      </c>
      <c r="AD65" s="41"/>
    </row>
    <row r="66" spans="1:30" s="22" customFormat="1" x14ac:dyDescent="0.25">
      <c r="A66" s="26"/>
      <c r="B66" s="27"/>
      <c r="C66" s="27"/>
      <c r="D66" s="27"/>
      <c r="E66" s="27"/>
      <c r="F66" s="45" t="str">
        <f t="shared" si="1"/>
        <v/>
      </c>
      <c r="G66" s="45" t="str">
        <f t="shared" si="2"/>
        <v/>
      </c>
      <c r="H66" s="27"/>
      <c r="I66" s="45" t="str">
        <f t="shared" si="3"/>
        <v/>
      </c>
      <c r="J66" s="45" t="str">
        <f t="shared" si="4"/>
        <v/>
      </c>
      <c r="K66" s="27"/>
      <c r="L66" s="45" t="str">
        <f t="shared" si="5"/>
        <v/>
      </c>
      <c r="M66" s="45" t="str">
        <f t="shared" si="6"/>
        <v/>
      </c>
      <c r="N66" s="27"/>
      <c r="O66" s="27"/>
      <c r="P66" s="28"/>
      <c r="Q66" s="28"/>
      <c r="R66" s="27"/>
      <c r="S66" s="27"/>
      <c r="T66" s="27"/>
      <c r="U66" s="27"/>
      <c r="V66" s="45" t="str">
        <f t="shared" si="7"/>
        <v/>
      </c>
      <c r="W66" s="45" t="str">
        <f t="shared" si="8"/>
        <v/>
      </c>
      <c r="X66" s="27"/>
      <c r="Y66" s="45" t="str">
        <f t="shared" si="9"/>
        <v/>
      </c>
      <c r="Z66" s="45" t="str">
        <f t="shared" si="10"/>
        <v/>
      </c>
      <c r="AA66" s="27"/>
      <c r="AB66" s="13" t="str">
        <f t="shared" ca="1" si="0"/>
        <v/>
      </c>
      <c r="AC66" s="13" t="str">
        <f ca="1">IF(A66="","",IF(OR(S66='02_マスタ'!$E$10,S66='02_マスタ'!$E$12),"",IF(R66="High","High",IF(AND(Q66&lt;&gt;"",Q66&lt;TODAY()),INDEX(_翻訳マスタ!$B$117:$D$247,MATCH("ALERT_OVERDUE",_翻訳マスタ!$A$117:$A$247,0),MATCH(言語切替!$B$3,_翻訳マスタ!$B$1:$D$1,0)),IF(AND(Q66&lt;&gt;"",Q66-TODAY()&lt;=7),INDEX(_翻訳マスタ!$B$117:$D$247,MATCH("ALERT_APPROACHING",_翻訳マスタ!$A$117:$A$247,0),MATCH(言語切替!$B$3,_翻訳マスタ!$B$1:$D$1,0)),IF(OR(S66='02_マスタ'!$E$7,S66='02_マスタ'!$E$8),INDEX(_翻訳マスタ!$B$117:$D$247,MATCH("ALERT_CHECK",_翻訳マスタ!$A$117:$A$247,0),MATCH(言語切替!$B$3,_翻訳マスタ!$B$1:$D$1,0)),""))))))</f>
        <v/>
      </c>
      <c r="AD66" s="40"/>
    </row>
    <row r="67" spans="1:30" s="22" customFormat="1" x14ac:dyDescent="0.25">
      <c r="A67" s="29"/>
      <c r="B67" s="30"/>
      <c r="C67" s="30"/>
      <c r="D67" s="30"/>
      <c r="E67" s="30"/>
      <c r="F67" s="46" t="str">
        <f t="shared" si="1"/>
        <v/>
      </c>
      <c r="G67" s="46" t="str">
        <f t="shared" si="2"/>
        <v/>
      </c>
      <c r="H67" s="30"/>
      <c r="I67" s="46" t="str">
        <f t="shared" si="3"/>
        <v/>
      </c>
      <c r="J67" s="46" t="str">
        <f t="shared" si="4"/>
        <v/>
      </c>
      <c r="K67" s="30"/>
      <c r="L67" s="46" t="str">
        <f t="shared" si="5"/>
        <v/>
      </c>
      <c r="M67" s="46" t="str">
        <f t="shared" si="6"/>
        <v/>
      </c>
      <c r="N67" s="30"/>
      <c r="O67" s="30"/>
      <c r="P67" s="31"/>
      <c r="Q67" s="31"/>
      <c r="R67" s="30"/>
      <c r="S67" s="30"/>
      <c r="T67" s="30"/>
      <c r="U67" s="30"/>
      <c r="V67" s="46" t="str">
        <f t="shared" si="7"/>
        <v/>
      </c>
      <c r="W67" s="46" t="str">
        <f t="shared" si="8"/>
        <v/>
      </c>
      <c r="X67" s="30"/>
      <c r="Y67" s="46" t="str">
        <f t="shared" si="9"/>
        <v/>
      </c>
      <c r="Z67" s="46" t="str">
        <f t="shared" si="10"/>
        <v/>
      </c>
      <c r="AA67" s="30"/>
      <c r="AB67" s="16" t="str">
        <f t="shared" ca="1" si="0"/>
        <v/>
      </c>
      <c r="AC67" s="16" t="str">
        <f ca="1">IF(A67="","",IF(OR(S67='02_マスタ'!$E$10,S67='02_マスタ'!$E$12),"",IF(R67="High","High",IF(AND(Q67&lt;&gt;"",Q67&lt;TODAY()),INDEX(_翻訳マスタ!$B$117:$D$247,MATCH("ALERT_OVERDUE",_翻訳マスタ!$A$117:$A$247,0),MATCH(言語切替!$B$3,_翻訳マスタ!$B$1:$D$1,0)),IF(AND(Q67&lt;&gt;"",Q67-TODAY()&lt;=7),INDEX(_翻訳マスタ!$B$117:$D$247,MATCH("ALERT_APPROACHING",_翻訳マスタ!$A$117:$A$247,0),MATCH(言語切替!$B$3,_翻訳マスタ!$B$1:$D$1,0)),IF(OR(S67='02_マスタ'!$E$7,S67='02_マスタ'!$E$8),INDEX(_翻訳マスタ!$B$117:$D$247,MATCH("ALERT_CHECK",_翻訳マスタ!$A$117:$A$247,0),MATCH(言語切替!$B$3,_翻訳マスタ!$B$1:$D$1,0)),""))))))</f>
        <v/>
      </c>
      <c r="AD67" s="41"/>
    </row>
    <row r="68" spans="1:30" s="22" customFormat="1" x14ac:dyDescent="0.25">
      <c r="A68" s="26"/>
      <c r="B68" s="27"/>
      <c r="C68" s="27"/>
      <c r="D68" s="27"/>
      <c r="E68" s="27"/>
      <c r="F68" s="45" t="str">
        <f t="shared" si="1"/>
        <v/>
      </c>
      <c r="G68" s="45" t="str">
        <f t="shared" si="2"/>
        <v/>
      </c>
      <c r="H68" s="27"/>
      <c r="I68" s="45" t="str">
        <f t="shared" si="3"/>
        <v/>
      </c>
      <c r="J68" s="45" t="str">
        <f t="shared" si="4"/>
        <v/>
      </c>
      <c r="K68" s="27"/>
      <c r="L68" s="45" t="str">
        <f t="shared" si="5"/>
        <v/>
      </c>
      <c r="M68" s="45" t="str">
        <f t="shared" si="6"/>
        <v/>
      </c>
      <c r="N68" s="27"/>
      <c r="O68" s="27"/>
      <c r="P68" s="28"/>
      <c r="Q68" s="28"/>
      <c r="R68" s="27"/>
      <c r="S68" s="27"/>
      <c r="T68" s="27"/>
      <c r="U68" s="27"/>
      <c r="V68" s="45" t="str">
        <f t="shared" si="7"/>
        <v/>
      </c>
      <c r="W68" s="45" t="str">
        <f t="shared" si="8"/>
        <v/>
      </c>
      <c r="X68" s="27"/>
      <c r="Y68" s="45" t="str">
        <f t="shared" si="9"/>
        <v/>
      </c>
      <c r="Z68" s="45" t="str">
        <f t="shared" si="10"/>
        <v/>
      </c>
      <c r="AA68" s="27"/>
      <c r="AB68" s="13" t="str">
        <f t="shared" ca="1" si="0"/>
        <v/>
      </c>
      <c r="AC68" s="13" t="str">
        <f ca="1">IF(A68="","",IF(OR(S68='02_マスタ'!$E$10,S68='02_マスタ'!$E$12),"",IF(R68="High","High",IF(AND(Q68&lt;&gt;"",Q68&lt;TODAY()),INDEX(_翻訳マスタ!$B$117:$D$247,MATCH("ALERT_OVERDUE",_翻訳マスタ!$A$117:$A$247,0),MATCH(言語切替!$B$3,_翻訳マスタ!$B$1:$D$1,0)),IF(AND(Q68&lt;&gt;"",Q68-TODAY()&lt;=7),INDEX(_翻訳マスタ!$B$117:$D$247,MATCH("ALERT_APPROACHING",_翻訳マスタ!$A$117:$A$247,0),MATCH(言語切替!$B$3,_翻訳マスタ!$B$1:$D$1,0)),IF(OR(S68='02_マスタ'!$E$7,S68='02_マスタ'!$E$8),INDEX(_翻訳マスタ!$B$117:$D$247,MATCH("ALERT_CHECK",_翻訳マスタ!$A$117:$A$247,0),MATCH(言語切替!$B$3,_翻訳マスタ!$B$1:$D$1,0)),""))))))</f>
        <v/>
      </c>
      <c r="AD68" s="40"/>
    </row>
    <row r="69" spans="1:30" s="22" customFormat="1" x14ac:dyDescent="0.25">
      <c r="A69" s="29"/>
      <c r="B69" s="30"/>
      <c r="C69" s="30"/>
      <c r="D69" s="30"/>
      <c r="E69" s="30"/>
      <c r="F69" s="46" t="str">
        <f t="shared" si="1"/>
        <v/>
      </c>
      <c r="G69" s="46" t="str">
        <f t="shared" si="2"/>
        <v/>
      </c>
      <c r="H69" s="30"/>
      <c r="I69" s="46" t="str">
        <f t="shared" si="3"/>
        <v/>
      </c>
      <c r="J69" s="46" t="str">
        <f t="shared" si="4"/>
        <v/>
      </c>
      <c r="K69" s="30"/>
      <c r="L69" s="46" t="str">
        <f t="shared" si="5"/>
        <v/>
      </c>
      <c r="M69" s="46" t="str">
        <f t="shared" si="6"/>
        <v/>
      </c>
      <c r="N69" s="30"/>
      <c r="O69" s="30"/>
      <c r="P69" s="31"/>
      <c r="Q69" s="31"/>
      <c r="R69" s="30"/>
      <c r="S69" s="30"/>
      <c r="T69" s="30"/>
      <c r="U69" s="30"/>
      <c r="V69" s="46" t="str">
        <f t="shared" si="7"/>
        <v/>
      </c>
      <c r="W69" s="46" t="str">
        <f t="shared" si="8"/>
        <v/>
      </c>
      <c r="X69" s="30"/>
      <c r="Y69" s="46" t="str">
        <f t="shared" ref="Y69:Y132" si="11">IF(X69="","",_xlfn.TRANSLATE(X69,"vi","ja"))</f>
        <v/>
      </c>
      <c r="Z69" s="46" t="str">
        <f t="shared" ref="Z69:Z132" si="12">IF(X69="","",_xlfn.TRANSLATE(X69,"vi","zh-Hans"))</f>
        <v/>
      </c>
      <c r="AA69" s="30"/>
      <c r="AB69" s="16" t="str">
        <f t="shared" ref="AB69:AB132" ca="1" si="13">IF(Q69="","",Q69-TODAY())</f>
        <v/>
      </c>
      <c r="AC69" s="16" t="str">
        <f ca="1">IF(A69="","",IF(OR(S69='02_マスタ'!$E$10,S69='02_マスタ'!$E$12),"",IF(R69="High","High",IF(AND(Q69&lt;&gt;"",Q69&lt;TODAY()),INDEX(_翻訳マスタ!$B$117:$D$247,MATCH("ALERT_OVERDUE",_翻訳マスタ!$A$117:$A$247,0),MATCH(言語切替!$B$3,_翻訳マスタ!$B$1:$D$1,0)),IF(AND(Q69&lt;&gt;"",Q69-TODAY()&lt;=7),INDEX(_翻訳マスタ!$B$117:$D$247,MATCH("ALERT_APPROACHING",_翻訳マスタ!$A$117:$A$247,0),MATCH(言語切替!$B$3,_翻訳マスタ!$B$1:$D$1,0)),IF(OR(S69='02_マスタ'!$E$7,S69='02_マスタ'!$E$8),INDEX(_翻訳マスタ!$B$117:$D$247,MATCH("ALERT_CHECK",_翻訳マスタ!$A$117:$A$247,0),MATCH(言語切替!$B$3,_翻訳マスタ!$B$1:$D$1,0)),""))))))</f>
        <v/>
      </c>
      <c r="AD69" s="41"/>
    </row>
    <row r="70" spans="1:30" s="22" customFormat="1" x14ac:dyDescent="0.25">
      <c r="A70" s="26"/>
      <c r="B70" s="27"/>
      <c r="C70" s="27"/>
      <c r="D70" s="27"/>
      <c r="E70" s="27"/>
      <c r="F70" s="45" t="str">
        <f t="shared" si="1"/>
        <v/>
      </c>
      <c r="G70" s="45" t="str">
        <f t="shared" si="2"/>
        <v/>
      </c>
      <c r="H70" s="27"/>
      <c r="I70" s="45" t="str">
        <f t="shared" si="3"/>
        <v/>
      </c>
      <c r="J70" s="45" t="str">
        <f t="shared" si="4"/>
        <v/>
      </c>
      <c r="K70" s="27"/>
      <c r="L70" s="45" t="str">
        <f t="shared" si="5"/>
        <v/>
      </c>
      <c r="M70" s="45" t="str">
        <f t="shared" si="6"/>
        <v/>
      </c>
      <c r="N70" s="27"/>
      <c r="O70" s="27"/>
      <c r="P70" s="28"/>
      <c r="Q70" s="28"/>
      <c r="R70" s="27"/>
      <c r="S70" s="27"/>
      <c r="T70" s="27"/>
      <c r="U70" s="27"/>
      <c r="V70" s="45" t="str">
        <f t="shared" si="7"/>
        <v/>
      </c>
      <c r="W70" s="45" t="str">
        <f t="shared" si="8"/>
        <v/>
      </c>
      <c r="X70" s="27"/>
      <c r="Y70" s="45" t="str">
        <f t="shared" si="11"/>
        <v/>
      </c>
      <c r="Z70" s="45" t="str">
        <f t="shared" si="12"/>
        <v/>
      </c>
      <c r="AA70" s="27"/>
      <c r="AB70" s="13" t="str">
        <f t="shared" ca="1" si="13"/>
        <v/>
      </c>
      <c r="AC70" s="13" t="str">
        <f ca="1">IF(A70="","",IF(OR(S70='02_マスタ'!$E$10,S70='02_マスタ'!$E$12),"",IF(R70="High","High",IF(AND(Q70&lt;&gt;"",Q70&lt;TODAY()),INDEX(_翻訳マスタ!$B$117:$D$247,MATCH("ALERT_OVERDUE",_翻訳マスタ!$A$117:$A$247,0),MATCH(言語切替!$B$3,_翻訳マスタ!$B$1:$D$1,0)),IF(AND(Q70&lt;&gt;"",Q70-TODAY()&lt;=7),INDEX(_翻訳マスタ!$B$117:$D$247,MATCH("ALERT_APPROACHING",_翻訳マスタ!$A$117:$A$247,0),MATCH(言語切替!$B$3,_翻訳マスタ!$B$1:$D$1,0)),IF(OR(S70='02_マスタ'!$E$7,S70='02_マスタ'!$E$8),INDEX(_翻訳マスタ!$B$117:$D$247,MATCH("ALERT_CHECK",_翻訳マスタ!$A$117:$A$247,0),MATCH(言語切替!$B$3,_翻訳マスタ!$B$1:$D$1,0)),""))))))</f>
        <v/>
      </c>
      <c r="AD70" s="40"/>
    </row>
    <row r="71" spans="1:30" s="22" customFormat="1" x14ac:dyDescent="0.25">
      <c r="A71" s="29"/>
      <c r="B71" s="30"/>
      <c r="C71" s="30"/>
      <c r="D71" s="30"/>
      <c r="E71" s="30"/>
      <c r="F71" s="46" t="str">
        <f t="shared" si="1"/>
        <v/>
      </c>
      <c r="G71" s="46" t="str">
        <f t="shared" si="2"/>
        <v/>
      </c>
      <c r="H71" s="30"/>
      <c r="I71" s="46" t="str">
        <f t="shared" si="3"/>
        <v/>
      </c>
      <c r="J71" s="46" t="str">
        <f t="shared" si="4"/>
        <v/>
      </c>
      <c r="K71" s="30"/>
      <c r="L71" s="46" t="str">
        <f t="shared" si="5"/>
        <v/>
      </c>
      <c r="M71" s="46" t="str">
        <f t="shared" si="6"/>
        <v/>
      </c>
      <c r="N71" s="30"/>
      <c r="O71" s="30"/>
      <c r="P71" s="31"/>
      <c r="Q71" s="31"/>
      <c r="R71" s="30"/>
      <c r="S71" s="30"/>
      <c r="T71" s="30"/>
      <c r="U71" s="30"/>
      <c r="V71" s="46" t="str">
        <f t="shared" si="7"/>
        <v/>
      </c>
      <c r="W71" s="46" t="str">
        <f t="shared" si="8"/>
        <v/>
      </c>
      <c r="X71" s="30"/>
      <c r="Y71" s="46" t="str">
        <f t="shared" si="11"/>
        <v/>
      </c>
      <c r="Z71" s="46" t="str">
        <f t="shared" si="12"/>
        <v/>
      </c>
      <c r="AA71" s="30"/>
      <c r="AB71" s="16" t="str">
        <f t="shared" ca="1" si="13"/>
        <v/>
      </c>
      <c r="AC71" s="16" t="str">
        <f ca="1">IF(A71="","",IF(OR(S71='02_マスタ'!$E$10,S71='02_マスタ'!$E$12),"",IF(R71="High","High",IF(AND(Q71&lt;&gt;"",Q71&lt;TODAY()),INDEX(_翻訳マスタ!$B$117:$D$247,MATCH("ALERT_OVERDUE",_翻訳マスタ!$A$117:$A$247,0),MATCH(言語切替!$B$3,_翻訳マスタ!$B$1:$D$1,0)),IF(AND(Q71&lt;&gt;"",Q71-TODAY()&lt;=7),INDEX(_翻訳マスタ!$B$117:$D$247,MATCH("ALERT_APPROACHING",_翻訳マスタ!$A$117:$A$247,0),MATCH(言語切替!$B$3,_翻訳マスタ!$B$1:$D$1,0)),IF(OR(S71='02_マスタ'!$E$7,S71='02_マスタ'!$E$8),INDEX(_翻訳マスタ!$B$117:$D$247,MATCH("ALERT_CHECK",_翻訳マスタ!$A$117:$A$247,0),MATCH(言語切替!$B$3,_翻訳マスタ!$B$1:$D$1,0)),""))))))</f>
        <v/>
      </c>
      <c r="AD71" s="41"/>
    </row>
    <row r="72" spans="1:30" s="22" customFormat="1" x14ac:dyDescent="0.25">
      <c r="A72" s="26"/>
      <c r="B72" s="27"/>
      <c r="C72" s="27"/>
      <c r="D72" s="27"/>
      <c r="E72" s="27"/>
      <c r="F72" s="45" t="str">
        <f t="shared" si="1"/>
        <v/>
      </c>
      <c r="G72" s="45" t="str">
        <f t="shared" si="2"/>
        <v/>
      </c>
      <c r="H72" s="27"/>
      <c r="I72" s="45" t="str">
        <f t="shared" si="3"/>
        <v/>
      </c>
      <c r="J72" s="45" t="str">
        <f t="shared" si="4"/>
        <v/>
      </c>
      <c r="K72" s="27"/>
      <c r="L72" s="45" t="str">
        <f t="shared" si="5"/>
        <v/>
      </c>
      <c r="M72" s="45" t="str">
        <f t="shared" si="6"/>
        <v/>
      </c>
      <c r="N72" s="27"/>
      <c r="O72" s="27"/>
      <c r="P72" s="28"/>
      <c r="Q72" s="28"/>
      <c r="R72" s="27"/>
      <c r="S72" s="27"/>
      <c r="T72" s="27"/>
      <c r="U72" s="27"/>
      <c r="V72" s="45" t="str">
        <f t="shared" si="7"/>
        <v/>
      </c>
      <c r="W72" s="45" t="str">
        <f t="shared" si="8"/>
        <v/>
      </c>
      <c r="X72" s="27"/>
      <c r="Y72" s="45" t="str">
        <f t="shared" si="11"/>
        <v/>
      </c>
      <c r="Z72" s="45" t="str">
        <f t="shared" si="12"/>
        <v/>
      </c>
      <c r="AA72" s="27"/>
      <c r="AB72" s="13" t="str">
        <f t="shared" ca="1" si="13"/>
        <v/>
      </c>
      <c r="AC72" s="13" t="str">
        <f ca="1">IF(A72="","",IF(OR(S72='02_マスタ'!$E$10,S72='02_マスタ'!$E$12),"",IF(R72="High","High",IF(AND(Q72&lt;&gt;"",Q72&lt;TODAY()),INDEX(_翻訳マスタ!$B$117:$D$247,MATCH("ALERT_OVERDUE",_翻訳マスタ!$A$117:$A$247,0),MATCH(言語切替!$B$3,_翻訳マスタ!$B$1:$D$1,0)),IF(AND(Q72&lt;&gt;"",Q72-TODAY()&lt;=7),INDEX(_翻訳マスタ!$B$117:$D$247,MATCH("ALERT_APPROACHING",_翻訳マスタ!$A$117:$A$247,0),MATCH(言語切替!$B$3,_翻訳マスタ!$B$1:$D$1,0)),IF(OR(S72='02_マスタ'!$E$7,S72='02_マスタ'!$E$8),INDEX(_翻訳マスタ!$B$117:$D$247,MATCH("ALERT_CHECK",_翻訳マスタ!$A$117:$A$247,0),MATCH(言語切替!$B$3,_翻訳マスタ!$B$1:$D$1,0)),""))))))</f>
        <v/>
      </c>
      <c r="AD72" s="40"/>
    </row>
    <row r="73" spans="1:30" s="22" customFormat="1" x14ac:dyDescent="0.25">
      <c r="A73" s="29"/>
      <c r="B73" s="30"/>
      <c r="C73" s="30"/>
      <c r="D73" s="30"/>
      <c r="E73" s="30"/>
      <c r="F73" s="46" t="str">
        <f t="shared" ref="F73:F136" si="14">IF(E73="","",_xlfn.TRANSLATE(E73,"vi","ja"))</f>
        <v/>
      </c>
      <c r="G73" s="46" t="str">
        <f t="shared" ref="G73:G136" si="15">IF(E73="","",_xlfn.TRANSLATE(E73,"vi","zh-Hans"))</f>
        <v/>
      </c>
      <c r="H73" s="30"/>
      <c r="I73" s="46" t="str">
        <f t="shared" ref="I73:I136" si="16">IF(H73="","",_xlfn.TRANSLATE(H73,"vi","ja"))</f>
        <v/>
      </c>
      <c r="J73" s="46" t="str">
        <f t="shared" ref="J73:J136" si="17">IF(H73="","",_xlfn.TRANSLATE(H73,"vi","zh-Hans"))</f>
        <v/>
      </c>
      <c r="K73" s="30"/>
      <c r="L73" s="46" t="str">
        <f t="shared" ref="L73:L136" si="18">IF(K73="","",_xlfn.TRANSLATE(K73,"vi","ja"))</f>
        <v/>
      </c>
      <c r="M73" s="46" t="str">
        <f t="shared" ref="M73:M136" si="19">IF(K73="","",_xlfn.TRANSLATE(K73,"vi","zh-Hans"))</f>
        <v/>
      </c>
      <c r="N73" s="30"/>
      <c r="O73" s="30"/>
      <c r="P73" s="31"/>
      <c r="Q73" s="31"/>
      <c r="R73" s="30"/>
      <c r="S73" s="30"/>
      <c r="T73" s="30"/>
      <c r="U73" s="30"/>
      <c r="V73" s="46" t="str">
        <f t="shared" ref="V73:V136" si="20">IF(U73="","",_xlfn.TRANSLATE(U73,"vi","ja"))</f>
        <v/>
      </c>
      <c r="W73" s="46" t="str">
        <f t="shared" ref="W73:W136" si="21">IF(U73="","",_xlfn.TRANSLATE(U73,"vi","zh-Hans"))</f>
        <v/>
      </c>
      <c r="X73" s="30"/>
      <c r="Y73" s="46" t="str">
        <f t="shared" si="11"/>
        <v/>
      </c>
      <c r="Z73" s="46" t="str">
        <f t="shared" si="12"/>
        <v/>
      </c>
      <c r="AA73" s="30"/>
      <c r="AB73" s="16" t="str">
        <f t="shared" ca="1" si="13"/>
        <v/>
      </c>
      <c r="AC73" s="16" t="str">
        <f ca="1">IF(A73="","",IF(OR(S73='02_マスタ'!$E$10,S73='02_マスタ'!$E$12),"",IF(R73="High","High",IF(AND(Q73&lt;&gt;"",Q73&lt;TODAY()),INDEX(_翻訳マスタ!$B$117:$D$247,MATCH("ALERT_OVERDUE",_翻訳マスタ!$A$117:$A$247,0),MATCH(言語切替!$B$3,_翻訳マスタ!$B$1:$D$1,0)),IF(AND(Q73&lt;&gt;"",Q73-TODAY()&lt;=7),INDEX(_翻訳マスタ!$B$117:$D$247,MATCH("ALERT_APPROACHING",_翻訳マスタ!$A$117:$A$247,0),MATCH(言語切替!$B$3,_翻訳マスタ!$B$1:$D$1,0)),IF(OR(S73='02_マスタ'!$E$7,S73='02_マスタ'!$E$8),INDEX(_翻訳マスタ!$B$117:$D$247,MATCH("ALERT_CHECK",_翻訳マスタ!$A$117:$A$247,0),MATCH(言語切替!$B$3,_翻訳マスタ!$B$1:$D$1,0)),""))))))</f>
        <v/>
      </c>
      <c r="AD73" s="41"/>
    </row>
    <row r="74" spans="1:30" s="22" customFormat="1" x14ac:dyDescent="0.25">
      <c r="A74" s="26"/>
      <c r="B74" s="27"/>
      <c r="C74" s="27"/>
      <c r="D74" s="27"/>
      <c r="E74" s="27"/>
      <c r="F74" s="45" t="str">
        <f t="shared" si="14"/>
        <v/>
      </c>
      <c r="G74" s="45" t="str">
        <f t="shared" si="15"/>
        <v/>
      </c>
      <c r="H74" s="27"/>
      <c r="I74" s="45" t="str">
        <f t="shared" si="16"/>
        <v/>
      </c>
      <c r="J74" s="45" t="str">
        <f t="shared" si="17"/>
        <v/>
      </c>
      <c r="K74" s="27"/>
      <c r="L74" s="45" t="str">
        <f t="shared" si="18"/>
        <v/>
      </c>
      <c r="M74" s="45" t="str">
        <f t="shared" si="19"/>
        <v/>
      </c>
      <c r="N74" s="27"/>
      <c r="O74" s="27"/>
      <c r="P74" s="28"/>
      <c r="Q74" s="28"/>
      <c r="R74" s="27"/>
      <c r="S74" s="27"/>
      <c r="T74" s="27"/>
      <c r="U74" s="27"/>
      <c r="V74" s="45" t="str">
        <f t="shared" si="20"/>
        <v/>
      </c>
      <c r="W74" s="45" t="str">
        <f t="shared" si="21"/>
        <v/>
      </c>
      <c r="X74" s="27"/>
      <c r="Y74" s="45" t="str">
        <f t="shared" si="11"/>
        <v/>
      </c>
      <c r="Z74" s="45" t="str">
        <f t="shared" si="12"/>
        <v/>
      </c>
      <c r="AA74" s="27"/>
      <c r="AB74" s="13" t="str">
        <f t="shared" ca="1" si="13"/>
        <v/>
      </c>
      <c r="AC74" s="13" t="str">
        <f ca="1">IF(A74="","",IF(OR(S74='02_マスタ'!$E$10,S74='02_マスタ'!$E$12),"",IF(R74="High","High",IF(AND(Q74&lt;&gt;"",Q74&lt;TODAY()),INDEX(_翻訳マスタ!$B$117:$D$247,MATCH("ALERT_OVERDUE",_翻訳マスタ!$A$117:$A$247,0),MATCH(言語切替!$B$3,_翻訳マスタ!$B$1:$D$1,0)),IF(AND(Q74&lt;&gt;"",Q74-TODAY()&lt;=7),INDEX(_翻訳マスタ!$B$117:$D$247,MATCH("ALERT_APPROACHING",_翻訳マスタ!$A$117:$A$247,0),MATCH(言語切替!$B$3,_翻訳マスタ!$B$1:$D$1,0)),IF(OR(S74='02_マスタ'!$E$7,S74='02_マスタ'!$E$8),INDEX(_翻訳マスタ!$B$117:$D$247,MATCH("ALERT_CHECK",_翻訳マスタ!$A$117:$A$247,0),MATCH(言語切替!$B$3,_翻訳マスタ!$B$1:$D$1,0)),""))))))</f>
        <v/>
      </c>
      <c r="AD74" s="40"/>
    </row>
    <row r="75" spans="1:30" s="22" customFormat="1" x14ac:dyDescent="0.25">
      <c r="A75" s="29"/>
      <c r="B75" s="30"/>
      <c r="C75" s="30"/>
      <c r="D75" s="30"/>
      <c r="E75" s="30"/>
      <c r="F75" s="46" t="str">
        <f t="shared" si="14"/>
        <v/>
      </c>
      <c r="G75" s="46" t="str">
        <f t="shared" si="15"/>
        <v/>
      </c>
      <c r="H75" s="30"/>
      <c r="I75" s="46" t="str">
        <f t="shared" si="16"/>
        <v/>
      </c>
      <c r="J75" s="46" t="str">
        <f t="shared" si="17"/>
        <v/>
      </c>
      <c r="K75" s="30"/>
      <c r="L75" s="46" t="str">
        <f t="shared" si="18"/>
        <v/>
      </c>
      <c r="M75" s="46" t="str">
        <f t="shared" si="19"/>
        <v/>
      </c>
      <c r="N75" s="30"/>
      <c r="O75" s="30"/>
      <c r="P75" s="31"/>
      <c r="Q75" s="31"/>
      <c r="R75" s="30"/>
      <c r="S75" s="30"/>
      <c r="T75" s="30"/>
      <c r="U75" s="30"/>
      <c r="V75" s="46" t="str">
        <f t="shared" si="20"/>
        <v/>
      </c>
      <c r="W75" s="46" t="str">
        <f t="shared" si="21"/>
        <v/>
      </c>
      <c r="X75" s="30"/>
      <c r="Y75" s="46" t="str">
        <f t="shared" si="11"/>
        <v/>
      </c>
      <c r="Z75" s="46" t="str">
        <f t="shared" si="12"/>
        <v/>
      </c>
      <c r="AA75" s="30"/>
      <c r="AB75" s="16" t="str">
        <f t="shared" ca="1" si="13"/>
        <v/>
      </c>
      <c r="AC75" s="16" t="str">
        <f ca="1">IF(A75="","",IF(OR(S75='02_マスタ'!$E$10,S75='02_マスタ'!$E$12),"",IF(R75="High","High",IF(AND(Q75&lt;&gt;"",Q75&lt;TODAY()),INDEX(_翻訳マスタ!$B$117:$D$247,MATCH("ALERT_OVERDUE",_翻訳マスタ!$A$117:$A$247,0),MATCH(言語切替!$B$3,_翻訳マスタ!$B$1:$D$1,0)),IF(AND(Q75&lt;&gt;"",Q75-TODAY()&lt;=7),INDEX(_翻訳マスタ!$B$117:$D$247,MATCH("ALERT_APPROACHING",_翻訳マスタ!$A$117:$A$247,0),MATCH(言語切替!$B$3,_翻訳マスタ!$B$1:$D$1,0)),IF(OR(S75='02_マスタ'!$E$7,S75='02_マスタ'!$E$8),INDEX(_翻訳マスタ!$B$117:$D$247,MATCH("ALERT_CHECK",_翻訳マスタ!$A$117:$A$247,0),MATCH(言語切替!$B$3,_翻訳マスタ!$B$1:$D$1,0)),""))))))</f>
        <v/>
      </c>
      <c r="AD75" s="41"/>
    </row>
    <row r="76" spans="1:30" s="22" customFormat="1" x14ac:dyDescent="0.25">
      <c r="A76" s="26"/>
      <c r="B76" s="27"/>
      <c r="C76" s="27"/>
      <c r="D76" s="27"/>
      <c r="E76" s="27"/>
      <c r="F76" s="45" t="str">
        <f t="shared" si="14"/>
        <v/>
      </c>
      <c r="G76" s="45" t="str">
        <f t="shared" si="15"/>
        <v/>
      </c>
      <c r="H76" s="27"/>
      <c r="I76" s="45" t="str">
        <f t="shared" si="16"/>
        <v/>
      </c>
      <c r="J76" s="45" t="str">
        <f t="shared" si="17"/>
        <v/>
      </c>
      <c r="K76" s="27"/>
      <c r="L76" s="45" t="str">
        <f t="shared" si="18"/>
        <v/>
      </c>
      <c r="M76" s="45" t="str">
        <f t="shared" si="19"/>
        <v/>
      </c>
      <c r="N76" s="27"/>
      <c r="O76" s="27"/>
      <c r="P76" s="28"/>
      <c r="Q76" s="28"/>
      <c r="R76" s="27"/>
      <c r="S76" s="27"/>
      <c r="T76" s="27"/>
      <c r="U76" s="27"/>
      <c r="V76" s="45" t="str">
        <f t="shared" si="20"/>
        <v/>
      </c>
      <c r="W76" s="45" t="str">
        <f t="shared" si="21"/>
        <v/>
      </c>
      <c r="X76" s="27"/>
      <c r="Y76" s="45" t="str">
        <f t="shared" si="11"/>
        <v/>
      </c>
      <c r="Z76" s="45" t="str">
        <f t="shared" si="12"/>
        <v/>
      </c>
      <c r="AA76" s="27"/>
      <c r="AB76" s="13" t="str">
        <f t="shared" ca="1" si="13"/>
        <v/>
      </c>
      <c r="AC76" s="13" t="str">
        <f ca="1">IF(A76="","",IF(OR(S76='02_マスタ'!$E$10,S76='02_マスタ'!$E$12),"",IF(R76="High","High",IF(AND(Q76&lt;&gt;"",Q76&lt;TODAY()),INDEX(_翻訳マスタ!$B$117:$D$247,MATCH("ALERT_OVERDUE",_翻訳マスタ!$A$117:$A$247,0),MATCH(言語切替!$B$3,_翻訳マスタ!$B$1:$D$1,0)),IF(AND(Q76&lt;&gt;"",Q76-TODAY()&lt;=7),INDEX(_翻訳マスタ!$B$117:$D$247,MATCH("ALERT_APPROACHING",_翻訳マスタ!$A$117:$A$247,0),MATCH(言語切替!$B$3,_翻訳マスタ!$B$1:$D$1,0)),IF(OR(S76='02_マスタ'!$E$7,S76='02_マスタ'!$E$8),INDEX(_翻訳マスタ!$B$117:$D$247,MATCH("ALERT_CHECK",_翻訳マスタ!$A$117:$A$247,0),MATCH(言語切替!$B$3,_翻訳マスタ!$B$1:$D$1,0)),""))))))</f>
        <v/>
      </c>
      <c r="AD76" s="40"/>
    </row>
    <row r="77" spans="1:30" s="22" customFormat="1" x14ac:dyDescent="0.25">
      <c r="A77" s="29"/>
      <c r="B77" s="30"/>
      <c r="C77" s="30"/>
      <c r="D77" s="30"/>
      <c r="E77" s="30"/>
      <c r="F77" s="46" t="str">
        <f t="shared" si="14"/>
        <v/>
      </c>
      <c r="G77" s="46" t="str">
        <f t="shared" si="15"/>
        <v/>
      </c>
      <c r="H77" s="30"/>
      <c r="I77" s="46" t="str">
        <f t="shared" si="16"/>
        <v/>
      </c>
      <c r="J77" s="46" t="str">
        <f t="shared" si="17"/>
        <v/>
      </c>
      <c r="K77" s="30"/>
      <c r="L77" s="46" t="str">
        <f t="shared" si="18"/>
        <v/>
      </c>
      <c r="M77" s="46" t="str">
        <f t="shared" si="19"/>
        <v/>
      </c>
      <c r="N77" s="30"/>
      <c r="O77" s="30"/>
      <c r="P77" s="31"/>
      <c r="Q77" s="31"/>
      <c r="R77" s="30"/>
      <c r="S77" s="30"/>
      <c r="T77" s="30"/>
      <c r="U77" s="30"/>
      <c r="V77" s="46" t="str">
        <f t="shared" si="20"/>
        <v/>
      </c>
      <c r="W77" s="46" t="str">
        <f t="shared" si="21"/>
        <v/>
      </c>
      <c r="X77" s="30"/>
      <c r="Y77" s="46" t="str">
        <f t="shared" si="11"/>
        <v/>
      </c>
      <c r="Z77" s="46" t="str">
        <f t="shared" si="12"/>
        <v/>
      </c>
      <c r="AA77" s="30"/>
      <c r="AB77" s="16" t="str">
        <f t="shared" ca="1" si="13"/>
        <v/>
      </c>
      <c r="AC77" s="16" t="str">
        <f ca="1">IF(A77="","",IF(OR(S77='02_マスタ'!$E$10,S77='02_マスタ'!$E$12),"",IF(R77="High","High",IF(AND(Q77&lt;&gt;"",Q77&lt;TODAY()),INDEX(_翻訳マスタ!$B$117:$D$247,MATCH("ALERT_OVERDUE",_翻訳マスタ!$A$117:$A$247,0),MATCH(言語切替!$B$3,_翻訳マスタ!$B$1:$D$1,0)),IF(AND(Q77&lt;&gt;"",Q77-TODAY()&lt;=7),INDEX(_翻訳マスタ!$B$117:$D$247,MATCH("ALERT_APPROACHING",_翻訳マスタ!$A$117:$A$247,0),MATCH(言語切替!$B$3,_翻訳マスタ!$B$1:$D$1,0)),IF(OR(S77='02_マスタ'!$E$7,S77='02_マスタ'!$E$8),INDEX(_翻訳マスタ!$B$117:$D$247,MATCH("ALERT_CHECK",_翻訳マスタ!$A$117:$A$247,0),MATCH(言語切替!$B$3,_翻訳マスタ!$B$1:$D$1,0)),""))))))</f>
        <v/>
      </c>
      <c r="AD77" s="41"/>
    </row>
    <row r="78" spans="1:30" s="22" customFormat="1" x14ac:dyDescent="0.25">
      <c r="A78" s="26"/>
      <c r="B78" s="27"/>
      <c r="C78" s="27"/>
      <c r="D78" s="27"/>
      <c r="E78" s="27"/>
      <c r="F78" s="45" t="str">
        <f t="shared" si="14"/>
        <v/>
      </c>
      <c r="G78" s="45" t="str">
        <f t="shared" si="15"/>
        <v/>
      </c>
      <c r="H78" s="27"/>
      <c r="I78" s="45" t="str">
        <f t="shared" si="16"/>
        <v/>
      </c>
      <c r="J78" s="45" t="str">
        <f t="shared" si="17"/>
        <v/>
      </c>
      <c r="K78" s="27"/>
      <c r="L78" s="45" t="str">
        <f t="shared" si="18"/>
        <v/>
      </c>
      <c r="M78" s="45" t="str">
        <f t="shared" si="19"/>
        <v/>
      </c>
      <c r="N78" s="27"/>
      <c r="O78" s="27"/>
      <c r="P78" s="28"/>
      <c r="Q78" s="28"/>
      <c r="R78" s="27"/>
      <c r="S78" s="27"/>
      <c r="T78" s="27"/>
      <c r="U78" s="27"/>
      <c r="V78" s="45" t="str">
        <f t="shared" si="20"/>
        <v/>
      </c>
      <c r="W78" s="45" t="str">
        <f t="shared" si="21"/>
        <v/>
      </c>
      <c r="X78" s="27"/>
      <c r="Y78" s="45" t="str">
        <f t="shared" si="11"/>
        <v/>
      </c>
      <c r="Z78" s="45" t="str">
        <f t="shared" si="12"/>
        <v/>
      </c>
      <c r="AA78" s="27"/>
      <c r="AB78" s="13" t="str">
        <f t="shared" ca="1" si="13"/>
        <v/>
      </c>
      <c r="AC78" s="13" t="str">
        <f ca="1">IF(A78="","",IF(OR(S78='02_マスタ'!$E$10,S78='02_マスタ'!$E$12),"",IF(R78="High","High",IF(AND(Q78&lt;&gt;"",Q78&lt;TODAY()),INDEX(_翻訳マスタ!$B$117:$D$247,MATCH("ALERT_OVERDUE",_翻訳マスタ!$A$117:$A$247,0),MATCH(言語切替!$B$3,_翻訳マスタ!$B$1:$D$1,0)),IF(AND(Q78&lt;&gt;"",Q78-TODAY()&lt;=7),INDEX(_翻訳マスタ!$B$117:$D$247,MATCH("ALERT_APPROACHING",_翻訳マスタ!$A$117:$A$247,0),MATCH(言語切替!$B$3,_翻訳マスタ!$B$1:$D$1,0)),IF(OR(S78='02_マスタ'!$E$7,S78='02_マスタ'!$E$8),INDEX(_翻訳マスタ!$B$117:$D$247,MATCH("ALERT_CHECK",_翻訳マスタ!$A$117:$A$247,0),MATCH(言語切替!$B$3,_翻訳マスタ!$B$1:$D$1,0)),""))))))</f>
        <v/>
      </c>
      <c r="AD78" s="40"/>
    </row>
    <row r="79" spans="1:30" s="22" customFormat="1" x14ac:dyDescent="0.25">
      <c r="A79" s="29"/>
      <c r="B79" s="30"/>
      <c r="C79" s="30"/>
      <c r="D79" s="30"/>
      <c r="E79" s="30"/>
      <c r="F79" s="46" t="str">
        <f t="shared" si="14"/>
        <v/>
      </c>
      <c r="G79" s="46" t="str">
        <f t="shared" si="15"/>
        <v/>
      </c>
      <c r="H79" s="30"/>
      <c r="I79" s="46" t="str">
        <f t="shared" si="16"/>
        <v/>
      </c>
      <c r="J79" s="46" t="str">
        <f t="shared" si="17"/>
        <v/>
      </c>
      <c r="K79" s="30"/>
      <c r="L79" s="46" t="str">
        <f t="shared" si="18"/>
        <v/>
      </c>
      <c r="M79" s="46" t="str">
        <f t="shared" si="19"/>
        <v/>
      </c>
      <c r="N79" s="30"/>
      <c r="O79" s="30"/>
      <c r="P79" s="31"/>
      <c r="Q79" s="31"/>
      <c r="R79" s="30"/>
      <c r="S79" s="30"/>
      <c r="T79" s="30"/>
      <c r="U79" s="30"/>
      <c r="V79" s="46" t="str">
        <f t="shared" si="20"/>
        <v/>
      </c>
      <c r="W79" s="46" t="str">
        <f t="shared" si="21"/>
        <v/>
      </c>
      <c r="X79" s="30"/>
      <c r="Y79" s="46" t="str">
        <f t="shared" si="11"/>
        <v/>
      </c>
      <c r="Z79" s="46" t="str">
        <f t="shared" si="12"/>
        <v/>
      </c>
      <c r="AA79" s="30"/>
      <c r="AB79" s="16" t="str">
        <f t="shared" ca="1" si="13"/>
        <v/>
      </c>
      <c r="AC79" s="16" t="str">
        <f ca="1">IF(A79="","",IF(OR(S79='02_マスタ'!$E$10,S79='02_マスタ'!$E$12),"",IF(R79="High","High",IF(AND(Q79&lt;&gt;"",Q79&lt;TODAY()),INDEX(_翻訳マスタ!$B$117:$D$247,MATCH("ALERT_OVERDUE",_翻訳マスタ!$A$117:$A$247,0),MATCH(言語切替!$B$3,_翻訳マスタ!$B$1:$D$1,0)),IF(AND(Q79&lt;&gt;"",Q79-TODAY()&lt;=7),INDEX(_翻訳マスタ!$B$117:$D$247,MATCH("ALERT_APPROACHING",_翻訳マスタ!$A$117:$A$247,0),MATCH(言語切替!$B$3,_翻訳マスタ!$B$1:$D$1,0)),IF(OR(S79='02_マスタ'!$E$7,S79='02_マスタ'!$E$8),INDEX(_翻訳マスタ!$B$117:$D$247,MATCH("ALERT_CHECK",_翻訳マスタ!$A$117:$A$247,0),MATCH(言語切替!$B$3,_翻訳マスタ!$B$1:$D$1,0)),""))))))</f>
        <v/>
      </c>
      <c r="AD79" s="41"/>
    </row>
    <row r="80" spans="1:30" s="22" customFormat="1" x14ac:dyDescent="0.25">
      <c r="A80" s="26"/>
      <c r="B80" s="27"/>
      <c r="C80" s="27"/>
      <c r="D80" s="27"/>
      <c r="E80" s="27"/>
      <c r="F80" s="45" t="str">
        <f t="shared" si="14"/>
        <v/>
      </c>
      <c r="G80" s="45" t="str">
        <f t="shared" si="15"/>
        <v/>
      </c>
      <c r="H80" s="27"/>
      <c r="I80" s="45" t="str">
        <f t="shared" si="16"/>
        <v/>
      </c>
      <c r="J80" s="45" t="str">
        <f t="shared" si="17"/>
        <v/>
      </c>
      <c r="K80" s="27"/>
      <c r="L80" s="45" t="str">
        <f t="shared" si="18"/>
        <v/>
      </c>
      <c r="M80" s="45" t="str">
        <f t="shared" si="19"/>
        <v/>
      </c>
      <c r="N80" s="27"/>
      <c r="O80" s="27"/>
      <c r="P80" s="28"/>
      <c r="Q80" s="28"/>
      <c r="R80" s="27"/>
      <c r="S80" s="27"/>
      <c r="T80" s="27"/>
      <c r="U80" s="27"/>
      <c r="V80" s="45" t="str">
        <f t="shared" si="20"/>
        <v/>
      </c>
      <c r="W80" s="45" t="str">
        <f t="shared" si="21"/>
        <v/>
      </c>
      <c r="X80" s="27"/>
      <c r="Y80" s="45" t="str">
        <f t="shared" si="11"/>
        <v/>
      </c>
      <c r="Z80" s="45" t="str">
        <f t="shared" si="12"/>
        <v/>
      </c>
      <c r="AA80" s="27"/>
      <c r="AB80" s="13" t="str">
        <f t="shared" ca="1" si="13"/>
        <v/>
      </c>
      <c r="AC80" s="13" t="str">
        <f ca="1">IF(A80="","",IF(OR(S80='02_マスタ'!$E$10,S80='02_マスタ'!$E$12),"",IF(R80="High","High",IF(AND(Q80&lt;&gt;"",Q80&lt;TODAY()),INDEX(_翻訳マスタ!$B$117:$D$247,MATCH("ALERT_OVERDUE",_翻訳マスタ!$A$117:$A$247,0),MATCH(言語切替!$B$3,_翻訳マスタ!$B$1:$D$1,0)),IF(AND(Q80&lt;&gt;"",Q80-TODAY()&lt;=7),INDEX(_翻訳マスタ!$B$117:$D$247,MATCH("ALERT_APPROACHING",_翻訳マスタ!$A$117:$A$247,0),MATCH(言語切替!$B$3,_翻訳マスタ!$B$1:$D$1,0)),IF(OR(S80='02_マスタ'!$E$7,S80='02_マスタ'!$E$8),INDEX(_翻訳マスタ!$B$117:$D$247,MATCH("ALERT_CHECK",_翻訳マスタ!$A$117:$A$247,0),MATCH(言語切替!$B$3,_翻訳マスタ!$B$1:$D$1,0)),""))))))</f>
        <v/>
      </c>
      <c r="AD80" s="40"/>
    </row>
    <row r="81" spans="1:30" s="22" customFormat="1" x14ac:dyDescent="0.25">
      <c r="A81" s="29"/>
      <c r="B81" s="30"/>
      <c r="C81" s="30"/>
      <c r="D81" s="30"/>
      <c r="E81" s="30"/>
      <c r="F81" s="46" t="str">
        <f t="shared" si="14"/>
        <v/>
      </c>
      <c r="G81" s="46" t="str">
        <f t="shared" si="15"/>
        <v/>
      </c>
      <c r="H81" s="30"/>
      <c r="I81" s="46" t="str">
        <f t="shared" si="16"/>
        <v/>
      </c>
      <c r="J81" s="46" t="str">
        <f t="shared" si="17"/>
        <v/>
      </c>
      <c r="K81" s="30"/>
      <c r="L81" s="46" t="str">
        <f t="shared" si="18"/>
        <v/>
      </c>
      <c r="M81" s="46" t="str">
        <f t="shared" si="19"/>
        <v/>
      </c>
      <c r="N81" s="30"/>
      <c r="O81" s="30"/>
      <c r="P81" s="31"/>
      <c r="Q81" s="31"/>
      <c r="R81" s="30"/>
      <c r="S81" s="30"/>
      <c r="T81" s="30"/>
      <c r="U81" s="30"/>
      <c r="V81" s="46" t="str">
        <f t="shared" si="20"/>
        <v/>
      </c>
      <c r="W81" s="46" t="str">
        <f t="shared" si="21"/>
        <v/>
      </c>
      <c r="X81" s="30"/>
      <c r="Y81" s="46" t="str">
        <f t="shared" si="11"/>
        <v/>
      </c>
      <c r="Z81" s="46" t="str">
        <f t="shared" si="12"/>
        <v/>
      </c>
      <c r="AA81" s="30"/>
      <c r="AB81" s="16" t="str">
        <f t="shared" ca="1" si="13"/>
        <v/>
      </c>
      <c r="AC81" s="16" t="str">
        <f ca="1">IF(A81="","",IF(OR(S81='02_マスタ'!$E$10,S81='02_マスタ'!$E$12),"",IF(R81="High","High",IF(AND(Q81&lt;&gt;"",Q81&lt;TODAY()),INDEX(_翻訳マスタ!$B$117:$D$247,MATCH("ALERT_OVERDUE",_翻訳マスタ!$A$117:$A$247,0),MATCH(言語切替!$B$3,_翻訳マスタ!$B$1:$D$1,0)),IF(AND(Q81&lt;&gt;"",Q81-TODAY()&lt;=7),INDEX(_翻訳マスタ!$B$117:$D$247,MATCH("ALERT_APPROACHING",_翻訳マスタ!$A$117:$A$247,0),MATCH(言語切替!$B$3,_翻訳マスタ!$B$1:$D$1,0)),IF(OR(S81='02_マスタ'!$E$7,S81='02_マスタ'!$E$8),INDEX(_翻訳マスタ!$B$117:$D$247,MATCH("ALERT_CHECK",_翻訳マスタ!$A$117:$A$247,0),MATCH(言語切替!$B$3,_翻訳マスタ!$B$1:$D$1,0)),""))))))</f>
        <v/>
      </c>
      <c r="AD81" s="41"/>
    </row>
    <row r="82" spans="1:30" s="22" customFormat="1" x14ac:dyDescent="0.25">
      <c r="A82" s="26"/>
      <c r="B82" s="27"/>
      <c r="C82" s="27"/>
      <c r="D82" s="27"/>
      <c r="E82" s="27"/>
      <c r="F82" s="45" t="str">
        <f t="shared" si="14"/>
        <v/>
      </c>
      <c r="G82" s="45" t="str">
        <f t="shared" si="15"/>
        <v/>
      </c>
      <c r="H82" s="27"/>
      <c r="I82" s="45" t="str">
        <f t="shared" si="16"/>
        <v/>
      </c>
      <c r="J82" s="45" t="str">
        <f t="shared" si="17"/>
        <v/>
      </c>
      <c r="K82" s="27"/>
      <c r="L82" s="45" t="str">
        <f t="shared" si="18"/>
        <v/>
      </c>
      <c r="M82" s="45" t="str">
        <f t="shared" si="19"/>
        <v/>
      </c>
      <c r="N82" s="27"/>
      <c r="O82" s="27"/>
      <c r="P82" s="28"/>
      <c r="Q82" s="28"/>
      <c r="R82" s="27"/>
      <c r="S82" s="27"/>
      <c r="T82" s="27"/>
      <c r="U82" s="27"/>
      <c r="V82" s="45" t="str">
        <f t="shared" si="20"/>
        <v/>
      </c>
      <c r="W82" s="45" t="str">
        <f t="shared" si="21"/>
        <v/>
      </c>
      <c r="X82" s="27"/>
      <c r="Y82" s="45" t="str">
        <f t="shared" si="11"/>
        <v/>
      </c>
      <c r="Z82" s="45" t="str">
        <f t="shared" si="12"/>
        <v/>
      </c>
      <c r="AA82" s="27"/>
      <c r="AB82" s="13" t="str">
        <f t="shared" ca="1" si="13"/>
        <v/>
      </c>
      <c r="AC82" s="13" t="str">
        <f ca="1">IF(A82="","",IF(OR(S82='02_マスタ'!$E$10,S82='02_マスタ'!$E$12),"",IF(R82="High","High",IF(AND(Q82&lt;&gt;"",Q82&lt;TODAY()),INDEX(_翻訳マスタ!$B$117:$D$247,MATCH("ALERT_OVERDUE",_翻訳マスタ!$A$117:$A$247,0),MATCH(言語切替!$B$3,_翻訳マスタ!$B$1:$D$1,0)),IF(AND(Q82&lt;&gt;"",Q82-TODAY()&lt;=7),INDEX(_翻訳マスタ!$B$117:$D$247,MATCH("ALERT_APPROACHING",_翻訳マスタ!$A$117:$A$247,0),MATCH(言語切替!$B$3,_翻訳マスタ!$B$1:$D$1,0)),IF(OR(S82='02_マスタ'!$E$7,S82='02_マスタ'!$E$8),INDEX(_翻訳マスタ!$B$117:$D$247,MATCH("ALERT_CHECK",_翻訳マスタ!$A$117:$A$247,0),MATCH(言語切替!$B$3,_翻訳マスタ!$B$1:$D$1,0)),""))))))</f>
        <v/>
      </c>
      <c r="AD82" s="40"/>
    </row>
    <row r="83" spans="1:30" s="22" customFormat="1" x14ac:dyDescent="0.25">
      <c r="A83" s="29"/>
      <c r="B83" s="30"/>
      <c r="C83" s="30"/>
      <c r="D83" s="30"/>
      <c r="E83" s="30"/>
      <c r="F83" s="46" t="str">
        <f t="shared" si="14"/>
        <v/>
      </c>
      <c r="G83" s="46" t="str">
        <f t="shared" si="15"/>
        <v/>
      </c>
      <c r="H83" s="30"/>
      <c r="I83" s="46" t="str">
        <f t="shared" si="16"/>
        <v/>
      </c>
      <c r="J83" s="46" t="str">
        <f t="shared" si="17"/>
        <v/>
      </c>
      <c r="K83" s="30"/>
      <c r="L83" s="46" t="str">
        <f t="shared" si="18"/>
        <v/>
      </c>
      <c r="M83" s="46" t="str">
        <f t="shared" si="19"/>
        <v/>
      </c>
      <c r="N83" s="30"/>
      <c r="O83" s="30"/>
      <c r="P83" s="31"/>
      <c r="Q83" s="31"/>
      <c r="R83" s="30"/>
      <c r="S83" s="30"/>
      <c r="T83" s="30"/>
      <c r="U83" s="30"/>
      <c r="V83" s="46" t="str">
        <f t="shared" si="20"/>
        <v/>
      </c>
      <c r="W83" s="46" t="str">
        <f t="shared" si="21"/>
        <v/>
      </c>
      <c r="X83" s="30"/>
      <c r="Y83" s="46" t="str">
        <f t="shared" si="11"/>
        <v/>
      </c>
      <c r="Z83" s="46" t="str">
        <f t="shared" si="12"/>
        <v/>
      </c>
      <c r="AA83" s="30"/>
      <c r="AB83" s="16" t="str">
        <f t="shared" ca="1" si="13"/>
        <v/>
      </c>
      <c r="AC83" s="16" t="str">
        <f ca="1">IF(A83="","",IF(OR(S83='02_マスタ'!$E$10,S83='02_マスタ'!$E$12),"",IF(R83="High","High",IF(AND(Q83&lt;&gt;"",Q83&lt;TODAY()),INDEX(_翻訳マスタ!$B$117:$D$247,MATCH("ALERT_OVERDUE",_翻訳マスタ!$A$117:$A$247,0),MATCH(言語切替!$B$3,_翻訳マスタ!$B$1:$D$1,0)),IF(AND(Q83&lt;&gt;"",Q83-TODAY()&lt;=7),INDEX(_翻訳マスタ!$B$117:$D$247,MATCH("ALERT_APPROACHING",_翻訳マスタ!$A$117:$A$247,0),MATCH(言語切替!$B$3,_翻訳マスタ!$B$1:$D$1,0)),IF(OR(S83='02_マスタ'!$E$7,S83='02_マスタ'!$E$8),INDEX(_翻訳マスタ!$B$117:$D$247,MATCH("ALERT_CHECK",_翻訳マスタ!$A$117:$A$247,0),MATCH(言語切替!$B$3,_翻訳マスタ!$B$1:$D$1,0)),""))))))</f>
        <v/>
      </c>
      <c r="AD83" s="41"/>
    </row>
    <row r="84" spans="1:30" s="22" customFormat="1" x14ac:dyDescent="0.25">
      <c r="A84" s="26"/>
      <c r="B84" s="27"/>
      <c r="C84" s="27"/>
      <c r="D84" s="27"/>
      <c r="E84" s="27"/>
      <c r="F84" s="45" t="str">
        <f t="shared" si="14"/>
        <v/>
      </c>
      <c r="G84" s="45" t="str">
        <f t="shared" si="15"/>
        <v/>
      </c>
      <c r="H84" s="27"/>
      <c r="I84" s="45" t="str">
        <f t="shared" si="16"/>
        <v/>
      </c>
      <c r="J84" s="45" t="str">
        <f t="shared" si="17"/>
        <v/>
      </c>
      <c r="K84" s="27"/>
      <c r="L84" s="45" t="str">
        <f t="shared" si="18"/>
        <v/>
      </c>
      <c r="M84" s="45" t="str">
        <f t="shared" si="19"/>
        <v/>
      </c>
      <c r="N84" s="27"/>
      <c r="O84" s="27"/>
      <c r="P84" s="28"/>
      <c r="Q84" s="28"/>
      <c r="R84" s="27"/>
      <c r="S84" s="27"/>
      <c r="T84" s="27"/>
      <c r="U84" s="27"/>
      <c r="V84" s="45" t="str">
        <f t="shared" si="20"/>
        <v/>
      </c>
      <c r="W84" s="45" t="str">
        <f t="shared" si="21"/>
        <v/>
      </c>
      <c r="X84" s="27"/>
      <c r="Y84" s="45" t="str">
        <f t="shared" si="11"/>
        <v/>
      </c>
      <c r="Z84" s="45" t="str">
        <f t="shared" si="12"/>
        <v/>
      </c>
      <c r="AA84" s="27"/>
      <c r="AB84" s="13" t="str">
        <f t="shared" ca="1" si="13"/>
        <v/>
      </c>
      <c r="AC84" s="13" t="str">
        <f ca="1">IF(A84="","",IF(OR(S84='02_マスタ'!$E$10,S84='02_マスタ'!$E$12),"",IF(R84="High","High",IF(AND(Q84&lt;&gt;"",Q84&lt;TODAY()),INDEX(_翻訳マスタ!$B$117:$D$247,MATCH("ALERT_OVERDUE",_翻訳マスタ!$A$117:$A$247,0),MATCH(言語切替!$B$3,_翻訳マスタ!$B$1:$D$1,0)),IF(AND(Q84&lt;&gt;"",Q84-TODAY()&lt;=7),INDEX(_翻訳マスタ!$B$117:$D$247,MATCH("ALERT_APPROACHING",_翻訳マスタ!$A$117:$A$247,0),MATCH(言語切替!$B$3,_翻訳マスタ!$B$1:$D$1,0)),IF(OR(S84='02_マスタ'!$E$7,S84='02_マスタ'!$E$8),INDEX(_翻訳マスタ!$B$117:$D$247,MATCH("ALERT_CHECK",_翻訳マスタ!$A$117:$A$247,0),MATCH(言語切替!$B$3,_翻訳マスタ!$B$1:$D$1,0)),""))))))</f>
        <v/>
      </c>
      <c r="AD84" s="40"/>
    </row>
    <row r="85" spans="1:30" s="22" customFormat="1" x14ac:dyDescent="0.25">
      <c r="A85" s="29"/>
      <c r="B85" s="30"/>
      <c r="C85" s="30"/>
      <c r="D85" s="30"/>
      <c r="E85" s="30"/>
      <c r="F85" s="46" t="str">
        <f t="shared" si="14"/>
        <v/>
      </c>
      <c r="G85" s="46" t="str">
        <f t="shared" si="15"/>
        <v/>
      </c>
      <c r="H85" s="30"/>
      <c r="I85" s="46" t="str">
        <f t="shared" si="16"/>
        <v/>
      </c>
      <c r="J85" s="46" t="str">
        <f t="shared" si="17"/>
        <v/>
      </c>
      <c r="K85" s="30"/>
      <c r="L85" s="46" t="str">
        <f t="shared" si="18"/>
        <v/>
      </c>
      <c r="M85" s="46" t="str">
        <f t="shared" si="19"/>
        <v/>
      </c>
      <c r="N85" s="30"/>
      <c r="O85" s="30"/>
      <c r="P85" s="31"/>
      <c r="Q85" s="31"/>
      <c r="R85" s="30"/>
      <c r="S85" s="30"/>
      <c r="T85" s="30"/>
      <c r="U85" s="30"/>
      <c r="V85" s="46" t="str">
        <f t="shared" si="20"/>
        <v/>
      </c>
      <c r="W85" s="46" t="str">
        <f t="shared" si="21"/>
        <v/>
      </c>
      <c r="X85" s="30"/>
      <c r="Y85" s="46" t="str">
        <f t="shared" si="11"/>
        <v/>
      </c>
      <c r="Z85" s="46" t="str">
        <f t="shared" si="12"/>
        <v/>
      </c>
      <c r="AA85" s="30"/>
      <c r="AB85" s="16" t="str">
        <f t="shared" ca="1" si="13"/>
        <v/>
      </c>
      <c r="AC85" s="16" t="str">
        <f ca="1">IF(A85="","",IF(OR(S85='02_マスタ'!$E$10,S85='02_マスタ'!$E$12),"",IF(R85="High","High",IF(AND(Q85&lt;&gt;"",Q85&lt;TODAY()),INDEX(_翻訳マスタ!$B$117:$D$247,MATCH("ALERT_OVERDUE",_翻訳マスタ!$A$117:$A$247,0),MATCH(言語切替!$B$3,_翻訳マスタ!$B$1:$D$1,0)),IF(AND(Q85&lt;&gt;"",Q85-TODAY()&lt;=7),INDEX(_翻訳マスタ!$B$117:$D$247,MATCH("ALERT_APPROACHING",_翻訳マスタ!$A$117:$A$247,0),MATCH(言語切替!$B$3,_翻訳マスタ!$B$1:$D$1,0)),IF(OR(S85='02_マスタ'!$E$7,S85='02_マスタ'!$E$8),INDEX(_翻訳マスタ!$B$117:$D$247,MATCH("ALERT_CHECK",_翻訳マスタ!$A$117:$A$247,0),MATCH(言語切替!$B$3,_翻訳マスタ!$B$1:$D$1,0)),""))))))</f>
        <v/>
      </c>
      <c r="AD85" s="41"/>
    </row>
    <row r="86" spans="1:30" s="22" customFormat="1" x14ac:dyDescent="0.25">
      <c r="A86" s="26"/>
      <c r="B86" s="27"/>
      <c r="C86" s="27"/>
      <c r="D86" s="27"/>
      <c r="E86" s="27"/>
      <c r="F86" s="45" t="str">
        <f t="shared" si="14"/>
        <v/>
      </c>
      <c r="G86" s="45" t="str">
        <f t="shared" si="15"/>
        <v/>
      </c>
      <c r="H86" s="27"/>
      <c r="I86" s="45" t="str">
        <f t="shared" si="16"/>
        <v/>
      </c>
      <c r="J86" s="45" t="str">
        <f t="shared" si="17"/>
        <v/>
      </c>
      <c r="K86" s="27"/>
      <c r="L86" s="45" t="str">
        <f t="shared" si="18"/>
        <v/>
      </c>
      <c r="M86" s="45" t="str">
        <f t="shared" si="19"/>
        <v/>
      </c>
      <c r="N86" s="27"/>
      <c r="O86" s="27"/>
      <c r="P86" s="28"/>
      <c r="Q86" s="28"/>
      <c r="R86" s="27"/>
      <c r="S86" s="27"/>
      <c r="T86" s="27"/>
      <c r="U86" s="27"/>
      <c r="V86" s="45" t="str">
        <f t="shared" si="20"/>
        <v/>
      </c>
      <c r="W86" s="45" t="str">
        <f t="shared" si="21"/>
        <v/>
      </c>
      <c r="X86" s="27"/>
      <c r="Y86" s="45" t="str">
        <f t="shared" si="11"/>
        <v/>
      </c>
      <c r="Z86" s="45" t="str">
        <f t="shared" si="12"/>
        <v/>
      </c>
      <c r="AA86" s="27"/>
      <c r="AB86" s="13" t="str">
        <f t="shared" ca="1" si="13"/>
        <v/>
      </c>
      <c r="AC86" s="13" t="str">
        <f ca="1">IF(A86="","",IF(OR(S86='02_マスタ'!$E$10,S86='02_マスタ'!$E$12),"",IF(R86="High","High",IF(AND(Q86&lt;&gt;"",Q86&lt;TODAY()),INDEX(_翻訳マスタ!$B$117:$D$247,MATCH("ALERT_OVERDUE",_翻訳マスタ!$A$117:$A$247,0),MATCH(言語切替!$B$3,_翻訳マスタ!$B$1:$D$1,0)),IF(AND(Q86&lt;&gt;"",Q86-TODAY()&lt;=7),INDEX(_翻訳マスタ!$B$117:$D$247,MATCH("ALERT_APPROACHING",_翻訳マスタ!$A$117:$A$247,0),MATCH(言語切替!$B$3,_翻訳マスタ!$B$1:$D$1,0)),IF(OR(S86='02_マスタ'!$E$7,S86='02_マスタ'!$E$8),INDEX(_翻訳マスタ!$B$117:$D$247,MATCH("ALERT_CHECK",_翻訳マスタ!$A$117:$A$247,0),MATCH(言語切替!$B$3,_翻訳マスタ!$B$1:$D$1,0)),""))))))</f>
        <v/>
      </c>
      <c r="AD86" s="40"/>
    </row>
    <row r="87" spans="1:30" s="22" customFormat="1" x14ac:dyDescent="0.25">
      <c r="A87" s="29"/>
      <c r="B87" s="30"/>
      <c r="C87" s="30"/>
      <c r="D87" s="30"/>
      <c r="E87" s="30"/>
      <c r="F87" s="46" t="str">
        <f t="shared" si="14"/>
        <v/>
      </c>
      <c r="G87" s="46" t="str">
        <f t="shared" si="15"/>
        <v/>
      </c>
      <c r="H87" s="30"/>
      <c r="I87" s="46" t="str">
        <f t="shared" si="16"/>
        <v/>
      </c>
      <c r="J87" s="46" t="str">
        <f t="shared" si="17"/>
        <v/>
      </c>
      <c r="K87" s="30"/>
      <c r="L87" s="46" t="str">
        <f t="shared" si="18"/>
        <v/>
      </c>
      <c r="M87" s="46" t="str">
        <f t="shared" si="19"/>
        <v/>
      </c>
      <c r="N87" s="30"/>
      <c r="O87" s="30"/>
      <c r="P87" s="31"/>
      <c r="Q87" s="31"/>
      <c r="R87" s="30"/>
      <c r="S87" s="30"/>
      <c r="T87" s="30"/>
      <c r="U87" s="30"/>
      <c r="V87" s="46" t="str">
        <f t="shared" si="20"/>
        <v/>
      </c>
      <c r="W87" s="46" t="str">
        <f t="shared" si="21"/>
        <v/>
      </c>
      <c r="X87" s="30"/>
      <c r="Y87" s="46" t="str">
        <f t="shared" si="11"/>
        <v/>
      </c>
      <c r="Z87" s="46" t="str">
        <f t="shared" si="12"/>
        <v/>
      </c>
      <c r="AA87" s="30"/>
      <c r="AB87" s="16" t="str">
        <f t="shared" ca="1" si="13"/>
        <v/>
      </c>
      <c r="AC87" s="16" t="str">
        <f ca="1">IF(A87="","",IF(OR(S87='02_マスタ'!$E$10,S87='02_マスタ'!$E$12),"",IF(R87="High","High",IF(AND(Q87&lt;&gt;"",Q87&lt;TODAY()),INDEX(_翻訳マスタ!$B$117:$D$247,MATCH("ALERT_OVERDUE",_翻訳マスタ!$A$117:$A$247,0),MATCH(言語切替!$B$3,_翻訳マスタ!$B$1:$D$1,0)),IF(AND(Q87&lt;&gt;"",Q87-TODAY()&lt;=7),INDEX(_翻訳マスタ!$B$117:$D$247,MATCH("ALERT_APPROACHING",_翻訳マスタ!$A$117:$A$247,0),MATCH(言語切替!$B$3,_翻訳マスタ!$B$1:$D$1,0)),IF(OR(S87='02_マスタ'!$E$7,S87='02_マスタ'!$E$8),INDEX(_翻訳マスタ!$B$117:$D$247,MATCH("ALERT_CHECK",_翻訳マスタ!$A$117:$A$247,0),MATCH(言語切替!$B$3,_翻訳マスタ!$B$1:$D$1,0)),""))))))</f>
        <v/>
      </c>
      <c r="AD87" s="41"/>
    </row>
    <row r="88" spans="1:30" s="22" customFormat="1" x14ac:dyDescent="0.25">
      <c r="A88" s="26"/>
      <c r="B88" s="27"/>
      <c r="C88" s="27"/>
      <c r="D88" s="27"/>
      <c r="E88" s="27"/>
      <c r="F88" s="45" t="str">
        <f t="shared" si="14"/>
        <v/>
      </c>
      <c r="G88" s="45" t="str">
        <f t="shared" si="15"/>
        <v/>
      </c>
      <c r="H88" s="27"/>
      <c r="I88" s="45" t="str">
        <f t="shared" si="16"/>
        <v/>
      </c>
      <c r="J88" s="45" t="str">
        <f t="shared" si="17"/>
        <v/>
      </c>
      <c r="K88" s="27"/>
      <c r="L88" s="45" t="str">
        <f t="shared" si="18"/>
        <v/>
      </c>
      <c r="M88" s="45" t="str">
        <f t="shared" si="19"/>
        <v/>
      </c>
      <c r="N88" s="27"/>
      <c r="O88" s="27"/>
      <c r="P88" s="28"/>
      <c r="Q88" s="28"/>
      <c r="R88" s="27"/>
      <c r="S88" s="27"/>
      <c r="T88" s="27"/>
      <c r="U88" s="27"/>
      <c r="V88" s="45" t="str">
        <f t="shared" si="20"/>
        <v/>
      </c>
      <c r="W88" s="45" t="str">
        <f t="shared" si="21"/>
        <v/>
      </c>
      <c r="X88" s="27"/>
      <c r="Y88" s="45" t="str">
        <f t="shared" si="11"/>
        <v/>
      </c>
      <c r="Z88" s="45" t="str">
        <f t="shared" si="12"/>
        <v/>
      </c>
      <c r="AA88" s="27"/>
      <c r="AB88" s="13" t="str">
        <f t="shared" ca="1" si="13"/>
        <v/>
      </c>
      <c r="AC88" s="13" t="str">
        <f ca="1">IF(A88="","",IF(OR(S88='02_マスタ'!$E$10,S88='02_マスタ'!$E$12),"",IF(R88="High","High",IF(AND(Q88&lt;&gt;"",Q88&lt;TODAY()),INDEX(_翻訳マスタ!$B$117:$D$247,MATCH("ALERT_OVERDUE",_翻訳マスタ!$A$117:$A$247,0),MATCH(言語切替!$B$3,_翻訳マスタ!$B$1:$D$1,0)),IF(AND(Q88&lt;&gt;"",Q88-TODAY()&lt;=7),INDEX(_翻訳マスタ!$B$117:$D$247,MATCH("ALERT_APPROACHING",_翻訳マスタ!$A$117:$A$247,0),MATCH(言語切替!$B$3,_翻訳マスタ!$B$1:$D$1,0)),IF(OR(S88='02_マスタ'!$E$7,S88='02_マスタ'!$E$8),INDEX(_翻訳マスタ!$B$117:$D$247,MATCH("ALERT_CHECK",_翻訳マスタ!$A$117:$A$247,0),MATCH(言語切替!$B$3,_翻訳マスタ!$B$1:$D$1,0)),""))))))</f>
        <v/>
      </c>
      <c r="AD88" s="40"/>
    </row>
    <row r="89" spans="1:30" s="22" customFormat="1" x14ac:dyDescent="0.25">
      <c r="A89" s="29"/>
      <c r="B89" s="30"/>
      <c r="C89" s="30"/>
      <c r="D89" s="30"/>
      <c r="E89" s="30"/>
      <c r="F89" s="46" t="str">
        <f t="shared" si="14"/>
        <v/>
      </c>
      <c r="G89" s="46" t="str">
        <f t="shared" si="15"/>
        <v/>
      </c>
      <c r="H89" s="30"/>
      <c r="I89" s="46" t="str">
        <f t="shared" si="16"/>
        <v/>
      </c>
      <c r="J89" s="46" t="str">
        <f t="shared" si="17"/>
        <v/>
      </c>
      <c r="K89" s="30"/>
      <c r="L89" s="46" t="str">
        <f t="shared" si="18"/>
        <v/>
      </c>
      <c r="M89" s="46" t="str">
        <f t="shared" si="19"/>
        <v/>
      </c>
      <c r="N89" s="30"/>
      <c r="O89" s="30"/>
      <c r="P89" s="31"/>
      <c r="Q89" s="31"/>
      <c r="R89" s="30"/>
      <c r="S89" s="30"/>
      <c r="T89" s="30"/>
      <c r="U89" s="30"/>
      <c r="V89" s="46" t="str">
        <f t="shared" si="20"/>
        <v/>
      </c>
      <c r="W89" s="46" t="str">
        <f t="shared" si="21"/>
        <v/>
      </c>
      <c r="X89" s="30"/>
      <c r="Y89" s="46" t="str">
        <f t="shared" si="11"/>
        <v/>
      </c>
      <c r="Z89" s="46" t="str">
        <f t="shared" si="12"/>
        <v/>
      </c>
      <c r="AA89" s="30"/>
      <c r="AB89" s="16" t="str">
        <f t="shared" ca="1" si="13"/>
        <v/>
      </c>
      <c r="AC89" s="16" t="str">
        <f ca="1">IF(A89="","",IF(OR(S89='02_マスタ'!$E$10,S89='02_マスタ'!$E$12),"",IF(R89="High","High",IF(AND(Q89&lt;&gt;"",Q89&lt;TODAY()),INDEX(_翻訳マスタ!$B$117:$D$247,MATCH("ALERT_OVERDUE",_翻訳マスタ!$A$117:$A$247,0),MATCH(言語切替!$B$3,_翻訳マスタ!$B$1:$D$1,0)),IF(AND(Q89&lt;&gt;"",Q89-TODAY()&lt;=7),INDEX(_翻訳マスタ!$B$117:$D$247,MATCH("ALERT_APPROACHING",_翻訳マスタ!$A$117:$A$247,0),MATCH(言語切替!$B$3,_翻訳マスタ!$B$1:$D$1,0)),IF(OR(S89='02_マスタ'!$E$7,S89='02_マスタ'!$E$8),INDEX(_翻訳マスタ!$B$117:$D$247,MATCH("ALERT_CHECK",_翻訳マスタ!$A$117:$A$247,0),MATCH(言語切替!$B$3,_翻訳マスタ!$B$1:$D$1,0)),""))))))</f>
        <v/>
      </c>
      <c r="AD89" s="41"/>
    </row>
    <row r="90" spans="1:30" s="22" customFormat="1" x14ac:dyDescent="0.25">
      <c r="A90" s="26"/>
      <c r="B90" s="27"/>
      <c r="C90" s="27"/>
      <c r="D90" s="27"/>
      <c r="E90" s="27"/>
      <c r="F90" s="45" t="str">
        <f t="shared" si="14"/>
        <v/>
      </c>
      <c r="G90" s="45" t="str">
        <f t="shared" si="15"/>
        <v/>
      </c>
      <c r="H90" s="27"/>
      <c r="I90" s="45" t="str">
        <f t="shared" si="16"/>
        <v/>
      </c>
      <c r="J90" s="45" t="str">
        <f t="shared" si="17"/>
        <v/>
      </c>
      <c r="K90" s="27"/>
      <c r="L90" s="45" t="str">
        <f t="shared" si="18"/>
        <v/>
      </c>
      <c r="M90" s="45" t="str">
        <f t="shared" si="19"/>
        <v/>
      </c>
      <c r="N90" s="27"/>
      <c r="O90" s="27"/>
      <c r="P90" s="28"/>
      <c r="Q90" s="28"/>
      <c r="R90" s="27"/>
      <c r="S90" s="27"/>
      <c r="T90" s="27"/>
      <c r="U90" s="27"/>
      <c r="V90" s="45" t="str">
        <f t="shared" si="20"/>
        <v/>
      </c>
      <c r="W90" s="45" t="str">
        <f t="shared" si="21"/>
        <v/>
      </c>
      <c r="X90" s="27"/>
      <c r="Y90" s="45" t="str">
        <f t="shared" si="11"/>
        <v/>
      </c>
      <c r="Z90" s="45" t="str">
        <f t="shared" si="12"/>
        <v/>
      </c>
      <c r="AA90" s="27"/>
      <c r="AB90" s="13" t="str">
        <f t="shared" ca="1" si="13"/>
        <v/>
      </c>
      <c r="AC90" s="13" t="str">
        <f ca="1">IF(A90="","",IF(OR(S90='02_マスタ'!$E$10,S90='02_マスタ'!$E$12),"",IF(R90="High","High",IF(AND(Q90&lt;&gt;"",Q90&lt;TODAY()),INDEX(_翻訳マスタ!$B$117:$D$247,MATCH("ALERT_OVERDUE",_翻訳マスタ!$A$117:$A$247,0),MATCH(言語切替!$B$3,_翻訳マスタ!$B$1:$D$1,0)),IF(AND(Q90&lt;&gt;"",Q90-TODAY()&lt;=7),INDEX(_翻訳マスタ!$B$117:$D$247,MATCH("ALERT_APPROACHING",_翻訳マスタ!$A$117:$A$247,0),MATCH(言語切替!$B$3,_翻訳マスタ!$B$1:$D$1,0)),IF(OR(S90='02_マスタ'!$E$7,S90='02_マスタ'!$E$8),INDEX(_翻訳マスタ!$B$117:$D$247,MATCH("ALERT_CHECK",_翻訳マスタ!$A$117:$A$247,0),MATCH(言語切替!$B$3,_翻訳マスタ!$B$1:$D$1,0)),""))))))</f>
        <v/>
      </c>
      <c r="AD90" s="40"/>
    </row>
    <row r="91" spans="1:30" s="22" customFormat="1" x14ac:dyDescent="0.25">
      <c r="A91" s="29"/>
      <c r="B91" s="30"/>
      <c r="C91" s="30"/>
      <c r="D91" s="30"/>
      <c r="E91" s="30"/>
      <c r="F91" s="46" t="str">
        <f t="shared" si="14"/>
        <v/>
      </c>
      <c r="G91" s="46" t="str">
        <f t="shared" si="15"/>
        <v/>
      </c>
      <c r="H91" s="30"/>
      <c r="I91" s="46" t="str">
        <f t="shared" si="16"/>
        <v/>
      </c>
      <c r="J91" s="46" t="str">
        <f t="shared" si="17"/>
        <v/>
      </c>
      <c r="K91" s="30"/>
      <c r="L91" s="46" t="str">
        <f t="shared" si="18"/>
        <v/>
      </c>
      <c r="M91" s="46" t="str">
        <f t="shared" si="19"/>
        <v/>
      </c>
      <c r="N91" s="30"/>
      <c r="O91" s="30"/>
      <c r="P91" s="31"/>
      <c r="Q91" s="31"/>
      <c r="R91" s="30"/>
      <c r="S91" s="30"/>
      <c r="T91" s="30"/>
      <c r="U91" s="30"/>
      <c r="V91" s="46" t="str">
        <f t="shared" si="20"/>
        <v/>
      </c>
      <c r="W91" s="46" t="str">
        <f t="shared" si="21"/>
        <v/>
      </c>
      <c r="X91" s="30"/>
      <c r="Y91" s="46" t="str">
        <f t="shared" si="11"/>
        <v/>
      </c>
      <c r="Z91" s="46" t="str">
        <f t="shared" si="12"/>
        <v/>
      </c>
      <c r="AA91" s="30"/>
      <c r="AB91" s="16" t="str">
        <f t="shared" ca="1" si="13"/>
        <v/>
      </c>
      <c r="AC91" s="16" t="str">
        <f ca="1">IF(A91="","",IF(OR(S91='02_マスタ'!$E$10,S91='02_マスタ'!$E$12),"",IF(R91="High","High",IF(AND(Q91&lt;&gt;"",Q91&lt;TODAY()),INDEX(_翻訳マスタ!$B$117:$D$247,MATCH("ALERT_OVERDUE",_翻訳マスタ!$A$117:$A$247,0),MATCH(言語切替!$B$3,_翻訳マスタ!$B$1:$D$1,0)),IF(AND(Q91&lt;&gt;"",Q91-TODAY()&lt;=7),INDEX(_翻訳マスタ!$B$117:$D$247,MATCH("ALERT_APPROACHING",_翻訳マスタ!$A$117:$A$247,0),MATCH(言語切替!$B$3,_翻訳マスタ!$B$1:$D$1,0)),IF(OR(S91='02_マスタ'!$E$7,S91='02_マスタ'!$E$8),INDEX(_翻訳マスタ!$B$117:$D$247,MATCH("ALERT_CHECK",_翻訳マスタ!$A$117:$A$247,0),MATCH(言語切替!$B$3,_翻訳マスタ!$B$1:$D$1,0)),""))))))</f>
        <v/>
      </c>
      <c r="AD91" s="41"/>
    </row>
    <row r="92" spans="1:30" s="22" customFormat="1" x14ac:dyDescent="0.25">
      <c r="A92" s="26"/>
      <c r="B92" s="27"/>
      <c r="C92" s="27"/>
      <c r="D92" s="27"/>
      <c r="E92" s="27"/>
      <c r="F92" s="45" t="str">
        <f t="shared" si="14"/>
        <v/>
      </c>
      <c r="G92" s="45" t="str">
        <f t="shared" si="15"/>
        <v/>
      </c>
      <c r="H92" s="27"/>
      <c r="I92" s="45" t="str">
        <f t="shared" si="16"/>
        <v/>
      </c>
      <c r="J92" s="45" t="str">
        <f t="shared" si="17"/>
        <v/>
      </c>
      <c r="K92" s="27"/>
      <c r="L92" s="45" t="str">
        <f t="shared" si="18"/>
        <v/>
      </c>
      <c r="M92" s="45" t="str">
        <f t="shared" si="19"/>
        <v/>
      </c>
      <c r="N92" s="27"/>
      <c r="O92" s="27"/>
      <c r="P92" s="28"/>
      <c r="Q92" s="28"/>
      <c r="R92" s="27"/>
      <c r="S92" s="27"/>
      <c r="T92" s="27"/>
      <c r="U92" s="27"/>
      <c r="V92" s="45" t="str">
        <f t="shared" si="20"/>
        <v/>
      </c>
      <c r="W92" s="45" t="str">
        <f t="shared" si="21"/>
        <v/>
      </c>
      <c r="X92" s="27"/>
      <c r="Y92" s="45" t="str">
        <f t="shared" si="11"/>
        <v/>
      </c>
      <c r="Z92" s="45" t="str">
        <f t="shared" si="12"/>
        <v/>
      </c>
      <c r="AA92" s="27"/>
      <c r="AB92" s="13" t="str">
        <f t="shared" ca="1" si="13"/>
        <v/>
      </c>
      <c r="AC92" s="13" t="str">
        <f ca="1">IF(A92="","",IF(OR(S92='02_マスタ'!$E$10,S92='02_マスタ'!$E$12),"",IF(R92="High","High",IF(AND(Q92&lt;&gt;"",Q92&lt;TODAY()),INDEX(_翻訳マスタ!$B$117:$D$247,MATCH("ALERT_OVERDUE",_翻訳マスタ!$A$117:$A$247,0),MATCH(言語切替!$B$3,_翻訳マスタ!$B$1:$D$1,0)),IF(AND(Q92&lt;&gt;"",Q92-TODAY()&lt;=7),INDEX(_翻訳マスタ!$B$117:$D$247,MATCH("ALERT_APPROACHING",_翻訳マスタ!$A$117:$A$247,0),MATCH(言語切替!$B$3,_翻訳マスタ!$B$1:$D$1,0)),IF(OR(S92='02_マスタ'!$E$7,S92='02_マスタ'!$E$8),INDEX(_翻訳マスタ!$B$117:$D$247,MATCH("ALERT_CHECK",_翻訳マスタ!$A$117:$A$247,0),MATCH(言語切替!$B$3,_翻訳マスタ!$B$1:$D$1,0)),""))))))</f>
        <v/>
      </c>
      <c r="AD92" s="40"/>
    </row>
    <row r="93" spans="1:30" s="22" customFormat="1" x14ac:dyDescent="0.25">
      <c r="A93" s="29"/>
      <c r="B93" s="30"/>
      <c r="C93" s="30"/>
      <c r="D93" s="30"/>
      <c r="E93" s="30"/>
      <c r="F93" s="46" t="str">
        <f t="shared" si="14"/>
        <v/>
      </c>
      <c r="G93" s="46" t="str">
        <f t="shared" si="15"/>
        <v/>
      </c>
      <c r="H93" s="30"/>
      <c r="I93" s="46" t="str">
        <f t="shared" si="16"/>
        <v/>
      </c>
      <c r="J93" s="46" t="str">
        <f t="shared" si="17"/>
        <v/>
      </c>
      <c r="K93" s="30"/>
      <c r="L93" s="46" t="str">
        <f t="shared" si="18"/>
        <v/>
      </c>
      <c r="M93" s="46" t="str">
        <f t="shared" si="19"/>
        <v/>
      </c>
      <c r="N93" s="30"/>
      <c r="O93" s="30"/>
      <c r="P93" s="31"/>
      <c r="Q93" s="31"/>
      <c r="R93" s="30"/>
      <c r="S93" s="30"/>
      <c r="T93" s="30"/>
      <c r="U93" s="30"/>
      <c r="V93" s="46" t="str">
        <f t="shared" si="20"/>
        <v/>
      </c>
      <c r="W93" s="46" t="str">
        <f t="shared" si="21"/>
        <v/>
      </c>
      <c r="X93" s="30"/>
      <c r="Y93" s="46" t="str">
        <f t="shared" si="11"/>
        <v/>
      </c>
      <c r="Z93" s="46" t="str">
        <f t="shared" si="12"/>
        <v/>
      </c>
      <c r="AA93" s="30"/>
      <c r="AB93" s="16" t="str">
        <f t="shared" ca="1" si="13"/>
        <v/>
      </c>
      <c r="AC93" s="16" t="str">
        <f ca="1">IF(A93="","",IF(OR(S93='02_マスタ'!$E$10,S93='02_マスタ'!$E$12),"",IF(R93="High","High",IF(AND(Q93&lt;&gt;"",Q93&lt;TODAY()),INDEX(_翻訳マスタ!$B$117:$D$247,MATCH("ALERT_OVERDUE",_翻訳マスタ!$A$117:$A$247,0),MATCH(言語切替!$B$3,_翻訳マスタ!$B$1:$D$1,0)),IF(AND(Q93&lt;&gt;"",Q93-TODAY()&lt;=7),INDEX(_翻訳マスタ!$B$117:$D$247,MATCH("ALERT_APPROACHING",_翻訳マスタ!$A$117:$A$247,0),MATCH(言語切替!$B$3,_翻訳マスタ!$B$1:$D$1,0)),IF(OR(S93='02_マスタ'!$E$7,S93='02_マスタ'!$E$8),INDEX(_翻訳マスタ!$B$117:$D$247,MATCH("ALERT_CHECK",_翻訳マスタ!$A$117:$A$247,0),MATCH(言語切替!$B$3,_翻訳マスタ!$B$1:$D$1,0)),""))))))</f>
        <v/>
      </c>
      <c r="AD93" s="41"/>
    </row>
    <row r="94" spans="1:30" s="22" customFormat="1" x14ac:dyDescent="0.25">
      <c r="A94" s="26"/>
      <c r="B94" s="27"/>
      <c r="C94" s="27"/>
      <c r="D94" s="27"/>
      <c r="E94" s="27"/>
      <c r="F94" s="45" t="str">
        <f t="shared" si="14"/>
        <v/>
      </c>
      <c r="G94" s="45" t="str">
        <f t="shared" si="15"/>
        <v/>
      </c>
      <c r="H94" s="27"/>
      <c r="I94" s="45" t="str">
        <f t="shared" si="16"/>
        <v/>
      </c>
      <c r="J94" s="45" t="str">
        <f t="shared" si="17"/>
        <v/>
      </c>
      <c r="K94" s="27"/>
      <c r="L94" s="45" t="str">
        <f t="shared" si="18"/>
        <v/>
      </c>
      <c r="M94" s="45" t="str">
        <f t="shared" si="19"/>
        <v/>
      </c>
      <c r="N94" s="27"/>
      <c r="O94" s="27"/>
      <c r="P94" s="28"/>
      <c r="Q94" s="28"/>
      <c r="R94" s="27"/>
      <c r="S94" s="27"/>
      <c r="T94" s="27"/>
      <c r="U94" s="27"/>
      <c r="V94" s="45" t="str">
        <f t="shared" si="20"/>
        <v/>
      </c>
      <c r="W94" s="45" t="str">
        <f t="shared" si="21"/>
        <v/>
      </c>
      <c r="X94" s="27"/>
      <c r="Y94" s="45" t="str">
        <f t="shared" si="11"/>
        <v/>
      </c>
      <c r="Z94" s="45" t="str">
        <f t="shared" si="12"/>
        <v/>
      </c>
      <c r="AA94" s="27"/>
      <c r="AB94" s="13" t="str">
        <f t="shared" ca="1" si="13"/>
        <v/>
      </c>
      <c r="AC94" s="13" t="str">
        <f ca="1">IF(A94="","",IF(OR(S94='02_マスタ'!$E$10,S94='02_マスタ'!$E$12),"",IF(R94="High","High",IF(AND(Q94&lt;&gt;"",Q94&lt;TODAY()),INDEX(_翻訳マスタ!$B$117:$D$247,MATCH("ALERT_OVERDUE",_翻訳マスタ!$A$117:$A$247,0),MATCH(言語切替!$B$3,_翻訳マスタ!$B$1:$D$1,0)),IF(AND(Q94&lt;&gt;"",Q94-TODAY()&lt;=7),INDEX(_翻訳マスタ!$B$117:$D$247,MATCH("ALERT_APPROACHING",_翻訳マスタ!$A$117:$A$247,0),MATCH(言語切替!$B$3,_翻訳マスタ!$B$1:$D$1,0)),IF(OR(S94='02_マスタ'!$E$7,S94='02_マスタ'!$E$8),INDEX(_翻訳マスタ!$B$117:$D$247,MATCH("ALERT_CHECK",_翻訳マスタ!$A$117:$A$247,0),MATCH(言語切替!$B$3,_翻訳マスタ!$B$1:$D$1,0)),""))))))</f>
        <v/>
      </c>
      <c r="AD94" s="40"/>
    </row>
    <row r="95" spans="1:30" s="22" customFormat="1" x14ac:dyDescent="0.25">
      <c r="A95" s="29"/>
      <c r="B95" s="30"/>
      <c r="C95" s="30"/>
      <c r="D95" s="30"/>
      <c r="E95" s="30"/>
      <c r="F95" s="46" t="str">
        <f t="shared" si="14"/>
        <v/>
      </c>
      <c r="G95" s="46" t="str">
        <f t="shared" si="15"/>
        <v/>
      </c>
      <c r="H95" s="30"/>
      <c r="I95" s="46" t="str">
        <f t="shared" si="16"/>
        <v/>
      </c>
      <c r="J95" s="46" t="str">
        <f t="shared" si="17"/>
        <v/>
      </c>
      <c r="K95" s="30"/>
      <c r="L95" s="46" t="str">
        <f t="shared" si="18"/>
        <v/>
      </c>
      <c r="M95" s="46" t="str">
        <f t="shared" si="19"/>
        <v/>
      </c>
      <c r="N95" s="30"/>
      <c r="O95" s="30"/>
      <c r="P95" s="31"/>
      <c r="Q95" s="31"/>
      <c r="R95" s="30"/>
      <c r="S95" s="30"/>
      <c r="T95" s="30"/>
      <c r="U95" s="30"/>
      <c r="V95" s="46" t="str">
        <f t="shared" si="20"/>
        <v/>
      </c>
      <c r="W95" s="46" t="str">
        <f t="shared" si="21"/>
        <v/>
      </c>
      <c r="X95" s="30"/>
      <c r="Y95" s="46" t="str">
        <f t="shared" si="11"/>
        <v/>
      </c>
      <c r="Z95" s="46" t="str">
        <f t="shared" si="12"/>
        <v/>
      </c>
      <c r="AA95" s="30"/>
      <c r="AB95" s="16" t="str">
        <f t="shared" ca="1" si="13"/>
        <v/>
      </c>
      <c r="AC95" s="16" t="str">
        <f ca="1">IF(A95="","",IF(OR(S95='02_マスタ'!$E$10,S95='02_マスタ'!$E$12),"",IF(R95="High","High",IF(AND(Q95&lt;&gt;"",Q95&lt;TODAY()),INDEX(_翻訳マスタ!$B$117:$D$247,MATCH("ALERT_OVERDUE",_翻訳マスタ!$A$117:$A$247,0),MATCH(言語切替!$B$3,_翻訳マスタ!$B$1:$D$1,0)),IF(AND(Q95&lt;&gt;"",Q95-TODAY()&lt;=7),INDEX(_翻訳マスタ!$B$117:$D$247,MATCH("ALERT_APPROACHING",_翻訳マスタ!$A$117:$A$247,0),MATCH(言語切替!$B$3,_翻訳マスタ!$B$1:$D$1,0)),IF(OR(S95='02_マスタ'!$E$7,S95='02_マスタ'!$E$8),INDEX(_翻訳マスタ!$B$117:$D$247,MATCH("ALERT_CHECK",_翻訳マスタ!$A$117:$A$247,0),MATCH(言語切替!$B$3,_翻訳マスタ!$B$1:$D$1,0)),""))))))</f>
        <v/>
      </c>
      <c r="AD95" s="41"/>
    </row>
    <row r="96" spans="1:30" s="22" customFormat="1" x14ac:dyDescent="0.25">
      <c r="A96" s="26"/>
      <c r="B96" s="27"/>
      <c r="C96" s="27"/>
      <c r="D96" s="27"/>
      <c r="E96" s="27"/>
      <c r="F96" s="45" t="str">
        <f t="shared" si="14"/>
        <v/>
      </c>
      <c r="G96" s="45" t="str">
        <f t="shared" si="15"/>
        <v/>
      </c>
      <c r="H96" s="27"/>
      <c r="I96" s="45" t="str">
        <f t="shared" si="16"/>
        <v/>
      </c>
      <c r="J96" s="45" t="str">
        <f t="shared" si="17"/>
        <v/>
      </c>
      <c r="K96" s="27"/>
      <c r="L96" s="45" t="str">
        <f t="shared" si="18"/>
        <v/>
      </c>
      <c r="M96" s="45" t="str">
        <f t="shared" si="19"/>
        <v/>
      </c>
      <c r="N96" s="27"/>
      <c r="O96" s="27"/>
      <c r="P96" s="28"/>
      <c r="Q96" s="28"/>
      <c r="R96" s="27"/>
      <c r="S96" s="27"/>
      <c r="T96" s="27"/>
      <c r="U96" s="27"/>
      <c r="V96" s="45" t="str">
        <f t="shared" si="20"/>
        <v/>
      </c>
      <c r="W96" s="45" t="str">
        <f t="shared" si="21"/>
        <v/>
      </c>
      <c r="X96" s="27"/>
      <c r="Y96" s="45" t="str">
        <f t="shared" si="11"/>
        <v/>
      </c>
      <c r="Z96" s="45" t="str">
        <f t="shared" si="12"/>
        <v/>
      </c>
      <c r="AA96" s="27"/>
      <c r="AB96" s="13" t="str">
        <f t="shared" ca="1" si="13"/>
        <v/>
      </c>
      <c r="AC96" s="13" t="str">
        <f ca="1">IF(A96="","",IF(OR(S96='02_マスタ'!$E$10,S96='02_マスタ'!$E$12),"",IF(R96="High","High",IF(AND(Q96&lt;&gt;"",Q96&lt;TODAY()),INDEX(_翻訳マスタ!$B$117:$D$247,MATCH("ALERT_OVERDUE",_翻訳マスタ!$A$117:$A$247,0),MATCH(言語切替!$B$3,_翻訳マスタ!$B$1:$D$1,0)),IF(AND(Q96&lt;&gt;"",Q96-TODAY()&lt;=7),INDEX(_翻訳マスタ!$B$117:$D$247,MATCH("ALERT_APPROACHING",_翻訳マスタ!$A$117:$A$247,0),MATCH(言語切替!$B$3,_翻訳マスタ!$B$1:$D$1,0)),IF(OR(S96='02_マスタ'!$E$7,S96='02_マスタ'!$E$8),INDEX(_翻訳マスタ!$B$117:$D$247,MATCH("ALERT_CHECK",_翻訳マスタ!$A$117:$A$247,0),MATCH(言語切替!$B$3,_翻訳マスタ!$B$1:$D$1,0)),""))))))</f>
        <v/>
      </c>
      <c r="AD96" s="40"/>
    </row>
    <row r="97" spans="1:30" s="22" customFormat="1" x14ac:dyDescent="0.25">
      <c r="A97" s="29"/>
      <c r="B97" s="30"/>
      <c r="C97" s="30"/>
      <c r="D97" s="30"/>
      <c r="E97" s="30"/>
      <c r="F97" s="46" t="str">
        <f t="shared" si="14"/>
        <v/>
      </c>
      <c r="G97" s="46" t="str">
        <f t="shared" si="15"/>
        <v/>
      </c>
      <c r="H97" s="30"/>
      <c r="I97" s="46" t="str">
        <f t="shared" si="16"/>
        <v/>
      </c>
      <c r="J97" s="46" t="str">
        <f t="shared" si="17"/>
        <v/>
      </c>
      <c r="K97" s="30"/>
      <c r="L97" s="46" t="str">
        <f t="shared" si="18"/>
        <v/>
      </c>
      <c r="M97" s="46" t="str">
        <f t="shared" si="19"/>
        <v/>
      </c>
      <c r="N97" s="30"/>
      <c r="O97" s="30"/>
      <c r="P97" s="31"/>
      <c r="Q97" s="31"/>
      <c r="R97" s="30"/>
      <c r="S97" s="30"/>
      <c r="T97" s="30"/>
      <c r="U97" s="30"/>
      <c r="V97" s="46" t="str">
        <f t="shared" si="20"/>
        <v/>
      </c>
      <c r="W97" s="46" t="str">
        <f t="shared" si="21"/>
        <v/>
      </c>
      <c r="X97" s="30"/>
      <c r="Y97" s="46" t="str">
        <f t="shared" si="11"/>
        <v/>
      </c>
      <c r="Z97" s="46" t="str">
        <f t="shared" si="12"/>
        <v/>
      </c>
      <c r="AA97" s="30"/>
      <c r="AB97" s="16" t="str">
        <f t="shared" ca="1" si="13"/>
        <v/>
      </c>
      <c r="AC97" s="16" t="str">
        <f ca="1">IF(A97="","",IF(OR(S97='02_マスタ'!$E$10,S97='02_マスタ'!$E$12),"",IF(R97="High","High",IF(AND(Q97&lt;&gt;"",Q97&lt;TODAY()),INDEX(_翻訳マスタ!$B$117:$D$247,MATCH("ALERT_OVERDUE",_翻訳マスタ!$A$117:$A$247,0),MATCH(言語切替!$B$3,_翻訳マスタ!$B$1:$D$1,0)),IF(AND(Q97&lt;&gt;"",Q97-TODAY()&lt;=7),INDEX(_翻訳マスタ!$B$117:$D$247,MATCH("ALERT_APPROACHING",_翻訳マスタ!$A$117:$A$247,0),MATCH(言語切替!$B$3,_翻訳マスタ!$B$1:$D$1,0)),IF(OR(S97='02_マスタ'!$E$7,S97='02_マスタ'!$E$8),INDEX(_翻訳マスタ!$B$117:$D$247,MATCH("ALERT_CHECK",_翻訳マスタ!$A$117:$A$247,0),MATCH(言語切替!$B$3,_翻訳マスタ!$B$1:$D$1,0)),""))))))</f>
        <v/>
      </c>
      <c r="AD97" s="41"/>
    </row>
    <row r="98" spans="1:30" s="22" customFormat="1" x14ac:dyDescent="0.25">
      <c r="A98" s="26"/>
      <c r="B98" s="27"/>
      <c r="C98" s="27"/>
      <c r="D98" s="27"/>
      <c r="E98" s="27"/>
      <c r="F98" s="45" t="str">
        <f t="shared" si="14"/>
        <v/>
      </c>
      <c r="G98" s="45" t="str">
        <f t="shared" si="15"/>
        <v/>
      </c>
      <c r="H98" s="27"/>
      <c r="I98" s="45" t="str">
        <f t="shared" si="16"/>
        <v/>
      </c>
      <c r="J98" s="45" t="str">
        <f t="shared" si="17"/>
        <v/>
      </c>
      <c r="K98" s="27"/>
      <c r="L98" s="45" t="str">
        <f t="shared" si="18"/>
        <v/>
      </c>
      <c r="M98" s="45" t="str">
        <f t="shared" si="19"/>
        <v/>
      </c>
      <c r="N98" s="27"/>
      <c r="O98" s="27"/>
      <c r="P98" s="28"/>
      <c r="Q98" s="28"/>
      <c r="R98" s="27"/>
      <c r="S98" s="27"/>
      <c r="T98" s="27"/>
      <c r="U98" s="27"/>
      <c r="V98" s="45" t="str">
        <f t="shared" si="20"/>
        <v/>
      </c>
      <c r="W98" s="45" t="str">
        <f t="shared" si="21"/>
        <v/>
      </c>
      <c r="X98" s="27"/>
      <c r="Y98" s="45" t="str">
        <f t="shared" si="11"/>
        <v/>
      </c>
      <c r="Z98" s="45" t="str">
        <f t="shared" si="12"/>
        <v/>
      </c>
      <c r="AA98" s="27"/>
      <c r="AB98" s="13" t="str">
        <f t="shared" ca="1" si="13"/>
        <v/>
      </c>
      <c r="AC98" s="13" t="str">
        <f ca="1">IF(A98="","",IF(OR(S98='02_マスタ'!$E$10,S98='02_マスタ'!$E$12),"",IF(R98="High","High",IF(AND(Q98&lt;&gt;"",Q98&lt;TODAY()),INDEX(_翻訳マスタ!$B$117:$D$247,MATCH("ALERT_OVERDUE",_翻訳マスタ!$A$117:$A$247,0),MATCH(言語切替!$B$3,_翻訳マスタ!$B$1:$D$1,0)),IF(AND(Q98&lt;&gt;"",Q98-TODAY()&lt;=7),INDEX(_翻訳マスタ!$B$117:$D$247,MATCH("ALERT_APPROACHING",_翻訳マスタ!$A$117:$A$247,0),MATCH(言語切替!$B$3,_翻訳マスタ!$B$1:$D$1,0)),IF(OR(S98='02_マスタ'!$E$7,S98='02_マスタ'!$E$8),INDEX(_翻訳マスタ!$B$117:$D$247,MATCH("ALERT_CHECK",_翻訳マスタ!$A$117:$A$247,0),MATCH(言語切替!$B$3,_翻訳マスタ!$B$1:$D$1,0)),""))))))</f>
        <v/>
      </c>
      <c r="AD98" s="40"/>
    </row>
    <row r="99" spans="1:30" s="22" customFormat="1" x14ac:dyDescent="0.25">
      <c r="A99" s="29"/>
      <c r="B99" s="30"/>
      <c r="C99" s="30"/>
      <c r="D99" s="30"/>
      <c r="E99" s="30"/>
      <c r="F99" s="46" t="str">
        <f t="shared" si="14"/>
        <v/>
      </c>
      <c r="G99" s="46" t="str">
        <f t="shared" si="15"/>
        <v/>
      </c>
      <c r="H99" s="30"/>
      <c r="I99" s="46" t="str">
        <f t="shared" si="16"/>
        <v/>
      </c>
      <c r="J99" s="46" t="str">
        <f t="shared" si="17"/>
        <v/>
      </c>
      <c r="K99" s="30"/>
      <c r="L99" s="46" t="str">
        <f t="shared" si="18"/>
        <v/>
      </c>
      <c r="M99" s="46" t="str">
        <f t="shared" si="19"/>
        <v/>
      </c>
      <c r="N99" s="30"/>
      <c r="O99" s="30"/>
      <c r="P99" s="31"/>
      <c r="Q99" s="31"/>
      <c r="R99" s="30"/>
      <c r="S99" s="30"/>
      <c r="T99" s="30"/>
      <c r="U99" s="30"/>
      <c r="V99" s="46" t="str">
        <f t="shared" si="20"/>
        <v/>
      </c>
      <c r="W99" s="46" t="str">
        <f t="shared" si="21"/>
        <v/>
      </c>
      <c r="X99" s="30"/>
      <c r="Y99" s="46" t="str">
        <f t="shared" si="11"/>
        <v/>
      </c>
      <c r="Z99" s="46" t="str">
        <f t="shared" si="12"/>
        <v/>
      </c>
      <c r="AA99" s="30"/>
      <c r="AB99" s="16" t="str">
        <f t="shared" ca="1" si="13"/>
        <v/>
      </c>
      <c r="AC99" s="16" t="str">
        <f ca="1">IF(A99="","",IF(OR(S99='02_マスタ'!$E$10,S99='02_マスタ'!$E$12),"",IF(R99="High","High",IF(AND(Q99&lt;&gt;"",Q99&lt;TODAY()),INDEX(_翻訳マスタ!$B$117:$D$247,MATCH("ALERT_OVERDUE",_翻訳マスタ!$A$117:$A$247,0),MATCH(言語切替!$B$3,_翻訳マスタ!$B$1:$D$1,0)),IF(AND(Q99&lt;&gt;"",Q99-TODAY()&lt;=7),INDEX(_翻訳マスタ!$B$117:$D$247,MATCH("ALERT_APPROACHING",_翻訳マスタ!$A$117:$A$247,0),MATCH(言語切替!$B$3,_翻訳マスタ!$B$1:$D$1,0)),IF(OR(S99='02_マスタ'!$E$7,S99='02_マスタ'!$E$8),INDEX(_翻訳マスタ!$B$117:$D$247,MATCH("ALERT_CHECK",_翻訳マスタ!$A$117:$A$247,0),MATCH(言語切替!$B$3,_翻訳マスタ!$B$1:$D$1,0)),""))))))</f>
        <v/>
      </c>
      <c r="AD99" s="41"/>
    </row>
    <row r="100" spans="1:30" s="22" customFormat="1" x14ac:dyDescent="0.25">
      <c r="A100" s="26"/>
      <c r="B100" s="27"/>
      <c r="C100" s="27"/>
      <c r="D100" s="27"/>
      <c r="E100" s="27"/>
      <c r="F100" s="45" t="str">
        <f t="shared" si="14"/>
        <v/>
      </c>
      <c r="G100" s="45" t="str">
        <f t="shared" si="15"/>
        <v/>
      </c>
      <c r="H100" s="27"/>
      <c r="I100" s="45" t="str">
        <f t="shared" si="16"/>
        <v/>
      </c>
      <c r="J100" s="45" t="str">
        <f t="shared" si="17"/>
        <v/>
      </c>
      <c r="K100" s="27"/>
      <c r="L100" s="45" t="str">
        <f t="shared" si="18"/>
        <v/>
      </c>
      <c r="M100" s="45" t="str">
        <f t="shared" si="19"/>
        <v/>
      </c>
      <c r="N100" s="27"/>
      <c r="O100" s="27"/>
      <c r="P100" s="28"/>
      <c r="Q100" s="28"/>
      <c r="R100" s="27"/>
      <c r="S100" s="27"/>
      <c r="T100" s="27"/>
      <c r="U100" s="27"/>
      <c r="V100" s="45" t="str">
        <f t="shared" si="20"/>
        <v/>
      </c>
      <c r="W100" s="45" t="str">
        <f t="shared" si="21"/>
        <v/>
      </c>
      <c r="X100" s="27"/>
      <c r="Y100" s="45" t="str">
        <f t="shared" si="11"/>
        <v/>
      </c>
      <c r="Z100" s="45" t="str">
        <f t="shared" si="12"/>
        <v/>
      </c>
      <c r="AA100" s="27"/>
      <c r="AB100" s="13" t="str">
        <f t="shared" ca="1" si="13"/>
        <v/>
      </c>
      <c r="AC100" s="13" t="str">
        <f ca="1">IF(A100="","",IF(OR(S100='02_マスタ'!$E$10,S100='02_マスタ'!$E$12),"",IF(R100="High","High",IF(AND(Q100&lt;&gt;"",Q100&lt;TODAY()),INDEX(_翻訳マスタ!$B$117:$D$247,MATCH("ALERT_OVERDUE",_翻訳マスタ!$A$117:$A$247,0),MATCH(言語切替!$B$3,_翻訳マスタ!$B$1:$D$1,0)),IF(AND(Q100&lt;&gt;"",Q100-TODAY()&lt;=7),INDEX(_翻訳マスタ!$B$117:$D$247,MATCH("ALERT_APPROACHING",_翻訳マスタ!$A$117:$A$247,0),MATCH(言語切替!$B$3,_翻訳マスタ!$B$1:$D$1,0)),IF(OR(S100='02_マスタ'!$E$7,S100='02_マスタ'!$E$8),INDEX(_翻訳マスタ!$B$117:$D$247,MATCH("ALERT_CHECK",_翻訳マスタ!$A$117:$A$247,0),MATCH(言語切替!$B$3,_翻訳マスタ!$B$1:$D$1,0)),""))))))</f>
        <v/>
      </c>
      <c r="AD100" s="40"/>
    </row>
    <row r="101" spans="1:30" s="22" customFormat="1" x14ac:dyDescent="0.25">
      <c r="A101" s="29"/>
      <c r="B101" s="30"/>
      <c r="C101" s="30"/>
      <c r="D101" s="30"/>
      <c r="E101" s="30"/>
      <c r="F101" s="46" t="str">
        <f t="shared" si="14"/>
        <v/>
      </c>
      <c r="G101" s="46" t="str">
        <f t="shared" si="15"/>
        <v/>
      </c>
      <c r="H101" s="30"/>
      <c r="I101" s="46" t="str">
        <f t="shared" si="16"/>
        <v/>
      </c>
      <c r="J101" s="46" t="str">
        <f t="shared" si="17"/>
        <v/>
      </c>
      <c r="K101" s="30"/>
      <c r="L101" s="46" t="str">
        <f t="shared" si="18"/>
        <v/>
      </c>
      <c r="M101" s="46" t="str">
        <f t="shared" si="19"/>
        <v/>
      </c>
      <c r="N101" s="30"/>
      <c r="O101" s="30"/>
      <c r="P101" s="31"/>
      <c r="Q101" s="31"/>
      <c r="R101" s="30"/>
      <c r="S101" s="30"/>
      <c r="T101" s="30"/>
      <c r="U101" s="30"/>
      <c r="V101" s="46" t="str">
        <f t="shared" si="20"/>
        <v/>
      </c>
      <c r="W101" s="46" t="str">
        <f t="shared" si="21"/>
        <v/>
      </c>
      <c r="X101" s="30"/>
      <c r="Y101" s="46" t="str">
        <f t="shared" si="11"/>
        <v/>
      </c>
      <c r="Z101" s="46" t="str">
        <f t="shared" si="12"/>
        <v/>
      </c>
      <c r="AA101" s="30"/>
      <c r="AB101" s="16" t="str">
        <f t="shared" ca="1" si="13"/>
        <v/>
      </c>
      <c r="AC101" s="16" t="str">
        <f ca="1">IF(A101="","",IF(OR(S101='02_マスタ'!$E$10,S101='02_マスタ'!$E$12),"",IF(R101="High","High",IF(AND(Q101&lt;&gt;"",Q101&lt;TODAY()),INDEX(_翻訳マスタ!$B$117:$D$247,MATCH("ALERT_OVERDUE",_翻訳マスタ!$A$117:$A$247,0),MATCH(言語切替!$B$3,_翻訳マスタ!$B$1:$D$1,0)),IF(AND(Q101&lt;&gt;"",Q101-TODAY()&lt;=7),INDEX(_翻訳マスタ!$B$117:$D$247,MATCH("ALERT_APPROACHING",_翻訳マスタ!$A$117:$A$247,0),MATCH(言語切替!$B$3,_翻訳マスタ!$B$1:$D$1,0)),IF(OR(S101='02_マスタ'!$E$7,S101='02_マスタ'!$E$8),INDEX(_翻訳マスタ!$B$117:$D$247,MATCH("ALERT_CHECK",_翻訳マスタ!$A$117:$A$247,0),MATCH(言語切替!$B$3,_翻訳マスタ!$B$1:$D$1,0)),""))))))</f>
        <v/>
      </c>
      <c r="AD101" s="41"/>
    </row>
    <row r="102" spans="1:30" s="22" customFormat="1" x14ac:dyDescent="0.25">
      <c r="A102" s="26"/>
      <c r="B102" s="27"/>
      <c r="C102" s="27"/>
      <c r="D102" s="27"/>
      <c r="E102" s="27"/>
      <c r="F102" s="45" t="str">
        <f t="shared" si="14"/>
        <v/>
      </c>
      <c r="G102" s="45" t="str">
        <f t="shared" si="15"/>
        <v/>
      </c>
      <c r="H102" s="27"/>
      <c r="I102" s="45" t="str">
        <f t="shared" si="16"/>
        <v/>
      </c>
      <c r="J102" s="45" t="str">
        <f t="shared" si="17"/>
        <v/>
      </c>
      <c r="K102" s="27"/>
      <c r="L102" s="45" t="str">
        <f t="shared" si="18"/>
        <v/>
      </c>
      <c r="M102" s="45" t="str">
        <f t="shared" si="19"/>
        <v/>
      </c>
      <c r="N102" s="27"/>
      <c r="O102" s="27"/>
      <c r="P102" s="28"/>
      <c r="Q102" s="28"/>
      <c r="R102" s="27"/>
      <c r="S102" s="27"/>
      <c r="T102" s="27"/>
      <c r="U102" s="27"/>
      <c r="V102" s="45" t="str">
        <f t="shared" si="20"/>
        <v/>
      </c>
      <c r="W102" s="45" t="str">
        <f t="shared" si="21"/>
        <v/>
      </c>
      <c r="X102" s="27"/>
      <c r="Y102" s="45" t="str">
        <f t="shared" si="11"/>
        <v/>
      </c>
      <c r="Z102" s="45" t="str">
        <f t="shared" si="12"/>
        <v/>
      </c>
      <c r="AA102" s="27"/>
      <c r="AB102" s="13" t="str">
        <f t="shared" ca="1" si="13"/>
        <v/>
      </c>
      <c r="AC102" s="13" t="str">
        <f ca="1">IF(A102="","",IF(OR(S102='02_マスタ'!$E$10,S102='02_マスタ'!$E$12),"",IF(R102="High","High",IF(AND(Q102&lt;&gt;"",Q102&lt;TODAY()),INDEX(_翻訳マスタ!$B$117:$D$247,MATCH("ALERT_OVERDUE",_翻訳マスタ!$A$117:$A$247,0),MATCH(言語切替!$B$3,_翻訳マスタ!$B$1:$D$1,0)),IF(AND(Q102&lt;&gt;"",Q102-TODAY()&lt;=7),INDEX(_翻訳マスタ!$B$117:$D$247,MATCH("ALERT_APPROACHING",_翻訳マスタ!$A$117:$A$247,0),MATCH(言語切替!$B$3,_翻訳マスタ!$B$1:$D$1,0)),IF(OR(S102='02_マスタ'!$E$7,S102='02_マスタ'!$E$8),INDEX(_翻訳マスタ!$B$117:$D$247,MATCH("ALERT_CHECK",_翻訳マスタ!$A$117:$A$247,0),MATCH(言語切替!$B$3,_翻訳マスタ!$B$1:$D$1,0)),""))))))</f>
        <v/>
      </c>
      <c r="AD102" s="40"/>
    </row>
    <row r="103" spans="1:30" s="22" customFormat="1" x14ac:dyDescent="0.25">
      <c r="A103" s="29"/>
      <c r="B103" s="30"/>
      <c r="C103" s="30"/>
      <c r="D103" s="30"/>
      <c r="E103" s="30"/>
      <c r="F103" s="46" t="str">
        <f t="shared" si="14"/>
        <v/>
      </c>
      <c r="G103" s="46" t="str">
        <f t="shared" si="15"/>
        <v/>
      </c>
      <c r="H103" s="30"/>
      <c r="I103" s="46" t="str">
        <f t="shared" si="16"/>
        <v/>
      </c>
      <c r="J103" s="46" t="str">
        <f t="shared" si="17"/>
        <v/>
      </c>
      <c r="K103" s="30"/>
      <c r="L103" s="46" t="str">
        <f t="shared" si="18"/>
        <v/>
      </c>
      <c r="M103" s="46" t="str">
        <f t="shared" si="19"/>
        <v/>
      </c>
      <c r="N103" s="30"/>
      <c r="O103" s="30"/>
      <c r="P103" s="31"/>
      <c r="Q103" s="31"/>
      <c r="R103" s="30"/>
      <c r="S103" s="30"/>
      <c r="T103" s="30"/>
      <c r="U103" s="30"/>
      <c r="V103" s="46" t="str">
        <f t="shared" si="20"/>
        <v/>
      </c>
      <c r="W103" s="46" t="str">
        <f t="shared" si="21"/>
        <v/>
      </c>
      <c r="X103" s="30"/>
      <c r="Y103" s="46" t="str">
        <f t="shared" si="11"/>
        <v/>
      </c>
      <c r="Z103" s="46" t="str">
        <f t="shared" si="12"/>
        <v/>
      </c>
      <c r="AA103" s="30"/>
      <c r="AB103" s="16" t="str">
        <f t="shared" ca="1" si="13"/>
        <v/>
      </c>
      <c r="AC103" s="16" t="str">
        <f ca="1">IF(A103="","",IF(OR(S103='02_マスタ'!$E$10,S103='02_マスタ'!$E$12),"",IF(R103="High","High",IF(AND(Q103&lt;&gt;"",Q103&lt;TODAY()),INDEX(_翻訳マスタ!$B$117:$D$247,MATCH("ALERT_OVERDUE",_翻訳マスタ!$A$117:$A$247,0),MATCH(言語切替!$B$3,_翻訳マスタ!$B$1:$D$1,0)),IF(AND(Q103&lt;&gt;"",Q103-TODAY()&lt;=7),INDEX(_翻訳マスタ!$B$117:$D$247,MATCH("ALERT_APPROACHING",_翻訳マスタ!$A$117:$A$247,0),MATCH(言語切替!$B$3,_翻訳マスタ!$B$1:$D$1,0)),IF(OR(S103='02_マスタ'!$E$7,S103='02_マスタ'!$E$8),INDEX(_翻訳マスタ!$B$117:$D$247,MATCH("ALERT_CHECK",_翻訳マスタ!$A$117:$A$247,0),MATCH(言語切替!$B$3,_翻訳マスタ!$B$1:$D$1,0)),""))))))</f>
        <v/>
      </c>
      <c r="AD103" s="41"/>
    </row>
    <row r="104" spans="1:30" s="22" customFormat="1" x14ac:dyDescent="0.25">
      <c r="A104" s="26"/>
      <c r="B104" s="27"/>
      <c r="C104" s="27"/>
      <c r="D104" s="27"/>
      <c r="E104" s="27"/>
      <c r="F104" s="45" t="str">
        <f t="shared" si="14"/>
        <v/>
      </c>
      <c r="G104" s="45" t="str">
        <f t="shared" si="15"/>
        <v/>
      </c>
      <c r="H104" s="27"/>
      <c r="I104" s="45" t="str">
        <f t="shared" si="16"/>
        <v/>
      </c>
      <c r="J104" s="45" t="str">
        <f t="shared" si="17"/>
        <v/>
      </c>
      <c r="K104" s="27"/>
      <c r="L104" s="45" t="str">
        <f t="shared" si="18"/>
        <v/>
      </c>
      <c r="M104" s="45" t="str">
        <f t="shared" si="19"/>
        <v/>
      </c>
      <c r="N104" s="27"/>
      <c r="O104" s="27"/>
      <c r="P104" s="28"/>
      <c r="Q104" s="28"/>
      <c r="R104" s="27"/>
      <c r="S104" s="27"/>
      <c r="T104" s="27"/>
      <c r="U104" s="27"/>
      <c r="V104" s="45" t="str">
        <f t="shared" si="20"/>
        <v/>
      </c>
      <c r="W104" s="45" t="str">
        <f t="shared" si="21"/>
        <v/>
      </c>
      <c r="X104" s="27"/>
      <c r="Y104" s="45" t="str">
        <f t="shared" si="11"/>
        <v/>
      </c>
      <c r="Z104" s="45" t="str">
        <f t="shared" si="12"/>
        <v/>
      </c>
      <c r="AA104" s="27"/>
      <c r="AB104" s="13" t="str">
        <f t="shared" ca="1" si="13"/>
        <v/>
      </c>
      <c r="AC104" s="13" t="str">
        <f ca="1">IF(A104="","",IF(OR(S104='02_マスタ'!$E$10,S104='02_マスタ'!$E$12),"",IF(R104="High","High",IF(AND(Q104&lt;&gt;"",Q104&lt;TODAY()),INDEX(_翻訳マスタ!$B$117:$D$247,MATCH("ALERT_OVERDUE",_翻訳マスタ!$A$117:$A$247,0),MATCH(言語切替!$B$3,_翻訳マスタ!$B$1:$D$1,0)),IF(AND(Q104&lt;&gt;"",Q104-TODAY()&lt;=7),INDEX(_翻訳マスタ!$B$117:$D$247,MATCH("ALERT_APPROACHING",_翻訳マスタ!$A$117:$A$247,0),MATCH(言語切替!$B$3,_翻訳マスタ!$B$1:$D$1,0)),IF(OR(S104='02_マスタ'!$E$7,S104='02_マスタ'!$E$8),INDEX(_翻訳マスタ!$B$117:$D$247,MATCH("ALERT_CHECK",_翻訳マスタ!$A$117:$A$247,0),MATCH(言語切替!$B$3,_翻訳マスタ!$B$1:$D$1,0)),""))))))</f>
        <v/>
      </c>
      <c r="AD104" s="40"/>
    </row>
    <row r="105" spans="1:30" s="22" customFormat="1" x14ac:dyDescent="0.25">
      <c r="A105" s="29"/>
      <c r="B105" s="30"/>
      <c r="C105" s="30"/>
      <c r="D105" s="30"/>
      <c r="E105" s="30"/>
      <c r="F105" s="46" t="str">
        <f t="shared" si="14"/>
        <v/>
      </c>
      <c r="G105" s="46" t="str">
        <f t="shared" si="15"/>
        <v/>
      </c>
      <c r="H105" s="30"/>
      <c r="I105" s="46" t="str">
        <f t="shared" si="16"/>
        <v/>
      </c>
      <c r="J105" s="46" t="str">
        <f t="shared" si="17"/>
        <v/>
      </c>
      <c r="K105" s="30"/>
      <c r="L105" s="46" t="str">
        <f t="shared" si="18"/>
        <v/>
      </c>
      <c r="M105" s="46" t="str">
        <f t="shared" si="19"/>
        <v/>
      </c>
      <c r="N105" s="30"/>
      <c r="O105" s="30"/>
      <c r="P105" s="31"/>
      <c r="Q105" s="31"/>
      <c r="R105" s="30"/>
      <c r="S105" s="30"/>
      <c r="T105" s="30"/>
      <c r="U105" s="30"/>
      <c r="V105" s="46" t="str">
        <f t="shared" si="20"/>
        <v/>
      </c>
      <c r="W105" s="46" t="str">
        <f t="shared" si="21"/>
        <v/>
      </c>
      <c r="X105" s="30"/>
      <c r="Y105" s="46" t="str">
        <f t="shared" si="11"/>
        <v/>
      </c>
      <c r="Z105" s="46" t="str">
        <f t="shared" si="12"/>
        <v/>
      </c>
      <c r="AA105" s="30"/>
      <c r="AB105" s="16" t="str">
        <f t="shared" ca="1" si="13"/>
        <v/>
      </c>
      <c r="AC105" s="16" t="str">
        <f ca="1">IF(A105="","",IF(OR(S105='02_マスタ'!$E$10,S105='02_マスタ'!$E$12),"",IF(R105="High","High",IF(AND(Q105&lt;&gt;"",Q105&lt;TODAY()),INDEX(_翻訳マスタ!$B$117:$D$247,MATCH("ALERT_OVERDUE",_翻訳マスタ!$A$117:$A$247,0),MATCH(言語切替!$B$3,_翻訳マスタ!$B$1:$D$1,0)),IF(AND(Q105&lt;&gt;"",Q105-TODAY()&lt;=7),INDEX(_翻訳マスタ!$B$117:$D$247,MATCH("ALERT_APPROACHING",_翻訳マスタ!$A$117:$A$247,0),MATCH(言語切替!$B$3,_翻訳マスタ!$B$1:$D$1,0)),IF(OR(S105='02_マスタ'!$E$7,S105='02_マスタ'!$E$8),INDEX(_翻訳マスタ!$B$117:$D$247,MATCH("ALERT_CHECK",_翻訳マスタ!$A$117:$A$247,0),MATCH(言語切替!$B$3,_翻訳マスタ!$B$1:$D$1,0)),""))))))</f>
        <v/>
      </c>
      <c r="AD105" s="41"/>
    </row>
    <row r="106" spans="1:30" s="22" customFormat="1" x14ac:dyDescent="0.25">
      <c r="A106" s="26"/>
      <c r="B106" s="27"/>
      <c r="C106" s="27"/>
      <c r="D106" s="27"/>
      <c r="E106" s="27"/>
      <c r="F106" s="45" t="str">
        <f t="shared" si="14"/>
        <v/>
      </c>
      <c r="G106" s="45" t="str">
        <f t="shared" si="15"/>
        <v/>
      </c>
      <c r="H106" s="27"/>
      <c r="I106" s="45" t="str">
        <f t="shared" si="16"/>
        <v/>
      </c>
      <c r="J106" s="45" t="str">
        <f t="shared" si="17"/>
        <v/>
      </c>
      <c r="K106" s="27"/>
      <c r="L106" s="45" t="str">
        <f t="shared" si="18"/>
        <v/>
      </c>
      <c r="M106" s="45" t="str">
        <f t="shared" si="19"/>
        <v/>
      </c>
      <c r="N106" s="27"/>
      <c r="O106" s="27"/>
      <c r="P106" s="28"/>
      <c r="Q106" s="28"/>
      <c r="R106" s="27"/>
      <c r="S106" s="27"/>
      <c r="T106" s="27"/>
      <c r="U106" s="27"/>
      <c r="V106" s="45" t="str">
        <f t="shared" si="20"/>
        <v/>
      </c>
      <c r="W106" s="45" t="str">
        <f t="shared" si="21"/>
        <v/>
      </c>
      <c r="X106" s="27"/>
      <c r="Y106" s="45" t="str">
        <f t="shared" si="11"/>
        <v/>
      </c>
      <c r="Z106" s="45" t="str">
        <f t="shared" si="12"/>
        <v/>
      </c>
      <c r="AA106" s="27"/>
      <c r="AB106" s="13" t="str">
        <f t="shared" ca="1" si="13"/>
        <v/>
      </c>
      <c r="AC106" s="13" t="str">
        <f ca="1">IF(A106="","",IF(OR(S106='02_マスタ'!$E$10,S106='02_マスタ'!$E$12),"",IF(R106="High","High",IF(AND(Q106&lt;&gt;"",Q106&lt;TODAY()),INDEX(_翻訳マスタ!$B$117:$D$247,MATCH("ALERT_OVERDUE",_翻訳マスタ!$A$117:$A$247,0),MATCH(言語切替!$B$3,_翻訳マスタ!$B$1:$D$1,0)),IF(AND(Q106&lt;&gt;"",Q106-TODAY()&lt;=7),INDEX(_翻訳マスタ!$B$117:$D$247,MATCH("ALERT_APPROACHING",_翻訳マスタ!$A$117:$A$247,0),MATCH(言語切替!$B$3,_翻訳マスタ!$B$1:$D$1,0)),IF(OR(S106='02_マスタ'!$E$7,S106='02_マスタ'!$E$8),INDEX(_翻訳マスタ!$B$117:$D$247,MATCH("ALERT_CHECK",_翻訳マスタ!$A$117:$A$247,0),MATCH(言語切替!$B$3,_翻訳マスタ!$B$1:$D$1,0)),""))))))</f>
        <v/>
      </c>
      <c r="AD106" s="40"/>
    </row>
    <row r="107" spans="1:30" s="22" customFormat="1" x14ac:dyDescent="0.25">
      <c r="A107" s="29"/>
      <c r="B107" s="30"/>
      <c r="C107" s="30"/>
      <c r="D107" s="30"/>
      <c r="E107" s="30"/>
      <c r="F107" s="46" t="str">
        <f t="shared" si="14"/>
        <v/>
      </c>
      <c r="G107" s="46" t="str">
        <f t="shared" si="15"/>
        <v/>
      </c>
      <c r="H107" s="30"/>
      <c r="I107" s="46" t="str">
        <f t="shared" si="16"/>
        <v/>
      </c>
      <c r="J107" s="46" t="str">
        <f t="shared" si="17"/>
        <v/>
      </c>
      <c r="K107" s="30"/>
      <c r="L107" s="46" t="str">
        <f t="shared" si="18"/>
        <v/>
      </c>
      <c r="M107" s="46" t="str">
        <f t="shared" si="19"/>
        <v/>
      </c>
      <c r="N107" s="30"/>
      <c r="O107" s="30"/>
      <c r="P107" s="31"/>
      <c r="Q107" s="31"/>
      <c r="R107" s="30"/>
      <c r="S107" s="30"/>
      <c r="T107" s="30"/>
      <c r="U107" s="30"/>
      <c r="V107" s="46" t="str">
        <f t="shared" si="20"/>
        <v/>
      </c>
      <c r="W107" s="46" t="str">
        <f t="shared" si="21"/>
        <v/>
      </c>
      <c r="X107" s="30"/>
      <c r="Y107" s="46" t="str">
        <f t="shared" si="11"/>
        <v/>
      </c>
      <c r="Z107" s="46" t="str">
        <f t="shared" si="12"/>
        <v/>
      </c>
      <c r="AA107" s="30"/>
      <c r="AB107" s="16" t="str">
        <f t="shared" ca="1" si="13"/>
        <v/>
      </c>
      <c r="AC107" s="16" t="str">
        <f ca="1">IF(A107="","",IF(OR(S107='02_マスタ'!$E$10,S107='02_マスタ'!$E$12),"",IF(R107="High","High",IF(AND(Q107&lt;&gt;"",Q107&lt;TODAY()),INDEX(_翻訳マスタ!$B$117:$D$247,MATCH("ALERT_OVERDUE",_翻訳マスタ!$A$117:$A$247,0),MATCH(言語切替!$B$3,_翻訳マスタ!$B$1:$D$1,0)),IF(AND(Q107&lt;&gt;"",Q107-TODAY()&lt;=7),INDEX(_翻訳マスタ!$B$117:$D$247,MATCH("ALERT_APPROACHING",_翻訳マスタ!$A$117:$A$247,0),MATCH(言語切替!$B$3,_翻訳マスタ!$B$1:$D$1,0)),IF(OR(S107='02_マスタ'!$E$7,S107='02_マスタ'!$E$8),INDEX(_翻訳マスタ!$B$117:$D$247,MATCH("ALERT_CHECK",_翻訳マスタ!$A$117:$A$247,0),MATCH(言語切替!$B$3,_翻訳マスタ!$B$1:$D$1,0)),""))))))</f>
        <v/>
      </c>
      <c r="AD107" s="41"/>
    </row>
    <row r="108" spans="1:30" s="22" customFormat="1" x14ac:dyDescent="0.25">
      <c r="A108" s="26"/>
      <c r="B108" s="27"/>
      <c r="C108" s="27"/>
      <c r="D108" s="27"/>
      <c r="E108" s="27"/>
      <c r="F108" s="45" t="str">
        <f t="shared" si="14"/>
        <v/>
      </c>
      <c r="G108" s="45" t="str">
        <f t="shared" si="15"/>
        <v/>
      </c>
      <c r="H108" s="27"/>
      <c r="I108" s="45" t="str">
        <f t="shared" si="16"/>
        <v/>
      </c>
      <c r="J108" s="45" t="str">
        <f t="shared" si="17"/>
        <v/>
      </c>
      <c r="K108" s="27"/>
      <c r="L108" s="45" t="str">
        <f t="shared" si="18"/>
        <v/>
      </c>
      <c r="M108" s="45" t="str">
        <f t="shared" si="19"/>
        <v/>
      </c>
      <c r="N108" s="27"/>
      <c r="O108" s="27"/>
      <c r="P108" s="28"/>
      <c r="Q108" s="28"/>
      <c r="R108" s="27"/>
      <c r="S108" s="27"/>
      <c r="T108" s="27"/>
      <c r="U108" s="27"/>
      <c r="V108" s="45" t="str">
        <f t="shared" si="20"/>
        <v/>
      </c>
      <c r="W108" s="45" t="str">
        <f t="shared" si="21"/>
        <v/>
      </c>
      <c r="X108" s="27"/>
      <c r="Y108" s="45" t="str">
        <f t="shared" si="11"/>
        <v/>
      </c>
      <c r="Z108" s="45" t="str">
        <f t="shared" si="12"/>
        <v/>
      </c>
      <c r="AA108" s="27"/>
      <c r="AB108" s="13" t="str">
        <f t="shared" ca="1" si="13"/>
        <v/>
      </c>
      <c r="AC108" s="13" t="str">
        <f ca="1">IF(A108="","",IF(OR(S108='02_マスタ'!$E$10,S108='02_マスタ'!$E$12),"",IF(R108="High","High",IF(AND(Q108&lt;&gt;"",Q108&lt;TODAY()),INDEX(_翻訳マスタ!$B$117:$D$247,MATCH("ALERT_OVERDUE",_翻訳マスタ!$A$117:$A$247,0),MATCH(言語切替!$B$3,_翻訳マスタ!$B$1:$D$1,0)),IF(AND(Q108&lt;&gt;"",Q108-TODAY()&lt;=7),INDEX(_翻訳マスタ!$B$117:$D$247,MATCH("ALERT_APPROACHING",_翻訳マスタ!$A$117:$A$247,0),MATCH(言語切替!$B$3,_翻訳マスタ!$B$1:$D$1,0)),IF(OR(S108='02_マスタ'!$E$7,S108='02_マスタ'!$E$8),INDEX(_翻訳マスタ!$B$117:$D$247,MATCH("ALERT_CHECK",_翻訳マスタ!$A$117:$A$247,0),MATCH(言語切替!$B$3,_翻訳マスタ!$B$1:$D$1,0)),""))))))</f>
        <v/>
      </c>
      <c r="AD108" s="40"/>
    </row>
    <row r="109" spans="1:30" s="22" customFormat="1" x14ac:dyDescent="0.25">
      <c r="A109" s="29"/>
      <c r="B109" s="30"/>
      <c r="C109" s="30"/>
      <c r="D109" s="30"/>
      <c r="E109" s="30"/>
      <c r="F109" s="46" t="str">
        <f t="shared" si="14"/>
        <v/>
      </c>
      <c r="G109" s="46" t="str">
        <f t="shared" si="15"/>
        <v/>
      </c>
      <c r="H109" s="30"/>
      <c r="I109" s="46" t="str">
        <f t="shared" si="16"/>
        <v/>
      </c>
      <c r="J109" s="46" t="str">
        <f t="shared" si="17"/>
        <v/>
      </c>
      <c r="K109" s="30"/>
      <c r="L109" s="46" t="str">
        <f t="shared" si="18"/>
        <v/>
      </c>
      <c r="M109" s="46" t="str">
        <f t="shared" si="19"/>
        <v/>
      </c>
      <c r="N109" s="30"/>
      <c r="O109" s="30"/>
      <c r="P109" s="31"/>
      <c r="Q109" s="31"/>
      <c r="R109" s="30"/>
      <c r="S109" s="30"/>
      <c r="T109" s="30"/>
      <c r="U109" s="30"/>
      <c r="V109" s="46" t="str">
        <f t="shared" si="20"/>
        <v/>
      </c>
      <c r="W109" s="46" t="str">
        <f t="shared" si="21"/>
        <v/>
      </c>
      <c r="X109" s="30"/>
      <c r="Y109" s="46" t="str">
        <f t="shared" si="11"/>
        <v/>
      </c>
      <c r="Z109" s="46" t="str">
        <f t="shared" si="12"/>
        <v/>
      </c>
      <c r="AA109" s="30"/>
      <c r="AB109" s="16" t="str">
        <f t="shared" ca="1" si="13"/>
        <v/>
      </c>
      <c r="AC109" s="16" t="str">
        <f ca="1">IF(A109="","",IF(OR(S109='02_マスタ'!$E$10,S109='02_マスタ'!$E$12),"",IF(R109="High","High",IF(AND(Q109&lt;&gt;"",Q109&lt;TODAY()),INDEX(_翻訳マスタ!$B$117:$D$247,MATCH("ALERT_OVERDUE",_翻訳マスタ!$A$117:$A$247,0),MATCH(言語切替!$B$3,_翻訳マスタ!$B$1:$D$1,0)),IF(AND(Q109&lt;&gt;"",Q109-TODAY()&lt;=7),INDEX(_翻訳マスタ!$B$117:$D$247,MATCH("ALERT_APPROACHING",_翻訳マスタ!$A$117:$A$247,0),MATCH(言語切替!$B$3,_翻訳マスタ!$B$1:$D$1,0)),IF(OR(S109='02_マスタ'!$E$7,S109='02_マスタ'!$E$8),INDEX(_翻訳マスタ!$B$117:$D$247,MATCH("ALERT_CHECK",_翻訳マスタ!$A$117:$A$247,0),MATCH(言語切替!$B$3,_翻訳マスタ!$B$1:$D$1,0)),""))))))</f>
        <v/>
      </c>
      <c r="AD109" s="41"/>
    </row>
    <row r="110" spans="1:30" s="22" customFormat="1" x14ac:dyDescent="0.25">
      <c r="A110" s="26"/>
      <c r="B110" s="27"/>
      <c r="C110" s="27"/>
      <c r="D110" s="27"/>
      <c r="E110" s="27"/>
      <c r="F110" s="45" t="str">
        <f t="shared" si="14"/>
        <v/>
      </c>
      <c r="G110" s="45" t="str">
        <f t="shared" si="15"/>
        <v/>
      </c>
      <c r="H110" s="27"/>
      <c r="I110" s="45" t="str">
        <f t="shared" si="16"/>
        <v/>
      </c>
      <c r="J110" s="45" t="str">
        <f t="shared" si="17"/>
        <v/>
      </c>
      <c r="K110" s="27"/>
      <c r="L110" s="45" t="str">
        <f t="shared" si="18"/>
        <v/>
      </c>
      <c r="M110" s="45" t="str">
        <f t="shared" si="19"/>
        <v/>
      </c>
      <c r="N110" s="27"/>
      <c r="O110" s="27"/>
      <c r="P110" s="28"/>
      <c r="Q110" s="28"/>
      <c r="R110" s="27"/>
      <c r="S110" s="27"/>
      <c r="T110" s="27"/>
      <c r="U110" s="27"/>
      <c r="V110" s="45" t="str">
        <f t="shared" si="20"/>
        <v/>
      </c>
      <c r="W110" s="45" t="str">
        <f t="shared" si="21"/>
        <v/>
      </c>
      <c r="X110" s="27"/>
      <c r="Y110" s="45" t="str">
        <f t="shared" si="11"/>
        <v/>
      </c>
      <c r="Z110" s="45" t="str">
        <f t="shared" si="12"/>
        <v/>
      </c>
      <c r="AA110" s="27"/>
      <c r="AB110" s="13" t="str">
        <f t="shared" ca="1" si="13"/>
        <v/>
      </c>
      <c r="AC110" s="13" t="str">
        <f ca="1">IF(A110="","",IF(OR(S110='02_マスタ'!$E$10,S110='02_マスタ'!$E$12),"",IF(R110="High","High",IF(AND(Q110&lt;&gt;"",Q110&lt;TODAY()),INDEX(_翻訳マスタ!$B$117:$D$247,MATCH("ALERT_OVERDUE",_翻訳マスタ!$A$117:$A$247,0),MATCH(言語切替!$B$3,_翻訳マスタ!$B$1:$D$1,0)),IF(AND(Q110&lt;&gt;"",Q110-TODAY()&lt;=7),INDEX(_翻訳マスタ!$B$117:$D$247,MATCH("ALERT_APPROACHING",_翻訳マスタ!$A$117:$A$247,0),MATCH(言語切替!$B$3,_翻訳マスタ!$B$1:$D$1,0)),IF(OR(S110='02_マスタ'!$E$7,S110='02_マスタ'!$E$8),INDEX(_翻訳マスタ!$B$117:$D$247,MATCH("ALERT_CHECK",_翻訳マスタ!$A$117:$A$247,0),MATCH(言語切替!$B$3,_翻訳マスタ!$B$1:$D$1,0)),""))))))</f>
        <v/>
      </c>
      <c r="AD110" s="40"/>
    </row>
    <row r="111" spans="1:30" s="22" customFormat="1" x14ac:dyDescent="0.25">
      <c r="A111" s="29"/>
      <c r="B111" s="30"/>
      <c r="C111" s="30"/>
      <c r="D111" s="30"/>
      <c r="E111" s="30"/>
      <c r="F111" s="46" t="str">
        <f t="shared" si="14"/>
        <v/>
      </c>
      <c r="G111" s="46" t="str">
        <f t="shared" si="15"/>
        <v/>
      </c>
      <c r="H111" s="30"/>
      <c r="I111" s="46" t="str">
        <f t="shared" si="16"/>
        <v/>
      </c>
      <c r="J111" s="46" t="str">
        <f t="shared" si="17"/>
        <v/>
      </c>
      <c r="K111" s="30"/>
      <c r="L111" s="46" t="str">
        <f t="shared" si="18"/>
        <v/>
      </c>
      <c r="M111" s="46" t="str">
        <f t="shared" si="19"/>
        <v/>
      </c>
      <c r="N111" s="30"/>
      <c r="O111" s="30"/>
      <c r="P111" s="31"/>
      <c r="Q111" s="31"/>
      <c r="R111" s="30"/>
      <c r="S111" s="30"/>
      <c r="T111" s="30"/>
      <c r="U111" s="30"/>
      <c r="V111" s="46" t="str">
        <f t="shared" si="20"/>
        <v/>
      </c>
      <c r="W111" s="46" t="str">
        <f t="shared" si="21"/>
        <v/>
      </c>
      <c r="X111" s="30"/>
      <c r="Y111" s="46" t="str">
        <f t="shared" si="11"/>
        <v/>
      </c>
      <c r="Z111" s="46" t="str">
        <f t="shared" si="12"/>
        <v/>
      </c>
      <c r="AA111" s="30"/>
      <c r="AB111" s="16" t="str">
        <f t="shared" ca="1" si="13"/>
        <v/>
      </c>
      <c r="AC111" s="16" t="str">
        <f ca="1">IF(A111="","",IF(OR(S111='02_マスタ'!$E$10,S111='02_マスタ'!$E$12),"",IF(R111="High","High",IF(AND(Q111&lt;&gt;"",Q111&lt;TODAY()),INDEX(_翻訳マスタ!$B$117:$D$247,MATCH("ALERT_OVERDUE",_翻訳マスタ!$A$117:$A$247,0),MATCH(言語切替!$B$3,_翻訳マスタ!$B$1:$D$1,0)),IF(AND(Q111&lt;&gt;"",Q111-TODAY()&lt;=7),INDEX(_翻訳マスタ!$B$117:$D$247,MATCH("ALERT_APPROACHING",_翻訳マスタ!$A$117:$A$247,0),MATCH(言語切替!$B$3,_翻訳マスタ!$B$1:$D$1,0)),IF(OR(S111='02_マスタ'!$E$7,S111='02_マスタ'!$E$8),INDEX(_翻訳マスタ!$B$117:$D$247,MATCH("ALERT_CHECK",_翻訳マスタ!$A$117:$A$247,0),MATCH(言語切替!$B$3,_翻訳マスタ!$B$1:$D$1,0)),""))))))</f>
        <v/>
      </c>
      <c r="AD111" s="41"/>
    </row>
    <row r="112" spans="1:30" s="22" customFormat="1" x14ac:dyDescent="0.25">
      <c r="A112" s="26"/>
      <c r="B112" s="27"/>
      <c r="C112" s="27"/>
      <c r="D112" s="27"/>
      <c r="E112" s="27"/>
      <c r="F112" s="45" t="str">
        <f t="shared" si="14"/>
        <v/>
      </c>
      <c r="G112" s="45" t="str">
        <f t="shared" si="15"/>
        <v/>
      </c>
      <c r="H112" s="27"/>
      <c r="I112" s="45" t="str">
        <f t="shared" si="16"/>
        <v/>
      </c>
      <c r="J112" s="45" t="str">
        <f t="shared" si="17"/>
        <v/>
      </c>
      <c r="K112" s="27"/>
      <c r="L112" s="45" t="str">
        <f t="shared" si="18"/>
        <v/>
      </c>
      <c r="M112" s="45" t="str">
        <f t="shared" si="19"/>
        <v/>
      </c>
      <c r="N112" s="27"/>
      <c r="O112" s="27"/>
      <c r="P112" s="28"/>
      <c r="Q112" s="28"/>
      <c r="R112" s="27"/>
      <c r="S112" s="27"/>
      <c r="T112" s="27"/>
      <c r="U112" s="27"/>
      <c r="V112" s="45" t="str">
        <f t="shared" si="20"/>
        <v/>
      </c>
      <c r="W112" s="45" t="str">
        <f t="shared" si="21"/>
        <v/>
      </c>
      <c r="X112" s="27"/>
      <c r="Y112" s="45" t="str">
        <f t="shared" si="11"/>
        <v/>
      </c>
      <c r="Z112" s="45" t="str">
        <f t="shared" si="12"/>
        <v/>
      </c>
      <c r="AA112" s="27"/>
      <c r="AB112" s="13" t="str">
        <f t="shared" ca="1" si="13"/>
        <v/>
      </c>
      <c r="AC112" s="13" t="str">
        <f ca="1">IF(A112="","",IF(OR(S112='02_マスタ'!$E$10,S112='02_マスタ'!$E$12),"",IF(R112="High","High",IF(AND(Q112&lt;&gt;"",Q112&lt;TODAY()),INDEX(_翻訳マスタ!$B$117:$D$247,MATCH("ALERT_OVERDUE",_翻訳マスタ!$A$117:$A$247,0),MATCH(言語切替!$B$3,_翻訳マスタ!$B$1:$D$1,0)),IF(AND(Q112&lt;&gt;"",Q112-TODAY()&lt;=7),INDEX(_翻訳マスタ!$B$117:$D$247,MATCH("ALERT_APPROACHING",_翻訳マスタ!$A$117:$A$247,0),MATCH(言語切替!$B$3,_翻訳マスタ!$B$1:$D$1,0)),IF(OR(S112='02_マスタ'!$E$7,S112='02_マスタ'!$E$8),INDEX(_翻訳マスタ!$B$117:$D$247,MATCH("ALERT_CHECK",_翻訳マスタ!$A$117:$A$247,0),MATCH(言語切替!$B$3,_翻訳マスタ!$B$1:$D$1,0)),""))))))</f>
        <v/>
      </c>
      <c r="AD112" s="40"/>
    </row>
    <row r="113" spans="1:30" s="22" customFormat="1" x14ac:dyDescent="0.25">
      <c r="A113" s="29"/>
      <c r="B113" s="30"/>
      <c r="C113" s="30"/>
      <c r="D113" s="30"/>
      <c r="E113" s="30"/>
      <c r="F113" s="46" t="str">
        <f t="shared" si="14"/>
        <v/>
      </c>
      <c r="G113" s="46" t="str">
        <f t="shared" si="15"/>
        <v/>
      </c>
      <c r="H113" s="30"/>
      <c r="I113" s="46" t="str">
        <f t="shared" si="16"/>
        <v/>
      </c>
      <c r="J113" s="46" t="str">
        <f t="shared" si="17"/>
        <v/>
      </c>
      <c r="K113" s="30"/>
      <c r="L113" s="46" t="str">
        <f t="shared" si="18"/>
        <v/>
      </c>
      <c r="M113" s="46" t="str">
        <f t="shared" si="19"/>
        <v/>
      </c>
      <c r="N113" s="30"/>
      <c r="O113" s="30"/>
      <c r="P113" s="31"/>
      <c r="Q113" s="31"/>
      <c r="R113" s="30"/>
      <c r="S113" s="30"/>
      <c r="T113" s="30"/>
      <c r="U113" s="30"/>
      <c r="V113" s="46" t="str">
        <f t="shared" si="20"/>
        <v/>
      </c>
      <c r="W113" s="46" t="str">
        <f t="shared" si="21"/>
        <v/>
      </c>
      <c r="X113" s="30"/>
      <c r="Y113" s="46" t="str">
        <f t="shared" si="11"/>
        <v/>
      </c>
      <c r="Z113" s="46" t="str">
        <f t="shared" si="12"/>
        <v/>
      </c>
      <c r="AA113" s="30"/>
      <c r="AB113" s="16" t="str">
        <f t="shared" ca="1" si="13"/>
        <v/>
      </c>
      <c r="AC113" s="16" t="str">
        <f ca="1">IF(A113="","",IF(OR(S113='02_マスタ'!$E$10,S113='02_マスタ'!$E$12),"",IF(R113="High","High",IF(AND(Q113&lt;&gt;"",Q113&lt;TODAY()),INDEX(_翻訳マスタ!$B$117:$D$247,MATCH("ALERT_OVERDUE",_翻訳マスタ!$A$117:$A$247,0),MATCH(言語切替!$B$3,_翻訳マスタ!$B$1:$D$1,0)),IF(AND(Q113&lt;&gt;"",Q113-TODAY()&lt;=7),INDEX(_翻訳マスタ!$B$117:$D$247,MATCH("ALERT_APPROACHING",_翻訳マスタ!$A$117:$A$247,0),MATCH(言語切替!$B$3,_翻訳マスタ!$B$1:$D$1,0)),IF(OR(S113='02_マスタ'!$E$7,S113='02_マスタ'!$E$8),INDEX(_翻訳マスタ!$B$117:$D$247,MATCH("ALERT_CHECK",_翻訳マスタ!$A$117:$A$247,0),MATCH(言語切替!$B$3,_翻訳マスタ!$B$1:$D$1,0)),""))))))</f>
        <v/>
      </c>
      <c r="AD113" s="41"/>
    </row>
    <row r="114" spans="1:30" s="22" customFormat="1" x14ac:dyDescent="0.25">
      <c r="A114" s="26"/>
      <c r="B114" s="27"/>
      <c r="C114" s="27"/>
      <c r="D114" s="27"/>
      <c r="E114" s="27"/>
      <c r="F114" s="45" t="str">
        <f t="shared" si="14"/>
        <v/>
      </c>
      <c r="G114" s="45" t="str">
        <f t="shared" si="15"/>
        <v/>
      </c>
      <c r="H114" s="27"/>
      <c r="I114" s="45" t="str">
        <f t="shared" si="16"/>
        <v/>
      </c>
      <c r="J114" s="45" t="str">
        <f t="shared" si="17"/>
        <v/>
      </c>
      <c r="K114" s="27"/>
      <c r="L114" s="45" t="str">
        <f t="shared" si="18"/>
        <v/>
      </c>
      <c r="M114" s="45" t="str">
        <f t="shared" si="19"/>
        <v/>
      </c>
      <c r="N114" s="27"/>
      <c r="O114" s="27"/>
      <c r="P114" s="28"/>
      <c r="Q114" s="28"/>
      <c r="R114" s="27"/>
      <c r="S114" s="27"/>
      <c r="T114" s="27"/>
      <c r="U114" s="27"/>
      <c r="V114" s="45" t="str">
        <f t="shared" si="20"/>
        <v/>
      </c>
      <c r="W114" s="45" t="str">
        <f t="shared" si="21"/>
        <v/>
      </c>
      <c r="X114" s="27"/>
      <c r="Y114" s="45" t="str">
        <f t="shared" si="11"/>
        <v/>
      </c>
      <c r="Z114" s="45" t="str">
        <f t="shared" si="12"/>
        <v/>
      </c>
      <c r="AA114" s="27"/>
      <c r="AB114" s="13" t="str">
        <f t="shared" ca="1" si="13"/>
        <v/>
      </c>
      <c r="AC114" s="13" t="str">
        <f ca="1">IF(A114="","",IF(OR(S114='02_マスタ'!$E$10,S114='02_マスタ'!$E$12),"",IF(R114="High","High",IF(AND(Q114&lt;&gt;"",Q114&lt;TODAY()),INDEX(_翻訳マスタ!$B$117:$D$247,MATCH("ALERT_OVERDUE",_翻訳マスタ!$A$117:$A$247,0),MATCH(言語切替!$B$3,_翻訳マスタ!$B$1:$D$1,0)),IF(AND(Q114&lt;&gt;"",Q114-TODAY()&lt;=7),INDEX(_翻訳マスタ!$B$117:$D$247,MATCH("ALERT_APPROACHING",_翻訳マスタ!$A$117:$A$247,0),MATCH(言語切替!$B$3,_翻訳マスタ!$B$1:$D$1,0)),IF(OR(S114='02_マスタ'!$E$7,S114='02_マスタ'!$E$8),INDEX(_翻訳マスタ!$B$117:$D$247,MATCH("ALERT_CHECK",_翻訳マスタ!$A$117:$A$247,0),MATCH(言語切替!$B$3,_翻訳マスタ!$B$1:$D$1,0)),""))))))</f>
        <v/>
      </c>
      <c r="AD114" s="40"/>
    </row>
    <row r="115" spans="1:30" s="22" customFormat="1" x14ac:dyDescent="0.25">
      <c r="A115" s="29"/>
      <c r="B115" s="30"/>
      <c r="C115" s="30"/>
      <c r="D115" s="30"/>
      <c r="E115" s="30"/>
      <c r="F115" s="46" t="str">
        <f t="shared" si="14"/>
        <v/>
      </c>
      <c r="G115" s="46" t="str">
        <f t="shared" si="15"/>
        <v/>
      </c>
      <c r="H115" s="30"/>
      <c r="I115" s="46" t="str">
        <f t="shared" si="16"/>
        <v/>
      </c>
      <c r="J115" s="46" t="str">
        <f t="shared" si="17"/>
        <v/>
      </c>
      <c r="K115" s="30"/>
      <c r="L115" s="46" t="str">
        <f t="shared" si="18"/>
        <v/>
      </c>
      <c r="M115" s="46" t="str">
        <f t="shared" si="19"/>
        <v/>
      </c>
      <c r="N115" s="30"/>
      <c r="O115" s="30"/>
      <c r="P115" s="31"/>
      <c r="Q115" s="31"/>
      <c r="R115" s="30"/>
      <c r="S115" s="30"/>
      <c r="T115" s="30"/>
      <c r="U115" s="30"/>
      <c r="V115" s="46" t="str">
        <f t="shared" si="20"/>
        <v/>
      </c>
      <c r="W115" s="46" t="str">
        <f t="shared" si="21"/>
        <v/>
      </c>
      <c r="X115" s="30"/>
      <c r="Y115" s="46" t="str">
        <f t="shared" si="11"/>
        <v/>
      </c>
      <c r="Z115" s="46" t="str">
        <f t="shared" si="12"/>
        <v/>
      </c>
      <c r="AA115" s="30"/>
      <c r="AB115" s="16" t="str">
        <f t="shared" ca="1" si="13"/>
        <v/>
      </c>
      <c r="AC115" s="16" t="str">
        <f ca="1">IF(A115="","",IF(OR(S115='02_マスタ'!$E$10,S115='02_マスタ'!$E$12),"",IF(R115="High","High",IF(AND(Q115&lt;&gt;"",Q115&lt;TODAY()),INDEX(_翻訳マスタ!$B$117:$D$247,MATCH("ALERT_OVERDUE",_翻訳マスタ!$A$117:$A$247,0),MATCH(言語切替!$B$3,_翻訳マスタ!$B$1:$D$1,0)),IF(AND(Q115&lt;&gt;"",Q115-TODAY()&lt;=7),INDEX(_翻訳マスタ!$B$117:$D$247,MATCH("ALERT_APPROACHING",_翻訳マスタ!$A$117:$A$247,0),MATCH(言語切替!$B$3,_翻訳マスタ!$B$1:$D$1,0)),IF(OR(S115='02_マスタ'!$E$7,S115='02_マスタ'!$E$8),INDEX(_翻訳マスタ!$B$117:$D$247,MATCH("ALERT_CHECK",_翻訳マスタ!$A$117:$A$247,0),MATCH(言語切替!$B$3,_翻訳マスタ!$B$1:$D$1,0)),""))))))</f>
        <v/>
      </c>
      <c r="AD115" s="41"/>
    </row>
    <row r="116" spans="1:30" s="22" customFormat="1" x14ac:dyDescent="0.25">
      <c r="A116" s="26"/>
      <c r="B116" s="27"/>
      <c r="C116" s="27"/>
      <c r="D116" s="27"/>
      <c r="E116" s="27"/>
      <c r="F116" s="45" t="str">
        <f t="shared" si="14"/>
        <v/>
      </c>
      <c r="G116" s="45" t="str">
        <f t="shared" si="15"/>
        <v/>
      </c>
      <c r="H116" s="27"/>
      <c r="I116" s="45" t="str">
        <f t="shared" si="16"/>
        <v/>
      </c>
      <c r="J116" s="45" t="str">
        <f t="shared" si="17"/>
        <v/>
      </c>
      <c r="K116" s="27"/>
      <c r="L116" s="45" t="str">
        <f t="shared" si="18"/>
        <v/>
      </c>
      <c r="M116" s="45" t="str">
        <f t="shared" si="19"/>
        <v/>
      </c>
      <c r="N116" s="27"/>
      <c r="O116" s="27"/>
      <c r="P116" s="28"/>
      <c r="Q116" s="28"/>
      <c r="R116" s="27"/>
      <c r="S116" s="27"/>
      <c r="T116" s="27"/>
      <c r="U116" s="27"/>
      <c r="V116" s="45" t="str">
        <f t="shared" si="20"/>
        <v/>
      </c>
      <c r="W116" s="45" t="str">
        <f t="shared" si="21"/>
        <v/>
      </c>
      <c r="X116" s="27"/>
      <c r="Y116" s="45" t="str">
        <f t="shared" si="11"/>
        <v/>
      </c>
      <c r="Z116" s="45" t="str">
        <f t="shared" si="12"/>
        <v/>
      </c>
      <c r="AA116" s="27"/>
      <c r="AB116" s="13" t="str">
        <f t="shared" ca="1" si="13"/>
        <v/>
      </c>
      <c r="AC116" s="13" t="str">
        <f ca="1">IF(A116="","",IF(OR(S116='02_マスタ'!$E$10,S116='02_マスタ'!$E$12),"",IF(R116="High","High",IF(AND(Q116&lt;&gt;"",Q116&lt;TODAY()),INDEX(_翻訳マスタ!$B$117:$D$247,MATCH("ALERT_OVERDUE",_翻訳マスタ!$A$117:$A$247,0),MATCH(言語切替!$B$3,_翻訳マスタ!$B$1:$D$1,0)),IF(AND(Q116&lt;&gt;"",Q116-TODAY()&lt;=7),INDEX(_翻訳マスタ!$B$117:$D$247,MATCH("ALERT_APPROACHING",_翻訳マスタ!$A$117:$A$247,0),MATCH(言語切替!$B$3,_翻訳マスタ!$B$1:$D$1,0)),IF(OR(S116='02_マスタ'!$E$7,S116='02_マスタ'!$E$8),INDEX(_翻訳マスタ!$B$117:$D$247,MATCH("ALERT_CHECK",_翻訳マスタ!$A$117:$A$247,0),MATCH(言語切替!$B$3,_翻訳マスタ!$B$1:$D$1,0)),""))))))</f>
        <v/>
      </c>
      <c r="AD116" s="40"/>
    </row>
    <row r="117" spans="1:30" s="22" customFormat="1" x14ac:dyDescent="0.25">
      <c r="A117" s="29"/>
      <c r="B117" s="30"/>
      <c r="C117" s="30"/>
      <c r="D117" s="30"/>
      <c r="E117" s="30"/>
      <c r="F117" s="46" t="str">
        <f t="shared" si="14"/>
        <v/>
      </c>
      <c r="G117" s="46" t="str">
        <f t="shared" si="15"/>
        <v/>
      </c>
      <c r="H117" s="30"/>
      <c r="I117" s="46" t="str">
        <f t="shared" si="16"/>
        <v/>
      </c>
      <c r="J117" s="46" t="str">
        <f t="shared" si="17"/>
        <v/>
      </c>
      <c r="K117" s="30"/>
      <c r="L117" s="46" t="str">
        <f t="shared" si="18"/>
        <v/>
      </c>
      <c r="M117" s="46" t="str">
        <f t="shared" si="19"/>
        <v/>
      </c>
      <c r="N117" s="30"/>
      <c r="O117" s="30"/>
      <c r="P117" s="31"/>
      <c r="Q117" s="31"/>
      <c r="R117" s="30"/>
      <c r="S117" s="30"/>
      <c r="T117" s="30"/>
      <c r="U117" s="30"/>
      <c r="V117" s="46" t="str">
        <f t="shared" si="20"/>
        <v/>
      </c>
      <c r="W117" s="46" t="str">
        <f t="shared" si="21"/>
        <v/>
      </c>
      <c r="X117" s="30"/>
      <c r="Y117" s="46" t="str">
        <f t="shared" si="11"/>
        <v/>
      </c>
      <c r="Z117" s="46" t="str">
        <f t="shared" si="12"/>
        <v/>
      </c>
      <c r="AA117" s="30"/>
      <c r="AB117" s="16" t="str">
        <f t="shared" ca="1" si="13"/>
        <v/>
      </c>
      <c r="AC117" s="16" t="str">
        <f ca="1">IF(A117="","",IF(OR(S117='02_マスタ'!$E$10,S117='02_マスタ'!$E$12),"",IF(R117="High","High",IF(AND(Q117&lt;&gt;"",Q117&lt;TODAY()),INDEX(_翻訳マスタ!$B$117:$D$247,MATCH("ALERT_OVERDUE",_翻訳マスタ!$A$117:$A$247,0),MATCH(言語切替!$B$3,_翻訳マスタ!$B$1:$D$1,0)),IF(AND(Q117&lt;&gt;"",Q117-TODAY()&lt;=7),INDEX(_翻訳マスタ!$B$117:$D$247,MATCH("ALERT_APPROACHING",_翻訳マスタ!$A$117:$A$247,0),MATCH(言語切替!$B$3,_翻訳マスタ!$B$1:$D$1,0)),IF(OR(S117='02_マスタ'!$E$7,S117='02_マスタ'!$E$8),INDEX(_翻訳マスタ!$B$117:$D$247,MATCH("ALERT_CHECK",_翻訳マスタ!$A$117:$A$247,0),MATCH(言語切替!$B$3,_翻訳マスタ!$B$1:$D$1,0)),""))))))</f>
        <v/>
      </c>
      <c r="AD117" s="41"/>
    </row>
    <row r="118" spans="1:30" s="22" customFormat="1" x14ac:dyDescent="0.25">
      <c r="A118" s="26"/>
      <c r="B118" s="27"/>
      <c r="C118" s="27"/>
      <c r="D118" s="27"/>
      <c r="E118" s="27"/>
      <c r="F118" s="45" t="str">
        <f t="shared" si="14"/>
        <v/>
      </c>
      <c r="G118" s="45" t="str">
        <f t="shared" si="15"/>
        <v/>
      </c>
      <c r="H118" s="27"/>
      <c r="I118" s="45" t="str">
        <f t="shared" si="16"/>
        <v/>
      </c>
      <c r="J118" s="45" t="str">
        <f t="shared" si="17"/>
        <v/>
      </c>
      <c r="K118" s="27"/>
      <c r="L118" s="45" t="str">
        <f t="shared" si="18"/>
        <v/>
      </c>
      <c r="M118" s="45" t="str">
        <f t="shared" si="19"/>
        <v/>
      </c>
      <c r="N118" s="27"/>
      <c r="O118" s="27"/>
      <c r="P118" s="28"/>
      <c r="Q118" s="28"/>
      <c r="R118" s="27"/>
      <c r="S118" s="27"/>
      <c r="T118" s="27"/>
      <c r="U118" s="27"/>
      <c r="V118" s="45" t="str">
        <f t="shared" si="20"/>
        <v/>
      </c>
      <c r="W118" s="45" t="str">
        <f t="shared" si="21"/>
        <v/>
      </c>
      <c r="X118" s="27"/>
      <c r="Y118" s="45" t="str">
        <f t="shared" si="11"/>
        <v/>
      </c>
      <c r="Z118" s="45" t="str">
        <f t="shared" si="12"/>
        <v/>
      </c>
      <c r="AA118" s="27"/>
      <c r="AB118" s="13" t="str">
        <f t="shared" ca="1" si="13"/>
        <v/>
      </c>
      <c r="AC118" s="13" t="str">
        <f ca="1">IF(A118="","",IF(OR(S118='02_マスタ'!$E$10,S118='02_マスタ'!$E$12),"",IF(R118="High","High",IF(AND(Q118&lt;&gt;"",Q118&lt;TODAY()),INDEX(_翻訳マスタ!$B$117:$D$247,MATCH("ALERT_OVERDUE",_翻訳マスタ!$A$117:$A$247,0),MATCH(言語切替!$B$3,_翻訳マスタ!$B$1:$D$1,0)),IF(AND(Q118&lt;&gt;"",Q118-TODAY()&lt;=7),INDEX(_翻訳マスタ!$B$117:$D$247,MATCH("ALERT_APPROACHING",_翻訳マスタ!$A$117:$A$247,0),MATCH(言語切替!$B$3,_翻訳マスタ!$B$1:$D$1,0)),IF(OR(S118='02_マスタ'!$E$7,S118='02_マスタ'!$E$8),INDEX(_翻訳マスタ!$B$117:$D$247,MATCH("ALERT_CHECK",_翻訳マスタ!$A$117:$A$247,0),MATCH(言語切替!$B$3,_翻訳マスタ!$B$1:$D$1,0)),""))))))</f>
        <v/>
      </c>
      <c r="AD118" s="40"/>
    </row>
    <row r="119" spans="1:30" s="22" customFormat="1" x14ac:dyDescent="0.25">
      <c r="A119" s="29"/>
      <c r="B119" s="30"/>
      <c r="C119" s="30"/>
      <c r="D119" s="30"/>
      <c r="E119" s="30"/>
      <c r="F119" s="46" t="str">
        <f t="shared" si="14"/>
        <v/>
      </c>
      <c r="G119" s="46" t="str">
        <f t="shared" si="15"/>
        <v/>
      </c>
      <c r="H119" s="30"/>
      <c r="I119" s="46" t="str">
        <f t="shared" si="16"/>
        <v/>
      </c>
      <c r="J119" s="46" t="str">
        <f t="shared" si="17"/>
        <v/>
      </c>
      <c r="K119" s="30"/>
      <c r="L119" s="46" t="str">
        <f t="shared" si="18"/>
        <v/>
      </c>
      <c r="M119" s="46" t="str">
        <f t="shared" si="19"/>
        <v/>
      </c>
      <c r="N119" s="30"/>
      <c r="O119" s="30"/>
      <c r="P119" s="31"/>
      <c r="Q119" s="31"/>
      <c r="R119" s="30"/>
      <c r="S119" s="30"/>
      <c r="T119" s="30"/>
      <c r="U119" s="30"/>
      <c r="V119" s="46" t="str">
        <f t="shared" si="20"/>
        <v/>
      </c>
      <c r="W119" s="46" t="str">
        <f t="shared" si="21"/>
        <v/>
      </c>
      <c r="X119" s="30"/>
      <c r="Y119" s="46" t="str">
        <f t="shared" si="11"/>
        <v/>
      </c>
      <c r="Z119" s="46" t="str">
        <f t="shared" si="12"/>
        <v/>
      </c>
      <c r="AA119" s="30"/>
      <c r="AB119" s="16" t="str">
        <f t="shared" ca="1" si="13"/>
        <v/>
      </c>
      <c r="AC119" s="16" t="str">
        <f ca="1">IF(A119="","",IF(OR(S119='02_マスタ'!$E$10,S119='02_マスタ'!$E$12),"",IF(R119="High","High",IF(AND(Q119&lt;&gt;"",Q119&lt;TODAY()),INDEX(_翻訳マスタ!$B$117:$D$247,MATCH("ALERT_OVERDUE",_翻訳マスタ!$A$117:$A$247,0),MATCH(言語切替!$B$3,_翻訳マスタ!$B$1:$D$1,0)),IF(AND(Q119&lt;&gt;"",Q119-TODAY()&lt;=7),INDEX(_翻訳マスタ!$B$117:$D$247,MATCH("ALERT_APPROACHING",_翻訳マスタ!$A$117:$A$247,0),MATCH(言語切替!$B$3,_翻訳マスタ!$B$1:$D$1,0)),IF(OR(S119='02_マスタ'!$E$7,S119='02_マスタ'!$E$8),INDEX(_翻訳マスタ!$B$117:$D$247,MATCH("ALERT_CHECK",_翻訳マスタ!$A$117:$A$247,0),MATCH(言語切替!$B$3,_翻訳マスタ!$B$1:$D$1,0)),""))))))</f>
        <v/>
      </c>
      <c r="AD119" s="41"/>
    </row>
    <row r="120" spans="1:30" s="22" customFormat="1" x14ac:dyDescent="0.25">
      <c r="A120" s="26"/>
      <c r="B120" s="27"/>
      <c r="C120" s="27"/>
      <c r="D120" s="27"/>
      <c r="E120" s="27"/>
      <c r="F120" s="45" t="str">
        <f t="shared" si="14"/>
        <v/>
      </c>
      <c r="G120" s="45" t="str">
        <f t="shared" si="15"/>
        <v/>
      </c>
      <c r="H120" s="27"/>
      <c r="I120" s="45" t="str">
        <f t="shared" si="16"/>
        <v/>
      </c>
      <c r="J120" s="45" t="str">
        <f t="shared" si="17"/>
        <v/>
      </c>
      <c r="K120" s="27"/>
      <c r="L120" s="45" t="str">
        <f t="shared" si="18"/>
        <v/>
      </c>
      <c r="M120" s="45" t="str">
        <f t="shared" si="19"/>
        <v/>
      </c>
      <c r="N120" s="27"/>
      <c r="O120" s="27"/>
      <c r="P120" s="28"/>
      <c r="Q120" s="28"/>
      <c r="R120" s="27"/>
      <c r="S120" s="27"/>
      <c r="T120" s="27"/>
      <c r="U120" s="27"/>
      <c r="V120" s="45" t="str">
        <f t="shared" si="20"/>
        <v/>
      </c>
      <c r="W120" s="45" t="str">
        <f t="shared" si="21"/>
        <v/>
      </c>
      <c r="X120" s="27"/>
      <c r="Y120" s="45" t="str">
        <f t="shared" si="11"/>
        <v/>
      </c>
      <c r="Z120" s="45" t="str">
        <f t="shared" si="12"/>
        <v/>
      </c>
      <c r="AA120" s="27"/>
      <c r="AB120" s="13" t="str">
        <f t="shared" ca="1" si="13"/>
        <v/>
      </c>
      <c r="AC120" s="13" t="str">
        <f ca="1">IF(A120="","",IF(OR(S120='02_マスタ'!$E$10,S120='02_マスタ'!$E$12),"",IF(R120="High","High",IF(AND(Q120&lt;&gt;"",Q120&lt;TODAY()),INDEX(_翻訳マスタ!$B$117:$D$247,MATCH("ALERT_OVERDUE",_翻訳マスタ!$A$117:$A$247,0),MATCH(言語切替!$B$3,_翻訳マスタ!$B$1:$D$1,0)),IF(AND(Q120&lt;&gt;"",Q120-TODAY()&lt;=7),INDEX(_翻訳マスタ!$B$117:$D$247,MATCH("ALERT_APPROACHING",_翻訳マスタ!$A$117:$A$247,0),MATCH(言語切替!$B$3,_翻訳マスタ!$B$1:$D$1,0)),IF(OR(S120='02_マスタ'!$E$7,S120='02_マスタ'!$E$8),INDEX(_翻訳マスタ!$B$117:$D$247,MATCH("ALERT_CHECK",_翻訳マスタ!$A$117:$A$247,0),MATCH(言語切替!$B$3,_翻訳マスタ!$B$1:$D$1,0)),""))))))</f>
        <v/>
      </c>
      <c r="AD120" s="40"/>
    </row>
    <row r="121" spans="1:30" s="22" customFormat="1" x14ac:dyDescent="0.25">
      <c r="A121" s="29"/>
      <c r="B121" s="30"/>
      <c r="C121" s="30"/>
      <c r="D121" s="30"/>
      <c r="E121" s="30"/>
      <c r="F121" s="46" t="str">
        <f t="shared" si="14"/>
        <v/>
      </c>
      <c r="G121" s="46" t="str">
        <f t="shared" si="15"/>
        <v/>
      </c>
      <c r="H121" s="30"/>
      <c r="I121" s="46" t="str">
        <f t="shared" si="16"/>
        <v/>
      </c>
      <c r="J121" s="46" t="str">
        <f t="shared" si="17"/>
        <v/>
      </c>
      <c r="K121" s="30"/>
      <c r="L121" s="46" t="str">
        <f t="shared" si="18"/>
        <v/>
      </c>
      <c r="M121" s="46" t="str">
        <f t="shared" si="19"/>
        <v/>
      </c>
      <c r="N121" s="30"/>
      <c r="O121" s="30"/>
      <c r="P121" s="31"/>
      <c r="Q121" s="31"/>
      <c r="R121" s="30"/>
      <c r="S121" s="30"/>
      <c r="T121" s="30"/>
      <c r="U121" s="30"/>
      <c r="V121" s="46" t="str">
        <f t="shared" si="20"/>
        <v/>
      </c>
      <c r="W121" s="46" t="str">
        <f t="shared" si="21"/>
        <v/>
      </c>
      <c r="X121" s="30"/>
      <c r="Y121" s="46" t="str">
        <f t="shared" si="11"/>
        <v/>
      </c>
      <c r="Z121" s="46" t="str">
        <f t="shared" si="12"/>
        <v/>
      </c>
      <c r="AA121" s="30"/>
      <c r="AB121" s="16" t="str">
        <f t="shared" ca="1" si="13"/>
        <v/>
      </c>
      <c r="AC121" s="16" t="str">
        <f ca="1">IF(A121="","",IF(OR(S121='02_マスタ'!$E$10,S121='02_マスタ'!$E$12),"",IF(R121="High","High",IF(AND(Q121&lt;&gt;"",Q121&lt;TODAY()),INDEX(_翻訳マスタ!$B$117:$D$247,MATCH("ALERT_OVERDUE",_翻訳マスタ!$A$117:$A$247,0),MATCH(言語切替!$B$3,_翻訳マスタ!$B$1:$D$1,0)),IF(AND(Q121&lt;&gt;"",Q121-TODAY()&lt;=7),INDEX(_翻訳マスタ!$B$117:$D$247,MATCH("ALERT_APPROACHING",_翻訳マスタ!$A$117:$A$247,0),MATCH(言語切替!$B$3,_翻訳マスタ!$B$1:$D$1,0)),IF(OR(S121='02_マスタ'!$E$7,S121='02_マスタ'!$E$8),INDEX(_翻訳マスタ!$B$117:$D$247,MATCH("ALERT_CHECK",_翻訳マスタ!$A$117:$A$247,0),MATCH(言語切替!$B$3,_翻訳マスタ!$B$1:$D$1,0)),""))))))</f>
        <v/>
      </c>
      <c r="AD121" s="41"/>
    </row>
    <row r="122" spans="1:30" s="22" customFormat="1" x14ac:dyDescent="0.25">
      <c r="A122" s="26"/>
      <c r="B122" s="27"/>
      <c r="C122" s="27"/>
      <c r="D122" s="27"/>
      <c r="E122" s="27"/>
      <c r="F122" s="45" t="str">
        <f t="shared" si="14"/>
        <v/>
      </c>
      <c r="G122" s="45" t="str">
        <f t="shared" si="15"/>
        <v/>
      </c>
      <c r="H122" s="27"/>
      <c r="I122" s="45" t="str">
        <f t="shared" si="16"/>
        <v/>
      </c>
      <c r="J122" s="45" t="str">
        <f t="shared" si="17"/>
        <v/>
      </c>
      <c r="K122" s="27"/>
      <c r="L122" s="45" t="str">
        <f t="shared" si="18"/>
        <v/>
      </c>
      <c r="M122" s="45" t="str">
        <f t="shared" si="19"/>
        <v/>
      </c>
      <c r="N122" s="27"/>
      <c r="O122" s="27"/>
      <c r="P122" s="28"/>
      <c r="Q122" s="28"/>
      <c r="R122" s="27"/>
      <c r="S122" s="27"/>
      <c r="T122" s="27"/>
      <c r="U122" s="27"/>
      <c r="V122" s="45" t="str">
        <f t="shared" si="20"/>
        <v/>
      </c>
      <c r="W122" s="45" t="str">
        <f t="shared" si="21"/>
        <v/>
      </c>
      <c r="X122" s="27"/>
      <c r="Y122" s="45" t="str">
        <f t="shared" si="11"/>
        <v/>
      </c>
      <c r="Z122" s="45" t="str">
        <f t="shared" si="12"/>
        <v/>
      </c>
      <c r="AA122" s="27"/>
      <c r="AB122" s="13" t="str">
        <f t="shared" ca="1" si="13"/>
        <v/>
      </c>
      <c r="AC122" s="13" t="str">
        <f ca="1">IF(A122="","",IF(OR(S122='02_マスタ'!$E$10,S122='02_マスタ'!$E$12),"",IF(R122="High","High",IF(AND(Q122&lt;&gt;"",Q122&lt;TODAY()),INDEX(_翻訳マスタ!$B$117:$D$247,MATCH("ALERT_OVERDUE",_翻訳マスタ!$A$117:$A$247,0),MATCH(言語切替!$B$3,_翻訳マスタ!$B$1:$D$1,0)),IF(AND(Q122&lt;&gt;"",Q122-TODAY()&lt;=7),INDEX(_翻訳マスタ!$B$117:$D$247,MATCH("ALERT_APPROACHING",_翻訳マスタ!$A$117:$A$247,0),MATCH(言語切替!$B$3,_翻訳マスタ!$B$1:$D$1,0)),IF(OR(S122='02_マスタ'!$E$7,S122='02_マスタ'!$E$8),INDEX(_翻訳マスタ!$B$117:$D$247,MATCH("ALERT_CHECK",_翻訳マスタ!$A$117:$A$247,0),MATCH(言語切替!$B$3,_翻訳マスタ!$B$1:$D$1,0)),""))))))</f>
        <v/>
      </c>
      <c r="AD122" s="40"/>
    </row>
    <row r="123" spans="1:30" s="22" customFormat="1" x14ac:dyDescent="0.25">
      <c r="A123" s="29"/>
      <c r="B123" s="30"/>
      <c r="C123" s="30"/>
      <c r="D123" s="30"/>
      <c r="E123" s="30"/>
      <c r="F123" s="46" t="str">
        <f t="shared" si="14"/>
        <v/>
      </c>
      <c r="G123" s="46" t="str">
        <f t="shared" si="15"/>
        <v/>
      </c>
      <c r="H123" s="30"/>
      <c r="I123" s="46" t="str">
        <f t="shared" si="16"/>
        <v/>
      </c>
      <c r="J123" s="46" t="str">
        <f t="shared" si="17"/>
        <v/>
      </c>
      <c r="K123" s="30"/>
      <c r="L123" s="46" t="str">
        <f t="shared" si="18"/>
        <v/>
      </c>
      <c r="M123" s="46" t="str">
        <f t="shared" si="19"/>
        <v/>
      </c>
      <c r="N123" s="30"/>
      <c r="O123" s="30"/>
      <c r="P123" s="31"/>
      <c r="Q123" s="31"/>
      <c r="R123" s="30"/>
      <c r="S123" s="30"/>
      <c r="T123" s="30"/>
      <c r="U123" s="30"/>
      <c r="V123" s="46" t="str">
        <f t="shared" si="20"/>
        <v/>
      </c>
      <c r="W123" s="46" t="str">
        <f t="shared" si="21"/>
        <v/>
      </c>
      <c r="X123" s="30"/>
      <c r="Y123" s="46" t="str">
        <f t="shared" si="11"/>
        <v/>
      </c>
      <c r="Z123" s="46" t="str">
        <f t="shared" si="12"/>
        <v/>
      </c>
      <c r="AA123" s="30"/>
      <c r="AB123" s="16" t="str">
        <f t="shared" ca="1" si="13"/>
        <v/>
      </c>
      <c r="AC123" s="16" t="str">
        <f ca="1">IF(A123="","",IF(OR(S123='02_マスタ'!$E$10,S123='02_マスタ'!$E$12),"",IF(R123="High","High",IF(AND(Q123&lt;&gt;"",Q123&lt;TODAY()),INDEX(_翻訳マスタ!$B$117:$D$247,MATCH("ALERT_OVERDUE",_翻訳マスタ!$A$117:$A$247,0),MATCH(言語切替!$B$3,_翻訳マスタ!$B$1:$D$1,0)),IF(AND(Q123&lt;&gt;"",Q123-TODAY()&lt;=7),INDEX(_翻訳マスタ!$B$117:$D$247,MATCH("ALERT_APPROACHING",_翻訳マスタ!$A$117:$A$247,0),MATCH(言語切替!$B$3,_翻訳マスタ!$B$1:$D$1,0)),IF(OR(S123='02_マスタ'!$E$7,S123='02_マスタ'!$E$8),INDEX(_翻訳マスタ!$B$117:$D$247,MATCH("ALERT_CHECK",_翻訳マスタ!$A$117:$A$247,0),MATCH(言語切替!$B$3,_翻訳マスタ!$B$1:$D$1,0)),""))))))</f>
        <v/>
      </c>
      <c r="AD123" s="41"/>
    </row>
    <row r="124" spans="1:30" s="22" customFormat="1" x14ac:dyDescent="0.25">
      <c r="A124" s="26"/>
      <c r="B124" s="27"/>
      <c r="C124" s="27"/>
      <c r="D124" s="27"/>
      <c r="E124" s="27"/>
      <c r="F124" s="45" t="str">
        <f t="shared" si="14"/>
        <v/>
      </c>
      <c r="G124" s="45" t="str">
        <f t="shared" si="15"/>
        <v/>
      </c>
      <c r="H124" s="27"/>
      <c r="I124" s="45" t="str">
        <f t="shared" si="16"/>
        <v/>
      </c>
      <c r="J124" s="45" t="str">
        <f t="shared" si="17"/>
        <v/>
      </c>
      <c r="K124" s="27"/>
      <c r="L124" s="45" t="str">
        <f t="shared" si="18"/>
        <v/>
      </c>
      <c r="M124" s="45" t="str">
        <f t="shared" si="19"/>
        <v/>
      </c>
      <c r="N124" s="27"/>
      <c r="O124" s="27"/>
      <c r="P124" s="28"/>
      <c r="Q124" s="28"/>
      <c r="R124" s="27"/>
      <c r="S124" s="27"/>
      <c r="T124" s="27"/>
      <c r="U124" s="27"/>
      <c r="V124" s="45" t="str">
        <f t="shared" si="20"/>
        <v/>
      </c>
      <c r="W124" s="45" t="str">
        <f t="shared" si="21"/>
        <v/>
      </c>
      <c r="X124" s="27"/>
      <c r="Y124" s="45" t="str">
        <f t="shared" si="11"/>
        <v/>
      </c>
      <c r="Z124" s="45" t="str">
        <f t="shared" si="12"/>
        <v/>
      </c>
      <c r="AA124" s="27"/>
      <c r="AB124" s="13" t="str">
        <f t="shared" ca="1" si="13"/>
        <v/>
      </c>
      <c r="AC124" s="13" t="str">
        <f ca="1">IF(A124="","",IF(OR(S124='02_マスタ'!$E$10,S124='02_マスタ'!$E$12),"",IF(R124="High","High",IF(AND(Q124&lt;&gt;"",Q124&lt;TODAY()),INDEX(_翻訳マスタ!$B$117:$D$247,MATCH("ALERT_OVERDUE",_翻訳マスタ!$A$117:$A$247,0),MATCH(言語切替!$B$3,_翻訳マスタ!$B$1:$D$1,0)),IF(AND(Q124&lt;&gt;"",Q124-TODAY()&lt;=7),INDEX(_翻訳マスタ!$B$117:$D$247,MATCH("ALERT_APPROACHING",_翻訳マスタ!$A$117:$A$247,0),MATCH(言語切替!$B$3,_翻訳マスタ!$B$1:$D$1,0)),IF(OR(S124='02_マスタ'!$E$7,S124='02_マスタ'!$E$8),INDEX(_翻訳マスタ!$B$117:$D$247,MATCH("ALERT_CHECK",_翻訳マスタ!$A$117:$A$247,0),MATCH(言語切替!$B$3,_翻訳マスタ!$B$1:$D$1,0)),""))))))</f>
        <v/>
      </c>
      <c r="AD124" s="40"/>
    </row>
    <row r="125" spans="1:30" s="22" customFormat="1" x14ac:dyDescent="0.25">
      <c r="A125" s="29"/>
      <c r="B125" s="30"/>
      <c r="C125" s="30"/>
      <c r="D125" s="30"/>
      <c r="E125" s="30"/>
      <c r="F125" s="46" t="str">
        <f t="shared" si="14"/>
        <v/>
      </c>
      <c r="G125" s="46" t="str">
        <f t="shared" si="15"/>
        <v/>
      </c>
      <c r="H125" s="30"/>
      <c r="I125" s="46" t="str">
        <f t="shared" si="16"/>
        <v/>
      </c>
      <c r="J125" s="46" t="str">
        <f t="shared" si="17"/>
        <v/>
      </c>
      <c r="K125" s="30"/>
      <c r="L125" s="46" t="str">
        <f t="shared" si="18"/>
        <v/>
      </c>
      <c r="M125" s="46" t="str">
        <f t="shared" si="19"/>
        <v/>
      </c>
      <c r="N125" s="30"/>
      <c r="O125" s="30"/>
      <c r="P125" s="31"/>
      <c r="Q125" s="31"/>
      <c r="R125" s="30"/>
      <c r="S125" s="30"/>
      <c r="T125" s="30"/>
      <c r="U125" s="30"/>
      <c r="V125" s="46" t="str">
        <f t="shared" si="20"/>
        <v/>
      </c>
      <c r="W125" s="46" t="str">
        <f t="shared" si="21"/>
        <v/>
      </c>
      <c r="X125" s="30"/>
      <c r="Y125" s="46" t="str">
        <f t="shared" si="11"/>
        <v/>
      </c>
      <c r="Z125" s="46" t="str">
        <f t="shared" si="12"/>
        <v/>
      </c>
      <c r="AA125" s="30"/>
      <c r="AB125" s="16" t="str">
        <f t="shared" ca="1" si="13"/>
        <v/>
      </c>
      <c r="AC125" s="16" t="str">
        <f ca="1">IF(A125="","",IF(OR(S125='02_マスタ'!$E$10,S125='02_マスタ'!$E$12),"",IF(R125="High","High",IF(AND(Q125&lt;&gt;"",Q125&lt;TODAY()),INDEX(_翻訳マスタ!$B$117:$D$247,MATCH("ALERT_OVERDUE",_翻訳マスタ!$A$117:$A$247,0),MATCH(言語切替!$B$3,_翻訳マスタ!$B$1:$D$1,0)),IF(AND(Q125&lt;&gt;"",Q125-TODAY()&lt;=7),INDEX(_翻訳マスタ!$B$117:$D$247,MATCH("ALERT_APPROACHING",_翻訳マスタ!$A$117:$A$247,0),MATCH(言語切替!$B$3,_翻訳マスタ!$B$1:$D$1,0)),IF(OR(S125='02_マスタ'!$E$7,S125='02_マスタ'!$E$8),INDEX(_翻訳マスタ!$B$117:$D$247,MATCH("ALERT_CHECK",_翻訳マスタ!$A$117:$A$247,0),MATCH(言語切替!$B$3,_翻訳マスタ!$B$1:$D$1,0)),""))))))</f>
        <v/>
      </c>
      <c r="AD125" s="41"/>
    </row>
    <row r="126" spans="1:30" s="22" customFormat="1" x14ac:dyDescent="0.25">
      <c r="A126" s="26"/>
      <c r="B126" s="27"/>
      <c r="C126" s="27"/>
      <c r="D126" s="27"/>
      <c r="E126" s="27"/>
      <c r="F126" s="45" t="str">
        <f t="shared" si="14"/>
        <v/>
      </c>
      <c r="G126" s="45" t="str">
        <f t="shared" si="15"/>
        <v/>
      </c>
      <c r="H126" s="27"/>
      <c r="I126" s="45" t="str">
        <f t="shared" si="16"/>
        <v/>
      </c>
      <c r="J126" s="45" t="str">
        <f t="shared" si="17"/>
        <v/>
      </c>
      <c r="K126" s="27"/>
      <c r="L126" s="45" t="str">
        <f t="shared" si="18"/>
        <v/>
      </c>
      <c r="M126" s="45" t="str">
        <f t="shared" si="19"/>
        <v/>
      </c>
      <c r="N126" s="27"/>
      <c r="O126" s="27"/>
      <c r="P126" s="28"/>
      <c r="Q126" s="28"/>
      <c r="R126" s="27"/>
      <c r="S126" s="27"/>
      <c r="T126" s="27"/>
      <c r="U126" s="27"/>
      <c r="V126" s="45" t="str">
        <f t="shared" si="20"/>
        <v/>
      </c>
      <c r="W126" s="45" t="str">
        <f t="shared" si="21"/>
        <v/>
      </c>
      <c r="X126" s="27"/>
      <c r="Y126" s="45" t="str">
        <f t="shared" si="11"/>
        <v/>
      </c>
      <c r="Z126" s="45" t="str">
        <f t="shared" si="12"/>
        <v/>
      </c>
      <c r="AA126" s="27"/>
      <c r="AB126" s="13" t="str">
        <f t="shared" ca="1" si="13"/>
        <v/>
      </c>
      <c r="AC126" s="13" t="str">
        <f ca="1">IF(A126="","",IF(OR(S126='02_マスタ'!$E$10,S126='02_マスタ'!$E$12),"",IF(R126="High","High",IF(AND(Q126&lt;&gt;"",Q126&lt;TODAY()),INDEX(_翻訳マスタ!$B$117:$D$247,MATCH("ALERT_OVERDUE",_翻訳マスタ!$A$117:$A$247,0),MATCH(言語切替!$B$3,_翻訳マスタ!$B$1:$D$1,0)),IF(AND(Q126&lt;&gt;"",Q126-TODAY()&lt;=7),INDEX(_翻訳マスタ!$B$117:$D$247,MATCH("ALERT_APPROACHING",_翻訳マスタ!$A$117:$A$247,0),MATCH(言語切替!$B$3,_翻訳マスタ!$B$1:$D$1,0)),IF(OR(S126='02_マスタ'!$E$7,S126='02_マスタ'!$E$8),INDEX(_翻訳マスタ!$B$117:$D$247,MATCH("ALERT_CHECK",_翻訳マスタ!$A$117:$A$247,0),MATCH(言語切替!$B$3,_翻訳マスタ!$B$1:$D$1,0)),""))))))</f>
        <v/>
      </c>
      <c r="AD126" s="40"/>
    </row>
    <row r="127" spans="1:30" s="22" customFormat="1" x14ac:dyDescent="0.25">
      <c r="A127" s="29"/>
      <c r="B127" s="30"/>
      <c r="C127" s="30"/>
      <c r="D127" s="30"/>
      <c r="E127" s="30"/>
      <c r="F127" s="46" t="str">
        <f t="shared" si="14"/>
        <v/>
      </c>
      <c r="G127" s="46" t="str">
        <f t="shared" si="15"/>
        <v/>
      </c>
      <c r="H127" s="30"/>
      <c r="I127" s="46" t="str">
        <f t="shared" si="16"/>
        <v/>
      </c>
      <c r="J127" s="46" t="str">
        <f t="shared" si="17"/>
        <v/>
      </c>
      <c r="K127" s="30"/>
      <c r="L127" s="46" t="str">
        <f t="shared" si="18"/>
        <v/>
      </c>
      <c r="M127" s="46" t="str">
        <f t="shared" si="19"/>
        <v/>
      </c>
      <c r="N127" s="30"/>
      <c r="O127" s="30"/>
      <c r="P127" s="31"/>
      <c r="Q127" s="31"/>
      <c r="R127" s="30"/>
      <c r="S127" s="30"/>
      <c r="T127" s="30"/>
      <c r="U127" s="30"/>
      <c r="V127" s="46" t="str">
        <f t="shared" si="20"/>
        <v/>
      </c>
      <c r="W127" s="46" t="str">
        <f t="shared" si="21"/>
        <v/>
      </c>
      <c r="X127" s="30"/>
      <c r="Y127" s="46" t="str">
        <f t="shared" si="11"/>
        <v/>
      </c>
      <c r="Z127" s="46" t="str">
        <f t="shared" si="12"/>
        <v/>
      </c>
      <c r="AA127" s="30"/>
      <c r="AB127" s="16" t="str">
        <f t="shared" ca="1" si="13"/>
        <v/>
      </c>
      <c r="AC127" s="16" t="str">
        <f ca="1">IF(A127="","",IF(OR(S127='02_マスタ'!$E$10,S127='02_マスタ'!$E$12),"",IF(R127="High","High",IF(AND(Q127&lt;&gt;"",Q127&lt;TODAY()),INDEX(_翻訳マスタ!$B$117:$D$247,MATCH("ALERT_OVERDUE",_翻訳マスタ!$A$117:$A$247,0),MATCH(言語切替!$B$3,_翻訳マスタ!$B$1:$D$1,0)),IF(AND(Q127&lt;&gt;"",Q127-TODAY()&lt;=7),INDEX(_翻訳マスタ!$B$117:$D$247,MATCH("ALERT_APPROACHING",_翻訳マスタ!$A$117:$A$247,0),MATCH(言語切替!$B$3,_翻訳マスタ!$B$1:$D$1,0)),IF(OR(S127='02_マスタ'!$E$7,S127='02_マスタ'!$E$8),INDEX(_翻訳マスタ!$B$117:$D$247,MATCH("ALERT_CHECK",_翻訳マスタ!$A$117:$A$247,0),MATCH(言語切替!$B$3,_翻訳マスタ!$B$1:$D$1,0)),""))))))</f>
        <v/>
      </c>
      <c r="AD127" s="41"/>
    </row>
    <row r="128" spans="1:30" s="22" customFormat="1" x14ac:dyDescent="0.25">
      <c r="A128" s="26"/>
      <c r="B128" s="27"/>
      <c r="C128" s="27"/>
      <c r="D128" s="27"/>
      <c r="E128" s="27"/>
      <c r="F128" s="45" t="str">
        <f t="shared" si="14"/>
        <v/>
      </c>
      <c r="G128" s="45" t="str">
        <f t="shared" si="15"/>
        <v/>
      </c>
      <c r="H128" s="27"/>
      <c r="I128" s="45" t="str">
        <f t="shared" si="16"/>
        <v/>
      </c>
      <c r="J128" s="45" t="str">
        <f t="shared" si="17"/>
        <v/>
      </c>
      <c r="K128" s="27"/>
      <c r="L128" s="45" t="str">
        <f t="shared" si="18"/>
        <v/>
      </c>
      <c r="M128" s="45" t="str">
        <f t="shared" si="19"/>
        <v/>
      </c>
      <c r="N128" s="27"/>
      <c r="O128" s="27"/>
      <c r="P128" s="28"/>
      <c r="Q128" s="28"/>
      <c r="R128" s="27"/>
      <c r="S128" s="27"/>
      <c r="T128" s="27"/>
      <c r="U128" s="27"/>
      <c r="V128" s="45" t="str">
        <f t="shared" si="20"/>
        <v/>
      </c>
      <c r="W128" s="45" t="str">
        <f t="shared" si="21"/>
        <v/>
      </c>
      <c r="X128" s="27"/>
      <c r="Y128" s="45" t="str">
        <f t="shared" si="11"/>
        <v/>
      </c>
      <c r="Z128" s="45" t="str">
        <f t="shared" si="12"/>
        <v/>
      </c>
      <c r="AA128" s="27"/>
      <c r="AB128" s="13" t="str">
        <f t="shared" ca="1" si="13"/>
        <v/>
      </c>
      <c r="AC128" s="13" t="str">
        <f ca="1">IF(A128="","",IF(OR(S128='02_マスタ'!$E$10,S128='02_マスタ'!$E$12),"",IF(R128="High","High",IF(AND(Q128&lt;&gt;"",Q128&lt;TODAY()),INDEX(_翻訳マスタ!$B$117:$D$247,MATCH("ALERT_OVERDUE",_翻訳マスタ!$A$117:$A$247,0),MATCH(言語切替!$B$3,_翻訳マスタ!$B$1:$D$1,0)),IF(AND(Q128&lt;&gt;"",Q128-TODAY()&lt;=7),INDEX(_翻訳マスタ!$B$117:$D$247,MATCH("ALERT_APPROACHING",_翻訳マスタ!$A$117:$A$247,0),MATCH(言語切替!$B$3,_翻訳マスタ!$B$1:$D$1,0)),IF(OR(S128='02_マスタ'!$E$7,S128='02_マスタ'!$E$8),INDEX(_翻訳マスタ!$B$117:$D$247,MATCH("ALERT_CHECK",_翻訳マスタ!$A$117:$A$247,0),MATCH(言語切替!$B$3,_翻訳マスタ!$B$1:$D$1,0)),""))))))</f>
        <v/>
      </c>
      <c r="AD128" s="40"/>
    </row>
    <row r="129" spans="1:30" s="22" customFormat="1" x14ac:dyDescent="0.25">
      <c r="A129" s="29"/>
      <c r="B129" s="30"/>
      <c r="C129" s="30"/>
      <c r="D129" s="30"/>
      <c r="E129" s="30"/>
      <c r="F129" s="46" t="str">
        <f t="shared" si="14"/>
        <v/>
      </c>
      <c r="G129" s="46" t="str">
        <f t="shared" si="15"/>
        <v/>
      </c>
      <c r="H129" s="30"/>
      <c r="I129" s="46" t="str">
        <f t="shared" si="16"/>
        <v/>
      </c>
      <c r="J129" s="46" t="str">
        <f t="shared" si="17"/>
        <v/>
      </c>
      <c r="K129" s="30"/>
      <c r="L129" s="46" t="str">
        <f t="shared" si="18"/>
        <v/>
      </c>
      <c r="M129" s="46" t="str">
        <f t="shared" si="19"/>
        <v/>
      </c>
      <c r="N129" s="30"/>
      <c r="O129" s="30"/>
      <c r="P129" s="31"/>
      <c r="Q129" s="31"/>
      <c r="R129" s="30"/>
      <c r="S129" s="30"/>
      <c r="T129" s="30"/>
      <c r="U129" s="30"/>
      <c r="V129" s="46" t="str">
        <f t="shared" si="20"/>
        <v/>
      </c>
      <c r="W129" s="46" t="str">
        <f t="shared" si="21"/>
        <v/>
      </c>
      <c r="X129" s="30"/>
      <c r="Y129" s="46" t="str">
        <f t="shared" si="11"/>
        <v/>
      </c>
      <c r="Z129" s="46" t="str">
        <f t="shared" si="12"/>
        <v/>
      </c>
      <c r="AA129" s="30"/>
      <c r="AB129" s="16" t="str">
        <f t="shared" ca="1" si="13"/>
        <v/>
      </c>
      <c r="AC129" s="16" t="str">
        <f ca="1">IF(A129="","",IF(OR(S129='02_マスタ'!$E$10,S129='02_マスタ'!$E$12),"",IF(R129="High","High",IF(AND(Q129&lt;&gt;"",Q129&lt;TODAY()),INDEX(_翻訳マスタ!$B$117:$D$247,MATCH("ALERT_OVERDUE",_翻訳マスタ!$A$117:$A$247,0),MATCH(言語切替!$B$3,_翻訳マスタ!$B$1:$D$1,0)),IF(AND(Q129&lt;&gt;"",Q129-TODAY()&lt;=7),INDEX(_翻訳マスタ!$B$117:$D$247,MATCH("ALERT_APPROACHING",_翻訳マスタ!$A$117:$A$247,0),MATCH(言語切替!$B$3,_翻訳マスタ!$B$1:$D$1,0)),IF(OR(S129='02_マスタ'!$E$7,S129='02_マスタ'!$E$8),INDEX(_翻訳マスタ!$B$117:$D$247,MATCH("ALERT_CHECK",_翻訳マスタ!$A$117:$A$247,0),MATCH(言語切替!$B$3,_翻訳マスタ!$B$1:$D$1,0)),""))))))</f>
        <v/>
      </c>
      <c r="AD129" s="41"/>
    </row>
    <row r="130" spans="1:30" s="22" customFormat="1" x14ac:dyDescent="0.25">
      <c r="A130" s="26"/>
      <c r="B130" s="27"/>
      <c r="C130" s="27"/>
      <c r="D130" s="27"/>
      <c r="E130" s="27"/>
      <c r="F130" s="45" t="str">
        <f t="shared" si="14"/>
        <v/>
      </c>
      <c r="G130" s="45" t="str">
        <f t="shared" si="15"/>
        <v/>
      </c>
      <c r="H130" s="27"/>
      <c r="I130" s="45" t="str">
        <f t="shared" si="16"/>
        <v/>
      </c>
      <c r="J130" s="45" t="str">
        <f t="shared" si="17"/>
        <v/>
      </c>
      <c r="K130" s="27"/>
      <c r="L130" s="45" t="str">
        <f t="shared" si="18"/>
        <v/>
      </c>
      <c r="M130" s="45" t="str">
        <f t="shared" si="19"/>
        <v/>
      </c>
      <c r="N130" s="27"/>
      <c r="O130" s="27"/>
      <c r="P130" s="28"/>
      <c r="Q130" s="28"/>
      <c r="R130" s="27"/>
      <c r="S130" s="27"/>
      <c r="T130" s="27"/>
      <c r="U130" s="27"/>
      <c r="V130" s="45" t="str">
        <f t="shared" si="20"/>
        <v/>
      </c>
      <c r="W130" s="45" t="str">
        <f t="shared" si="21"/>
        <v/>
      </c>
      <c r="X130" s="27"/>
      <c r="Y130" s="45" t="str">
        <f t="shared" si="11"/>
        <v/>
      </c>
      <c r="Z130" s="45" t="str">
        <f t="shared" si="12"/>
        <v/>
      </c>
      <c r="AA130" s="27"/>
      <c r="AB130" s="13" t="str">
        <f t="shared" ca="1" si="13"/>
        <v/>
      </c>
      <c r="AC130" s="13" t="str">
        <f ca="1">IF(A130="","",IF(OR(S130='02_マスタ'!$E$10,S130='02_マスタ'!$E$12),"",IF(R130="High","High",IF(AND(Q130&lt;&gt;"",Q130&lt;TODAY()),INDEX(_翻訳マスタ!$B$117:$D$247,MATCH("ALERT_OVERDUE",_翻訳マスタ!$A$117:$A$247,0),MATCH(言語切替!$B$3,_翻訳マスタ!$B$1:$D$1,0)),IF(AND(Q130&lt;&gt;"",Q130-TODAY()&lt;=7),INDEX(_翻訳マスタ!$B$117:$D$247,MATCH("ALERT_APPROACHING",_翻訳マスタ!$A$117:$A$247,0),MATCH(言語切替!$B$3,_翻訳マスタ!$B$1:$D$1,0)),IF(OR(S130='02_マスタ'!$E$7,S130='02_マスタ'!$E$8),INDEX(_翻訳マスタ!$B$117:$D$247,MATCH("ALERT_CHECK",_翻訳マスタ!$A$117:$A$247,0),MATCH(言語切替!$B$3,_翻訳マスタ!$B$1:$D$1,0)),""))))))</f>
        <v/>
      </c>
      <c r="AD130" s="40"/>
    </row>
    <row r="131" spans="1:30" s="22" customFormat="1" x14ac:dyDescent="0.25">
      <c r="A131" s="29"/>
      <c r="B131" s="30"/>
      <c r="C131" s="30"/>
      <c r="D131" s="30"/>
      <c r="E131" s="30"/>
      <c r="F131" s="46" t="str">
        <f t="shared" si="14"/>
        <v/>
      </c>
      <c r="G131" s="46" t="str">
        <f t="shared" si="15"/>
        <v/>
      </c>
      <c r="H131" s="30"/>
      <c r="I131" s="46" t="str">
        <f t="shared" si="16"/>
        <v/>
      </c>
      <c r="J131" s="46" t="str">
        <f t="shared" si="17"/>
        <v/>
      </c>
      <c r="K131" s="30"/>
      <c r="L131" s="46" t="str">
        <f t="shared" si="18"/>
        <v/>
      </c>
      <c r="M131" s="46" t="str">
        <f t="shared" si="19"/>
        <v/>
      </c>
      <c r="N131" s="30"/>
      <c r="O131" s="30"/>
      <c r="P131" s="31"/>
      <c r="Q131" s="31"/>
      <c r="R131" s="30"/>
      <c r="S131" s="30"/>
      <c r="T131" s="30"/>
      <c r="U131" s="30"/>
      <c r="V131" s="46" t="str">
        <f t="shared" si="20"/>
        <v/>
      </c>
      <c r="W131" s="46" t="str">
        <f t="shared" si="21"/>
        <v/>
      </c>
      <c r="X131" s="30"/>
      <c r="Y131" s="46" t="str">
        <f t="shared" si="11"/>
        <v/>
      </c>
      <c r="Z131" s="46" t="str">
        <f t="shared" si="12"/>
        <v/>
      </c>
      <c r="AA131" s="30"/>
      <c r="AB131" s="16" t="str">
        <f t="shared" ca="1" si="13"/>
        <v/>
      </c>
      <c r="AC131" s="16" t="str">
        <f ca="1">IF(A131="","",IF(OR(S131='02_マスタ'!$E$10,S131='02_マスタ'!$E$12),"",IF(R131="High","High",IF(AND(Q131&lt;&gt;"",Q131&lt;TODAY()),INDEX(_翻訳マスタ!$B$117:$D$247,MATCH("ALERT_OVERDUE",_翻訳マスタ!$A$117:$A$247,0),MATCH(言語切替!$B$3,_翻訳マスタ!$B$1:$D$1,0)),IF(AND(Q131&lt;&gt;"",Q131-TODAY()&lt;=7),INDEX(_翻訳マスタ!$B$117:$D$247,MATCH("ALERT_APPROACHING",_翻訳マスタ!$A$117:$A$247,0),MATCH(言語切替!$B$3,_翻訳マスタ!$B$1:$D$1,0)),IF(OR(S131='02_マスタ'!$E$7,S131='02_マスタ'!$E$8),INDEX(_翻訳マスタ!$B$117:$D$247,MATCH("ALERT_CHECK",_翻訳マスタ!$A$117:$A$247,0),MATCH(言語切替!$B$3,_翻訳マスタ!$B$1:$D$1,0)),""))))))</f>
        <v/>
      </c>
      <c r="AD131" s="41"/>
    </row>
    <row r="132" spans="1:30" s="22" customFormat="1" x14ac:dyDescent="0.25">
      <c r="A132" s="26"/>
      <c r="B132" s="27"/>
      <c r="C132" s="27"/>
      <c r="D132" s="27"/>
      <c r="E132" s="27"/>
      <c r="F132" s="45" t="str">
        <f t="shared" si="14"/>
        <v/>
      </c>
      <c r="G132" s="45" t="str">
        <f t="shared" si="15"/>
        <v/>
      </c>
      <c r="H132" s="27"/>
      <c r="I132" s="45" t="str">
        <f t="shared" si="16"/>
        <v/>
      </c>
      <c r="J132" s="45" t="str">
        <f t="shared" si="17"/>
        <v/>
      </c>
      <c r="K132" s="27"/>
      <c r="L132" s="45" t="str">
        <f t="shared" si="18"/>
        <v/>
      </c>
      <c r="M132" s="45" t="str">
        <f t="shared" si="19"/>
        <v/>
      </c>
      <c r="N132" s="27"/>
      <c r="O132" s="27"/>
      <c r="P132" s="28"/>
      <c r="Q132" s="28"/>
      <c r="R132" s="27"/>
      <c r="S132" s="27"/>
      <c r="T132" s="27"/>
      <c r="U132" s="27"/>
      <c r="V132" s="45" t="str">
        <f t="shared" si="20"/>
        <v/>
      </c>
      <c r="W132" s="45" t="str">
        <f t="shared" si="21"/>
        <v/>
      </c>
      <c r="X132" s="27"/>
      <c r="Y132" s="45" t="str">
        <f t="shared" si="11"/>
        <v/>
      </c>
      <c r="Z132" s="45" t="str">
        <f t="shared" si="12"/>
        <v/>
      </c>
      <c r="AA132" s="27"/>
      <c r="AB132" s="13" t="str">
        <f t="shared" ca="1" si="13"/>
        <v/>
      </c>
      <c r="AC132" s="13" t="str">
        <f ca="1">IF(A132="","",IF(OR(S132='02_マスタ'!$E$10,S132='02_マスタ'!$E$12),"",IF(R132="High","High",IF(AND(Q132&lt;&gt;"",Q132&lt;TODAY()),INDEX(_翻訳マスタ!$B$117:$D$247,MATCH("ALERT_OVERDUE",_翻訳マスタ!$A$117:$A$247,0),MATCH(言語切替!$B$3,_翻訳マスタ!$B$1:$D$1,0)),IF(AND(Q132&lt;&gt;"",Q132-TODAY()&lt;=7),INDEX(_翻訳マスタ!$B$117:$D$247,MATCH("ALERT_APPROACHING",_翻訳マスタ!$A$117:$A$247,0),MATCH(言語切替!$B$3,_翻訳マスタ!$B$1:$D$1,0)),IF(OR(S132='02_マスタ'!$E$7,S132='02_マスタ'!$E$8),INDEX(_翻訳マスタ!$B$117:$D$247,MATCH("ALERT_CHECK",_翻訳マスタ!$A$117:$A$247,0),MATCH(言語切替!$B$3,_翻訳マスタ!$B$1:$D$1,0)),""))))))</f>
        <v/>
      </c>
      <c r="AD132" s="40"/>
    </row>
    <row r="133" spans="1:30" s="22" customFormat="1" x14ac:dyDescent="0.25">
      <c r="A133" s="29"/>
      <c r="B133" s="30"/>
      <c r="C133" s="30"/>
      <c r="D133" s="30"/>
      <c r="E133" s="30"/>
      <c r="F133" s="46" t="str">
        <f t="shared" si="14"/>
        <v/>
      </c>
      <c r="G133" s="46" t="str">
        <f t="shared" si="15"/>
        <v/>
      </c>
      <c r="H133" s="30"/>
      <c r="I133" s="46" t="str">
        <f t="shared" si="16"/>
        <v/>
      </c>
      <c r="J133" s="46" t="str">
        <f t="shared" si="17"/>
        <v/>
      </c>
      <c r="K133" s="30"/>
      <c r="L133" s="46" t="str">
        <f t="shared" si="18"/>
        <v/>
      </c>
      <c r="M133" s="46" t="str">
        <f t="shared" si="19"/>
        <v/>
      </c>
      <c r="N133" s="30"/>
      <c r="O133" s="30"/>
      <c r="P133" s="31"/>
      <c r="Q133" s="31"/>
      <c r="R133" s="30"/>
      <c r="S133" s="30"/>
      <c r="T133" s="30"/>
      <c r="U133" s="30"/>
      <c r="V133" s="46" t="str">
        <f t="shared" si="20"/>
        <v/>
      </c>
      <c r="W133" s="46" t="str">
        <f t="shared" si="21"/>
        <v/>
      </c>
      <c r="X133" s="30"/>
      <c r="Y133" s="46" t="str">
        <f t="shared" ref="Y133:Y196" si="22">IF(X133="","",_xlfn.TRANSLATE(X133,"vi","ja"))</f>
        <v/>
      </c>
      <c r="Z133" s="46" t="str">
        <f t="shared" ref="Z133:Z196" si="23">IF(X133="","",_xlfn.TRANSLATE(X133,"vi","zh-Hans"))</f>
        <v/>
      </c>
      <c r="AA133" s="30"/>
      <c r="AB133" s="16" t="str">
        <f t="shared" ref="AB133:AB196" ca="1" si="24">IF(Q133="","",Q133-TODAY())</f>
        <v/>
      </c>
      <c r="AC133" s="16" t="str">
        <f ca="1">IF(A133="","",IF(OR(S133='02_マスタ'!$E$10,S133='02_マスタ'!$E$12),"",IF(R133="High","High",IF(AND(Q133&lt;&gt;"",Q133&lt;TODAY()),INDEX(_翻訳マスタ!$B$117:$D$247,MATCH("ALERT_OVERDUE",_翻訳マスタ!$A$117:$A$247,0),MATCH(言語切替!$B$3,_翻訳マスタ!$B$1:$D$1,0)),IF(AND(Q133&lt;&gt;"",Q133-TODAY()&lt;=7),INDEX(_翻訳マスタ!$B$117:$D$247,MATCH("ALERT_APPROACHING",_翻訳マスタ!$A$117:$A$247,0),MATCH(言語切替!$B$3,_翻訳マスタ!$B$1:$D$1,0)),IF(OR(S133='02_マスタ'!$E$7,S133='02_マスタ'!$E$8),INDEX(_翻訳マスタ!$B$117:$D$247,MATCH("ALERT_CHECK",_翻訳マスタ!$A$117:$A$247,0),MATCH(言語切替!$B$3,_翻訳マスタ!$B$1:$D$1,0)),""))))))</f>
        <v/>
      </c>
      <c r="AD133" s="41"/>
    </row>
    <row r="134" spans="1:30" s="22" customFormat="1" x14ac:dyDescent="0.25">
      <c r="A134" s="26"/>
      <c r="B134" s="27"/>
      <c r="C134" s="27"/>
      <c r="D134" s="27"/>
      <c r="E134" s="27"/>
      <c r="F134" s="45" t="str">
        <f t="shared" si="14"/>
        <v/>
      </c>
      <c r="G134" s="45" t="str">
        <f t="shared" si="15"/>
        <v/>
      </c>
      <c r="H134" s="27"/>
      <c r="I134" s="45" t="str">
        <f t="shared" si="16"/>
        <v/>
      </c>
      <c r="J134" s="45" t="str">
        <f t="shared" si="17"/>
        <v/>
      </c>
      <c r="K134" s="27"/>
      <c r="L134" s="45" t="str">
        <f t="shared" si="18"/>
        <v/>
      </c>
      <c r="M134" s="45" t="str">
        <f t="shared" si="19"/>
        <v/>
      </c>
      <c r="N134" s="27"/>
      <c r="O134" s="27"/>
      <c r="P134" s="28"/>
      <c r="Q134" s="28"/>
      <c r="R134" s="27"/>
      <c r="S134" s="27"/>
      <c r="T134" s="27"/>
      <c r="U134" s="27"/>
      <c r="V134" s="45" t="str">
        <f t="shared" si="20"/>
        <v/>
      </c>
      <c r="W134" s="45" t="str">
        <f t="shared" si="21"/>
        <v/>
      </c>
      <c r="X134" s="27"/>
      <c r="Y134" s="45" t="str">
        <f t="shared" si="22"/>
        <v/>
      </c>
      <c r="Z134" s="45" t="str">
        <f t="shared" si="23"/>
        <v/>
      </c>
      <c r="AA134" s="27"/>
      <c r="AB134" s="13" t="str">
        <f t="shared" ca="1" si="24"/>
        <v/>
      </c>
      <c r="AC134" s="13" t="str">
        <f ca="1">IF(A134="","",IF(OR(S134='02_マスタ'!$E$10,S134='02_マスタ'!$E$12),"",IF(R134="High","High",IF(AND(Q134&lt;&gt;"",Q134&lt;TODAY()),INDEX(_翻訳マスタ!$B$117:$D$247,MATCH("ALERT_OVERDUE",_翻訳マスタ!$A$117:$A$247,0),MATCH(言語切替!$B$3,_翻訳マスタ!$B$1:$D$1,0)),IF(AND(Q134&lt;&gt;"",Q134-TODAY()&lt;=7),INDEX(_翻訳マスタ!$B$117:$D$247,MATCH("ALERT_APPROACHING",_翻訳マスタ!$A$117:$A$247,0),MATCH(言語切替!$B$3,_翻訳マスタ!$B$1:$D$1,0)),IF(OR(S134='02_マスタ'!$E$7,S134='02_マスタ'!$E$8),INDEX(_翻訳マスタ!$B$117:$D$247,MATCH("ALERT_CHECK",_翻訳マスタ!$A$117:$A$247,0),MATCH(言語切替!$B$3,_翻訳マスタ!$B$1:$D$1,0)),""))))))</f>
        <v/>
      </c>
      <c r="AD134" s="40"/>
    </row>
    <row r="135" spans="1:30" s="22" customFormat="1" x14ac:dyDescent="0.25">
      <c r="A135" s="29"/>
      <c r="B135" s="30"/>
      <c r="C135" s="30"/>
      <c r="D135" s="30"/>
      <c r="E135" s="30"/>
      <c r="F135" s="46" t="str">
        <f t="shared" si="14"/>
        <v/>
      </c>
      <c r="G135" s="46" t="str">
        <f t="shared" si="15"/>
        <v/>
      </c>
      <c r="H135" s="30"/>
      <c r="I135" s="46" t="str">
        <f t="shared" si="16"/>
        <v/>
      </c>
      <c r="J135" s="46" t="str">
        <f t="shared" si="17"/>
        <v/>
      </c>
      <c r="K135" s="30"/>
      <c r="L135" s="46" t="str">
        <f t="shared" si="18"/>
        <v/>
      </c>
      <c r="M135" s="46" t="str">
        <f t="shared" si="19"/>
        <v/>
      </c>
      <c r="N135" s="30"/>
      <c r="O135" s="30"/>
      <c r="P135" s="31"/>
      <c r="Q135" s="31"/>
      <c r="R135" s="30"/>
      <c r="S135" s="30"/>
      <c r="T135" s="30"/>
      <c r="U135" s="30"/>
      <c r="V135" s="46" t="str">
        <f t="shared" si="20"/>
        <v/>
      </c>
      <c r="W135" s="46" t="str">
        <f t="shared" si="21"/>
        <v/>
      </c>
      <c r="X135" s="30"/>
      <c r="Y135" s="46" t="str">
        <f t="shared" si="22"/>
        <v/>
      </c>
      <c r="Z135" s="46" t="str">
        <f t="shared" si="23"/>
        <v/>
      </c>
      <c r="AA135" s="30"/>
      <c r="AB135" s="16" t="str">
        <f t="shared" ca="1" si="24"/>
        <v/>
      </c>
      <c r="AC135" s="16" t="str">
        <f ca="1">IF(A135="","",IF(OR(S135='02_マスタ'!$E$10,S135='02_マスタ'!$E$12),"",IF(R135="High","High",IF(AND(Q135&lt;&gt;"",Q135&lt;TODAY()),INDEX(_翻訳マスタ!$B$117:$D$247,MATCH("ALERT_OVERDUE",_翻訳マスタ!$A$117:$A$247,0),MATCH(言語切替!$B$3,_翻訳マスタ!$B$1:$D$1,0)),IF(AND(Q135&lt;&gt;"",Q135-TODAY()&lt;=7),INDEX(_翻訳マスタ!$B$117:$D$247,MATCH("ALERT_APPROACHING",_翻訳マスタ!$A$117:$A$247,0),MATCH(言語切替!$B$3,_翻訳マスタ!$B$1:$D$1,0)),IF(OR(S135='02_マスタ'!$E$7,S135='02_マスタ'!$E$8),INDEX(_翻訳マスタ!$B$117:$D$247,MATCH("ALERT_CHECK",_翻訳マスタ!$A$117:$A$247,0),MATCH(言語切替!$B$3,_翻訳マスタ!$B$1:$D$1,0)),""))))))</f>
        <v/>
      </c>
      <c r="AD135" s="41"/>
    </row>
    <row r="136" spans="1:30" s="22" customFormat="1" x14ac:dyDescent="0.25">
      <c r="A136" s="26"/>
      <c r="B136" s="27"/>
      <c r="C136" s="27"/>
      <c r="D136" s="27"/>
      <c r="E136" s="27"/>
      <c r="F136" s="45" t="str">
        <f t="shared" si="14"/>
        <v/>
      </c>
      <c r="G136" s="45" t="str">
        <f t="shared" si="15"/>
        <v/>
      </c>
      <c r="H136" s="27"/>
      <c r="I136" s="45" t="str">
        <f t="shared" si="16"/>
        <v/>
      </c>
      <c r="J136" s="45" t="str">
        <f t="shared" si="17"/>
        <v/>
      </c>
      <c r="K136" s="27"/>
      <c r="L136" s="45" t="str">
        <f t="shared" si="18"/>
        <v/>
      </c>
      <c r="M136" s="45" t="str">
        <f t="shared" si="19"/>
        <v/>
      </c>
      <c r="N136" s="27"/>
      <c r="O136" s="27"/>
      <c r="P136" s="28"/>
      <c r="Q136" s="28"/>
      <c r="R136" s="27"/>
      <c r="S136" s="27"/>
      <c r="T136" s="27"/>
      <c r="U136" s="27"/>
      <c r="V136" s="45" t="str">
        <f t="shared" si="20"/>
        <v/>
      </c>
      <c r="W136" s="45" t="str">
        <f t="shared" si="21"/>
        <v/>
      </c>
      <c r="X136" s="27"/>
      <c r="Y136" s="45" t="str">
        <f t="shared" si="22"/>
        <v/>
      </c>
      <c r="Z136" s="45" t="str">
        <f t="shared" si="23"/>
        <v/>
      </c>
      <c r="AA136" s="27"/>
      <c r="AB136" s="13" t="str">
        <f t="shared" ca="1" si="24"/>
        <v/>
      </c>
      <c r="AC136" s="13" t="str">
        <f ca="1">IF(A136="","",IF(OR(S136='02_マスタ'!$E$10,S136='02_マスタ'!$E$12),"",IF(R136="High","High",IF(AND(Q136&lt;&gt;"",Q136&lt;TODAY()),INDEX(_翻訳マスタ!$B$117:$D$247,MATCH("ALERT_OVERDUE",_翻訳マスタ!$A$117:$A$247,0),MATCH(言語切替!$B$3,_翻訳マスタ!$B$1:$D$1,0)),IF(AND(Q136&lt;&gt;"",Q136-TODAY()&lt;=7),INDEX(_翻訳マスタ!$B$117:$D$247,MATCH("ALERT_APPROACHING",_翻訳マスタ!$A$117:$A$247,0),MATCH(言語切替!$B$3,_翻訳マスタ!$B$1:$D$1,0)),IF(OR(S136='02_マスタ'!$E$7,S136='02_マスタ'!$E$8),INDEX(_翻訳マスタ!$B$117:$D$247,MATCH("ALERT_CHECK",_翻訳マスタ!$A$117:$A$247,0),MATCH(言語切替!$B$3,_翻訳マスタ!$B$1:$D$1,0)),""))))))</f>
        <v/>
      </c>
      <c r="AD136" s="40"/>
    </row>
    <row r="137" spans="1:30" s="22" customFormat="1" x14ac:dyDescent="0.25">
      <c r="A137" s="29"/>
      <c r="B137" s="30"/>
      <c r="C137" s="30"/>
      <c r="D137" s="30"/>
      <c r="E137" s="30"/>
      <c r="F137" s="46" t="str">
        <f t="shared" ref="F137:F200" si="25">IF(E137="","",_xlfn.TRANSLATE(E137,"vi","ja"))</f>
        <v/>
      </c>
      <c r="G137" s="46" t="str">
        <f t="shared" ref="G137:G200" si="26">IF(E137="","",_xlfn.TRANSLATE(E137,"vi","zh-Hans"))</f>
        <v/>
      </c>
      <c r="H137" s="30"/>
      <c r="I137" s="46" t="str">
        <f t="shared" ref="I137:I200" si="27">IF(H137="","",_xlfn.TRANSLATE(H137,"vi","ja"))</f>
        <v/>
      </c>
      <c r="J137" s="46" t="str">
        <f t="shared" ref="J137:J200" si="28">IF(H137="","",_xlfn.TRANSLATE(H137,"vi","zh-Hans"))</f>
        <v/>
      </c>
      <c r="K137" s="30"/>
      <c r="L137" s="46" t="str">
        <f t="shared" ref="L137:L200" si="29">IF(K137="","",_xlfn.TRANSLATE(K137,"vi","ja"))</f>
        <v/>
      </c>
      <c r="M137" s="46" t="str">
        <f t="shared" ref="M137:M200" si="30">IF(K137="","",_xlfn.TRANSLATE(K137,"vi","zh-Hans"))</f>
        <v/>
      </c>
      <c r="N137" s="30"/>
      <c r="O137" s="30"/>
      <c r="P137" s="31"/>
      <c r="Q137" s="31"/>
      <c r="R137" s="30"/>
      <c r="S137" s="30"/>
      <c r="T137" s="30"/>
      <c r="U137" s="30"/>
      <c r="V137" s="46" t="str">
        <f t="shared" ref="V137:V200" si="31">IF(U137="","",_xlfn.TRANSLATE(U137,"vi","ja"))</f>
        <v/>
      </c>
      <c r="W137" s="46" t="str">
        <f t="shared" ref="W137:W200" si="32">IF(U137="","",_xlfn.TRANSLATE(U137,"vi","zh-Hans"))</f>
        <v/>
      </c>
      <c r="X137" s="30"/>
      <c r="Y137" s="46" t="str">
        <f t="shared" si="22"/>
        <v/>
      </c>
      <c r="Z137" s="46" t="str">
        <f t="shared" si="23"/>
        <v/>
      </c>
      <c r="AA137" s="30"/>
      <c r="AB137" s="16" t="str">
        <f t="shared" ca="1" si="24"/>
        <v/>
      </c>
      <c r="AC137" s="16" t="str">
        <f ca="1">IF(A137="","",IF(OR(S137='02_マスタ'!$E$10,S137='02_マスタ'!$E$12),"",IF(R137="High","High",IF(AND(Q137&lt;&gt;"",Q137&lt;TODAY()),INDEX(_翻訳マスタ!$B$117:$D$247,MATCH("ALERT_OVERDUE",_翻訳マスタ!$A$117:$A$247,0),MATCH(言語切替!$B$3,_翻訳マスタ!$B$1:$D$1,0)),IF(AND(Q137&lt;&gt;"",Q137-TODAY()&lt;=7),INDEX(_翻訳マスタ!$B$117:$D$247,MATCH("ALERT_APPROACHING",_翻訳マスタ!$A$117:$A$247,0),MATCH(言語切替!$B$3,_翻訳マスタ!$B$1:$D$1,0)),IF(OR(S137='02_マスタ'!$E$7,S137='02_マスタ'!$E$8),INDEX(_翻訳マスタ!$B$117:$D$247,MATCH("ALERT_CHECK",_翻訳マスタ!$A$117:$A$247,0),MATCH(言語切替!$B$3,_翻訳マスタ!$B$1:$D$1,0)),""))))))</f>
        <v/>
      </c>
      <c r="AD137" s="41"/>
    </row>
    <row r="138" spans="1:30" s="22" customFormat="1" x14ac:dyDescent="0.25">
      <c r="A138" s="26"/>
      <c r="B138" s="27"/>
      <c r="C138" s="27"/>
      <c r="D138" s="27"/>
      <c r="E138" s="27"/>
      <c r="F138" s="45" t="str">
        <f t="shared" si="25"/>
        <v/>
      </c>
      <c r="G138" s="45" t="str">
        <f t="shared" si="26"/>
        <v/>
      </c>
      <c r="H138" s="27"/>
      <c r="I138" s="45" t="str">
        <f t="shared" si="27"/>
        <v/>
      </c>
      <c r="J138" s="45" t="str">
        <f t="shared" si="28"/>
        <v/>
      </c>
      <c r="K138" s="27"/>
      <c r="L138" s="45" t="str">
        <f t="shared" si="29"/>
        <v/>
      </c>
      <c r="M138" s="45" t="str">
        <f t="shared" si="30"/>
        <v/>
      </c>
      <c r="N138" s="27"/>
      <c r="O138" s="27"/>
      <c r="P138" s="28"/>
      <c r="Q138" s="28"/>
      <c r="R138" s="27"/>
      <c r="S138" s="27"/>
      <c r="T138" s="27"/>
      <c r="U138" s="27"/>
      <c r="V138" s="45" t="str">
        <f t="shared" si="31"/>
        <v/>
      </c>
      <c r="W138" s="45" t="str">
        <f t="shared" si="32"/>
        <v/>
      </c>
      <c r="X138" s="27"/>
      <c r="Y138" s="45" t="str">
        <f t="shared" si="22"/>
        <v/>
      </c>
      <c r="Z138" s="45" t="str">
        <f t="shared" si="23"/>
        <v/>
      </c>
      <c r="AA138" s="27"/>
      <c r="AB138" s="13" t="str">
        <f t="shared" ca="1" si="24"/>
        <v/>
      </c>
      <c r="AC138" s="13" t="str">
        <f ca="1">IF(A138="","",IF(OR(S138='02_マスタ'!$E$10,S138='02_マスタ'!$E$12),"",IF(R138="High","High",IF(AND(Q138&lt;&gt;"",Q138&lt;TODAY()),INDEX(_翻訳マスタ!$B$117:$D$247,MATCH("ALERT_OVERDUE",_翻訳マスタ!$A$117:$A$247,0),MATCH(言語切替!$B$3,_翻訳マスタ!$B$1:$D$1,0)),IF(AND(Q138&lt;&gt;"",Q138-TODAY()&lt;=7),INDEX(_翻訳マスタ!$B$117:$D$247,MATCH("ALERT_APPROACHING",_翻訳マスタ!$A$117:$A$247,0),MATCH(言語切替!$B$3,_翻訳マスタ!$B$1:$D$1,0)),IF(OR(S138='02_マスタ'!$E$7,S138='02_マスタ'!$E$8),INDEX(_翻訳マスタ!$B$117:$D$247,MATCH("ALERT_CHECK",_翻訳マスタ!$A$117:$A$247,0),MATCH(言語切替!$B$3,_翻訳マスタ!$B$1:$D$1,0)),""))))))</f>
        <v/>
      </c>
      <c r="AD138" s="40"/>
    </row>
    <row r="139" spans="1:30" s="22" customFormat="1" x14ac:dyDescent="0.25">
      <c r="A139" s="29"/>
      <c r="B139" s="30"/>
      <c r="C139" s="30"/>
      <c r="D139" s="30"/>
      <c r="E139" s="30"/>
      <c r="F139" s="46" t="str">
        <f t="shared" si="25"/>
        <v/>
      </c>
      <c r="G139" s="46" t="str">
        <f t="shared" si="26"/>
        <v/>
      </c>
      <c r="H139" s="30"/>
      <c r="I139" s="46" t="str">
        <f t="shared" si="27"/>
        <v/>
      </c>
      <c r="J139" s="46" t="str">
        <f t="shared" si="28"/>
        <v/>
      </c>
      <c r="K139" s="30"/>
      <c r="L139" s="46" t="str">
        <f t="shared" si="29"/>
        <v/>
      </c>
      <c r="M139" s="46" t="str">
        <f t="shared" si="30"/>
        <v/>
      </c>
      <c r="N139" s="30"/>
      <c r="O139" s="30"/>
      <c r="P139" s="31"/>
      <c r="Q139" s="31"/>
      <c r="R139" s="30"/>
      <c r="S139" s="30"/>
      <c r="T139" s="30"/>
      <c r="U139" s="30"/>
      <c r="V139" s="46" t="str">
        <f t="shared" si="31"/>
        <v/>
      </c>
      <c r="W139" s="46" t="str">
        <f t="shared" si="32"/>
        <v/>
      </c>
      <c r="X139" s="30"/>
      <c r="Y139" s="46" t="str">
        <f t="shared" si="22"/>
        <v/>
      </c>
      <c r="Z139" s="46" t="str">
        <f t="shared" si="23"/>
        <v/>
      </c>
      <c r="AA139" s="30"/>
      <c r="AB139" s="16" t="str">
        <f t="shared" ca="1" si="24"/>
        <v/>
      </c>
      <c r="AC139" s="16" t="str">
        <f ca="1">IF(A139="","",IF(OR(S139='02_マスタ'!$E$10,S139='02_マスタ'!$E$12),"",IF(R139="High","High",IF(AND(Q139&lt;&gt;"",Q139&lt;TODAY()),INDEX(_翻訳マスタ!$B$117:$D$247,MATCH("ALERT_OVERDUE",_翻訳マスタ!$A$117:$A$247,0),MATCH(言語切替!$B$3,_翻訳マスタ!$B$1:$D$1,0)),IF(AND(Q139&lt;&gt;"",Q139-TODAY()&lt;=7),INDEX(_翻訳マスタ!$B$117:$D$247,MATCH("ALERT_APPROACHING",_翻訳マスタ!$A$117:$A$247,0),MATCH(言語切替!$B$3,_翻訳マスタ!$B$1:$D$1,0)),IF(OR(S139='02_マスタ'!$E$7,S139='02_マスタ'!$E$8),INDEX(_翻訳マスタ!$B$117:$D$247,MATCH("ALERT_CHECK",_翻訳マスタ!$A$117:$A$247,0),MATCH(言語切替!$B$3,_翻訳マスタ!$B$1:$D$1,0)),""))))))</f>
        <v/>
      </c>
      <c r="AD139" s="41"/>
    </row>
    <row r="140" spans="1:30" s="22" customFormat="1" x14ac:dyDescent="0.25">
      <c r="A140" s="26"/>
      <c r="B140" s="27"/>
      <c r="C140" s="27"/>
      <c r="D140" s="27"/>
      <c r="E140" s="27"/>
      <c r="F140" s="45" t="str">
        <f t="shared" si="25"/>
        <v/>
      </c>
      <c r="G140" s="45" t="str">
        <f t="shared" si="26"/>
        <v/>
      </c>
      <c r="H140" s="27"/>
      <c r="I140" s="45" t="str">
        <f t="shared" si="27"/>
        <v/>
      </c>
      <c r="J140" s="45" t="str">
        <f t="shared" si="28"/>
        <v/>
      </c>
      <c r="K140" s="27"/>
      <c r="L140" s="45" t="str">
        <f t="shared" si="29"/>
        <v/>
      </c>
      <c r="M140" s="45" t="str">
        <f t="shared" si="30"/>
        <v/>
      </c>
      <c r="N140" s="27"/>
      <c r="O140" s="27"/>
      <c r="P140" s="28"/>
      <c r="Q140" s="28"/>
      <c r="R140" s="27"/>
      <c r="S140" s="27"/>
      <c r="T140" s="27"/>
      <c r="U140" s="27"/>
      <c r="V140" s="45" t="str">
        <f t="shared" si="31"/>
        <v/>
      </c>
      <c r="W140" s="45" t="str">
        <f t="shared" si="32"/>
        <v/>
      </c>
      <c r="X140" s="27"/>
      <c r="Y140" s="45" t="str">
        <f t="shared" si="22"/>
        <v/>
      </c>
      <c r="Z140" s="45" t="str">
        <f t="shared" si="23"/>
        <v/>
      </c>
      <c r="AA140" s="27"/>
      <c r="AB140" s="13" t="str">
        <f t="shared" ca="1" si="24"/>
        <v/>
      </c>
      <c r="AC140" s="13" t="str">
        <f ca="1">IF(A140="","",IF(OR(S140='02_マスタ'!$E$10,S140='02_マスタ'!$E$12),"",IF(R140="High","High",IF(AND(Q140&lt;&gt;"",Q140&lt;TODAY()),INDEX(_翻訳マスタ!$B$117:$D$247,MATCH("ALERT_OVERDUE",_翻訳マスタ!$A$117:$A$247,0),MATCH(言語切替!$B$3,_翻訳マスタ!$B$1:$D$1,0)),IF(AND(Q140&lt;&gt;"",Q140-TODAY()&lt;=7),INDEX(_翻訳マスタ!$B$117:$D$247,MATCH("ALERT_APPROACHING",_翻訳マスタ!$A$117:$A$247,0),MATCH(言語切替!$B$3,_翻訳マスタ!$B$1:$D$1,0)),IF(OR(S140='02_マスタ'!$E$7,S140='02_マスタ'!$E$8),INDEX(_翻訳マスタ!$B$117:$D$247,MATCH("ALERT_CHECK",_翻訳マスタ!$A$117:$A$247,0),MATCH(言語切替!$B$3,_翻訳マスタ!$B$1:$D$1,0)),""))))))</f>
        <v/>
      </c>
      <c r="AD140" s="40"/>
    </row>
    <row r="141" spans="1:30" s="22" customFormat="1" x14ac:dyDescent="0.25">
      <c r="A141" s="29"/>
      <c r="B141" s="30"/>
      <c r="C141" s="30"/>
      <c r="D141" s="30"/>
      <c r="E141" s="30"/>
      <c r="F141" s="46" t="str">
        <f t="shared" si="25"/>
        <v/>
      </c>
      <c r="G141" s="46" t="str">
        <f t="shared" si="26"/>
        <v/>
      </c>
      <c r="H141" s="30"/>
      <c r="I141" s="46" t="str">
        <f t="shared" si="27"/>
        <v/>
      </c>
      <c r="J141" s="46" t="str">
        <f t="shared" si="28"/>
        <v/>
      </c>
      <c r="K141" s="30"/>
      <c r="L141" s="46" t="str">
        <f t="shared" si="29"/>
        <v/>
      </c>
      <c r="M141" s="46" t="str">
        <f t="shared" si="30"/>
        <v/>
      </c>
      <c r="N141" s="30"/>
      <c r="O141" s="30"/>
      <c r="P141" s="31"/>
      <c r="Q141" s="31"/>
      <c r="R141" s="30"/>
      <c r="S141" s="30"/>
      <c r="T141" s="30"/>
      <c r="U141" s="30"/>
      <c r="V141" s="46" t="str">
        <f t="shared" si="31"/>
        <v/>
      </c>
      <c r="W141" s="46" t="str">
        <f t="shared" si="32"/>
        <v/>
      </c>
      <c r="X141" s="30"/>
      <c r="Y141" s="46" t="str">
        <f t="shared" si="22"/>
        <v/>
      </c>
      <c r="Z141" s="46" t="str">
        <f t="shared" si="23"/>
        <v/>
      </c>
      <c r="AA141" s="30"/>
      <c r="AB141" s="16" t="str">
        <f t="shared" ca="1" si="24"/>
        <v/>
      </c>
      <c r="AC141" s="16" t="str">
        <f ca="1">IF(A141="","",IF(OR(S141='02_マスタ'!$E$10,S141='02_マスタ'!$E$12),"",IF(R141="High","High",IF(AND(Q141&lt;&gt;"",Q141&lt;TODAY()),INDEX(_翻訳マスタ!$B$117:$D$247,MATCH("ALERT_OVERDUE",_翻訳マスタ!$A$117:$A$247,0),MATCH(言語切替!$B$3,_翻訳マスタ!$B$1:$D$1,0)),IF(AND(Q141&lt;&gt;"",Q141-TODAY()&lt;=7),INDEX(_翻訳マスタ!$B$117:$D$247,MATCH("ALERT_APPROACHING",_翻訳マスタ!$A$117:$A$247,0),MATCH(言語切替!$B$3,_翻訳マスタ!$B$1:$D$1,0)),IF(OR(S141='02_マスタ'!$E$7,S141='02_マスタ'!$E$8),INDEX(_翻訳マスタ!$B$117:$D$247,MATCH("ALERT_CHECK",_翻訳マスタ!$A$117:$A$247,0),MATCH(言語切替!$B$3,_翻訳マスタ!$B$1:$D$1,0)),""))))))</f>
        <v/>
      </c>
      <c r="AD141" s="41"/>
    </row>
    <row r="142" spans="1:30" s="22" customFormat="1" x14ac:dyDescent="0.25">
      <c r="A142" s="26"/>
      <c r="B142" s="27"/>
      <c r="C142" s="27"/>
      <c r="D142" s="27"/>
      <c r="E142" s="27"/>
      <c r="F142" s="45" t="str">
        <f t="shared" si="25"/>
        <v/>
      </c>
      <c r="G142" s="45" t="str">
        <f t="shared" si="26"/>
        <v/>
      </c>
      <c r="H142" s="27"/>
      <c r="I142" s="45" t="str">
        <f t="shared" si="27"/>
        <v/>
      </c>
      <c r="J142" s="45" t="str">
        <f t="shared" si="28"/>
        <v/>
      </c>
      <c r="K142" s="27"/>
      <c r="L142" s="45" t="str">
        <f t="shared" si="29"/>
        <v/>
      </c>
      <c r="M142" s="45" t="str">
        <f t="shared" si="30"/>
        <v/>
      </c>
      <c r="N142" s="27"/>
      <c r="O142" s="27"/>
      <c r="P142" s="28"/>
      <c r="Q142" s="28"/>
      <c r="R142" s="27"/>
      <c r="S142" s="27"/>
      <c r="T142" s="27"/>
      <c r="U142" s="27"/>
      <c r="V142" s="45" t="str">
        <f t="shared" si="31"/>
        <v/>
      </c>
      <c r="W142" s="45" t="str">
        <f t="shared" si="32"/>
        <v/>
      </c>
      <c r="X142" s="27"/>
      <c r="Y142" s="45" t="str">
        <f t="shared" si="22"/>
        <v/>
      </c>
      <c r="Z142" s="45" t="str">
        <f t="shared" si="23"/>
        <v/>
      </c>
      <c r="AA142" s="27"/>
      <c r="AB142" s="13" t="str">
        <f t="shared" ca="1" si="24"/>
        <v/>
      </c>
      <c r="AC142" s="13" t="str">
        <f ca="1">IF(A142="","",IF(OR(S142='02_マスタ'!$E$10,S142='02_マスタ'!$E$12),"",IF(R142="High","High",IF(AND(Q142&lt;&gt;"",Q142&lt;TODAY()),INDEX(_翻訳マスタ!$B$117:$D$247,MATCH("ALERT_OVERDUE",_翻訳マスタ!$A$117:$A$247,0),MATCH(言語切替!$B$3,_翻訳マスタ!$B$1:$D$1,0)),IF(AND(Q142&lt;&gt;"",Q142-TODAY()&lt;=7),INDEX(_翻訳マスタ!$B$117:$D$247,MATCH("ALERT_APPROACHING",_翻訳マスタ!$A$117:$A$247,0),MATCH(言語切替!$B$3,_翻訳マスタ!$B$1:$D$1,0)),IF(OR(S142='02_マスタ'!$E$7,S142='02_マスタ'!$E$8),INDEX(_翻訳マスタ!$B$117:$D$247,MATCH("ALERT_CHECK",_翻訳マスタ!$A$117:$A$247,0),MATCH(言語切替!$B$3,_翻訳マスタ!$B$1:$D$1,0)),""))))))</f>
        <v/>
      </c>
      <c r="AD142" s="40"/>
    </row>
    <row r="143" spans="1:30" s="22" customFormat="1" x14ac:dyDescent="0.25">
      <c r="A143" s="29"/>
      <c r="B143" s="30"/>
      <c r="C143" s="30"/>
      <c r="D143" s="30"/>
      <c r="E143" s="30"/>
      <c r="F143" s="46" t="str">
        <f t="shared" si="25"/>
        <v/>
      </c>
      <c r="G143" s="46" t="str">
        <f t="shared" si="26"/>
        <v/>
      </c>
      <c r="H143" s="30"/>
      <c r="I143" s="46" t="str">
        <f t="shared" si="27"/>
        <v/>
      </c>
      <c r="J143" s="46" t="str">
        <f t="shared" si="28"/>
        <v/>
      </c>
      <c r="K143" s="30"/>
      <c r="L143" s="46" t="str">
        <f t="shared" si="29"/>
        <v/>
      </c>
      <c r="M143" s="46" t="str">
        <f t="shared" si="30"/>
        <v/>
      </c>
      <c r="N143" s="30"/>
      <c r="O143" s="30"/>
      <c r="P143" s="31"/>
      <c r="Q143" s="31"/>
      <c r="R143" s="30"/>
      <c r="S143" s="30"/>
      <c r="T143" s="30"/>
      <c r="U143" s="30"/>
      <c r="V143" s="46" t="str">
        <f t="shared" si="31"/>
        <v/>
      </c>
      <c r="W143" s="46" t="str">
        <f t="shared" si="32"/>
        <v/>
      </c>
      <c r="X143" s="30"/>
      <c r="Y143" s="46" t="str">
        <f t="shared" si="22"/>
        <v/>
      </c>
      <c r="Z143" s="46" t="str">
        <f t="shared" si="23"/>
        <v/>
      </c>
      <c r="AA143" s="30"/>
      <c r="AB143" s="16" t="str">
        <f t="shared" ca="1" si="24"/>
        <v/>
      </c>
      <c r="AC143" s="16" t="str">
        <f ca="1">IF(A143="","",IF(OR(S143='02_マスタ'!$E$10,S143='02_マスタ'!$E$12),"",IF(R143="High","High",IF(AND(Q143&lt;&gt;"",Q143&lt;TODAY()),INDEX(_翻訳マスタ!$B$117:$D$247,MATCH("ALERT_OVERDUE",_翻訳マスタ!$A$117:$A$247,0),MATCH(言語切替!$B$3,_翻訳マスタ!$B$1:$D$1,0)),IF(AND(Q143&lt;&gt;"",Q143-TODAY()&lt;=7),INDEX(_翻訳マスタ!$B$117:$D$247,MATCH("ALERT_APPROACHING",_翻訳マスタ!$A$117:$A$247,0),MATCH(言語切替!$B$3,_翻訳マスタ!$B$1:$D$1,0)),IF(OR(S143='02_マスタ'!$E$7,S143='02_マスタ'!$E$8),INDEX(_翻訳マスタ!$B$117:$D$247,MATCH("ALERT_CHECK",_翻訳マスタ!$A$117:$A$247,0),MATCH(言語切替!$B$3,_翻訳マスタ!$B$1:$D$1,0)),""))))))</f>
        <v/>
      </c>
      <c r="AD143" s="41"/>
    </row>
    <row r="144" spans="1:30" s="22" customFormat="1" x14ac:dyDescent="0.25">
      <c r="A144" s="26"/>
      <c r="B144" s="27"/>
      <c r="C144" s="27"/>
      <c r="D144" s="27"/>
      <c r="E144" s="27"/>
      <c r="F144" s="45" t="str">
        <f t="shared" si="25"/>
        <v/>
      </c>
      <c r="G144" s="45" t="str">
        <f t="shared" si="26"/>
        <v/>
      </c>
      <c r="H144" s="27"/>
      <c r="I144" s="45" t="str">
        <f t="shared" si="27"/>
        <v/>
      </c>
      <c r="J144" s="45" t="str">
        <f t="shared" si="28"/>
        <v/>
      </c>
      <c r="K144" s="27"/>
      <c r="L144" s="45" t="str">
        <f t="shared" si="29"/>
        <v/>
      </c>
      <c r="M144" s="45" t="str">
        <f t="shared" si="30"/>
        <v/>
      </c>
      <c r="N144" s="27"/>
      <c r="O144" s="27"/>
      <c r="P144" s="28"/>
      <c r="Q144" s="28"/>
      <c r="R144" s="27"/>
      <c r="S144" s="27"/>
      <c r="T144" s="27"/>
      <c r="U144" s="27"/>
      <c r="V144" s="45" t="str">
        <f t="shared" si="31"/>
        <v/>
      </c>
      <c r="W144" s="45" t="str">
        <f t="shared" si="32"/>
        <v/>
      </c>
      <c r="X144" s="27"/>
      <c r="Y144" s="45" t="str">
        <f t="shared" si="22"/>
        <v/>
      </c>
      <c r="Z144" s="45" t="str">
        <f t="shared" si="23"/>
        <v/>
      </c>
      <c r="AA144" s="27"/>
      <c r="AB144" s="13" t="str">
        <f t="shared" ca="1" si="24"/>
        <v/>
      </c>
      <c r="AC144" s="13" t="str">
        <f ca="1">IF(A144="","",IF(OR(S144='02_マスタ'!$E$10,S144='02_マスタ'!$E$12),"",IF(R144="High","High",IF(AND(Q144&lt;&gt;"",Q144&lt;TODAY()),INDEX(_翻訳マスタ!$B$117:$D$247,MATCH("ALERT_OVERDUE",_翻訳マスタ!$A$117:$A$247,0),MATCH(言語切替!$B$3,_翻訳マスタ!$B$1:$D$1,0)),IF(AND(Q144&lt;&gt;"",Q144-TODAY()&lt;=7),INDEX(_翻訳マスタ!$B$117:$D$247,MATCH("ALERT_APPROACHING",_翻訳マスタ!$A$117:$A$247,0),MATCH(言語切替!$B$3,_翻訳マスタ!$B$1:$D$1,0)),IF(OR(S144='02_マスタ'!$E$7,S144='02_マスタ'!$E$8),INDEX(_翻訳マスタ!$B$117:$D$247,MATCH("ALERT_CHECK",_翻訳マスタ!$A$117:$A$247,0),MATCH(言語切替!$B$3,_翻訳マスタ!$B$1:$D$1,0)),""))))))</f>
        <v/>
      </c>
      <c r="AD144" s="40"/>
    </row>
    <row r="145" spans="1:30" s="22" customFormat="1" x14ac:dyDescent="0.25">
      <c r="A145" s="29"/>
      <c r="B145" s="30"/>
      <c r="C145" s="30"/>
      <c r="D145" s="30"/>
      <c r="E145" s="30"/>
      <c r="F145" s="46" t="str">
        <f t="shared" si="25"/>
        <v/>
      </c>
      <c r="G145" s="46" t="str">
        <f t="shared" si="26"/>
        <v/>
      </c>
      <c r="H145" s="30"/>
      <c r="I145" s="46" t="str">
        <f t="shared" si="27"/>
        <v/>
      </c>
      <c r="J145" s="46" t="str">
        <f t="shared" si="28"/>
        <v/>
      </c>
      <c r="K145" s="30"/>
      <c r="L145" s="46" t="str">
        <f t="shared" si="29"/>
        <v/>
      </c>
      <c r="M145" s="46" t="str">
        <f t="shared" si="30"/>
        <v/>
      </c>
      <c r="N145" s="30"/>
      <c r="O145" s="30"/>
      <c r="P145" s="31"/>
      <c r="Q145" s="31"/>
      <c r="R145" s="30"/>
      <c r="S145" s="30"/>
      <c r="T145" s="30"/>
      <c r="U145" s="30"/>
      <c r="V145" s="46" t="str">
        <f t="shared" si="31"/>
        <v/>
      </c>
      <c r="W145" s="46" t="str">
        <f t="shared" si="32"/>
        <v/>
      </c>
      <c r="X145" s="30"/>
      <c r="Y145" s="46" t="str">
        <f t="shared" si="22"/>
        <v/>
      </c>
      <c r="Z145" s="46" t="str">
        <f t="shared" si="23"/>
        <v/>
      </c>
      <c r="AA145" s="30"/>
      <c r="AB145" s="16" t="str">
        <f t="shared" ca="1" si="24"/>
        <v/>
      </c>
      <c r="AC145" s="16" t="str">
        <f ca="1">IF(A145="","",IF(OR(S145='02_マスタ'!$E$10,S145='02_マスタ'!$E$12),"",IF(R145="High","High",IF(AND(Q145&lt;&gt;"",Q145&lt;TODAY()),INDEX(_翻訳マスタ!$B$117:$D$247,MATCH("ALERT_OVERDUE",_翻訳マスタ!$A$117:$A$247,0),MATCH(言語切替!$B$3,_翻訳マスタ!$B$1:$D$1,0)),IF(AND(Q145&lt;&gt;"",Q145-TODAY()&lt;=7),INDEX(_翻訳マスタ!$B$117:$D$247,MATCH("ALERT_APPROACHING",_翻訳マスタ!$A$117:$A$247,0),MATCH(言語切替!$B$3,_翻訳マスタ!$B$1:$D$1,0)),IF(OR(S145='02_マスタ'!$E$7,S145='02_マスタ'!$E$8),INDEX(_翻訳マスタ!$B$117:$D$247,MATCH("ALERT_CHECK",_翻訳マスタ!$A$117:$A$247,0),MATCH(言語切替!$B$3,_翻訳マスタ!$B$1:$D$1,0)),""))))))</f>
        <v/>
      </c>
      <c r="AD145" s="41"/>
    </row>
    <row r="146" spans="1:30" s="22" customFormat="1" x14ac:dyDescent="0.25">
      <c r="A146" s="26"/>
      <c r="B146" s="27"/>
      <c r="C146" s="27"/>
      <c r="D146" s="27"/>
      <c r="E146" s="27"/>
      <c r="F146" s="45" t="str">
        <f t="shared" si="25"/>
        <v/>
      </c>
      <c r="G146" s="45" t="str">
        <f t="shared" si="26"/>
        <v/>
      </c>
      <c r="H146" s="27"/>
      <c r="I146" s="45" t="str">
        <f t="shared" si="27"/>
        <v/>
      </c>
      <c r="J146" s="45" t="str">
        <f t="shared" si="28"/>
        <v/>
      </c>
      <c r="K146" s="27"/>
      <c r="L146" s="45" t="str">
        <f t="shared" si="29"/>
        <v/>
      </c>
      <c r="M146" s="45" t="str">
        <f t="shared" si="30"/>
        <v/>
      </c>
      <c r="N146" s="27"/>
      <c r="O146" s="27"/>
      <c r="P146" s="28"/>
      <c r="Q146" s="28"/>
      <c r="R146" s="27"/>
      <c r="S146" s="27"/>
      <c r="T146" s="27"/>
      <c r="U146" s="27"/>
      <c r="V146" s="45" t="str">
        <f t="shared" si="31"/>
        <v/>
      </c>
      <c r="W146" s="45" t="str">
        <f t="shared" si="32"/>
        <v/>
      </c>
      <c r="X146" s="27"/>
      <c r="Y146" s="45" t="str">
        <f t="shared" si="22"/>
        <v/>
      </c>
      <c r="Z146" s="45" t="str">
        <f t="shared" si="23"/>
        <v/>
      </c>
      <c r="AA146" s="27"/>
      <c r="AB146" s="13" t="str">
        <f t="shared" ca="1" si="24"/>
        <v/>
      </c>
      <c r="AC146" s="13" t="str">
        <f ca="1">IF(A146="","",IF(OR(S146='02_マスタ'!$E$10,S146='02_マスタ'!$E$12),"",IF(R146="High","High",IF(AND(Q146&lt;&gt;"",Q146&lt;TODAY()),INDEX(_翻訳マスタ!$B$117:$D$247,MATCH("ALERT_OVERDUE",_翻訳マスタ!$A$117:$A$247,0),MATCH(言語切替!$B$3,_翻訳マスタ!$B$1:$D$1,0)),IF(AND(Q146&lt;&gt;"",Q146-TODAY()&lt;=7),INDEX(_翻訳マスタ!$B$117:$D$247,MATCH("ALERT_APPROACHING",_翻訳マスタ!$A$117:$A$247,0),MATCH(言語切替!$B$3,_翻訳マスタ!$B$1:$D$1,0)),IF(OR(S146='02_マスタ'!$E$7,S146='02_マスタ'!$E$8),INDEX(_翻訳マスタ!$B$117:$D$247,MATCH("ALERT_CHECK",_翻訳マスタ!$A$117:$A$247,0),MATCH(言語切替!$B$3,_翻訳マスタ!$B$1:$D$1,0)),""))))))</f>
        <v/>
      </c>
      <c r="AD146" s="40"/>
    </row>
    <row r="147" spans="1:30" s="22" customFormat="1" x14ac:dyDescent="0.25">
      <c r="A147" s="29"/>
      <c r="B147" s="30"/>
      <c r="C147" s="30"/>
      <c r="D147" s="30"/>
      <c r="E147" s="30"/>
      <c r="F147" s="46" t="str">
        <f t="shared" si="25"/>
        <v/>
      </c>
      <c r="G147" s="46" t="str">
        <f t="shared" si="26"/>
        <v/>
      </c>
      <c r="H147" s="30"/>
      <c r="I147" s="46" t="str">
        <f t="shared" si="27"/>
        <v/>
      </c>
      <c r="J147" s="46" t="str">
        <f t="shared" si="28"/>
        <v/>
      </c>
      <c r="K147" s="30"/>
      <c r="L147" s="46" t="str">
        <f t="shared" si="29"/>
        <v/>
      </c>
      <c r="M147" s="46" t="str">
        <f t="shared" si="30"/>
        <v/>
      </c>
      <c r="N147" s="30"/>
      <c r="O147" s="30"/>
      <c r="P147" s="31"/>
      <c r="Q147" s="31"/>
      <c r="R147" s="30"/>
      <c r="S147" s="30"/>
      <c r="T147" s="30"/>
      <c r="U147" s="30"/>
      <c r="V147" s="46" t="str">
        <f t="shared" si="31"/>
        <v/>
      </c>
      <c r="W147" s="46" t="str">
        <f t="shared" si="32"/>
        <v/>
      </c>
      <c r="X147" s="30"/>
      <c r="Y147" s="46" t="str">
        <f t="shared" si="22"/>
        <v/>
      </c>
      <c r="Z147" s="46" t="str">
        <f t="shared" si="23"/>
        <v/>
      </c>
      <c r="AA147" s="30"/>
      <c r="AB147" s="16" t="str">
        <f t="shared" ca="1" si="24"/>
        <v/>
      </c>
      <c r="AC147" s="16" t="str">
        <f ca="1">IF(A147="","",IF(OR(S147='02_マスタ'!$E$10,S147='02_マスタ'!$E$12),"",IF(R147="High","High",IF(AND(Q147&lt;&gt;"",Q147&lt;TODAY()),INDEX(_翻訳マスタ!$B$117:$D$247,MATCH("ALERT_OVERDUE",_翻訳マスタ!$A$117:$A$247,0),MATCH(言語切替!$B$3,_翻訳マスタ!$B$1:$D$1,0)),IF(AND(Q147&lt;&gt;"",Q147-TODAY()&lt;=7),INDEX(_翻訳マスタ!$B$117:$D$247,MATCH("ALERT_APPROACHING",_翻訳マスタ!$A$117:$A$247,0),MATCH(言語切替!$B$3,_翻訳マスタ!$B$1:$D$1,0)),IF(OR(S147='02_マスタ'!$E$7,S147='02_マスタ'!$E$8),INDEX(_翻訳マスタ!$B$117:$D$247,MATCH("ALERT_CHECK",_翻訳マスタ!$A$117:$A$247,0),MATCH(言語切替!$B$3,_翻訳マスタ!$B$1:$D$1,0)),""))))))</f>
        <v/>
      </c>
      <c r="AD147" s="41"/>
    </row>
    <row r="148" spans="1:30" s="22" customFormat="1" x14ac:dyDescent="0.25">
      <c r="A148" s="26"/>
      <c r="B148" s="27"/>
      <c r="C148" s="27"/>
      <c r="D148" s="27"/>
      <c r="E148" s="27"/>
      <c r="F148" s="45" t="str">
        <f t="shared" si="25"/>
        <v/>
      </c>
      <c r="G148" s="45" t="str">
        <f t="shared" si="26"/>
        <v/>
      </c>
      <c r="H148" s="27"/>
      <c r="I148" s="45" t="str">
        <f t="shared" si="27"/>
        <v/>
      </c>
      <c r="J148" s="45" t="str">
        <f t="shared" si="28"/>
        <v/>
      </c>
      <c r="K148" s="27"/>
      <c r="L148" s="45" t="str">
        <f t="shared" si="29"/>
        <v/>
      </c>
      <c r="M148" s="45" t="str">
        <f t="shared" si="30"/>
        <v/>
      </c>
      <c r="N148" s="27"/>
      <c r="O148" s="27"/>
      <c r="P148" s="28"/>
      <c r="Q148" s="28"/>
      <c r="R148" s="27"/>
      <c r="S148" s="27"/>
      <c r="T148" s="27"/>
      <c r="U148" s="27"/>
      <c r="V148" s="45" t="str">
        <f t="shared" si="31"/>
        <v/>
      </c>
      <c r="W148" s="45" t="str">
        <f t="shared" si="32"/>
        <v/>
      </c>
      <c r="X148" s="27"/>
      <c r="Y148" s="45" t="str">
        <f t="shared" si="22"/>
        <v/>
      </c>
      <c r="Z148" s="45" t="str">
        <f t="shared" si="23"/>
        <v/>
      </c>
      <c r="AA148" s="27"/>
      <c r="AB148" s="13" t="str">
        <f t="shared" ca="1" si="24"/>
        <v/>
      </c>
      <c r="AC148" s="13" t="str">
        <f ca="1">IF(A148="","",IF(OR(S148='02_マスタ'!$E$10,S148='02_マスタ'!$E$12),"",IF(R148="High","High",IF(AND(Q148&lt;&gt;"",Q148&lt;TODAY()),INDEX(_翻訳マスタ!$B$117:$D$247,MATCH("ALERT_OVERDUE",_翻訳マスタ!$A$117:$A$247,0),MATCH(言語切替!$B$3,_翻訳マスタ!$B$1:$D$1,0)),IF(AND(Q148&lt;&gt;"",Q148-TODAY()&lt;=7),INDEX(_翻訳マスタ!$B$117:$D$247,MATCH("ALERT_APPROACHING",_翻訳マスタ!$A$117:$A$247,0),MATCH(言語切替!$B$3,_翻訳マスタ!$B$1:$D$1,0)),IF(OR(S148='02_マスタ'!$E$7,S148='02_マスタ'!$E$8),INDEX(_翻訳マスタ!$B$117:$D$247,MATCH("ALERT_CHECK",_翻訳マスタ!$A$117:$A$247,0),MATCH(言語切替!$B$3,_翻訳マスタ!$B$1:$D$1,0)),""))))))</f>
        <v/>
      </c>
      <c r="AD148" s="40"/>
    </row>
    <row r="149" spans="1:30" s="22" customFormat="1" x14ac:dyDescent="0.25">
      <c r="A149" s="29"/>
      <c r="B149" s="30"/>
      <c r="C149" s="30"/>
      <c r="D149" s="30"/>
      <c r="E149" s="30"/>
      <c r="F149" s="46" t="str">
        <f t="shared" si="25"/>
        <v/>
      </c>
      <c r="G149" s="46" t="str">
        <f t="shared" si="26"/>
        <v/>
      </c>
      <c r="H149" s="30"/>
      <c r="I149" s="46" t="str">
        <f t="shared" si="27"/>
        <v/>
      </c>
      <c r="J149" s="46" t="str">
        <f t="shared" si="28"/>
        <v/>
      </c>
      <c r="K149" s="30"/>
      <c r="L149" s="46" t="str">
        <f t="shared" si="29"/>
        <v/>
      </c>
      <c r="M149" s="46" t="str">
        <f t="shared" si="30"/>
        <v/>
      </c>
      <c r="N149" s="30"/>
      <c r="O149" s="30"/>
      <c r="P149" s="31"/>
      <c r="Q149" s="31"/>
      <c r="R149" s="30"/>
      <c r="S149" s="30"/>
      <c r="T149" s="30"/>
      <c r="U149" s="30"/>
      <c r="V149" s="46" t="str">
        <f t="shared" si="31"/>
        <v/>
      </c>
      <c r="W149" s="46" t="str">
        <f t="shared" si="32"/>
        <v/>
      </c>
      <c r="X149" s="30"/>
      <c r="Y149" s="46" t="str">
        <f t="shared" si="22"/>
        <v/>
      </c>
      <c r="Z149" s="46" t="str">
        <f t="shared" si="23"/>
        <v/>
      </c>
      <c r="AA149" s="30"/>
      <c r="AB149" s="16" t="str">
        <f t="shared" ca="1" si="24"/>
        <v/>
      </c>
      <c r="AC149" s="16" t="str">
        <f ca="1">IF(A149="","",IF(OR(S149='02_マスタ'!$E$10,S149='02_マスタ'!$E$12),"",IF(R149="High","High",IF(AND(Q149&lt;&gt;"",Q149&lt;TODAY()),INDEX(_翻訳マスタ!$B$117:$D$247,MATCH("ALERT_OVERDUE",_翻訳マスタ!$A$117:$A$247,0),MATCH(言語切替!$B$3,_翻訳マスタ!$B$1:$D$1,0)),IF(AND(Q149&lt;&gt;"",Q149-TODAY()&lt;=7),INDEX(_翻訳マスタ!$B$117:$D$247,MATCH("ALERT_APPROACHING",_翻訳マスタ!$A$117:$A$247,0),MATCH(言語切替!$B$3,_翻訳マスタ!$B$1:$D$1,0)),IF(OR(S149='02_マスタ'!$E$7,S149='02_マスタ'!$E$8),INDEX(_翻訳マスタ!$B$117:$D$247,MATCH("ALERT_CHECK",_翻訳マスタ!$A$117:$A$247,0),MATCH(言語切替!$B$3,_翻訳マスタ!$B$1:$D$1,0)),""))))))</f>
        <v/>
      </c>
      <c r="AD149" s="41"/>
    </row>
    <row r="150" spans="1:30" s="22" customFormat="1" x14ac:dyDescent="0.25">
      <c r="A150" s="26"/>
      <c r="B150" s="27"/>
      <c r="C150" s="27"/>
      <c r="D150" s="27"/>
      <c r="E150" s="27"/>
      <c r="F150" s="45" t="str">
        <f t="shared" si="25"/>
        <v/>
      </c>
      <c r="G150" s="45" t="str">
        <f t="shared" si="26"/>
        <v/>
      </c>
      <c r="H150" s="27"/>
      <c r="I150" s="45" t="str">
        <f t="shared" si="27"/>
        <v/>
      </c>
      <c r="J150" s="45" t="str">
        <f t="shared" si="28"/>
        <v/>
      </c>
      <c r="K150" s="27"/>
      <c r="L150" s="45" t="str">
        <f t="shared" si="29"/>
        <v/>
      </c>
      <c r="M150" s="45" t="str">
        <f t="shared" si="30"/>
        <v/>
      </c>
      <c r="N150" s="27"/>
      <c r="O150" s="27"/>
      <c r="P150" s="28"/>
      <c r="Q150" s="28"/>
      <c r="R150" s="27"/>
      <c r="S150" s="27"/>
      <c r="T150" s="27"/>
      <c r="U150" s="27"/>
      <c r="V150" s="45" t="str">
        <f t="shared" si="31"/>
        <v/>
      </c>
      <c r="W150" s="45" t="str">
        <f t="shared" si="32"/>
        <v/>
      </c>
      <c r="X150" s="27"/>
      <c r="Y150" s="45" t="str">
        <f t="shared" si="22"/>
        <v/>
      </c>
      <c r="Z150" s="45" t="str">
        <f t="shared" si="23"/>
        <v/>
      </c>
      <c r="AA150" s="27"/>
      <c r="AB150" s="13" t="str">
        <f t="shared" ca="1" si="24"/>
        <v/>
      </c>
      <c r="AC150" s="13" t="str">
        <f ca="1">IF(A150="","",IF(OR(S150='02_マスタ'!$E$10,S150='02_マスタ'!$E$12),"",IF(R150="High","High",IF(AND(Q150&lt;&gt;"",Q150&lt;TODAY()),INDEX(_翻訳マスタ!$B$117:$D$247,MATCH("ALERT_OVERDUE",_翻訳マスタ!$A$117:$A$247,0),MATCH(言語切替!$B$3,_翻訳マスタ!$B$1:$D$1,0)),IF(AND(Q150&lt;&gt;"",Q150-TODAY()&lt;=7),INDEX(_翻訳マスタ!$B$117:$D$247,MATCH("ALERT_APPROACHING",_翻訳マスタ!$A$117:$A$247,0),MATCH(言語切替!$B$3,_翻訳マスタ!$B$1:$D$1,0)),IF(OR(S150='02_マスタ'!$E$7,S150='02_マスタ'!$E$8),INDEX(_翻訳マスタ!$B$117:$D$247,MATCH("ALERT_CHECK",_翻訳マスタ!$A$117:$A$247,0),MATCH(言語切替!$B$3,_翻訳マスタ!$B$1:$D$1,0)),""))))))</f>
        <v/>
      </c>
      <c r="AD150" s="40"/>
    </row>
    <row r="151" spans="1:30" s="22" customFormat="1" x14ac:dyDescent="0.25">
      <c r="A151" s="29"/>
      <c r="B151" s="30"/>
      <c r="C151" s="30"/>
      <c r="D151" s="30"/>
      <c r="E151" s="30"/>
      <c r="F151" s="46" t="str">
        <f t="shared" si="25"/>
        <v/>
      </c>
      <c r="G151" s="46" t="str">
        <f t="shared" si="26"/>
        <v/>
      </c>
      <c r="H151" s="30"/>
      <c r="I151" s="46" t="str">
        <f t="shared" si="27"/>
        <v/>
      </c>
      <c r="J151" s="46" t="str">
        <f t="shared" si="28"/>
        <v/>
      </c>
      <c r="K151" s="30"/>
      <c r="L151" s="46" t="str">
        <f t="shared" si="29"/>
        <v/>
      </c>
      <c r="M151" s="46" t="str">
        <f t="shared" si="30"/>
        <v/>
      </c>
      <c r="N151" s="30"/>
      <c r="O151" s="30"/>
      <c r="P151" s="31"/>
      <c r="Q151" s="31"/>
      <c r="R151" s="30"/>
      <c r="S151" s="30"/>
      <c r="T151" s="30"/>
      <c r="U151" s="30"/>
      <c r="V151" s="46" t="str">
        <f t="shared" si="31"/>
        <v/>
      </c>
      <c r="W151" s="46" t="str">
        <f t="shared" si="32"/>
        <v/>
      </c>
      <c r="X151" s="30"/>
      <c r="Y151" s="46" t="str">
        <f t="shared" si="22"/>
        <v/>
      </c>
      <c r="Z151" s="46" t="str">
        <f t="shared" si="23"/>
        <v/>
      </c>
      <c r="AA151" s="30"/>
      <c r="AB151" s="16" t="str">
        <f t="shared" ca="1" si="24"/>
        <v/>
      </c>
      <c r="AC151" s="16" t="str">
        <f ca="1">IF(A151="","",IF(OR(S151='02_マスタ'!$E$10,S151='02_マスタ'!$E$12),"",IF(R151="High","High",IF(AND(Q151&lt;&gt;"",Q151&lt;TODAY()),INDEX(_翻訳マスタ!$B$117:$D$247,MATCH("ALERT_OVERDUE",_翻訳マスタ!$A$117:$A$247,0),MATCH(言語切替!$B$3,_翻訳マスタ!$B$1:$D$1,0)),IF(AND(Q151&lt;&gt;"",Q151-TODAY()&lt;=7),INDEX(_翻訳マスタ!$B$117:$D$247,MATCH("ALERT_APPROACHING",_翻訳マスタ!$A$117:$A$247,0),MATCH(言語切替!$B$3,_翻訳マスタ!$B$1:$D$1,0)),IF(OR(S151='02_マスタ'!$E$7,S151='02_マスタ'!$E$8),INDEX(_翻訳マスタ!$B$117:$D$247,MATCH("ALERT_CHECK",_翻訳マスタ!$A$117:$A$247,0),MATCH(言語切替!$B$3,_翻訳マスタ!$B$1:$D$1,0)),""))))))</f>
        <v/>
      </c>
      <c r="AD151" s="41"/>
    </row>
    <row r="152" spans="1:30" s="22" customFormat="1" x14ac:dyDescent="0.25">
      <c r="A152" s="26"/>
      <c r="B152" s="27"/>
      <c r="C152" s="27"/>
      <c r="D152" s="27"/>
      <c r="E152" s="27"/>
      <c r="F152" s="45" t="str">
        <f t="shared" si="25"/>
        <v/>
      </c>
      <c r="G152" s="45" t="str">
        <f t="shared" si="26"/>
        <v/>
      </c>
      <c r="H152" s="27"/>
      <c r="I152" s="45" t="str">
        <f t="shared" si="27"/>
        <v/>
      </c>
      <c r="J152" s="45" t="str">
        <f t="shared" si="28"/>
        <v/>
      </c>
      <c r="K152" s="27"/>
      <c r="L152" s="45" t="str">
        <f t="shared" si="29"/>
        <v/>
      </c>
      <c r="M152" s="45" t="str">
        <f t="shared" si="30"/>
        <v/>
      </c>
      <c r="N152" s="27"/>
      <c r="O152" s="27"/>
      <c r="P152" s="28"/>
      <c r="Q152" s="28"/>
      <c r="R152" s="27"/>
      <c r="S152" s="27"/>
      <c r="T152" s="27"/>
      <c r="U152" s="27"/>
      <c r="V152" s="45" t="str">
        <f t="shared" si="31"/>
        <v/>
      </c>
      <c r="W152" s="45" t="str">
        <f t="shared" si="32"/>
        <v/>
      </c>
      <c r="X152" s="27"/>
      <c r="Y152" s="45" t="str">
        <f t="shared" si="22"/>
        <v/>
      </c>
      <c r="Z152" s="45" t="str">
        <f t="shared" si="23"/>
        <v/>
      </c>
      <c r="AA152" s="27"/>
      <c r="AB152" s="13" t="str">
        <f t="shared" ca="1" si="24"/>
        <v/>
      </c>
      <c r="AC152" s="13" t="str">
        <f ca="1">IF(A152="","",IF(OR(S152='02_マスタ'!$E$10,S152='02_マスタ'!$E$12),"",IF(R152="High","High",IF(AND(Q152&lt;&gt;"",Q152&lt;TODAY()),INDEX(_翻訳マスタ!$B$117:$D$247,MATCH("ALERT_OVERDUE",_翻訳マスタ!$A$117:$A$247,0),MATCH(言語切替!$B$3,_翻訳マスタ!$B$1:$D$1,0)),IF(AND(Q152&lt;&gt;"",Q152-TODAY()&lt;=7),INDEX(_翻訳マスタ!$B$117:$D$247,MATCH("ALERT_APPROACHING",_翻訳マスタ!$A$117:$A$247,0),MATCH(言語切替!$B$3,_翻訳マスタ!$B$1:$D$1,0)),IF(OR(S152='02_マスタ'!$E$7,S152='02_マスタ'!$E$8),INDEX(_翻訳マスタ!$B$117:$D$247,MATCH("ALERT_CHECK",_翻訳マスタ!$A$117:$A$247,0),MATCH(言語切替!$B$3,_翻訳マスタ!$B$1:$D$1,0)),""))))))</f>
        <v/>
      </c>
      <c r="AD152" s="40"/>
    </row>
    <row r="153" spans="1:30" s="22" customFormat="1" x14ac:dyDescent="0.25">
      <c r="A153" s="29"/>
      <c r="B153" s="30"/>
      <c r="C153" s="30"/>
      <c r="D153" s="30"/>
      <c r="E153" s="30"/>
      <c r="F153" s="46" t="str">
        <f t="shared" si="25"/>
        <v/>
      </c>
      <c r="G153" s="46" t="str">
        <f t="shared" si="26"/>
        <v/>
      </c>
      <c r="H153" s="30"/>
      <c r="I153" s="46" t="str">
        <f t="shared" si="27"/>
        <v/>
      </c>
      <c r="J153" s="46" t="str">
        <f t="shared" si="28"/>
        <v/>
      </c>
      <c r="K153" s="30"/>
      <c r="L153" s="46" t="str">
        <f t="shared" si="29"/>
        <v/>
      </c>
      <c r="M153" s="46" t="str">
        <f t="shared" si="30"/>
        <v/>
      </c>
      <c r="N153" s="30"/>
      <c r="O153" s="30"/>
      <c r="P153" s="31"/>
      <c r="Q153" s="31"/>
      <c r="R153" s="30"/>
      <c r="S153" s="30"/>
      <c r="T153" s="30"/>
      <c r="U153" s="30"/>
      <c r="V153" s="46" t="str">
        <f t="shared" si="31"/>
        <v/>
      </c>
      <c r="W153" s="46" t="str">
        <f t="shared" si="32"/>
        <v/>
      </c>
      <c r="X153" s="30"/>
      <c r="Y153" s="46" t="str">
        <f t="shared" si="22"/>
        <v/>
      </c>
      <c r="Z153" s="46" t="str">
        <f t="shared" si="23"/>
        <v/>
      </c>
      <c r="AA153" s="30"/>
      <c r="AB153" s="16" t="str">
        <f t="shared" ca="1" si="24"/>
        <v/>
      </c>
      <c r="AC153" s="16" t="str">
        <f ca="1">IF(A153="","",IF(OR(S153='02_マスタ'!$E$10,S153='02_マスタ'!$E$12),"",IF(R153="High","High",IF(AND(Q153&lt;&gt;"",Q153&lt;TODAY()),INDEX(_翻訳マスタ!$B$117:$D$247,MATCH("ALERT_OVERDUE",_翻訳マスタ!$A$117:$A$247,0),MATCH(言語切替!$B$3,_翻訳マスタ!$B$1:$D$1,0)),IF(AND(Q153&lt;&gt;"",Q153-TODAY()&lt;=7),INDEX(_翻訳マスタ!$B$117:$D$247,MATCH("ALERT_APPROACHING",_翻訳マスタ!$A$117:$A$247,0),MATCH(言語切替!$B$3,_翻訳マスタ!$B$1:$D$1,0)),IF(OR(S153='02_マスタ'!$E$7,S153='02_マスタ'!$E$8),INDEX(_翻訳マスタ!$B$117:$D$247,MATCH("ALERT_CHECK",_翻訳マスタ!$A$117:$A$247,0),MATCH(言語切替!$B$3,_翻訳マスタ!$B$1:$D$1,0)),""))))))</f>
        <v/>
      </c>
      <c r="AD153" s="41"/>
    </row>
    <row r="154" spans="1:30" s="22" customFormat="1" x14ac:dyDescent="0.25">
      <c r="A154" s="26"/>
      <c r="B154" s="27"/>
      <c r="C154" s="27"/>
      <c r="D154" s="27"/>
      <c r="E154" s="27"/>
      <c r="F154" s="45" t="str">
        <f t="shared" si="25"/>
        <v/>
      </c>
      <c r="G154" s="45" t="str">
        <f t="shared" si="26"/>
        <v/>
      </c>
      <c r="H154" s="27"/>
      <c r="I154" s="45" t="str">
        <f t="shared" si="27"/>
        <v/>
      </c>
      <c r="J154" s="45" t="str">
        <f t="shared" si="28"/>
        <v/>
      </c>
      <c r="K154" s="27"/>
      <c r="L154" s="45" t="str">
        <f t="shared" si="29"/>
        <v/>
      </c>
      <c r="M154" s="45" t="str">
        <f t="shared" si="30"/>
        <v/>
      </c>
      <c r="N154" s="27"/>
      <c r="O154" s="27"/>
      <c r="P154" s="28"/>
      <c r="Q154" s="28"/>
      <c r="R154" s="27"/>
      <c r="S154" s="27"/>
      <c r="T154" s="27"/>
      <c r="U154" s="27"/>
      <c r="V154" s="45" t="str">
        <f t="shared" si="31"/>
        <v/>
      </c>
      <c r="W154" s="45" t="str">
        <f t="shared" si="32"/>
        <v/>
      </c>
      <c r="X154" s="27"/>
      <c r="Y154" s="45" t="str">
        <f t="shared" si="22"/>
        <v/>
      </c>
      <c r="Z154" s="45" t="str">
        <f t="shared" si="23"/>
        <v/>
      </c>
      <c r="AA154" s="27"/>
      <c r="AB154" s="13" t="str">
        <f t="shared" ca="1" si="24"/>
        <v/>
      </c>
      <c r="AC154" s="13" t="str">
        <f ca="1">IF(A154="","",IF(OR(S154='02_マスタ'!$E$10,S154='02_マスタ'!$E$12),"",IF(R154="High","High",IF(AND(Q154&lt;&gt;"",Q154&lt;TODAY()),INDEX(_翻訳マスタ!$B$117:$D$247,MATCH("ALERT_OVERDUE",_翻訳マスタ!$A$117:$A$247,0),MATCH(言語切替!$B$3,_翻訳マスタ!$B$1:$D$1,0)),IF(AND(Q154&lt;&gt;"",Q154-TODAY()&lt;=7),INDEX(_翻訳マスタ!$B$117:$D$247,MATCH("ALERT_APPROACHING",_翻訳マスタ!$A$117:$A$247,0),MATCH(言語切替!$B$3,_翻訳マスタ!$B$1:$D$1,0)),IF(OR(S154='02_マスタ'!$E$7,S154='02_マスタ'!$E$8),INDEX(_翻訳マスタ!$B$117:$D$247,MATCH("ALERT_CHECK",_翻訳マスタ!$A$117:$A$247,0),MATCH(言語切替!$B$3,_翻訳マスタ!$B$1:$D$1,0)),""))))))</f>
        <v/>
      </c>
      <c r="AD154" s="40"/>
    </row>
    <row r="155" spans="1:30" s="22" customFormat="1" x14ac:dyDescent="0.25">
      <c r="A155" s="29"/>
      <c r="B155" s="30"/>
      <c r="C155" s="30"/>
      <c r="D155" s="30"/>
      <c r="E155" s="30"/>
      <c r="F155" s="46" t="str">
        <f t="shared" si="25"/>
        <v/>
      </c>
      <c r="G155" s="46" t="str">
        <f t="shared" si="26"/>
        <v/>
      </c>
      <c r="H155" s="30"/>
      <c r="I155" s="46" t="str">
        <f t="shared" si="27"/>
        <v/>
      </c>
      <c r="J155" s="46" t="str">
        <f t="shared" si="28"/>
        <v/>
      </c>
      <c r="K155" s="30"/>
      <c r="L155" s="46" t="str">
        <f t="shared" si="29"/>
        <v/>
      </c>
      <c r="M155" s="46" t="str">
        <f t="shared" si="30"/>
        <v/>
      </c>
      <c r="N155" s="30"/>
      <c r="O155" s="30"/>
      <c r="P155" s="31"/>
      <c r="Q155" s="31"/>
      <c r="R155" s="30"/>
      <c r="S155" s="30"/>
      <c r="T155" s="30"/>
      <c r="U155" s="30"/>
      <c r="V155" s="46" t="str">
        <f t="shared" si="31"/>
        <v/>
      </c>
      <c r="W155" s="46" t="str">
        <f t="shared" si="32"/>
        <v/>
      </c>
      <c r="X155" s="30"/>
      <c r="Y155" s="46" t="str">
        <f t="shared" si="22"/>
        <v/>
      </c>
      <c r="Z155" s="46" t="str">
        <f t="shared" si="23"/>
        <v/>
      </c>
      <c r="AA155" s="30"/>
      <c r="AB155" s="16" t="str">
        <f t="shared" ca="1" si="24"/>
        <v/>
      </c>
      <c r="AC155" s="16" t="str">
        <f ca="1">IF(A155="","",IF(OR(S155='02_マスタ'!$E$10,S155='02_マスタ'!$E$12),"",IF(R155="High","High",IF(AND(Q155&lt;&gt;"",Q155&lt;TODAY()),INDEX(_翻訳マスタ!$B$117:$D$247,MATCH("ALERT_OVERDUE",_翻訳マスタ!$A$117:$A$247,0),MATCH(言語切替!$B$3,_翻訳マスタ!$B$1:$D$1,0)),IF(AND(Q155&lt;&gt;"",Q155-TODAY()&lt;=7),INDEX(_翻訳マスタ!$B$117:$D$247,MATCH("ALERT_APPROACHING",_翻訳マスタ!$A$117:$A$247,0),MATCH(言語切替!$B$3,_翻訳マスタ!$B$1:$D$1,0)),IF(OR(S155='02_マスタ'!$E$7,S155='02_マスタ'!$E$8),INDEX(_翻訳マスタ!$B$117:$D$247,MATCH("ALERT_CHECK",_翻訳マスタ!$A$117:$A$247,0),MATCH(言語切替!$B$3,_翻訳マスタ!$B$1:$D$1,0)),""))))))</f>
        <v/>
      </c>
      <c r="AD155" s="41"/>
    </row>
    <row r="156" spans="1:30" s="22" customFormat="1" x14ac:dyDescent="0.25">
      <c r="A156" s="26"/>
      <c r="B156" s="27"/>
      <c r="C156" s="27"/>
      <c r="D156" s="27"/>
      <c r="E156" s="27"/>
      <c r="F156" s="45" t="str">
        <f t="shared" si="25"/>
        <v/>
      </c>
      <c r="G156" s="45" t="str">
        <f t="shared" si="26"/>
        <v/>
      </c>
      <c r="H156" s="27"/>
      <c r="I156" s="45" t="str">
        <f t="shared" si="27"/>
        <v/>
      </c>
      <c r="J156" s="45" t="str">
        <f t="shared" si="28"/>
        <v/>
      </c>
      <c r="K156" s="27"/>
      <c r="L156" s="45" t="str">
        <f t="shared" si="29"/>
        <v/>
      </c>
      <c r="M156" s="45" t="str">
        <f t="shared" si="30"/>
        <v/>
      </c>
      <c r="N156" s="27"/>
      <c r="O156" s="27"/>
      <c r="P156" s="28"/>
      <c r="Q156" s="28"/>
      <c r="R156" s="27"/>
      <c r="S156" s="27"/>
      <c r="T156" s="27"/>
      <c r="U156" s="27"/>
      <c r="V156" s="45" t="str">
        <f t="shared" si="31"/>
        <v/>
      </c>
      <c r="W156" s="45" t="str">
        <f t="shared" si="32"/>
        <v/>
      </c>
      <c r="X156" s="27"/>
      <c r="Y156" s="45" t="str">
        <f t="shared" si="22"/>
        <v/>
      </c>
      <c r="Z156" s="45" t="str">
        <f t="shared" si="23"/>
        <v/>
      </c>
      <c r="AA156" s="27"/>
      <c r="AB156" s="13" t="str">
        <f t="shared" ca="1" si="24"/>
        <v/>
      </c>
      <c r="AC156" s="13" t="str">
        <f ca="1">IF(A156="","",IF(OR(S156='02_マスタ'!$E$10,S156='02_マスタ'!$E$12),"",IF(R156="High","High",IF(AND(Q156&lt;&gt;"",Q156&lt;TODAY()),INDEX(_翻訳マスタ!$B$117:$D$247,MATCH("ALERT_OVERDUE",_翻訳マスタ!$A$117:$A$247,0),MATCH(言語切替!$B$3,_翻訳マスタ!$B$1:$D$1,0)),IF(AND(Q156&lt;&gt;"",Q156-TODAY()&lt;=7),INDEX(_翻訳マスタ!$B$117:$D$247,MATCH("ALERT_APPROACHING",_翻訳マスタ!$A$117:$A$247,0),MATCH(言語切替!$B$3,_翻訳マスタ!$B$1:$D$1,0)),IF(OR(S156='02_マスタ'!$E$7,S156='02_マスタ'!$E$8),INDEX(_翻訳マスタ!$B$117:$D$247,MATCH("ALERT_CHECK",_翻訳マスタ!$A$117:$A$247,0),MATCH(言語切替!$B$3,_翻訳マスタ!$B$1:$D$1,0)),""))))))</f>
        <v/>
      </c>
      <c r="AD156" s="40"/>
    </row>
    <row r="157" spans="1:30" s="22" customFormat="1" x14ac:dyDescent="0.25">
      <c r="A157" s="29"/>
      <c r="B157" s="30"/>
      <c r="C157" s="30"/>
      <c r="D157" s="30"/>
      <c r="E157" s="30"/>
      <c r="F157" s="46" t="str">
        <f t="shared" si="25"/>
        <v/>
      </c>
      <c r="G157" s="46" t="str">
        <f t="shared" si="26"/>
        <v/>
      </c>
      <c r="H157" s="30"/>
      <c r="I157" s="46" t="str">
        <f t="shared" si="27"/>
        <v/>
      </c>
      <c r="J157" s="46" t="str">
        <f t="shared" si="28"/>
        <v/>
      </c>
      <c r="K157" s="30"/>
      <c r="L157" s="46" t="str">
        <f t="shared" si="29"/>
        <v/>
      </c>
      <c r="M157" s="46" t="str">
        <f t="shared" si="30"/>
        <v/>
      </c>
      <c r="N157" s="30"/>
      <c r="O157" s="30"/>
      <c r="P157" s="31"/>
      <c r="Q157" s="31"/>
      <c r="R157" s="30"/>
      <c r="S157" s="30"/>
      <c r="T157" s="30"/>
      <c r="U157" s="30"/>
      <c r="V157" s="46" t="str">
        <f t="shared" si="31"/>
        <v/>
      </c>
      <c r="W157" s="46" t="str">
        <f t="shared" si="32"/>
        <v/>
      </c>
      <c r="X157" s="30"/>
      <c r="Y157" s="46" t="str">
        <f t="shared" si="22"/>
        <v/>
      </c>
      <c r="Z157" s="46" t="str">
        <f t="shared" si="23"/>
        <v/>
      </c>
      <c r="AA157" s="30"/>
      <c r="AB157" s="16" t="str">
        <f t="shared" ca="1" si="24"/>
        <v/>
      </c>
      <c r="AC157" s="16" t="str">
        <f ca="1">IF(A157="","",IF(OR(S157='02_マスタ'!$E$10,S157='02_マスタ'!$E$12),"",IF(R157="High","High",IF(AND(Q157&lt;&gt;"",Q157&lt;TODAY()),INDEX(_翻訳マスタ!$B$117:$D$247,MATCH("ALERT_OVERDUE",_翻訳マスタ!$A$117:$A$247,0),MATCH(言語切替!$B$3,_翻訳マスタ!$B$1:$D$1,0)),IF(AND(Q157&lt;&gt;"",Q157-TODAY()&lt;=7),INDEX(_翻訳マスタ!$B$117:$D$247,MATCH("ALERT_APPROACHING",_翻訳マスタ!$A$117:$A$247,0),MATCH(言語切替!$B$3,_翻訳マスタ!$B$1:$D$1,0)),IF(OR(S157='02_マスタ'!$E$7,S157='02_マスタ'!$E$8),INDEX(_翻訳マスタ!$B$117:$D$247,MATCH("ALERT_CHECK",_翻訳マスタ!$A$117:$A$247,0),MATCH(言語切替!$B$3,_翻訳マスタ!$B$1:$D$1,0)),""))))))</f>
        <v/>
      </c>
      <c r="AD157" s="41"/>
    </row>
    <row r="158" spans="1:30" s="22" customFormat="1" x14ac:dyDescent="0.25">
      <c r="A158" s="26"/>
      <c r="B158" s="27"/>
      <c r="C158" s="27"/>
      <c r="D158" s="27"/>
      <c r="E158" s="27"/>
      <c r="F158" s="45" t="str">
        <f t="shared" si="25"/>
        <v/>
      </c>
      <c r="G158" s="45" t="str">
        <f t="shared" si="26"/>
        <v/>
      </c>
      <c r="H158" s="27"/>
      <c r="I158" s="45" t="str">
        <f t="shared" si="27"/>
        <v/>
      </c>
      <c r="J158" s="45" t="str">
        <f t="shared" si="28"/>
        <v/>
      </c>
      <c r="K158" s="27"/>
      <c r="L158" s="45" t="str">
        <f t="shared" si="29"/>
        <v/>
      </c>
      <c r="M158" s="45" t="str">
        <f t="shared" si="30"/>
        <v/>
      </c>
      <c r="N158" s="27"/>
      <c r="O158" s="27"/>
      <c r="P158" s="28"/>
      <c r="Q158" s="28"/>
      <c r="R158" s="27"/>
      <c r="S158" s="27"/>
      <c r="T158" s="27"/>
      <c r="U158" s="27"/>
      <c r="V158" s="45" t="str">
        <f t="shared" si="31"/>
        <v/>
      </c>
      <c r="W158" s="45" t="str">
        <f t="shared" si="32"/>
        <v/>
      </c>
      <c r="X158" s="27"/>
      <c r="Y158" s="45" t="str">
        <f t="shared" si="22"/>
        <v/>
      </c>
      <c r="Z158" s="45" t="str">
        <f t="shared" si="23"/>
        <v/>
      </c>
      <c r="AA158" s="27"/>
      <c r="AB158" s="13" t="str">
        <f t="shared" ca="1" si="24"/>
        <v/>
      </c>
      <c r="AC158" s="13" t="str">
        <f ca="1">IF(A158="","",IF(OR(S158='02_マスタ'!$E$10,S158='02_マスタ'!$E$12),"",IF(R158="High","High",IF(AND(Q158&lt;&gt;"",Q158&lt;TODAY()),INDEX(_翻訳マスタ!$B$117:$D$247,MATCH("ALERT_OVERDUE",_翻訳マスタ!$A$117:$A$247,0),MATCH(言語切替!$B$3,_翻訳マスタ!$B$1:$D$1,0)),IF(AND(Q158&lt;&gt;"",Q158-TODAY()&lt;=7),INDEX(_翻訳マスタ!$B$117:$D$247,MATCH("ALERT_APPROACHING",_翻訳マスタ!$A$117:$A$247,0),MATCH(言語切替!$B$3,_翻訳マスタ!$B$1:$D$1,0)),IF(OR(S158='02_マスタ'!$E$7,S158='02_マスタ'!$E$8),INDEX(_翻訳マスタ!$B$117:$D$247,MATCH("ALERT_CHECK",_翻訳マスタ!$A$117:$A$247,0),MATCH(言語切替!$B$3,_翻訳マスタ!$B$1:$D$1,0)),""))))))</f>
        <v/>
      </c>
      <c r="AD158" s="40"/>
    </row>
    <row r="159" spans="1:30" s="22" customFormat="1" x14ac:dyDescent="0.25">
      <c r="A159" s="29"/>
      <c r="B159" s="30"/>
      <c r="C159" s="30"/>
      <c r="D159" s="30"/>
      <c r="E159" s="30"/>
      <c r="F159" s="46" t="str">
        <f t="shared" si="25"/>
        <v/>
      </c>
      <c r="G159" s="46" t="str">
        <f t="shared" si="26"/>
        <v/>
      </c>
      <c r="H159" s="30"/>
      <c r="I159" s="46" t="str">
        <f t="shared" si="27"/>
        <v/>
      </c>
      <c r="J159" s="46" t="str">
        <f t="shared" si="28"/>
        <v/>
      </c>
      <c r="K159" s="30"/>
      <c r="L159" s="46" t="str">
        <f t="shared" si="29"/>
        <v/>
      </c>
      <c r="M159" s="46" t="str">
        <f t="shared" si="30"/>
        <v/>
      </c>
      <c r="N159" s="30"/>
      <c r="O159" s="30"/>
      <c r="P159" s="31"/>
      <c r="Q159" s="31"/>
      <c r="R159" s="30"/>
      <c r="S159" s="30"/>
      <c r="T159" s="30"/>
      <c r="U159" s="30"/>
      <c r="V159" s="46" t="str">
        <f t="shared" si="31"/>
        <v/>
      </c>
      <c r="W159" s="46" t="str">
        <f t="shared" si="32"/>
        <v/>
      </c>
      <c r="X159" s="30"/>
      <c r="Y159" s="46" t="str">
        <f t="shared" si="22"/>
        <v/>
      </c>
      <c r="Z159" s="46" t="str">
        <f t="shared" si="23"/>
        <v/>
      </c>
      <c r="AA159" s="30"/>
      <c r="AB159" s="16" t="str">
        <f t="shared" ca="1" si="24"/>
        <v/>
      </c>
      <c r="AC159" s="16" t="str">
        <f ca="1">IF(A159="","",IF(OR(S159='02_マスタ'!$E$10,S159='02_マスタ'!$E$12),"",IF(R159="High","High",IF(AND(Q159&lt;&gt;"",Q159&lt;TODAY()),INDEX(_翻訳マスタ!$B$117:$D$247,MATCH("ALERT_OVERDUE",_翻訳マスタ!$A$117:$A$247,0),MATCH(言語切替!$B$3,_翻訳マスタ!$B$1:$D$1,0)),IF(AND(Q159&lt;&gt;"",Q159-TODAY()&lt;=7),INDEX(_翻訳マスタ!$B$117:$D$247,MATCH("ALERT_APPROACHING",_翻訳マスタ!$A$117:$A$247,0),MATCH(言語切替!$B$3,_翻訳マスタ!$B$1:$D$1,0)),IF(OR(S159='02_マスタ'!$E$7,S159='02_マスタ'!$E$8),INDEX(_翻訳マスタ!$B$117:$D$247,MATCH("ALERT_CHECK",_翻訳マスタ!$A$117:$A$247,0),MATCH(言語切替!$B$3,_翻訳マスタ!$B$1:$D$1,0)),""))))))</f>
        <v/>
      </c>
      <c r="AD159" s="41"/>
    </row>
    <row r="160" spans="1:30" s="22" customFormat="1" x14ac:dyDescent="0.25">
      <c r="A160" s="26"/>
      <c r="B160" s="27"/>
      <c r="C160" s="27"/>
      <c r="D160" s="27"/>
      <c r="E160" s="27"/>
      <c r="F160" s="45" t="str">
        <f t="shared" si="25"/>
        <v/>
      </c>
      <c r="G160" s="45" t="str">
        <f t="shared" si="26"/>
        <v/>
      </c>
      <c r="H160" s="27"/>
      <c r="I160" s="45" t="str">
        <f t="shared" si="27"/>
        <v/>
      </c>
      <c r="J160" s="45" t="str">
        <f t="shared" si="28"/>
        <v/>
      </c>
      <c r="K160" s="27"/>
      <c r="L160" s="45" t="str">
        <f t="shared" si="29"/>
        <v/>
      </c>
      <c r="M160" s="45" t="str">
        <f t="shared" si="30"/>
        <v/>
      </c>
      <c r="N160" s="27"/>
      <c r="O160" s="27"/>
      <c r="P160" s="28"/>
      <c r="Q160" s="28"/>
      <c r="R160" s="27"/>
      <c r="S160" s="27"/>
      <c r="T160" s="27"/>
      <c r="U160" s="27"/>
      <c r="V160" s="45" t="str">
        <f t="shared" si="31"/>
        <v/>
      </c>
      <c r="W160" s="45" t="str">
        <f t="shared" si="32"/>
        <v/>
      </c>
      <c r="X160" s="27"/>
      <c r="Y160" s="45" t="str">
        <f t="shared" si="22"/>
        <v/>
      </c>
      <c r="Z160" s="45" t="str">
        <f t="shared" si="23"/>
        <v/>
      </c>
      <c r="AA160" s="27"/>
      <c r="AB160" s="13" t="str">
        <f t="shared" ca="1" si="24"/>
        <v/>
      </c>
      <c r="AC160" s="13" t="str">
        <f ca="1">IF(A160="","",IF(OR(S160='02_マスタ'!$E$10,S160='02_マスタ'!$E$12),"",IF(R160="High","High",IF(AND(Q160&lt;&gt;"",Q160&lt;TODAY()),INDEX(_翻訳マスタ!$B$117:$D$247,MATCH("ALERT_OVERDUE",_翻訳マスタ!$A$117:$A$247,0),MATCH(言語切替!$B$3,_翻訳マスタ!$B$1:$D$1,0)),IF(AND(Q160&lt;&gt;"",Q160-TODAY()&lt;=7),INDEX(_翻訳マスタ!$B$117:$D$247,MATCH("ALERT_APPROACHING",_翻訳マスタ!$A$117:$A$247,0),MATCH(言語切替!$B$3,_翻訳マスタ!$B$1:$D$1,0)),IF(OR(S160='02_マスタ'!$E$7,S160='02_マスタ'!$E$8),INDEX(_翻訳マスタ!$B$117:$D$247,MATCH("ALERT_CHECK",_翻訳マスタ!$A$117:$A$247,0),MATCH(言語切替!$B$3,_翻訳マスタ!$B$1:$D$1,0)),""))))))</f>
        <v/>
      </c>
      <c r="AD160" s="40"/>
    </row>
    <row r="161" spans="1:30" s="22" customFormat="1" x14ac:dyDescent="0.25">
      <c r="A161" s="29"/>
      <c r="B161" s="30"/>
      <c r="C161" s="30"/>
      <c r="D161" s="30"/>
      <c r="E161" s="30"/>
      <c r="F161" s="46" t="str">
        <f t="shared" si="25"/>
        <v/>
      </c>
      <c r="G161" s="46" t="str">
        <f t="shared" si="26"/>
        <v/>
      </c>
      <c r="H161" s="30"/>
      <c r="I161" s="46" t="str">
        <f t="shared" si="27"/>
        <v/>
      </c>
      <c r="J161" s="46" t="str">
        <f t="shared" si="28"/>
        <v/>
      </c>
      <c r="K161" s="30"/>
      <c r="L161" s="46" t="str">
        <f t="shared" si="29"/>
        <v/>
      </c>
      <c r="M161" s="46" t="str">
        <f t="shared" si="30"/>
        <v/>
      </c>
      <c r="N161" s="30"/>
      <c r="O161" s="30"/>
      <c r="P161" s="31"/>
      <c r="Q161" s="31"/>
      <c r="R161" s="30"/>
      <c r="S161" s="30"/>
      <c r="T161" s="30"/>
      <c r="U161" s="30"/>
      <c r="V161" s="46" t="str">
        <f t="shared" si="31"/>
        <v/>
      </c>
      <c r="W161" s="46" t="str">
        <f t="shared" si="32"/>
        <v/>
      </c>
      <c r="X161" s="30"/>
      <c r="Y161" s="46" t="str">
        <f t="shared" si="22"/>
        <v/>
      </c>
      <c r="Z161" s="46" t="str">
        <f t="shared" si="23"/>
        <v/>
      </c>
      <c r="AA161" s="30"/>
      <c r="AB161" s="16" t="str">
        <f t="shared" ca="1" si="24"/>
        <v/>
      </c>
      <c r="AC161" s="16" t="str">
        <f ca="1">IF(A161="","",IF(OR(S161='02_マスタ'!$E$10,S161='02_マスタ'!$E$12),"",IF(R161="High","High",IF(AND(Q161&lt;&gt;"",Q161&lt;TODAY()),INDEX(_翻訳マスタ!$B$117:$D$247,MATCH("ALERT_OVERDUE",_翻訳マスタ!$A$117:$A$247,0),MATCH(言語切替!$B$3,_翻訳マスタ!$B$1:$D$1,0)),IF(AND(Q161&lt;&gt;"",Q161-TODAY()&lt;=7),INDEX(_翻訳マスタ!$B$117:$D$247,MATCH("ALERT_APPROACHING",_翻訳マスタ!$A$117:$A$247,0),MATCH(言語切替!$B$3,_翻訳マスタ!$B$1:$D$1,0)),IF(OR(S161='02_マスタ'!$E$7,S161='02_マスタ'!$E$8),INDEX(_翻訳マスタ!$B$117:$D$247,MATCH("ALERT_CHECK",_翻訳マスタ!$A$117:$A$247,0),MATCH(言語切替!$B$3,_翻訳マスタ!$B$1:$D$1,0)),""))))))</f>
        <v/>
      </c>
      <c r="AD161" s="41"/>
    </row>
    <row r="162" spans="1:30" s="22" customFormat="1" x14ac:dyDescent="0.25">
      <c r="A162" s="26"/>
      <c r="B162" s="27"/>
      <c r="C162" s="27"/>
      <c r="D162" s="27"/>
      <c r="E162" s="27"/>
      <c r="F162" s="45" t="str">
        <f t="shared" si="25"/>
        <v/>
      </c>
      <c r="G162" s="45" t="str">
        <f t="shared" si="26"/>
        <v/>
      </c>
      <c r="H162" s="27"/>
      <c r="I162" s="45" t="str">
        <f t="shared" si="27"/>
        <v/>
      </c>
      <c r="J162" s="45" t="str">
        <f t="shared" si="28"/>
        <v/>
      </c>
      <c r="K162" s="27"/>
      <c r="L162" s="45" t="str">
        <f t="shared" si="29"/>
        <v/>
      </c>
      <c r="M162" s="45" t="str">
        <f t="shared" si="30"/>
        <v/>
      </c>
      <c r="N162" s="27"/>
      <c r="O162" s="27"/>
      <c r="P162" s="28"/>
      <c r="Q162" s="28"/>
      <c r="R162" s="27"/>
      <c r="S162" s="27"/>
      <c r="T162" s="27"/>
      <c r="U162" s="27"/>
      <c r="V162" s="45" t="str">
        <f t="shared" si="31"/>
        <v/>
      </c>
      <c r="W162" s="45" t="str">
        <f t="shared" si="32"/>
        <v/>
      </c>
      <c r="X162" s="27"/>
      <c r="Y162" s="45" t="str">
        <f t="shared" si="22"/>
        <v/>
      </c>
      <c r="Z162" s="45" t="str">
        <f t="shared" si="23"/>
        <v/>
      </c>
      <c r="AA162" s="27"/>
      <c r="AB162" s="13" t="str">
        <f t="shared" ca="1" si="24"/>
        <v/>
      </c>
      <c r="AC162" s="13" t="str">
        <f ca="1">IF(A162="","",IF(OR(S162='02_マスタ'!$E$10,S162='02_マスタ'!$E$12),"",IF(R162="High","High",IF(AND(Q162&lt;&gt;"",Q162&lt;TODAY()),INDEX(_翻訳マスタ!$B$117:$D$247,MATCH("ALERT_OVERDUE",_翻訳マスタ!$A$117:$A$247,0),MATCH(言語切替!$B$3,_翻訳マスタ!$B$1:$D$1,0)),IF(AND(Q162&lt;&gt;"",Q162-TODAY()&lt;=7),INDEX(_翻訳マスタ!$B$117:$D$247,MATCH("ALERT_APPROACHING",_翻訳マスタ!$A$117:$A$247,0),MATCH(言語切替!$B$3,_翻訳マスタ!$B$1:$D$1,0)),IF(OR(S162='02_マスタ'!$E$7,S162='02_マスタ'!$E$8),INDEX(_翻訳マスタ!$B$117:$D$247,MATCH("ALERT_CHECK",_翻訳マスタ!$A$117:$A$247,0),MATCH(言語切替!$B$3,_翻訳マスタ!$B$1:$D$1,0)),""))))))</f>
        <v/>
      </c>
      <c r="AD162" s="40"/>
    </row>
    <row r="163" spans="1:30" s="22" customFormat="1" x14ac:dyDescent="0.25">
      <c r="A163" s="29"/>
      <c r="B163" s="30"/>
      <c r="C163" s="30"/>
      <c r="D163" s="30"/>
      <c r="E163" s="30"/>
      <c r="F163" s="46" t="str">
        <f t="shared" si="25"/>
        <v/>
      </c>
      <c r="G163" s="46" t="str">
        <f t="shared" si="26"/>
        <v/>
      </c>
      <c r="H163" s="30"/>
      <c r="I163" s="46" t="str">
        <f t="shared" si="27"/>
        <v/>
      </c>
      <c r="J163" s="46" t="str">
        <f t="shared" si="28"/>
        <v/>
      </c>
      <c r="K163" s="30"/>
      <c r="L163" s="46" t="str">
        <f t="shared" si="29"/>
        <v/>
      </c>
      <c r="M163" s="46" t="str">
        <f t="shared" si="30"/>
        <v/>
      </c>
      <c r="N163" s="30"/>
      <c r="O163" s="30"/>
      <c r="P163" s="31"/>
      <c r="Q163" s="31"/>
      <c r="R163" s="30"/>
      <c r="S163" s="30"/>
      <c r="T163" s="30"/>
      <c r="U163" s="30"/>
      <c r="V163" s="46" t="str">
        <f t="shared" si="31"/>
        <v/>
      </c>
      <c r="W163" s="46" t="str">
        <f t="shared" si="32"/>
        <v/>
      </c>
      <c r="X163" s="30"/>
      <c r="Y163" s="46" t="str">
        <f t="shared" si="22"/>
        <v/>
      </c>
      <c r="Z163" s="46" t="str">
        <f t="shared" si="23"/>
        <v/>
      </c>
      <c r="AA163" s="30"/>
      <c r="AB163" s="16" t="str">
        <f t="shared" ca="1" si="24"/>
        <v/>
      </c>
      <c r="AC163" s="16" t="str">
        <f ca="1">IF(A163="","",IF(OR(S163='02_マスタ'!$E$10,S163='02_マスタ'!$E$12),"",IF(R163="High","High",IF(AND(Q163&lt;&gt;"",Q163&lt;TODAY()),INDEX(_翻訳マスタ!$B$117:$D$247,MATCH("ALERT_OVERDUE",_翻訳マスタ!$A$117:$A$247,0),MATCH(言語切替!$B$3,_翻訳マスタ!$B$1:$D$1,0)),IF(AND(Q163&lt;&gt;"",Q163-TODAY()&lt;=7),INDEX(_翻訳マスタ!$B$117:$D$247,MATCH("ALERT_APPROACHING",_翻訳マスタ!$A$117:$A$247,0),MATCH(言語切替!$B$3,_翻訳マスタ!$B$1:$D$1,0)),IF(OR(S163='02_マスタ'!$E$7,S163='02_マスタ'!$E$8),INDEX(_翻訳マスタ!$B$117:$D$247,MATCH("ALERT_CHECK",_翻訳マスタ!$A$117:$A$247,0),MATCH(言語切替!$B$3,_翻訳マスタ!$B$1:$D$1,0)),""))))))</f>
        <v/>
      </c>
      <c r="AD163" s="41"/>
    </row>
    <row r="164" spans="1:30" s="22" customFormat="1" x14ac:dyDescent="0.25">
      <c r="A164" s="26"/>
      <c r="B164" s="27"/>
      <c r="C164" s="27"/>
      <c r="D164" s="27"/>
      <c r="E164" s="27"/>
      <c r="F164" s="45" t="str">
        <f t="shared" si="25"/>
        <v/>
      </c>
      <c r="G164" s="45" t="str">
        <f t="shared" si="26"/>
        <v/>
      </c>
      <c r="H164" s="27"/>
      <c r="I164" s="45" t="str">
        <f t="shared" si="27"/>
        <v/>
      </c>
      <c r="J164" s="45" t="str">
        <f t="shared" si="28"/>
        <v/>
      </c>
      <c r="K164" s="27"/>
      <c r="L164" s="45" t="str">
        <f t="shared" si="29"/>
        <v/>
      </c>
      <c r="M164" s="45" t="str">
        <f t="shared" si="30"/>
        <v/>
      </c>
      <c r="N164" s="27"/>
      <c r="O164" s="27"/>
      <c r="P164" s="28"/>
      <c r="Q164" s="28"/>
      <c r="R164" s="27"/>
      <c r="S164" s="27"/>
      <c r="T164" s="27"/>
      <c r="U164" s="27"/>
      <c r="V164" s="45" t="str">
        <f t="shared" si="31"/>
        <v/>
      </c>
      <c r="W164" s="45" t="str">
        <f t="shared" si="32"/>
        <v/>
      </c>
      <c r="X164" s="27"/>
      <c r="Y164" s="45" t="str">
        <f t="shared" si="22"/>
        <v/>
      </c>
      <c r="Z164" s="45" t="str">
        <f t="shared" si="23"/>
        <v/>
      </c>
      <c r="AA164" s="27"/>
      <c r="AB164" s="13" t="str">
        <f t="shared" ca="1" si="24"/>
        <v/>
      </c>
      <c r="AC164" s="13" t="str">
        <f ca="1">IF(A164="","",IF(OR(S164='02_マスタ'!$E$10,S164='02_マスタ'!$E$12),"",IF(R164="High","High",IF(AND(Q164&lt;&gt;"",Q164&lt;TODAY()),INDEX(_翻訳マスタ!$B$117:$D$247,MATCH("ALERT_OVERDUE",_翻訳マスタ!$A$117:$A$247,0),MATCH(言語切替!$B$3,_翻訳マスタ!$B$1:$D$1,0)),IF(AND(Q164&lt;&gt;"",Q164-TODAY()&lt;=7),INDEX(_翻訳マスタ!$B$117:$D$247,MATCH("ALERT_APPROACHING",_翻訳マスタ!$A$117:$A$247,0),MATCH(言語切替!$B$3,_翻訳マスタ!$B$1:$D$1,0)),IF(OR(S164='02_マスタ'!$E$7,S164='02_マスタ'!$E$8),INDEX(_翻訳マスタ!$B$117:$D$247,MATCH("ALERT_CHECK",_翻訳マスタ!$A$117:$A$247,0),MATCH(言語切替!$B$3,_翻訳マスタ!$B$1:$D$1,0)),""))))))</f>
        <v/>
      </c>
      <c r="AD164" s="40"/>
    </row>
    <row r="165" spans="1:30" s="22" customFormat="1" x14ac:dyDescent="0.25">
      <c r="A165" s="29"/>
      <c r="B165" s="30"/>
      <c r="C165" s="30"/>
      <c r="D165" s="30"/>
      <c r="E165" s="30"/>
      <c r="F165" s="46" t="str">
        <f t="shared" si="25"/>
        <v/>
      </c>
      <c r="G165" s="46" t="str">
        <f t="shared" si="26"/>
        <v/>
      </c>
      <c r="H165" s="30"/>
      <c r="I165" s="46" t="str">
        <f t="shared" si="27"/>
        <v/>
      </c>
      <c r="J165" s="46" t="str">
        <f t="shared" si="28"/>
        <v/>
      </c>
      <c r="K165" s="30"/>
      <c r="L165" s="46" t="str">
        <f t="shared" si="29"/>
        <v/>
      </c>
      <c r="M165" s="46" t="str">
        <f t="shared" si="30"/>
        <v/>
      </c>
      <c r="N165" s="30"/>
      <c r="O165" s="30"/>
      <c r="P165" s="31"/>
      <c r="Q165" s="31"/>
      <c r="R165" s="30"/>
      <c r="S165" s="30"/>
      <c r="T165" s="30"/>
      <c r="U165" s="30"/>
      <c r="V165" s="46" t="str">
        <f t="shared" si="31"/>
        <v/>
      </c>
      <c r="W165" s="46" t="str">
        <f t="shared" si="32"/>
        <v/>
      </c>
      <c r="X165" s="30"/>
      <c r="Y165" s="46" t="str">
        <f t="shared" si="22"/>
        <v/>
      </c>
      <c r="Z165" s="46" t="str">
        <f t="shared" si="23"/>
        <v/>
      </c>
      <c r="AA165" s="30"/>
      <c r="AB165" s="16" t="str">
        <f t="shared" ca="1" si="24"/>
        <v/>
      </c>
      <c r="AC165" s="16" t="str">
        <f ca="1">IF(A165="","",IF(OR(S165='02_マスタ'!$E$10,S165='02_マスタ'!$E$12),"",IF(R165="High","High",IF(AND(Q165&lt;&gt;"",Q165&lt;TODAY()),INDEX(_翻訳マスタ!$B$117:$D$247,MATCH("ALERT_OVERDUE",_翻訳マスタ!$A$117:$A$247,0),MATCH(言語切替!$B$3,_翻訳マスタ!$B$1:$D$1,0)),IF(AND(Q165&lt;&gt;"",Q165-TODAY()&lt;=7),INDEX(_翻訳マスタ!$B$117:$D$247,MATCH("ALERT_APPROACHING",_翻訳マスタ!$A$117:$A$247,0),MATCH(言語切替!$B$3,_翻訳マスタ!$B$1:$D$1,0)),IF(OR(S165='02_マスタ'!$E$7,S165='02_マスタ'!$E$8),INDEX(_翻訳マスタ!$B$117:$D$247,MATCH("ALERT_CHECK",_翻訳マスタ!$A$117:$A$247,0),MATCH(言語切替!$B$3,_翻訳マスタ!$B$1:$D$1,0)),""))))))</f>
        <v/>
      </c>
      <c r="AD165" s="41"/>
    </row>
    <row r="166" spans="1:30" s="22" customFormat="1" x14ac:dyDescent="0.25">
      <c r="A166" s="26"/>
      <c r="B166" s="27"/>
      <c r="C166" s="27"/>
      <c r="D166" s="27"/>
      <c r="E166" s="27"/>
      <c r="F166" s="45" t="str">
        <f t="shared" si="25"/>
        <v/>
      </c>
      <c r="G166" s="45" t="str">
        <f t="shared" si="26"/>
        <v/>
      </c>
      <c r="H166" s="27"/>
      <c r="I166" s="45" t="str">
        <f t="shared" si="27"/>
        <v/>
      </c>
      <c r="J166" s="45" t="str">
        <f t="shared" si="28"/>
        <v/>
      </c>
      <c r="K166" s="27"/>
      <c r="L166" s="45" t="str">
        <f t="shared" si="29"/>
        <v/>
      </c>
      <c r="M166" s="45" t="str">
        <f t="shared" si="30"/>
        <v/>
      </c>
      <c r="N166" s="27"/>
      <c r="O166" s="27"/>
      <c r="P166" s="28"/>
      <c r="Q166" s="28"/>
      <c r="R166" s="27"/>
      <c r="S166" s="27"/>
      <c r="T166" s="27"/>
      <c r="U166" s="27"/>
      <c r="V166" s="45" t="str">
        <f t="shared" si="31"/>
        <v/>
      </c>
      <c r="W166" s="45" t="str">
        <f t="shared" si="32"/>
        <v/>
      </c>
      <c r="X166" s="27"/>
      <c r="Y166" s="45" t="str">
        <f t="shared" si="22"/>
        <v/>
      </c>
      <c r="Z166" s="45" t="str">
        <f t="shared" si="23"/>
        <v/>
      </c>
      <c r="AA166" s="27"/>
      <c r="AB166" s="13" t="str">
        <f t="shared" ca="1" si="24"/>
        <v/>
      </c>
      <c r="AC166" s="13" t="str">
        <f ca="1">IF(A166="","",IF(OR(S166='02_マスタ'!$E$10,S166='02_マスタ'!$E$12),"",IF(R166="High","High",IF(AND(Q166&lt;&gt;"",Q166&lt;TODAY()),INDEX(_翻訳マスタ!$B$117:$D$247,MATCH("ALERT_OVERDUE",_翻訳マスタ!$A$117:$A$247,0),MATCH(言語切替!$B$3,_翻訳マスタ!$B$1:$D$1,0)),IF(AND(Q166&lt;&gt;"",Q166-TODAY()&lt;=7),INDEX(_翻訳マスタ!$B$117:$D$247,MATCH("ALERT_APPROACHING",_翻訳マスタ!$A$117:$A$247,0),MATCH(言語切替!$B$3,_翻訳マスタ!$B$1:$D$1,0)),IF(OR(S166='02_マスタ'!$E$7,S166='02_マスタ'!$E$8),INDEX(_翻訳マスタ!$B$117:$D$247,MATCH("ALERT_CHECK",_翻訳マスタ!$A$117:$A$247,0),MATCH(言語切替!$B$3,_翻訳マスタ!$B$1:$D$1,0)),""))))))</f>
        <v/>
      </c>
      <c r="AD166" s="40"/>
    </row>
    <row r="167" spans="1:30" s="22" customFormat="1" x14ac:dyDescent="0.25">
      <c r="A167" s="29"/>
      <c r="B167" s="30"/>
      <c r="C167" s="30"/>
      <c r="D167" s="30"/>
      <c r="E167" s="30"/>
      <c r="F167" s="46" t="str">
        <f t="shared" si="25"/>
        <v/>
      </c>
      <c r="G167" s="46" t="str">
        <f t="shared" si="26"/>
        <v/>
      </c>
      <c r="H167" s="30"/>
      <c r="I167" s="46" t="str">
        <f t="shared" si="27"/>
        <v/>
      </c>
      <c r="J167" s="46" t="str">
        <f t="shared" si="28"/>
        <v/>
      </c>
      <c r="K167" s="30"/>
      <c r="L167" s="46" t="str">
        <f t="shared" si="29"/>
        <v/>
      </c>
      <c r="M167" s="46" t="str">
        <f t="shared" si="30"/>
        <v/>
      </c>
      <c r="N167" s="30"/>
      <c r="O167" s="30"/>
      <c r="P167" s="31"/>
      <c r="Q167" s="31"/>
      <c r="R167" s="30"/>
      <c r="S167" s="30"/>
      <c r="T167" s="30"/>
      <c r="U167" s="30"/>
      <c r="V167" s="46" t="str">
        <f t="shared" si="31"/>
        <v/>
      </c>
      <c r="W167" s="46" t="str">
        <f t="shared" si="32"/>
        <v/>
      </c>
      <c r="X167" s="30"/>
      <c r="Y167" s="46" t="str">
        <f t="shared" si="22"/>
        <v/>
      </c>
      <c r="Z167" s="46" t="str">
        <f t="shared" si="23"/>
        <v/>
      </c>
      <c r="AA167" s="30"/>
      <c r="AB167" s="16" t="str">
        <f t="shared" ca="1" si="24"/>
        <v/>
      </c>
      <c r="AC167" s="16" t="str">
        <f ca="1">IF(A167="","",IF(OR(S167='02_マスタ'!$E$10,S167='02_マスタ'!$E$12),"",IF(R167="High","High",IF(AND(Q167&lt;&gt;"",Q167&lt;TODAY()),INDEX(_翻訳マスタ!$B$117:$D$247,MATCH("ALERT_OVERDUE",_翻訳マスタ!$A$117:$A$247,0),MATCH(言語切替!$B$3,_翻訳マスタ!$B$1:$D$1,0)),IF(AND(Q167&lt;&gt;"",Q167-TODAY()&lt;=7),INDEX(_翻訳マスタ!$B$117:$D$247,MATCH("ALERT_APPROACHING",_翻訳マスタ!$A$117:$A$247,0),MATCH(言語切替!$B$3,_翻訳マスタ!$B$1:$D$1,0)),IF(OR(S167='02_マスタ'!$E$7,S167='02_マスタ'!$E$8),INDEX(_翻訳マスタ!$B$117:$D$247,MATCH("ALERT_CHECK",_翻訳マスタ!$A$117:$A$247,0),MATCH(言語切替!$B$3,_翻訳マスタ!$B$1:$D$1,0)),""))))))</f>
        <v/>
      </c>
      <c r="AD167" s="41"/>
    </row>
    <row r="168" spans="1:30" s="22" customFormat="1" x14ac:dyDescent="0.25">
      <c r="A168" s="26"/>
      <c r="B168" s="27"/>
      <c r="C168" s="27"/>
      <c r="D168" s="27"/>
      <c r="E168" s="27"/>
      <c r="F168" s="45" t="str">
        <f t="shared" si="25"/>
        <v/>
      </c>
      <c r="G168" s="45" t="str">
        <f t="shared" si="26"/>
        <v/>
      </c>
      <c r="H168" s="27"/>
      <c r="I168" s="45" t="str">
        <f t="shared" si="27"/>
        <v/>
      </c>
      <c r="J168" s="45" t="str">
        <f t="shared" si="28"/>
        <v/>
      </c>
      <c r="K168" s="27"/>
      <c r="L168" s="45" t="str">
        <f t="shared" si="29"/>
        <v/>
      </c>
      <c r="M168" s="45" t="str">
        <f t="shared" si="30"/>
        <v/>
      </c>
      <c r="N168" s="27"/>
      <c r="O168" s="27"/>
      <c r="P168" s="28"/>
      <c r="Q168" s="28"/>
      <c r="R168" s="27"/>
      <c r="S168" s="27"/>
      <c r="T168" s="27"/>
      <c r="U168" s="27"/>
      <c r="V168" s="45" t="str">
        <f t="shared" si="31"/>
        <v/>
      </c>
      <c r="W168" s="45" t="str">
        <f t="shared" si="32"/>
        <v/>
      </c>
      <c r="X168" s="27"/>
      <c r="Y168" s="45" t="str">
        <f t="shared" si="22"/>
        <v/>
      </c>
      <c r="Z168" s="45" t="str">
        <f t="shared" si="23"/>
        <v/>
      </c>
      <c r="AA168" s="27"/>
      <c r="AB168" s="13" t="str">
        <f t="shared" ca="1" si="24"/>
        <v/>
      </c>
      <c r="AC168" s="13" t="str">
        <f ca="1">IF(A168="","",IF(OR(S168='02_マスタ'!$E$10,S168='02_マスタ'!$E$12),"",IF(R168="High","High",IF(AND(Q168&lt;&gt;"",Q168&lt;TODAY()),INDEX(_翻訳マスタ!$B$117:$D$247,MATCH("ALERT_OVERDUE",_翻訳マスタ!$A$117:$A$247,0),MATCH(言語切替!$B$3,_翻訳マスタ!$B$1:$D$1,0)),IF(AND(Q168&lt;&gt;"",Q168-TODAY()&lt;=7),INDEX(_翻訳マスタ!$B$117:$D$247,MATCH("ALERT_APPROACHING",_翻訳マスタ!$A$117:$A$247,0),MATCH(言語切替!$B$3,_翻訳マスタ!$B$1:$D$1,0)),IF(OR(S168='02_マスタ'!$E$7,S168='02_マスタ'!$E$8),INDEX(_翻訳マスタ!$B$117:$D$247,MATCH("ALERT_CHECK",_翻訳マスタ!$A$117:$A$247,0),MATCH(言語切替!$B$3,_翻訳マスタ!$B$1:$D$1,0)),""))))))</f>
        <v/>
      </c>
      <c r="AD168" s="40"/>
    </row>
    <row r="169" spans="1:30" s="22" customFormat="1" x14ac:dyDescent="0.25">
      <c r="A169" s="29"/>
      <c r="B169" s="30"/>
      <c r="C169" s="30"/>
      <c r="D169" s="30"/>
      <c r="E169" s="30"/>
      <c r="F169" s="46" t="str">
        <f t="shared" si="25"/>
        <v/>
      </c>
      <c r="G169" s="46" t="str">
        <f t="shared" si="26"/>
        <v/>
      </c>
      <c r="H169" s="30"/>
      <c r="I169" s="46" t="str">
        <f t="shared" si="27"/>
        <v/>
      </c>
      <c r="J169" s="46" t="str">
        <f t="shared" si="28"/>
        <v/>
      </c>
      <c r="K169" s="30"/>
      <c r="L169" s="46" t="str">
        <f t="shared" si="29"/>
        <v/>
      </c>
      <c r="M169" s="46" t="str">
        <f t="shared" si="30"/>
        <v/>
      </c>
      <c r="N169" s="30"/>
      <c r="O169" s="30"/>
      <c r="P169" s="31"/>
      <c r="Q169" s="31"/>
      <c r="R169" s="30"/>
      <c r="S169" s="30"/>
      <c r="T169" s="30"/>
      <c r="U169" s="30"/>
      <c r="V169" s="46" t="str">
        <f t="shared" si="31"/>
        <v/>
      </c>
      <c r="W169" s="46" t="str">
        <f t="shared" si="32"/>
        <v/>
      </c>
      <c r="X169" s="30"/>
      <c r="Y169" s="46" t="str">
        <f t="shared" si="22"/>
        <v/>
      </c>
      <c r="Z169" s="46" t="str">
        <f t="shared" si="23"/>
        <v/>
      </c>
      <c r="AA169" s="30"/>
      <c r="AB169" s="16" t="str">
        <f t="shared" ca="1" si="24"/>
        <v/>
      </c>
      <c r="AC169" s="16" t="str">
        <f ca="1">IF(A169="","",IF(OR(S169='02_マスタ'!$E$10,S169='02_マスタ'!$E$12),"",IF(R169="High","High",IF(AND(Q169&lt;&gt;"",Q169&lt;TODAY()),INDEX(_翻訳マスタ!$B$117:$D$247,MATCH("ALERT_OVERDUE",_翻訳マスタ!$A$117:$A$247,0),MATCH(言語切替!$B$3,_翻訳マスタ!$B$1:$D$1,0)),IF(AND(Q169&lt;&gt;"",Q169-TODAY()&lt;=7),INDEX(_翻訳マスタ!$B$117:$D$247,MATCH("ALERT_APPROACHING",_翻訳マスタ!$A$117:$A$247,0),MATCH(言語切替!$B$3,_翻訳マスタ!$B$1:$D$1,0)),IF(OR(S169='02_マスタ'!$E$7,S169='02_マスタ'!$E$8),INDEX(_翻訳マスタ!$B$117:$D$247,MATCH("ALERT_CHECK",_翻訳マスタ!$A$117:$A$247,0),MATCH(言語切替!$B$3,_翻訳マスタ!$B$1:$D$1,0)),""))))))</f>
        <v/>
      </c>
      <c r="AD169" s="41"/>
    </row>
    <row r="170" spans="1:30" s="22" customFormat="1" x14ac:dyDescent="0.25">
      <c r="A170" s="26"/>
      <c r="B170" s="27"/>
      <c r="C170" s="27"/>
      <c r="D170" s="27"/>
      <c r="E170" s="27"/>
      <c r="F170" s="45" t="str">
        <f t="shared" si="25"/>
        <v/>
      </c>
      <c r="G170" s="45" t="str">
        <f t="shared" si="26"/>
        <v/>
      </c>
      <c r="H170" s="27"/>
      <c r="I170" s="45" t="str">
        <f t="shared" si="27"/>
        <v/>
      </c>
      <c r="J170" s="45" t="str">
        <f t="shared" si="28"/>
        <v/>
      </c>
      <c r="K170" s="27"/>
      <c r="L170" s="45" t="str">
        <f t="shared" si="29"/>
        <v/>
      </c>
      <c r="M170" s="45" t="str">
        <f t="shared" si="30"/>
        <v/>
      </c>
      <c r="N170" s="27"/>
      <c r="O170" s="27"/>
      <c r="P170" s="28"/>
      <c r="Q170" s="28"/>
      <c r="R170" s="27"/>
      <c r="S170" s="27"/>
      <c r="T170" s="27"/>
      <c r="U170" s="27"/>
      <c r="V170" s="45" t="str">
        <f t="shared" si="31"/>
        <v/>
      </c>
      <c r="W170" s="45" t="str">
        <f t="shared" si="32"/>
        <v/>
      </c>
      <c r="X170" s="27"/>
      <c r="Y170" s="45" t="str">
        <f t="shared" si="22"/>
        <v/>
      </c>
      <c r="Z170" s="45" t="str">
        <f t="shared" si="23"/>
        <v/>
      </c>
      <c r="AA170" s="27"/>
      <c r="AB170" s="13" t="str">
        <f t="shared" ca="1" si="24"/>
        <v/>
      </c>
      <c r="AC170" s="13" t="str">
        <f ca="1">IF(A170="","",IF(OR(S170='02_マスタ'!$E$10,S170='02_マスタ'!$E$12),"",IF(R170="High","High",IF(AND(Q170&lt;&gt;"",Q170&lt;TODAY()),INDEX(_翻訳マスタ!$B$117:$D$247,MATCH("ALERT_OVERDUE",_翻訳マスタ!$A$117:$A$247,0),MATCH(言語切替!$B$3,_翻訳マスタ!$B$1:$D$1,0)),IF(AND(Q170&lt;&gt;"",Q170-TODAY()&lt;=7),INDEX(_翻訳マスタ!$B$117:$D$247,MATCH("ALERT_APPROACHING",_翻訳マスタ!$A$117:$A$247,0),MATCH(言語切替!$B$3,_翻訳マスタ!$B$1:$D$1,0)),IF(OR(S170='02_マスタ'!$E$7,S170='02_マスタ'!$E$8),INDEX(_翻訳マスタ!$B$117:$D$247,MATCH("ALERT_CHECK",_翻訳マスタ!$A$117:$A$247,0),MATCH(言語切替!$B$3,_翻訳マスタ!$B$1:$D$1,0)),""))))))</f>
        <v/>
      </c>
      <c r="AD170" s="40"/>
    </row>
    <row r="171" spans="1:30" s="22" customFormat="1" x14ac:dyDescent="0.25">
      <c r="A171" s="29"/>
      <c r="B171" s="30"/>
      <c r="C171" s="30"/>
      <c r="D171" s="30"/>
      <c r="E171" s="30"/>
      <c r="F171" s="46" t="str">
        <f t="shared" si="25"/>
        <v/>
      </c>
      <c r="G171" s="46" t="str">
        <f t="shared" si="26"/>
        <v/>
      </c>
      <c r="H171" s="30"/>
      <c r="I171" s="46" t="str">
        <f t="shared" si="27"/>
        <v/>
      </c>
      <c r="J171" s="46" t="str">
        <f t="shared" si="28"/>
        <v/>
      </c>
      <c r="K171" s="30"/>
      <c r="L171" s="46" t="str">
        <f t="shared" si="29"/>
        <v/>
      </c>
      <c r="M171" s="46" t="str">
        <f t="shared" si="30"/>
        <v/>
      </c>
      <c r="N171" s="30"/>
      <c r="O171" s="30"/>
      <c r="P171" s="31"/>
      <c r="Q171" s="31"/>
      <c r="R171" s="30"/>
      <c r="S171" s="30"/>
      <c r="T171" s="30"/>
      <c r="U171" s="30"/>
      <c r="V171" s="46" t="str">
        <f t="shared" si="31"/>
        <v/>
      </c>
      <c r="W171" s="46" t="str">
        <f t="shared" si="32"/>
        <v/>
      </c>
      <c r="X171" s="30"/>
      <c r="Y171" s="46" t="str">
        <f t="shared" si="22"/>
        <v/>
      </c>
      <c r="Z171" s="46" t="str">
        <f t="shared" si="23"/>
        <v/>
      </c>
      <c r="AA171" s="30"/>
      <c r="AB171" s="16" t="str">
        <f t="shared" ca="1" si="24"/>
        <v/>
      </c>
      <c r="AC171" s="16" t="str">
        <f ca="1">IF(A171="","",IF(OR(S171='02_マスタ'!$E$10,S171='02_マスタ'!$E$12),"",IF(R171="High","High",IF(AND(Q171&lt;&gt;"",Q171&lt;TODAY()),INDEX(_翻訳マスタ!$B$117:$D$247,MATCH("ALERT_OVERDUE",_翻訳マスタ!$A$117:$A$247,0),MATCH(言語切替!$B$3,_翻訳マスタ!$B$1:$D$1,0)),IF(AND(Q171&lt;&gt;"",Q171-TODAY()&lt;=7),INDEX(_翻訳マスタ!$B$117:$D$247,MATCH("ALERT_APPROACHING",_翻訳マスタ!$A$117:$A$247,0),MATCH(言語切替!$B$3,_翻訳マスタ!$B$1:$D$1,0)),IF(OR(S171='02_マスタ'!$E$7,S171='02_マスタ'!$E$8),INDEX(_翻訳マスタ!$B$117:$D$247,MATCH("ALERT_CHECK",_翻訳マスタ!$A$117:$A$247,0),MATCH(言語切替!$B$3,_翻訳マスタ!$B$1:$D$1,0)),""))))))</f>
        <v/>
      </c>
      <c r="AD171" s="41"/>
    </row>
    <row r="172" spans="1:30" s="22" customFormat="1" x14ac:dyDescent="0.25">
      <c r="A172" s="26"/>
      <c r="B172" s="27"/>
      <c r="C172" s="27"/>
      <c r="D172" s="27"/>
      <c r="E172" s="27"/>
      <c r="F172" s="45" t="str">
        <f t="shared" si="25"/>
        <v/>
      </c>
      <c r="G172" s="45" t="str">
        <f t="shared" si="26"/>
        <v/>
      </c>
      <c r="H172" s="27"/>
      <c r="I172" s="45" t="str">
        <f t="shared" si="27"/>
        <v/>
      </c>
      <c r="J172" s="45" t="str">
        <f t="shared" si="28"/>
        <v/>
      </c>
      <c r="K172" s="27"/>
      <c r="L172" s="45" t="str">
        <f t="shared" si="29"/>
        <v/>
      </c>
      <c r="M172" s="45" t="str">
        <f t="shared" si="30"/>
        <v/>
      </c>
      <c r="N172" s="27"/>
      <c r="O172" s="27"/>
      <c r="P172" s="28"/>
      <c r="Q172" s="28"/>
      <c r="R172" s="27"/>
      <c r="S172" s="27"/>
      <c r="T172" s="27"/>
      <c r="U172" s="27"/>
      <c r="V172" s="45" t="str">
        <f t="shared" si="31"/>
        <v/>
      </c>
      <c r="W172" s="45" t="str">
        <f t="shared" si="32"/>
        <v/>
      </c>
      <c r="X172" s="27"/>
      <c r="Y172" s="45" t="str">
        <f t="shared" si="22"/>
        <v/>
      </c>
      <c r="Z172" s="45" t="str">
        <f t="shared" si="23"/>
        <v/>
      </c>
      <c r="AA172" s="27"/>
      <c r="AB172" s="13" t="str">
        <f t="shared" ca="1" si="24"/>
        <v/>
      </c>
      <c r="AC172" s="13" t="str">
        <f ca="1">IF(A172="","",IF(OR(S172='02_マスタ'!$E$10,S172='02_マスタ'!$E$12),"",IF(R172="High","High",IF(AND(Q172&lt;&gt;"",Q172&lt;TODAY()),INDEX(_翻訳マスタ!$B$117:$D$247,MATCH("ALERT_OVERDUE",_翻訳マスタ!$A$117:$A$247,0),MATCH(言語切替!$B$3,_翻訳マスタ!$B$1:$D$1,0)),IF(AND(Q172&lt;&gt;"",Q172-TODAY()&lt;=7),INDEX(_翻訳マスタ!$B$117:$D$247,MATCH("ALERT_APPROACHING",_翻訳マスタ!$A$117:$A$247,0),MATCH(言語切替!$B$3,_翻訳マスタ!$B$1:$D$1,0)),IF(OR(S172='02_マスタ'!$E$7,S172='02_マスタ'!$E$8),INDEX(_翻訳マスタ!$B$117:$D$247,MATCH("ALERT_CHECK",_翻訳マスタ!$A$117:$A$247,0),MATCH(言語切替!$B$3,_翻訳マスタ!$B$1:$D$1,0)),""))))))</f>
        <v/>
      </c>
      <c r="AD172" s="40"/>
    </row>
    <row r="173" spans="1:30" s="22" customFormat="1" x14ac:dyDescent="0.25">
      <c r="A173" s="29"/>
      <c r="B173" s="30"/>
      <c r="C173" s="30"/>
      <c r="D173" s="30"/>
      <c r="E173" s="30"/>
      <c r="F173" s="46" t="str">
        <f t="shared" si="25"/>
        <v/>
      </c>
      <c r="G173" s="46" t="str">
        <f t="shared" si="26"/>
        <v/>
      </c>
      <c r="H173" s="30"/>
      <c r="I173" s="46" t="str">
        <f t="shared" si="27"/>
        <v/>
      </c>
      <c r="J173" s="46" t="str">
        <f t="shared" si="28"/>
        <v/>
      </c>
      <c r="K173" s="30"/>
      <c r="L173" s="46" t="str">
        <f t="shared" si="29"/>
        <v/>
      </c>
      <c r="M173" s="46" t="str">
        <f t="shared" si="30"/>
        <v/>
      </c>
      <c r="N173" s="30"/>
      <c r="O173" s="30"/>
      <c r="P173" s="31"/>
      <c r="Q173" s="31"/>
      <c r="R173" s="30"/>
      <c r="S173" s="30"/>
      <c r="T173" s="30"/>
      <c r="U173" s="30"/>
      <c r="V173" s="46" t="str">
        <f t="shared" si="31"/>
        <v/>
      </c>
      <c r="W173" s="46" t="str">
        <f t="shared" si="32"/>
        <v/>
      </c>
      <c r="X173" s="30"/>
      <c r="Y173" s="46" t="str">
        <f t="shared" si="22"/>
        <v/>
      </c>
      <c r="Z173" s="46" t="str">
        <f t="shared" si="23"/>
        <v/>
      </c>
      <c r="AA173" s="30"/>
      <c r="AB173" s="16" t="str">
        <f t="shared" ca="1" si="24"/>
        <v/>
      </c>
      <c r="AC173" s="16" t="str">
        <f ca="1">IF(A173="","",IF(OR(S173='02_マスタ'!$E$10,S173='02_マスタ'!$E$12),"",IF(R173="High","High",IF(AND(Q173&lt;&gt;"",Q173&lt;TODAY()),INDEX(_翻訳マスタ!$B$117:$D$247,MATCH("ALERT_OVERDUE",_翻訳マスタ!$A$117:$A$247,0),MATCH(言語切替!$B$3,_翻訳マスタ!$B$1:$D$1,0)),IF(AND(Q173&lt;&gt;"",Q173-TODAY()&lt;=7),INDEX(_翻訳マスタ!$B$117:$D$247,MATCH("ALERT_APPROACHING",_翻訳マスタ!$A$117:$A$247,0),MATCH(言語切替!$B$3,_翻訳マスタ!$B$1:$D$1,0)),IF(OR(S173='02_マスタ'!$E$7,S173='02_マスタ'!$E$8),INDEX(_翻訳マスタ!$B$117:$D$247,MATCH("ALERT_CHECK",_翻訳マスタ!$A$117:$A$247,0),MATCH(言語切替!$B$3,_翻訳マスタ!$B$1:$D$1,0)),""))))))</f>
        <v/>
      </c>
      <c r="AD173" s="41"/>
    </row>
    <row r="174" spans="1:30" s="22" customFormat="1" x14ac:dyDescent="0.25">
      <c r="A174" s="26"/>
      <c r="B174" s="27"/>
      <c r="C174" s="27"/>
      <c r="D174" s="27"/>
      <c r="E174" s="27"/>
      <c r="F174" s="45" t="str">
        <f t="shared" si="25"/>
        <v/>
      </c>
      <c r="G174" s="45" t="str">
        <f t="shared" si="26"/>
        <v/>
      </c>
      <c r="H174" s="27"/>
      <c r="I174" s="45" t="str">
        <f t="shared" si="27"/>
        <v/>
      </c>
      <c r="J174" s="45" t="str">
        <f t="shared" si="28"/>
        <v/>
      </c>
      <c r="K174" s="27"/>
      <c r="L174" s="45" t="str">
        <f t="shared" si="29"/>
        <v/>
      </c>
      <c r="M174" s="45" t="str">
        <f t="shared" si="30"/>
        <v/>
      </c>
      <c r="N174" s="27"/>
      <c r="O174" s="27"/>
      <c r="P174" s="28"/>
      <c r="Q174" s="28"/>
      <c r="R174" s="27"/>
      <c r="S174" s="27"/>
      <c r="T174" s="27"/>
      <c r="U174" s="27"/>
      <c r="V174" s="45" t="str">
        <f t="shared" si="31"/>
        <v/>
      </c>
      <c r="W174" s="45" t="str">
        <f t="shared" si="32"/>
        <v/>
      </c>
      <c r="X174" s="27"/>
      <c r="Y174" s="45" t="str">
        <f t="shared" si="22"/>
        <v/>
      </c>
      <c r="Z174" s="45" t="str">
        <f t="shared" si="23"/>
        <v/>
      </c>
      <c r="AA174" s="27"/>
      <c r="AB174" s="13" t="str">
        <f t="shared" ca="1" si="24"/>
        <v/>
      </c>
      <c r="AC174" s="13" t="str">
        <f ca="1">IF(A174="","",IF(OR(S174='02_マスタ'!$E$10,S174='02_マスタ'!$E$12),"",IF(R174="High","High",IF(AND(Q174&lt;&gt;"",Q174&lt;TODAY()),INDEX(_翻訳マスタ!$B$117:$D$247,MATCH("ALERT_OVERDUE",_翻訳マスタ!$A$117:$A$247,0),MATCH(言語切替!$B$3,_翻訳マスタ!$B$1:$D$1,0)),IF(AND(Q174&lt;&gt;"",Q174-TODAY()&lt;=7),INDEX(_翻訳マスタ!$B$117:$D$247,MATCH("ALERT_APPROACHING",_翻訳マスタ!$A$117:$A$247,0),MATCH(言語切替!$B$3,_翻訳マスタ!$B$1:$D$1,0)),IF(OR(S174='02_マスタ'!$E$7,S174='02_マスタ'!$E$8),INDEX(_翻訳マスタ!$B$117:$D$247,MATCH("ALERT_CHECK",_翻訳マスタ!$A$117:$A$247,0),MATCH(言語切替!$B$3,_翻訳マスタ!$B$1:$D$1,0)),""))))))</f>
        <v/>
      </c>
      <c r="AD174" s="40"/>
    </row>
    <row r="175" spans="1:30" s="22" customFormat="1" x14ac:dyDescent="0.25">
      <c r="A175" s="29"/>
      <c r="B175" s="30"/>
      <c r="C175" s="30"/>
      <c r="D175" s="30"/>
      <c r="E175" s="30"/>
      <c r="F175" s="46" t="str">
        <f t="shared" si="25"/>
        <v/>
      </c>
      <c r="G175" s="46" t="str">
        <f t="shared" si="26"/>
        <v/>
      </c>
      <c r="H175" s="30"/>
      <c r="I175" s="46" t="str">
        <f t="shared" si="27"/>
        <v/>
      </c>
      <c r="J175" s="46" t="str">
        <f t="shared" si="28"/>
        <v/>
      </c>
      <c r="K175" s="30"/>
      <c r="L175" s="46" t="str">
        <f t="shared" si="29"/>
        <v/>
      </c>
      <c r="M175" s="46" t="str">
        <f t="shared" si="30"/>
        <v/>
      </c>
      <c r="N175" s="30"/>
      <c r="O175" s="30"/>
      <c r="P175" s="31"/>
      <c r="Q175" s="31"/>
      <c r="R175" s="30"/>
      <c r="S175" s="30"/>
      <c r="T175" s="30"/>
      <c r="U175" s="30"/>
      <c r="V175" s="46" t="str">
        <f t="shared" si="31"/>
        <v/>
      </c>
      <c r="W175" s="46" t="str">
        <f t="shared" si="32"/>
        <v/>
      </c>
      <c r="X175" s="30"/>
      <c r="Y175" s="46" t="str">
        <f t="shared" si="22"/>
        <v/>
      </c>
      <c r="Z175" s="46" t="str">
        <f t="shared" si="23"/>
        <v/>
      </c>
      <c r="AA175" s="30"/>
      <c r="AB175" s="16" t="str">
        <f t="shared" ca="1" si="24"/>
        <v/>
      </c>
      <c r="AC175" s="16" t="str">
        <f ca="1">IF(A175="","",IF(OR(S175='02_マスタ'!$E$10,S175='02_マスタ'!$E$12),"",IF(R175="High","High",IF(AND(Q175&lt;&gt;"",Q175&lt;TODAY()),INDEX(_翻訳マスタ!$B$117:$D$247,MATCH("ALERT_OVERDUE",_翻訳マスタ!$A$117:$A$247,0),MATCH(言語切替!$B$3,_翻訳マスタ!$B$1:$D$1,0)),IF(AND(Q175&lt;&gt;"",Q175-TODAY()&lt;=7),INDEX(_翻訳マスタ!$B$117:$D$247,MATCH("ALERT_APPROACHING",_翻訳マスタ!$A$117:$A$247,0),MATCH(言語切替!$B$3,_翻訳マスタ!$B$1:$D$1,0)),IF(OR(S175='02_マスタ'!$E$7,S175='02_マスタ'!$E$8),INDEX(_翻訳マスタ!$B$117:$D$247,MATCH("ALERT_CHECK",_翻訳マスタ!$A$117:$A$247,0),MATCH(言語切替!$B$3,_翻訳マスタ!$B$1:$D$1,0)),""))))))</f>
        <v/>
      </c>
      <c r="AD175" s="41"/>
    </row>
    <row r="176" spans="1:30" s="22" customFormat="1" x14ac:dyDescent="0.25">
      <c r="A176" s="26"/>
      <c r="B176" s="27"/>
      <c r="C176" s="27"/>
      <c r="D176" s="27"/>
      <c r="E176" s="27"/>
      <c r="F176" s="45" t="str">
        <f t="shared" si="25"/>
        <v/>
      </c>
      <c r="G176" s="45" t="str">
        <f t="shared" si="26"/>
        <v/>
      </c>
      <c r="H176" s="27"/>
      <c r="I176" s="45" t="str">
        <f t="shared" si="27"/>
        <v/>
      </c>
      <c r="J176" s="45" t="str">
        <f t="shared" si="28"/>
        <v/>
      </c>
      <c r="K176" s="27"/>
      <c r="L176" s="45" t="str">
        <f t="shared" si="29"/>
        <v/>
      </c>
      <c r="M176" s="45" t="str">
        <f t="shared" si="30"/>
        <v/>
      </c>
      <c r="N176" s="27"/>
      <c r="O176" s="27"/>
      <c r="P176" s="28"/>
      <c r="Q176" s="28"/>
      <c r="R176" s="27"/>
      <c r="S176" s="27"/>
      <c r="T176" s="27"/>
      <c r="U176" s="27"/>
      <c r="V176" s="45" t="str">
        <f t="shared" si="31"/>
        <v/>
      </c>
      <c r="W176" s="45" t="str">
        <f t="shared" si="32"/>
        <v/>
      </c>
      <c r="X176" s="27"/>
      <c r="Y176" s="45" t="str">
        <f t="shared" si="22"/>
        <v/>
      </c>
      <c r="Z176" s="45" t="str">
        <f t="shared" si="23"/>
        <v/>
      </c>
      <c r="AA176" s="27"/>
      <c r="AB176" s="13" t="str">
        <f t="shared" ca="1" si="24"/>
        <v/>
      </c>
      <c r="AC176" s="13" t="str">
        <f ca="1">IF(A176="","",IF(OR(S176='02_マスタ'!$E$10,S176='02_マスタ'!$E$12),"",IF(R176="High","High",IF(AND(Q176&lt;&gt;"",Q176&lt;TODAY()),INDEX(_翻訳マスタ!$B$117:$D$247,MATCH("ALERT_OVERDUE",_翻訳マスタ!$A$117:$A$247,0),MATCH(言語切替!$B$3,_翻訳マスタ!$B$1:$D$1,0)),IF(AND(Q176&lt;&gt;"",Q176-TODAY()&lt;=7),INDEX(_翻訳マスタ!$B$117:$D$247,MATCH("ALERT_APPROACHING",_翻訳マスタ!$A$117:$A$247,0),MATCH(言語切替!$B$3,_翻訳マスタ!$B$1:$D$1,0)),IF(OR(S176='02_マスタ'!$E$7,S176='02_マスタ'!$E$8),INDEX(_翻訳マスタ!$B$117:$D$247,MATCH("ALERT_CHECK",_翻訳マスタ!$A$117:$A$247,0),MATCH(言語切替!$B$3,_翻訳マスタ!$B$1:$D$1,0)),""))))))</f>
        <v/>
      </c>
      <c r="AD176" s="40"/>
    </row>
    <row r="177" spans="1:30" s="22" customFormat="1" x14ac:dyDescent="0.25">
      <c r="A177" s="29"/>
      <c r="B177" s="30"/>
      <c r="C177" s="30"/>
      <c r="D177" s="30"/>
      <c r="E177" s="30"/>
      <c r="F177" s="46" t="str">
        <f t="shared" si="25"/>
        <v/>
      </c>
      <c r="G177" s="46" t="str">
        <f t="shared" si="26"/>
        <v/>
      </c>
      <c r="H177" s="30"/>
      <c r="I177" s="46" t="str">
        <f t="shared" si="27"/>
        <v/>
      </c>
      <c r="J177" s="46" t="str">
        <f t="shared" si="28"/>
        <v/>
      </c>
      <c r="K177" s="30"/>
      <c r="L177" s="46" t="str">
        <f t="shared" si="29"/>
        <v/>
      </c>
      <c r="M177" s="46" t="str">
        <f t="shared" si="30"/>
        <v/>
      </c>
      <c r="N177" s="30"/>
      <c r="O177" s="30"/>
      <c r="P177" s="31"/>
      <c r="Q177" s="31"/>
      <c r="R177" s="30"/>
      <c r="S177" s="30"/>
      <c r="T177" s="30"/>
      <c r="U177" s="30"/>
      <c r="V177" s="46" t="str">
        <f t="shared" si="31"/>
        <v/>
      </c>
      <c r="W177" s="46" t="str">
        <f t="shared" si="32"/>
        <v/>
      </c>
      <c r="X177" s="30"/>
      <c r="Y177" s="46" t="str">
        <f t="shared" si="22"/>
        <v/>
      </c>
      <c r="Z177" s="46" t="str">
        <f t="shared" si="23"/>
        <v/>
      </c>
      <c r="AA177" s="30"/>
      <c r="AB177" s="16" t="str">
        <f t="shared" ca="1" si="24"/>
        <v/>
      </c>
      <c r="AC177" s="16" t="str">
        <f ca="1">IF(A177="","",IF(OR(S177='02_マスタ'!$E$10,S177='02_マスタ'!$E$12),"",IF(R177="High","High",IF(AND(Q177&lt;&gt;"",Q177&lt;TODAY()),INDEX(_翻訳マスタ!$B$117:$D$247,MATCH("ALERT_OVERDUE",_翻訳マスタ!$A$117:$A$247,0),MATCH(言語切替!$B$3,_翻訳マスタ!$B$1:$D$1,0)),IF(AND(Q177&lt;&gt;"",Q177-TODAY()&lt;=7),INDEX(_翻訳マスタ!$B$117:$D$247,MATCH("ALERT_APPROACHING",_翻訳マスタ!$A$117:$A$247,0),MATCH(言語切替!$B$3,_翻訳マスタ!$B$1:$D$1,0)),IF(OR(S177='02_マスタ'!$E$7,S177='02_マスタ'!$E$8),INDEX(_翻訳マスタ!$B$117:$D$247,MATCH("ALERT_CHECK",_翻訳マスタ!$A$117:$A$247,0),MATCH(言語切替!$B$3,_翻訳マスタ!$B$1:$D$1,0)),""))))))</f>
        <v/>
      </c>
      <c r="AD177" s="41"/>
    </row>
    <row r="178" spans="1:30" s="22" customFormat="1" x14ac:dyDescent="0.25">
      <c r="A178" s="26"/>
      <c r="B178" s="27"/>
      <c r="C178" s="27"/>
      <c r="D178" s="27"/>
      <c r="E178" s="27"/>
      <c r="F178" s="45" t="str">
        <f t="shared" si="25"/>
        <v/>
      </c>
      <c r="G178" s="45" t="str">
        <f t="shared" si="26"/>
        <v/>
      </c>
      <c r="H178" s="27"/>
      <c r="I178" s="45" t="str">
        <f t="shared" si="27"/>
        <v/>
      </c>
      <c r="J178" s="45" t="str">
        <f t="shared" si="28"/>
        <v/>
      </c>
      <c r="K178" s="27"/>
      <c r="L178" s="45" t="str">
        <f t="shared" si="29"/>
        <v/>
      </c>
      <c r="M178" s="45" t="str">
        <f t="shared" si="30"/>
        <v/>
      </c>
      <c r="N178" s="27"/>
      <c r="O178" s="27"/>
      <c r="P178" s="28"/>
      <c r="Q178" s="28"/>
      <c r="R178" s="27"/>
      <c r="S178" s="27"/>
      <c r="T178" s="27"/>
      <c r="U178" s="27"/>
      <c r="V178" s="45" t="str">
        <f t="shared" si="31"/>
        <v/>
      </c>
      <c r="W178" s="45" t="str">
        <f t="shared" si="32"/>
        <v/>
      </c>
      <c r="X178" s="27"/>
      <c r="Y178" s="45" t="str">
        <f t="shared" si="22"/>
        <v/>
      </c>
      <c r="Z178" s="45" t="str">
        <f t="shared" si="23"/>
        <v/>
      </c>
      <c r="AA178" s="27"/>
      <c r="AB178" s="13" t="str">
        <f t="shared" ca="1" si="24"/>
        <v/>
      </c>
      <c r="AC178" s="13" t="str">
        <f ca="1">IF(A178="","",IF(OR(S178='02_マスタ'!$E$10,S178='02_マスタ'!$E$12),"",IF(R178="High","High",IF(AND(Q178&lt;&gt;"",Q178&lt;TODAY()),INDEX(_翻訳マスタ!$B$117:$D$247,MATCH("ALERT_OVERDUE",_翻訳マスタ!$A$117:$A$247,0),MATCH(言語切替!$B$3,_翻訳マスタ!$B$1:$D$1,0)),IF(AND(Q178&lt;&gt;"",Q178-TODAY()&lt;=7),INDEX(_翻訳マスタ!$B$117:$D$247,MATCH("ALERT_APPROACHING",_翻訳マスタ!$A$117:$A$247,0),MATCH(言語切替!$B$3,_翻訳マスタ!$B$1:$D$1,0)),IF(OR(S178='02_マスタ'!$E$7,S178='02_マスタ'!$E$8),INDEX(_翻訳マスタ!$B$117:$D$247,MATCH("ALERT_CHECK",_翻訳マスタ!$A$117:$A$247,0),MATCH(言語切替!$B$3,_翻訳マスタ!$B$1:$D$1,0)),""))))))</f>
        <v/>
      </c>
      <c r="AD178" s="40"/>
    </row>
    <row r="179" spans="1:30" s="22" customFormat="1" x14ac:dyDescent="0.25">
      <c r="A179" s="29"/>
      <c r="B179" s="30"/>
      <c r="C179" s="30"/>
      <c r="D179" s="30"/>
      <c r="E179" s="30"/>
      <c r="F179" s="46" t="str">
        <f t="shared" si="25"/>
        <v/>
      </c>
      <c r="G179" s="46" t="str">
        <f t="shared" si="26"/>
        <v/>
      </c>
      <c r="H179" s="30"/>
      <c r="I179" s="46" t="str">
        <f t="shared" si="27"/>
        <v/>
      </c>
      <c r="J179" s="46" t="str">
        <f t="shared" si="28"/>
        <v/>
      </c>
      <c r="K179" s="30"/>
      <c r="L179" s="46" t="str">
        <f t="shared" si="29"/>
        <v/>
      </c>
      <c r="M179" s="46" t="str">
        <f t="shared" si="30"/>
        <v/>
      </c>
      <c r="N179" s="30"/>
      <c r="O179" s="30"/>
      <c r="P179" s="31"/>
      <c r="Q179" s="31"/>
      <c r="R179" s="30"/>
      <c r="S179" s="30"/>
      <c r="T179" s="30"/>
      <c r="U179" s="30"/>
      <c r="V179" s="46" t="str">
        <f t="shared" si="31"/>
        <v/>
      </c>
      <c r="W179" s="46" t="str">
        <f t="shared" si="32"/>
        <v/>
      </c>
      <c r="X179" s="30"/>
      <c r="Y179" s="46" t="str">
        <f t="shared" si="22"/>
        <v/>
      </c>
      <c r="Z179" s="46" t="str">
        <f t="shared" si="23"/>
        <v/>
      </c>
      <c r="AA179" s="30"/>
      <c r="AB179" s="16" t="str">
        <f t="shared" ca="1" si="24"/>
        <v/>
      </c>
      <c r="AC179" s="16" t="str">
        <f ca="1">IF(A179="","",IF(OR(S179='02_マスタ'!$E$10,S179='02_マスタ'!$E$12),"",IF(R179="High","High",IF(AND(Q179&lt;&gt;"",Q179&lt;TODAY()),INDEX(_翻訳マスタ!$B$117:$D$247,MATCH("ALERT_OVERDUE",_翻訳マスタ!$A$117:$A$247,0),MATCH(言語切替!$B$3,_翻訳マスタ!$B$1:$D$1,0)),IF(AND(Q179&lt;&gt;"",Q179-TODAY()&lt;=7),INDEX(_翻訳マスタ!$B$117:$D$247,MATCH("ALERT_APPROACHING",_翻訳マスタ!$A$117:$A$247,0),MATCH(言語切替!$B$3,_翻訳マスタ!$B$1:$D$1,0)),IF(OR(S179='02_マスタ'!$E$7,S179='02_マスタ'!$E$8),INDEX(_翻訳マスタ!$B$117:$D$247,MATCH("ALERT_CHECK",_翻訳マスタ!$A$117:$A$247,0),MATCH(言語切替!$B$3,_翻訳マスタ!$B$1:$D$1,0)),""))))))</f>
        <v/>
      </c>
      <c r="AD179" s="41"/>
    </row>
    <row r="180" spans="1:30" s="22" customFormat="1" x14ac:dyDescent="0.25">
      <c r="A180" s="26"/>
      <c r="B180" s="27"/>
      <c r="C180" s="27"/>
      <c r="D180" s="27"/>
      <c r="E180" s="27"/>
      <c r="F180" s="45" t="str">
        <f t="shared" si="25"/>
        <v/>
      </c>
      <c r="G180" s="45" t="str">
        <f t="shared" si="26"/>
        <v/>
      </c>
      <c r="H180" s="27"/>
      <c r="I180" s="45" t="str">
        <f t="shared" si="27"/>
        <v/>
      </c>
      <c r="J180" s="45" t="str">
        <f t="shared" si="28"/>
        <v/>
      </c>
      <c r="K180" s="27"/>
      <c r="L180" s="45" t="str">
        <f t="shared" si="29"/>
        <v/>
      </c>
      <c r="M180" s="45" t="str">
        <f t="shared" si="30"/>
        <v/>
      </c>
      <c r="N180" s="27"/>
      <c r="O180" s="27"/>
      <c r="P180" s="28"/>
      <c r="Q180" s="28"/>
      <c r="R180" s="27"/>
      <c r="S180" s="27"/>
      <c r="T180" s="27"/>
      <c r="U180" s="27"/>
      <c r="V180" s="45" t="str">
        <f t="shared" si="31"/>
        <v/>
      </c>
      <c r="W180" s="45" t="str">
        <f t="shared" si="32"/>
        <v/>
      </c>
      <c r="X180" s="27"/>
      <c r="Y180" s="45" t="str">
        <f t="shared" si="22"/>
        <v/>
      </c>
      <c r="Z180" s="45" t="str">
        <f t="shared" si="23"/>
        <v/>
      </c>
      <c r="AA180" s="27"/>
      <c r="AB180" s="13" t="str">
        <f t="shared" ca="1" si="24"/>
        <v/>
      </c>
      <c r="AC180" s="13" t="str">
        <f ca="1">IF(A180="","",IF(OR(S180='02_マスタ'!$E$10,S180='02_マスタ'!$E$12),"",IF(R180="High","High",IF(AND(Q180&lt;&gt;"",Q180&lt;TODAY()),INDEX(_翻訳マスタ!$B$117:$D$247,MATCH("ALERT_OVERDUE",_翻訳マスタ!$A$117:$A$247,0),MATCH(言語切替!$B$3,_翻訳マスタ!$B$1:$D$1,0)),IF(AND(Q180&lt;&gt;"",Q180-TODAY()&lt;=7),INDEX(_翻訳マスタ!$B$117:$D$247,MATCH("ALERT_APPROACHING",_翻訳マスタ!$A$117:$A$247,0),MATCH(言語切替!$B$3,_翻訳マスタ!$B$1:$D$1,0)),IF(OR(S180='02_マスタ'!$E$7,S180='02_マスタ'!$E$8),INDEX(_翻訳マスタ!$B$117:$D$247,MATCH("ALERT_CHECK",_翻訳マスタ!$A$117:$A$247,0),MATCH(言語切替!$B$3,_翻訳マスタ!$B$1:$D$1,0)),""))))))</f>
        <v/>
      </c>
      <c r="AD180" s="40"/>
    </row>
    <row r="181" spans="1:30" s="22" customFormat="1" x14ac:dyDescent="0.25">
      <c r="A181" s="29"/>
      <c r="B181" s="30"/>
      <c r="C181" s="30"/>
      <c r="D181" s="30"/>
      <c r="E181" s="30"/>
      <c r="F181" s="46" t="str">
        <f t="shared" si="25"/>
        <v/>
      </c>
      <c r="G181" s="46" t="str">
        <f t="shared" si="26"/>
        <v/>
      </c>
      <c r="H181" s="30"/>
      <c r="I181" s="46" t="str">
        <f t="shared" si="27"/>
        <v/>
      </c>
      <c r="J181" s="46" t="str">
        <f t="shared" si="28"/>
        <v/>
      </c>
      <c r="K181" s="30"/>
      <c r="L181" s="46" t="str">
        <f t="shared" si="29"/>
        <v/>
      </c>
      <c r="M181" s="46" t="str">
        <f t="shared" si="30"/>
        <v/>
      </c>
      <c r="N181" s="30"/>
      <c r="O181" s="30"/>
      <c r="P181" s="31"/>
      <c r="Q181" s="31"/>
      <c r="R181" s="30"/>
      <c r="S181" s="30"/>
      <c r="T181" s="30"/>
      <c r="U181" s="30"/>
      <c r="V181" s="46" t="str">
        <f t="shared" si="31"/>
        <v/>
      </c>
      <c r="W181" s="46" t="str">
        <f t="shared" si="32"/>
        <v/>
      </c>
      <c r="X181" s="30"/>
      <c r="Y181" s="46" t="str">
        <f t="shared" si="22"/>
        <v/>
      </c>
      <c r="Z181" s="46" t="str">
        <f t="shared" si="23"/>
        <v/>
      </c>
      <c r="AA181" s="30"/>
      <c r="AB181" s="16" t="str">
        <f t="shared" ca="1" si="24"/>
        <v/>
      </c>
      <c r="AC181" s="16" t="str">
        <f ca="1">IF(A181="","",IF(OR(S181='02_マスタ'!$E$10,S181='02_マスタ'!$E$12),"",IF(R181="High","High",IF(AND(Q181&lt;&gt;"",Q181&lt;TODAY()),INDEX(_翻訳マスタ!$B$117:$D$247,MATCH("ALERT_OVERDUE",_翻訳マスタ!$A$117:$A$247,0),MATCH(言語切替!$B$3,_翻訳マスタ!$B$1:$D$1,0)),IF(AND(Q181&lt;&gt;"",Q181-TODAY()&lt;=7),INDEX(_翻訳マスタ!$B$117:$D$247,MATCH("ALERT_APPROACHING",_翻訳マスタ!$A$117:$A$247,0),MATCH(言語切替!$B$3,_翻訳マスタ!$B$1:$D$1,0)),IF(OR(S181='02_マスタ'!$E$7,S181='02_マスタ'!$E$8),INDEX(_翻訳マスタ!$B$117:$D$247,MATCH("ALERT_CHECK",_翻訳マスタ!$A$117:$A$247,0),MATCH(言語切替!$B$3,_翻訳マスタ!$B$1:$D$1,0)),""))))))</f>
        <v/>
      </c>
      <c r="AD181" s="41"/>
    </row>
    <row r="182" spans="1:30" s="22" customFormat="1" x14ac:dyDescent="0.25">
      <c r="A182" s="26"/>
      <c r="B182" s="27"/>
      <c r="C182" s="27"/>
      <c r="D182" s="27"/>
      <c r="E182" s="27"/>
      <c r="F182" s="45" t="str">
        <f t="shared" si="25"/>
        <v/>
      </c>
      <c r="G182" s="45" t="str">
        <f t="shared" si="26"/>
        <v/>
      </c>
      <c r="H182" s="27"/>
      <c r="I182" s="45" t="str">
        <f t="shared" si="27"/>
        <v/>
      </c>
      <c r="J182" s="45" t="str">
        <f t="shared" si="28"/>
        <v/>
      </c>
      <c r="K182" s="27"/>
      <c r="L182" s="45" t="str">
        <f t="shared" si="29"/>
        <v/>
      </c>
      <c r="M182" s="45" t="str">
        <f t="shared" si="30"/>
        <v/>
      </c>
      <c r="N182" s="27"/>
      <c r="O182" s="27"/>
      <c r="P182" s="28"/>
      <c r="Q182" s="28"/>
      <c r="R182" s="27"/>
      <c r="S182" s="27"/>
      <c r="T182" s="27"/>
      <c r="U182" s="27"/>
      <c r="V182" s="45" t="str">
        <f t="shared" si="31"/>
        <v/>
      </c>
      <c r="W182" s="45" t="str">
        <f t="shared" si="32"/>
        <v/>
      </c>
      <c r="X182" s="27"/>
      <c r="Y182" s="45" t="str">
        <f t="shared" si="22"/>
        <v/>
      </c>
      <c r="Z182" s="45" t="str">
        <f t="shared" si="23"/>
        <v/>
      </c>
      <c r="AA182" s="27"/>
      <c r="AB182" s="13" t="str">
        <f t="shared" ca="1" si="24"/>
        <v/>
      </c>
      <c r="AC182" s="13" t="str">
        <f ca="1">IF(A182="","",IF(OR(S182='02_マスタ'!$E$10,S182='02_マスタ'!$E$12),"",IF(R182="High","High",IF(AND(Q182&lt;&gt;"",Q182&lt;TODAY()),INDEX(_翻訳マスタ!$B$117:$D$247,MATCH("ALERT_OVERDUE",_翻訳マスタ!$A$117:$A$247,0),MATCH(言語切替!$B$3,_翻訳マスタ!$B$1:$D$1,0)),IF(AND(Q182&lt;&gt;"",Q182-TODAY()&lt;=7),INDEX(_翻訳マスタ!$B$117:$D$247,MATCH("ALERT_APPROACHING",_翻訳マスタ!$A$117:$A$247,0),MATCH(言語切替!$B$3,_翻訳マスタ!$B$1:$D$1,0)),IF(OR(S182='02_マスタ'!$E$7,S182='02_マスタ'!$E$8),INDEX(_翻訳マスタ!$B$117:$D$247,MATCH("ALERT_CHECK",_翻訳マスタ!$A$117:$A$247,0),MATCH(言語切替!$B$3,_翻訳マスタ!$B$1:$D$1,0)),""))))))</f>
        <v/>
      </c>
      <c r="AD182" s="40"/>
    </row>
    <row r="183" spans="1:30" s="22" customFormat="1" x14ac:dyDescent="0.25">
      <c r="A183" s="29"/>
      <c r="B183" s="30"/>
      <c r="C183" s="30"/>
      <c r="D183" s="30"/>
      <c r="E183" s="30"/>
      <c r="F183" s="46" t="str">
        <f t="shared" si="25"/>
        <v/>
      </c>
      <c r="G183" s="46" t="str">
        <f t="shared" si="26"/>
        <v/>
      </c>
      <c r="H183" s="30"/>
      <c r="I183" s="46" t="str">
        <f t="shared" si="27"/>
        <v/>
      </c>
      <c r="J183" s="46" t="str">
        <f t="shared" si="28"/>
        <v/>
      </c>
      <c r="K183" s="30"/>
      <c r="L183" s="46" t="str">
        <f t="shared" si="29"/>
        <v/>
      </c>
      <c r="M183" s="46" t="str">
        <f t="shared" si="30"/>
        <v/>
      </c>
      <c r="N183" s="30"/>
      <c r="O183" s="30"/>
      <c r="P183" s="31"/>
      <c r="Q183" s="31"/>
      <c r="R183" s="30"/>
      <c r="S183" s="30"/>
      <c r="T183" s="30"/>
      <c r="U183" s="30"/>
      <c r="V183" s="46" t="str">
        <f t="shared" si="31"/>
        <v/>
      </c>
      <c r="W183" s="46" t="str">
        <f t="shared" si="32"/>
        <v/>
      </c>
      <c r="X183" s="30"/>
      <c r="Y183" s="46" t="str">
        <f t="shared" si="22"/>
        <v/>
      </c>
      <c r="Z183" s="46" t="str">
        <f t="shared" si="23"/>
        <v/>
      </c>
      <c r="AA183" s="30"/>
      <c r="AB183" s="16" t="str">
        <f t="shared" ca="1" si="24"/>
        <v/>
      </c>
      <c r="AC183" s="16" t="str">
        <f ca="1">IF(A183="","",IF(OR(S183='02_マスタ'!$E$10,S183='02_マスタ'!$E$12),"",IF(R183="High","High",IF(AND(Q183&lt;&gt;"",Q183&lt;TODAY()),INDEX(_翻訳マスタ!$B$117:$D$247,MATCH("ALERT_OVERDUE",_翻訳マスタ!$A$117:$A$247,0),MATCH(言語切替!$B$3,_翻訳マスタ!$B$1:$D$1,0)),IF(AND(Q183&lt;&gt;"",Q183-TODAY()&lt;=7),INDEX(_翻訳マスタ!$B$117:$D$247,MATCH("ALERT_APPROACHING",_翻訳マスタ!$A$117:$A$247,0),MATCH(言語切替!$B$3,_翻訳マスタ!$B$1:$D$1,0)),IF(OR(S183='02_マスタ'!$E$7,S183='02_マスタ'!$E$8),INDEX(_翻訳マスタ!$B$117:$D$247,MATCH("ALERT_CHECK",_翻訳マスタ!$A$117:$A$247,0),MATCH(言語切替!$B$3,_翻訳マスタ!$B$1:$D$1,0)),""))))))</f>
        <v/>
      </c>
      <c r="AD183" s="41"/>
    </row>
    <row r="184" spans="1:30" s="22" customFormat="1" x14ac:dyDescent="0.25">
      <c r="A184" s="26"/>
      <c r="B184" s="27"/>
      <c r="C184" s="27"/>
      <c r="D184" s="27"/>
      <c r="E184" s="27"/>
      <c r="F184" s="45" t="str">
        <f t="shared" si="25"/>
        <v/>
      </c>
      <c r="G184" s="45" t="str">
        <f t="shared" si="26"/>
        <v/>
      </c>
      <c r="H184" s="27"/>
      <c r="I184" s="45" t="str">
        <f t="shared" si="27"/>
        <v/>
      </c>
      <c r="J184" s="45" t="str">
        <f t="shared" si="28"/>
        <v/>
      </c>
      <c r="K184" s="27"/>
      <c r="L184" s="45" t="str">
        <f t="shared" si="29"/>
        <v/>
      </c>
      <c r="M184" s="45" t="str">
        <f t="shared" si="30"/>
        <v/>
      </c>
      <c r="N184" s="27"/>
      <c r="O184" s="27"/>
      <c r="P184" s="28"/>
      <c r="Q184" s="28"/>
      <c r="R184" s="27"/>
      <c r="S184" s="27"/>
      <c r="T184" s="27"/>
      <c r="U184" s="27"/>
      <c r="V184" s="45" t="str">
        <f t="shared" si="31"/>
        <v/>
      </c>
      <c r="W184" s="45" t="str">
        <f t="shared" si="32"/>
        <v/>
      </c>
      <c r="X184" s="27"/>
      <c r="Y184" s="45" t="str">
        <f t="shared" si="22"/>
        <v/>
      </c>
      <c r="Z184" s="45" t="str">
        <f t="shared" si="23"/>
        <v/>
      </c>
      <c r="AA184" s="27"/>
      <c r="AB184" s="13" t="str">
        <f t="shared" ca="1" si="24"/>
        <v/>
      </c>
      <c r="AC184" s="13" t="str">
        <f ca="1">IF(A184="","",IF(OR(S184='02_マスタ'!$E$10,S184='02_マスタ'!$E$12),"",IF(R184="High","High",IF(AND(Q184&lt;&gt;"",Q184&lt;TODAY()),INDEX(_翻訳マスタ!$B$117:$D$247,MATCH("ALERT_OVERDUE",_翻訳マスタ!$A$117:$A$247,0),MATCH(言語切替!$B$3,_翻訳マスタ!$B$1:$D$1,0)),IF(AND(Q184&lt;&gt;"",Q184-TODAY()&lt;=7),INDEX(_翻訳マスタ!$B$117:$D$247,MATCH("ALERT_APPROACHING",_翻訳マスタ!$A$117:$A$247,0),MATCH(言語切替!$B$3,_翻訳マスタ!$B$1:$D$1,0)),IF(OR(S184='02_マスタ'!$E$7,S184='02_マスタ'!$E$8),INDEX(_翻訳マスタ!$B$117:$D$247,MATCH("ALERT_CHECK",_翻訳マスタ!$A$117:$A$247,0),MATCH(言語切替!$B$3,_翻訳マスタ!$B$1:$D$1,0)),""))))))</f>
        <v/>
      </c>
      <c r="AD184" s="40"/>
    </row>
    <row r="185" spans="1:30" s="22" customFormat="1" x14ac:dyDescent="0.25">
      <c r="A185" s="29"/>
      <c r="B185" s="30"/>
      <c r="C185" s="30"/>
      <c r="D185" s="30"/>
      <c r="E185" s="30"/>
      <c r="F185" s="46" t="str">
        <f t="shared" si="25"/>
        <v/>
      </c>
      <c r="G185" s="46" t="str">
        <f t="shared" si="26"/>
        <v/>
      </c>
      <c r="H185" s="30"/>
      <c r="I185" s="46" t="str">
        <f t="shared" si="27"/>
        <v/>
      </c>
      <c r="J185" s="46" t="str">
        <f t="shared" si="28"/>
        <v/>
      </c>
      <c r="K185" s="30"/>
      <c r="L185" s="46" t="str">
        <f t="shared" si="29"/>
        <v/>
      </c>
      <c r="M185" s="46" t="str">
        <f t="shared" si="30"/>
        <v/>
      </c>
      <c r="N185" s="30"/>
      <c r="O185" s="30"/>
      <c r="P185" s="31"/>
      <c r="Q185" s="31"/>
      <c r="R185" s="30"/>
      <c r="S185" s="30"/>
      <c r="T185" s="30"/>
      <c r="U185" s="30"/>
      <c r="V185" s="46" t="str">
        <f t="shared" si="31"/>
        <v/>
      </c>
      <c r="W185" s="46" t="str">
        <f t="shared" si="32"/>
        <v/>
      </c>
      <c r="X185" s="30"/>
      <c r="Y185" s="46" t="str">
        <f t="shared" si="22"/>
        <v/>
      </c>
      <c r="Z185" s="46" t="str">
        <f t="shared" si="23"/>
        <v/>
      </c>
      <c r="AA185" s="30"/>
      <c r="AB185" s="16" t="str">
        <f t="shared" ca="1" si="24"/>
        <v/>
      </c>
      <c r="AC185" s="16" t="str">
        <f ca="1">IF(A185="","",IF(OR(S185='02_マスタ'!$E$10,S185='02_マスタ'!$E$12),"",IF(R185="High","High",IF(AND(Q185&lt;&gt;"",Q185&lt;TODAY()),INDEX(_翻訳マスタ!$B$117:$D$247,MATCH("ALERT_OVERDUE",_翻訳マスタ!$A$117:$A$247,0),MATCH(言語切替!$B$3,_翻訳マスタ!$B$1:$D$1,0)),IF(AND(Q185&lt;&gt;"",Q185-TODAY()&lt;=7),INDEX(_翻訳マスタ!$B$117:$D$247,MATCH("ALERT_APPROACHING",_翻訳マスタ!$A$117:$A$247,0),MATCH(言語切替!$B$3,_翻訳マスタ!$B$1:$D$1,0)),IF(OR(S185='02_マスタ'!$E$7,S185='02_マスタ'!$E$8),INDEX(_翻訳マスタ!$B$117:$D$247,MATCH("ALERT_CHECK",_翻訳マスタ!$A$117:$A$247,0),MATCH(言語切替!$B$3,_翻訳マスタ!$B$1:$D$1,0)),""))))))</f>
        <v/>
      </c>
      <c r="AD185" s="41"/>
    </row>
    <row r="186" spans="1:30" s="22" customFormat="1" x14ac:dyDescent="0.25">
      <c r="A186" s="26"/>
      <c r="B186" s="27"/>
      <c r="C186" s="27"/>
      <c r="D186" s="27"/>
      <c r="E186" s="27"/>
      <c r="F186" s="45" t="str">
        <f t="shared" si="25"/>
        <v/>
      </c>
      <c r="G186" s="45" t="str">
        <f t="shared" si="26"/>
        <v/>
      </c>
      <c r="H186" s="27"/>
      <c r="I186" s="45" t="str">
        <f t="shared" si="27"/>
        <v/>
      </c>
      <c r="J186" s="45" t="str">
        <f t="shared" si="28"/>
        <v/>
      </c>
      <c r="K186" s="27"/>
      <c r="L186" s="45" t="str">
        <f t="shared" si="29"/>
        <v/>
      </c>
      <c r="M186" s="45" t="str">
        <f t="shared" si="30"/>
        <v/>
      </c>
      <c r="N186" s="27"/>
      <c r="O186" s="27"/>
      <c r="P186" s="28"/>
      <c r="Q186" s="28"/>
      <c r="R186" s="27"/>
      <c r="S186" s="27"/>
      <c r="T186" s="27"/>
      <c r="U186" s="27"/>
      <c r="V186" s="45" t="str">
        <f t="shared" si="31"/>
        <v/>
      </c>
      <c r="W186" s="45" t="str">
        <f t="shared" si="32"/>
        <v/>
      </c>
      <c r="X186" s="27"/>
      <c r="Y186" s="45" t="str">
        <f t="shared" si="22"/>
        <v/>
      </c>
      <c r="Z186" s="45" t="str">
        <f t="shared" si="23"/>
        <v/>
      </c>
      <c r="AA186" s="27"/>
      <c r="AB186" s="13" t="str">
        <f t="shared" ca="1" si="24"/>
        <v/>
      </c>
      <c r="AC186" s="13" t="str">
        <f ca="1">IF(A186="","",IF(OR(S186='02_マスタ'!$E$10,S186='02_マスタ'!$E$12),"",IF(R186="High","High",IF(AND(Q186&lt;&gt;"",Q186&lt;TODAY()),INDEX(_翻訳マスタ!$B$117:$D$247,MATCH("ALERT_OVERDUE",_翻訳マスタ!$A$117:$A$247,0),MATCH(言語切替!$B$3,_翻訳マスタ!$B$1:$D$1,0)),IF(AND(Q186&lt;&gt;"",Q186-TODAY()&lt;=7),INDEX(_翻訳マスタ!$B$117:$D$247,MATCH("ALERT_APPROACHING",_翻訳マスタ!$A$117:$A$247,0),MATCH(言語切替!$B$3,_翻訳マスタ!$B$1:$D$1,0)),IF(OR(S186='02_マスタ'!$E$7,S186='02_マスタ'!$E$8),INDEX(_翻訳マスタ!$B$117:$D$247,MATCH("ALERT_CHECK",_翻訳マスタ!$A$117:$A$247,0),MATCH(言語切替!$B$3,_翻訳マスタ!$B$1:$D$1,0)),""))))))</f>
        <v/>
      </c>
      <c r="AD186" s="40"/>
    </row>
    <row r="187" spans="1:30" s="22" customFormat="1" x14ac:dyDescent="0.25">
      <c r="A187" s="29"/>
      <c r="B187" s="30"/>
      <c r="C187" s="30"/>
      <c r="D187" s="30"/>
      <c r="E187" s="30"/>
      <c r="F187" s="46" t="str">
        <f t="shared" si="25"/>
        <v/>
      </c>
      <c r="G187" s="46" t="str">
        <f t="shared" si="26"/>
        <v/>
      </c>
      <c r="H187" s="30"/>
      <c r="I187" s="46" t="str">
        <f t="shared" si="27"/>
        <v/>
      </c>
      <c r="J187" s="46" t="str">
        <f t="shared" si="28"/>
        <v/>
      </c>
      <c r="K187" s="30"/>
      <c r="L187" s="46" t="str">
        <f t="shared" si="29"/>
        <v/>
      </c>
      <c r="M187" s="46" t="str">
        <f t="shared" si="30"/>
        <v/>
      </c>
      <c r="N187" s="30"/>
      <c r="O187" s="30"/>
      <c r="P187" s="31"/>
      <c r="Q187" s="31"/>
      <c r="R187" s="30"/>
      <c r="S187" s="30"/>
      <c r="T187" s="30"/>
      <c r="U187" s="30"/>
      <c r="V187" s="46" t="str">
        <f t="shared" si="31"/>
        <v/>
      </c>
      <c r="W187" s="46" t="str">
        <f t="shared" si="32"/>
        <v/>
      </c>
      <c r="X187" s="30"/>
      <c r="Y187" s="46" t="str">
        <f t="shared" si="22"/>
        <v/>
      </c>
      <c r="Z187" s="46" t="str">
        <f t="shared" si="23"/>
        <v/>
      </c>
      <c r="AA187" s="30"/>
      <c r="AB187" s="16" t="str">
        <f t="shared" ca="1" si="24"/>
        <v/>
      </c>
      <c r="AC187" s="16" t="str">
        <f ca="1">IF(A187="","",IF(OR(S187='02_マスタ'!$E$10,S187='02_マスタ'!$E$12),"",IF(R187="High","High",IF(AND(Q187&lt;&gt;"",Q187&lt;TODAY()),INDEX(_翻訳マスタ!$B$117:$D$247,MATCH("ALERT_OVERDUE",_翻訳マスタ!$A$117:$A$247,0),MATCH(言語切替!$B$3,_翻訳マスタ!$B$1:$D$1,0)),IF(AND(Q187&lt;&gt;"",Q187-TODAY()&lt;=7),INDEX(_翻訳マスタ!$B$117:$D$247,MATCH("ALERT_APPROACHING",_翻訳マスタ!$A$117:$A$247,0),MATCH(言語切替!$B$3,_翻訳マスタ!$B$1:$D$1,0)),IF(OR(S187='02_マスタ'!$E$7,S187='02_マスタ'!$E$8),INDEX(_翻訳マスタ!$B$117:$D$247,MATCH("ALERT_CHECK",_翻訳マスタ!$A$117:$A$247,0),MATCH(言語切替!$B$3,_翻訳マスタ!$B$1:$D$1,0)),""))))))</f>
        <v/>
      </c>
      <c r="AD187" s="41"/>
    </row>
    <row r="188" spans="1:30" s="22" customFormat="1" x14ac:dyDescent="0.25">
      <c r="A188" s="26"/>
      <c r="B188" s="27"/>
      <c r="C188" s="27"/>
      <c r="D188" s="27"/>
      <c r="E188" s="27"/>
      <c r="F188" s="45" t="str">
        <f t="shared" si="25"/>
        <v/>
      </c>
      <c r="G188" s="45" t="str">
        <f t="shared" si="26"/>
        <v/>
      </c>
      <c r="H188" s="27"/>
      <c r="I188" s="45" t="str">
        <f t="shared" si="27"/>
        <v/>
      </c>
      <c r="J188" s="45" t="str">
        <f t="shared" si="28"/>
        <v/>
      </c>
      <c r="K188" s="27"/>
      <c r="L188" s="45" t="str">
        <f t="shared" si="29"/>
        <v/>
      </c>
      <c r="M188" s="45" t="str">
        <f t="shared" si="30"/>
        <v/>
      </c>
      <c r="N188" s="27"/>
      <c r="O188" s="27"/>
      <c r="P188" s="28"/>
      <c r="Q188" s="28"/>
      <c r="R188" s="27"/>
      <c r="S188" s="27"/>
      <c r="T188" s="27"/>
      <c r="U188" s="27"/>
      <c r="V188" s="45" t="str">
        <f t="shared" si="31"/>
        <v/>
      </c>
      <c r="W188" s="45" t="str">
        <f t="shared" si="32"/>
        <v/>
      </c>
      <c r="X188" s="27"/>
      <c r="Y188" s="45" t="str">
        <f t="shared" si="22"/>
        <v/>
      </c>
      <c r="Z188" s="45" t="str">
        <f t="shared" si="23"/>
        <v/>
      </c>
      <c r="AA188" s="27"/>
      <c r="AB188" s="13" t="str">
        <f t="shared" ca="1" si="24"/>
        <v/>
      </c>
      <c r="AC188" s="13" t="str">
        <f ca="1">IF(A188="","",IF(OR(S188='02_マスタ'!$E$10,S188='02_マスタ'!$E$12),"",IF(R188="High","High",IF(AND(Q188&lt;&gt;"",Q188&lt;TODAY()),INDEX(_翻訳マスタ!$B$117:$D$247,MATCH("ALERT_OVERDUE",_翻訳マスタ!$A$117:$A$247,0),MATCH(言語切替!$B$3,_翻訳マスタ!$B$1:$D$1,0)),IF(AND(Q188&lt;&gt;"",Q188-TODAY()&lt;=7),INDEX(_翻訳マスタ!$B$117:$D$247,MATCH("ALERT_APPROACHING",_翻訳マスタ!$A$117:$A$247,0),MATCH(言語切替!$B$3,_翻訳マスタ!$B$1:$D$1,0)),IF(OR(S188='02_マスタ'!$E$7,S188='02_マスタ'!$E$8),INDEX(_翻訳マスタ!$B$117:$D$247,MATCH("ALERT_CHECK",_翻訳マスタ!$A$117:$A$247,0),MATCH(言語切替!$B$3,_翻訳マスタ!$B$1:$D$1,0)),""))))))</f>
        <v/>
      </c>
      <c r="AD188" s="40"/>
    </row>
    <row r="189" spans="1:30" s="22" customFormat="1" x14ac:dyDescent="0.25">
      <c r="A189" s="29"/>
      <c r="B189" s="30"/>
      <c r="C189" s="30"/>
      <c r="D189" s="30"/>
      <c r="E189" s="30"/>
      <c r="F189" s="46" t="str">
        <f t="shared" si="25"/>
        <v/>
      </c>
      <c r="G189" s="46" t="str">
        <f t="shared" si="26"/>
        <v/>
      </c>
      <c r="H189" s="30"/>
      <c r="I189" s="46" t="str">
        <f t="shared" si="27"/>
        <v/>
      </c>
      <c r="J189" s="46" t="str">
        <f t="shared" si="28"/>
        <v/>
      </c>
      <c r="K189" s="30"/>
      <c r="L189" s="46" t="str">
        <f t="shared" si="29"/>
        <v/>
      </c>
      <c r="M189" s="46" t="str">
        <f t="shared" si="30"/>
        <v/>
      </c>
      <c r="N189" s="30"/>
      <c r="O189" s="30"/>
      <c r="P189" s="31"/>
      <c r="Q189" s="31"/>
      <c r="R189" s="30"/>
      <c r="S189" s="30"/>
      <c r="T189" s="30"/>
      <c r="U189" s="30"/>
      <c r="V189" s="46" t="str">
        <f t="shared" si="31"/>
        <v/>
      </c>
      <c r="W189" s="46" t="str">
        <f t="shared" si="32"/>
        <v/>
      </c>
      <c r="X189" s="30"/>
      <c r="Y189" s="46" t="str">
        <f t="shared" si="22"/>
        <v/>
      </c>
      <c r="Z189" s="46" t="str">
        <f t="shared" si="23"/>
        <v/>
      </c>
      <c r="AA189" s="30"/>
      <c r="AB189" s="16" t="str">
        <f t="shared" ca="1" si="24"/>
        <v/>
      </c>
      <c r="AC189" s="16" t="str">
        <f ca="1">IF(A189="","",IF(OR(S189='02_マスタ'!$E$10,S189='02_マスタ'!$E$12),"",IF(R189="High","High",IF(AND(Q189&lt;&gt;"",Q189&lt;TODAY()),INDEX(_翻訳マスタ!$B$117:$D$247,MATCH("ALERT_OVERDUE",_翻訳マスタ!$A$117:$A$247,0),MATCH(言語切替!$B$3,_翻訳マスタ!$B$1:$D$1,0)),IF(AND(Q189&lt;&gt;"",Q189-TODAY()&lt;=7),INDEX(_翻訳マスタ!$B$117:$D$247,MATCH("ALERT_APPROACHING",_翻訳マスタ!$A$117:$A$247,0),MATCH(言語切替!$B$3,_翻訳マスタ!$B$1:$D$1,0)),IF(OR(S189='02_マスタ'!$E$7,S189='02_マスタ'!$E$8),INDEX(_翻訳マスタ!$B$117:$D$247,MATCH("ALERT_CHECK",_翻訳マスタ!$A$117:$A$247,0),MATCH(言語切替!$B$3,_翻訳マスタ!$B$1:$D$1,0)),""))))))</f>
        <v/>
      </c>
      <c r="AD189" s="41"/>
    </row>
    <row r="190" spans="1:30" s="22" customFormat="1" x14ac:dyDescent="0.25">
      <c r="A190" s="26"/>
      <c r="B190" s="27"/>
      <c r="C190" s="27"/>
      <c r="D190" s="27"/>
      <c r="E190" s="27"/>
      <c r="F190" s="45" t="str">
        <f t="shared" si="25"/>
        <v/>
      </c>
      <c r="G190" s="45" t="str">
        <f t="shared" si="26"/>
        <v/>
      </c>
      <c r="H190" s="27"/>
      <c r="I190" s="45" t="str">
        <f t="shared" si="27"/>
        <v/>
      </c>
      <c r="J190" s="45" t="str">
        <f t="shared" si="28"/>
        <v/>
      </c>
      <c r="K190" s="27"/>
      <c r="L190" s="45" t="str">
        <f t="shared" si="29"/>
        <v/>
      </c>
      <c r="M190" s="45" t="str">
        <f t="shared" si="30"/>
        <v/>
      </c>
      <c r="N190" s="27"/>
      <c r="O190" s="27"/>
      <c r="P190" s="28"/>
      <c r="Q190" s="28"/>
      <c r="R190" s="27"/>
      <c r="S190" s="27"/>
      <c r="T190" s="27"/>
      <c r="U190" s="27"/>
      <c r="V190" s="45" t="str">
        <f t="shared" si="31"/>
        <v/>
      </c>
      <c r="W190" s="45" t="str">
        <f t="shared" si="32"/>
        <v/>
      </c>
      <c r="X190" s="27"/>
      <c r="Y190" s="45" t="str">
        <f t="shared" si="22"/>
        <v/>
      </c>
      <c r="Z190" s="45" t="str">
        <f t="shared" si="23"/>
        <v/>
      </c>
      <c r="AA190" s="27"/>
      <c r="AB190" s="13" t="str">
        <f t="shared" ca="1" si="24"/>
        <v/>
      </c>
      <c r="AC190" s="13" t="str">
        <f ca="1">IF(A190="","",IF(OR(S190='02_マスタ'!$E$10,S190='02_マスタ'!$E$12),"",IF(R190="High","High",IF(AND(Q190&lt;&gt;"",Q190&lt;TODAY()),INDEX(_翻訳マスタ!$B$117:$D$247,MATCH("ALERT_OVERDUE",_翻訳マスタ!$A$117:$A$247,0),MATCH(言語切替!$B$3,_翻訳マスタ!$B$1:$D$1,0)),IF(AND(Q190&lt;&gt;"",Q190-TODAY()&lt;=7),INDEX(_翻訳マスタ!$B$117:$D$247,MATCH("ALERT_APPROACHING",_翻訳マスタ!$A$117:$A$247,0),MATCH(言語切替!$B$3,_翻訳マスタ!$B$1:$D$1,0)),IF(OR(S190='02_マスタ'!$E$7,S190='02_マスタ'!$E$8),INDEX(_翻訳マスタ!$B$117:$D$247,MATCH("ALERT_CHECK",_翻訳マスタ!$A$117:$A$247,0),MATCH(言語切替!$B$3,_翻訳マスタ!$B$1:$D$1,0)),""))))))</f>
        <v/>
      </c>
      <c r="AD190" s="40"/>
    </row>
    <row r="191" spans="1:30" s="22" customFormat="1" x14ac:dyDescent="0.25">
      <c r="A191" s="29"/>
      <c r="B191" s="30"/>
      <c r="C191" s="30"/>
      <c r="D191" s="30"/>
      <c r="E191" s="30"/>
      <c r="F191" s="46" t="str">
        <f t="shared" si="25"/>
        <v/>
      </c>
      <c r="G191" s="46" t="str">
        <f t="shared" si="26"/>
        <v/>
      </c>
      <c r="H191" s="30"/>
      <c r="I191" s="46" t="str">
        <f t="shared" si="27"/>
        <v/>
      </c>
      <c r="J191" s="46" t="str">
        <f t="shared" si="28"/>
        <v/>
      </c>
      <c r="K191" s="30"/>
      <c r="L191" s="46" t="str">
        <f t="shared" si="29"/>
        <v/>
      </c>
      <c r="M191" s="46" t="str">
        <f t="shared" si="30"/>
        <v/>
      </c>
      <c r="N191" s="30"/>
      <c r="O191" s="30"/>
      <c r="P191" s="31"/>
      <c r="Q191" s="31"/>
      <c r="R191" s="30"/>
      <c r="S191" s="30"/>
      <c r="T191" s="30"/>
      <c r="U191" s="30"/>
      <c r="V191" s="46" t="str">
        <f t="shared" si="31"/>
        <v/>
      </c>
      <c r="W191" s="46" t="str">
        <f t="shared" si="32"/>
        <v/>
      </c>
      <c r="X191" s="30"/>
      <c r="Y191" s="46" t="str">
        <f t="shared" si="22"/>
        <v/>
      </c>
      <c r="Z191" s="46" t="str">
        <f t="shared" si="23"/>
        <v/>
      </c>
      <c r="AA191" s="30"/>
      <c r="AB191" s="16" t="str">
        <f t="shared" ca="1" si="24"/>
        <v/>
      </c>
      <c r="AC191" s="16" t="str">
        <f ca="1">IF(A191="","",IF(OR(S191='02_マスタ'!$E$10,S191='02_マスタ'!$E$12),"",IF(R191="High","High",IF(AND(Q191&lt;&gt;"",Q191&lt;TODAY()),INDEX(_翻訳マスタ!$B$117:$D$247,MATCH("ALERT_OVERDUE",_翻訳マスタ!$A$117:$A$247,0),MATCH(言語切替!$B$3,_翻訳マスタ!$B$1:$D$1,0)),IF(AND(Q191&lt;&gt;"",Q191-TODAY()&lt;=7),INDEX(_翻訳マスタ!$B$117:$D$247,MATCH("ALERT_APPROACHING",_翻訳マスタ!$A$117:$A$247,0),MATCH(言語切替!$B$3,_翻訳マスタ!$B$1:$D$1,0)),IF(OR(S191='02_マスタ'!$E$7,S191='02_マスタ'!$E$8),INDEX(_翻訳マスタ!$B$117:$D$247,MATCH("ALERT_CHECK",_翻訳マスタ!$A$117:$A$247,0),MATCH(言語切替!$B$3,_翻訳マスタ!$B$1:$D$1,0)),""))))))</f>
        <v/>
      </c>
      <c r="AD191" s="41"/>
    </row>
    <row r="192" spans="1:30" s="22" customFormat="1" x14ac:dyDescent="0.25">
      <c r="A192" s="26"/>
      <c r="B192" s="27"/>
      <c r="C192" s="27"/>
      <c r="D192" s="27"/>
      <c r="E192" s="27"/>
      <c r="F192" s="45" t="str">
        <f t="shared" si="25"/>
        <v/>
      </c>
      <c r="G192" s="45" t="str">
        <f t="shared" si="26"/>
        <v/>
      </c>
      <c r="H192" s="27"/>
      <c r="I192" s="45" t="str">
        <f t="shared" si="27"/>
        <v/>
      </c>
      <c r="J192" s="45" t="str">
        <f t="shared" si="28"/>
        <v/>
      </c>
      <c r="K192" s="27"/>
      <c r="L192" s="45" t="str">
        <f t="shared" si="29"/>
        <v/>
      </c>
      <c r="M192" s="45" t="str">
        <f t="shared" si="30"/>
        <v/>
      </c>
      <c r="N192" s="27"/>
      <c r="O192" s="27"/>
      <c r="P192" s="28"/>
      <c r="Q192" s="28"/>
      <c r="R192" s="27"/>
      <c r="S192" s="27"/>
      <c r="T192" s="27"/>
      <c r="U192" s="27"/>
      <c r="V192" s="45" t="str">
        <f t="shared" si="31"/>
        <v/>
      </c>
      <c r="W192" s="45" t="str">
        <f t="shared" si="32"/>
        <v/>
      </c>
      <c r="X192" s="27"/>
      <c r="Y192" s="45" t="str">
        <f t="shared" si="22"/>
        <v/>
      </c>
      <c r="Z192" s="45" t="str">
        <f t="shared" si="23"/>
        <v/>
      </c>
      <c r="AA192" s="27"/>
      <c r="AB192" s="13" t="str">
        <f t="shared" ca="1" si="24"/>
        <v/>
      </c>
      <c r="AC192" s="13" t="str">
        <f ca="1">IF(A192="","",IF(OR(S192='02_マスタ'!$E$10,S192='02_マスタ'!$E$12),"",IF(R192="High","High",IF(AND(Q192&lt;&gt;"",Q192&lt;TODAY()),INDEX(_翻訳マスタ!$B$117:$D$247,MATCH("ALERT_OVERDUE",_翻訳マスタ!$A$117:$A$247,0),MATCH(言語切替!$B$3,_翻訳マスタ!$B$1:$D$1,0)),IF(AND(Q192&lt;&gt;"",Q192-TODAY()&lt;=7),INDEX(_翻訳マスタ!$B$117:$D$247,MATCH("ALERT_APPROACHING",_翻訳マスタ!$A$117:$A$247,0),MATCH(言語切替!$B$3,_翻訳マスタ!$B$1:$D$1,0)),IF(OR(S192='02_マスタ'!$E$7,S192='02_マスタ'!$E$8),INDEX(_翻訳マスタ!$B$117:$D$247,MATCH("ALERT_CHECK",_翻訳マスタ!$A$117:$A$247,0),MATCH(言語切替!$B$3,_翻訳マスタ!$B$1:$D$1,0)),""))))))</f>
        <v/>
      </c>
      <c r="AD192" s="40"/>
    </row>
    <row r="193" spans="1:30" s="22" customFormat="1" x14ac:dyDescent="0.25">
      <c r="A193" s="29"/>
      <c r="B193" s="30"/>
      <c r="C193" s="30"/>
      <c r="D193" s="30"/>
      <c r="E193" s="30"/>
      <c r="F193" s="46" t="str">
        <f t="shared" si="25"/>
        <v/>
      </c>
      <c r="G193" s="46" t="str">
        <f t="shared" si="26"/>
        <v/>
      </c>
      <c r="H193" s="30"/>
      <c r="I193" s="46" t="str">
        <f t="shared" si="27"/>
        <v/>
      </c>
      <c r="J193" s="46" t="str">
        <f t="shared" si="28"/>
        <v/>
      </c>
      <c r="K193" s="30"/>
      <c r="L193" s="46" t="str">
        <f t="shared" si="29"/>
        <v/>
      </c>
      <c r="M193" s="46" t="str">
        <f t="shared" si="30"/>
        <v/>
      </c>
      <c r="N193" s="30"/>
      <c r="O193" s="30"/>
      <c r="P193" s="31"/>
      <c r="Q193" s="31"/>
      <c r="R193" s="30"/>
      <c r="S193" s="30"/>
      <c r="T193" s="30"/>
      <c r="U193" s="30"/>
      <c r="V193" s="46" t="str">
        <f t="shared" si="31"/>
        <v/>
      </c>
      <c r="W193" s="46" t="str">
        <f t="shared" si="32"/>
        <v/>
      </c>
      <c r="X193" s="30"/>
      <c r="Y193" s="46" t="str">
        <f t="shared" si="22"/>
        <v/>
      </c>
      <c r="Z193" s="46" t="str">
        <f t="shared" si="23"/>
        <v/>
      </c>
      <c r="AA193" s="30"/>
      <c r="AB193" s="16" t="str">
        <f t="shared" ca="1" si="24"/>
        <v/>
      </c>
      <c r="AC193" s="16" t="str">
        <f ca="1">IF(A193="","",IF(OR(S193='02_マスタ'!$E$10,S193='02_マスタ'!$E$12),"",IF(R193="High","High",IF(AND(Q193&lt;&gt;"",Q193&lt;TODAY()),INDEX(_翻訳マスタ!$B$117:$D$247,MATCH("ALERT_OVERDUE",_翻訳マスタ!$A$117:$A$247,0),MATCH(言語切替!$B$3,_翻訳マスタ!$B$1:$D$1,0)),IF(AND(Q193&lt;&gt;"",Q193-TODAY()&lt;=7),INDEX(_翻訳マスタ!$B$117:$D$247,MATCH("ALERT_APPROACHING",_翻訳マスタ!$A$117:$A$247,0),MATCH(言語切替!$B$3,_翻訳マスタ!$B$1:$D$1,0)),IF(OR(S193='02_マスタ'!$E$7,S193='02_マスタ'!$E$8),INDEX(_翻訳マスタ!$B$117:$D$247,MATCH("ALERT_CHECK",_翻訳マスタ!$A$117:$A$247,0),MATCH(言語切替!$B$3,_翻訳マスタ!$B$1:$D$1,0)),""))))))</f>
        <v/>
      </c>
      <c r="AD193" s="41"/>
    </row>
    <row r="194" spans="1:30" s="22" customFormat="1" x14ac:dyDescent="0.25">
      <c r="A194" s="26"/>
      <c r="B194" s="27"/>
      <c r="C194" s="27"/>
      <c r="D194" s="27"/>
      <c r="E194" s="27"/>
      <c r="F194" s="45" t="str">
        <f t="shared" si="25"/>
        <v/>
      </c>
      <c r="G194" s="45" t="str">
        <f t="shared" si="26"/>
        <v/>
      </c>
      <c r="H194" s="27"/>
      <c r="I194" s="45" t="str">
        <f t="shared" si="27"/>
        <v/>
      </c>
      <c r="J194" s="45" t="str">
        <f t="shared" si="28"/>
        <v/>
      </c>
      <c r="K194" s="27"/>
      <c r="L194" s="45" t="str">
        <f t="shared" si="29"/>
        <v/>
      </c>
      <c r="M194" s="45" t="str">
        <f t="shared" si="30"/>
        <v/>
      </c>
      <c r="N194" s="27"/>
      <c r="O194" s="27"/>
      <c r="P194" s="28"/>
      <c r="Q194" s="28"/>
      <c r="R194" s="27"/>
      <c r="S194" s="27"/>
      <c r="T194" s="27"/>
      <c r="U194" s="27"/>
      <c r="V194" s="45" t="str">
        <f t="shared" si="31"/>
        <v/>
      </c>
      <c r="W194" s="45" t="str">
        <f t="shared" si="32"/>
        <v/>
      </c>
      <c r="X194" s="27"/>
      <c r="Y194" s="45" t="str">
        <f t="shared" si="22"/>
        <v/>
      </c>
      <c r="Z194" s="45" t="str">
        <f t="shared" si="23"/>
        <v/>
      </c>
      <c r="AA194" s="27"/>
      <c r="AB194" s="13" t="str">
        <f t="shared" ca="1" si="24"/>
        <v/>
      </c>
      <c r="AC194" s="13" t="str">
        <f ca="1">IF(A194="","",IF(OR(S194='02_マスタ'!$E$10,S194='02_マスタ'!$E$12),"",IF(R194="High","High",IF(AND(Q194&lt;&gt;"",Q194&lt;TODAY()),INDEX(_翻訳マスタ!$B$117:$D$247,MATCH("ALERT_OVERDUE",_翻訳マスタ!$A$117:$A$247,0),MATCH(言語切替!$B$3,_翻訳マスタ!$B$1:$D$1,0)),IF(AND(Q194&lt;&gt;"",Q194-TODAY()&lt;=7),INDEX(_翻訳マスタ!$B$117:$D$247,MATCH("ALERT_APPROACHING",_翻訳マスタ!$A$117:$A$247,0),MATCH(言語切替!$B$3,_翻訳マスタ!$B$1:$D$1,0)),IF(OR(S194='02_マスタ'!$E$7,S194='02_マスタ'!$E$8),INDEX(_翻訳マスタ!$B$117:$D$247,MATCH("ALERT_CHECK",_翻訳マスタ!$A$117:$A$247,0),MATCH(言語切替!$B$3,_翻訳マスタ!$B$1:$D$1,0)),""))))))</f>
        <v/>
      </c>
      <c r="AD194" s="40"/>
    </row>
    <row r="195" spans="1:30" s="22" customFormat="1" x14ac:dyDescent="0.25">
      <c r="A195" s="29"/>
      <c r="B195" s="30"/>
      <c r="C195" s="30"/>
      <c r="D195" s="30"/>
      <c r="E195" s="30"/>
      <c r="F195" s="46" t="str">
        <f t="shared" si="25"/>
        <v/>
      </c>
      <c r="G195" s="46" t="str">
        <f t="shared" si="26"/>
        <v/>
      </c>
      <c r="H195" s="30"/>
      <c r="I195" s="46" t="str">
        <f t="shared" si="27"/>
        <v/>
      </c>
      <c r="J195" s="46" t="str">
        <f t="shared" si="28"/>
        <v/>
      </c>
      <c r="K195" s="30"/>
      <c r="L195" s="46" t="str">
        <f t="shared" si="29"/>
        <v/>
      </c>
      <c r="M195" s="46" t="str">
        <f t="shared" si="30"/>
        <v/>
      </c>
      <c r="N195" s="30"/>
      <c r="O195" s="30"/>
      <c r="P195" s="31"/>
      <c r="Q195" s="31"/>
      <c r="R195" s="30"/>
      <c r="S195" s="30"/>
      <c r="T195" s="30"/>
      <c r="U195" s="30"/>
      <c r="V195" s="46" t="str">
        <f t="shared" si="31"/>
        <v/>
      </c>
      <c r="W195" s="46" t="str">
        <f t="shared" si="32"/>
        <v/>
      </c>
      <c r="X195" s="30"/>
      <c r="Y195" s="46" t="str">
        <f t="shared" si="22"/>
        <v/>
      </c>
      <c r="Z195" s="46" t="str">
        <f t="shared" si="23"/>
        <v/>
      </c>
      <c r="AA195" s="30"/>
      <c r="AB195" s="16" t="str">
        <f t="shared" ca="1" si="24"/>
        <v/>
      </c>
      <c r="AC195" s="16" t="str">
        <f ca="1">IF(A195="","",IF(OR(S195='02_マスタ'!$E$10,S195='02_マスタ'!$E$12),"",IF(R195="High","High",IF(AND(Q195&lt;&gt;"",Q195&lt;TODAY()),INDEX(_翻訳マスタ!$B$117:$D$247,MATCH("ALERT_OVERDUE",_翻訳マスタ!$A$117:$A$247,0),MATCH(言語切替!$B$3,_翻訳マスタ!$B$1:$D$1,0)),IF(AND(Q195&lt;&gt;"",Q195-TODAY()&lt;=7),INDEX(_翻訳マスタ!$B$117:$D$247,MATCH("ALERT_APPROACHING",_翻訳マスタ!$A$117:$A$247,0),MATCH(言語切替!$B$3,_翻訳マスタ!$B$1:$D$1,0)),IF(OR(S195='02_マスタ'!$E$7,S195='02_マスタ'!$E$8),INDEX(_翻訳マスタ!$B$117:$D$247,MATCH("ALERT_CHECK",_翻訳マスタ!$A$117:$A$247,0),MATCH(言語切替!$B$3,_翻訳マスタ!$B$1:$D$1,0)),""))))))</f>
        <v/>
      </c>
      <c r="AD195" s="41"/>
    </row>
    <row r="196" spans="1:30" s="22" customFormat="1" x14ac:dyDescent="0.25">
      <c r="A196" s="26"/>
      <c r="B196" s="27"/>
      <c r="C196" s="27"/>
      <c r="D196" s="27"/>
      <c r="E196" s="27"/>
      <c r="F196" s="45" t="str">
        <f t="shared" si="25"/>
        <v/>
      </c>
      <c r="G196" s="45" t="str">
        <f t="shared" si="26"/>
        <v/>
      </c>
      <c r="H196" s="27"/>
      <c r="I196" s="45" t="str">
        <f t="shared" si="27"/>
        <v/>
      </c>
      <c r="J196" s="45" t="str">
        <f t="shared" si="28"/>
        <v/>
      </c>
      <c r="K196" s="27"/>
      <c r="L196" s="45" t="str">
        <f t="shared" si="29"/>
        <v/>
      </c>
      <c r="M196" s="45" t="str">
        <f t="shared" si="30"/>
        <v/>
      </c>
      <c r="N196" s="27"/>
      <c r="O196" s="27"/>
      <c r="P196" s="28"/>
      <c r="Q196" s="28"/>
      <c r="R196" s="27"/>
      <c r="S196" s="27"/>
      <c r="T196" s="27"/>
      <c r="U196" s="27"/>
      <c r="V196" s="45" t="str">
        <f t="shared" si="31"/>
        <v/>
      </c>
      <c r="W196" s="45" t="str">
        <f t="shared" si="32"/>
        <v/>
      </c>
      <c r="X196" s="27"/>
      <c r="Y196" s="45" t="str">
        <f t="shared" si="22"/>
        <v/>
      </c>
      <c r="Z196" s="45" t="str">
        <f t="shared" si="23"/>
        <v/>
      </c>
      <c r="AA196" s="27"/>
      <c r="AB196" s="13" t="str">
        <f t="shared" ca="1" si="24"/>
        <v/>
      </c>
      <c r="AC196" s="13" t="str">
        <f ca="1">IF(A196="","",IF(OR(S196='02_マスタ'!$E$10,S196='02_マスタ'!$E$12),"",IF(R196="High","High",IF(AND(Q196&lt;&gt;"",Q196&lt;TODAY()),INDEX(_翻訳マスタ!$B$117:$D$247,MATCH("ALERT_OVERDUE",_翻訳マスタ!$A$117:$A$247,0),MATCH(言語切替!$B$3,_翻訳マスタ!$B$1:$D$1,0)),IF(AND(Q196&lt;&gt;"",Q196-TODAY()&lt;=7),INDEX(_翻訳マスタ!$B$117:$D$247,MATCH("ALERT_APPROACHING",_翻訳マスタ!$A$117:$A$247,0),MATCH(言語切替!$B$3,_翻訳マスタ!$B$1:$D$1,0)),IF(OR(S196='02_マスタ'!$E$7,S196='02_マスタ'!$E$8),INDEX(_翻訳マスタ!$B$117:$D$247,MATCH("ALERT_CHECK",_翻訳マスタ!$A$117:$A$247,0),MATCH(言語切替!$B$3,_翻訳マスタ!$B$1:$D$1,0)),""))))))</f>
        <v/>
      </c>
      <c r="AD196" s="40"/>
    </row>
    <row r="197" spans="1:30" s="22" customFormat="1" x14ac:dyDescent="0.25">
      <c r="A197" s="29"/>
      <c r="B197" s="30"/>
      <c r="C197" s="30"/>
      <c r="D197" s="30"/>
      <c r="E197" s="30"/>
      <c r="F197" s="46" t="str">
        <f t="shared" si="25"/>
        <v/>
      </c>
      <c r="G197" s="46" t="str">
        <f t="shared" si="26"/>
        <v/>
      </c>
      <c r="H197" s="30"/>
      <c r="I197" s="46" t="str">
        <f t="shared" si="27"/>
        <v/>
      </c>
      <c r="J197" s="46" t="str">
        <f t="shared" si="28"/>
        <v/>
      </c>
      <c r="K197" s="30"/>
      <c r="L197" s="46" t="str">
        <f t="shared" si="29"/>
        <v/>
      </c>
      <c r="M197" s="46" t="str">
        <f t="shared" si="30"/>
        <v/>
      </c>
      <c r="N197" s="30"/>
      <c r="O197" s="30"/>
      <c r="P197" s="31"/>
      <c r="Q197" s="31"/>
      <c r="R197" s="30"/>
      <c r="S197" s="30"/>
      <c r="T197" s="30"/>
      <c r="U197" s="30"/>
      <c r="V197" s="46" t="str">
        <f t="shared" si="31"/>
        <v/>
      </c>
      <c r="W197" s="46" t="str">
        <f t="shared" si="32"/>
        <v/>
      </c>
      <c r="X197" s="30"/>
      <c r="Y197" s="46" t="str">
        <f t="shared" ref="Y197:Y260" si="33">IF(X197="","",_xlfn.TRANSLATE(X197,"vi","ja"))</f>
        <v/>
      </c>
      <c r="Z197" s="46" t="str">
        <f t="shared" ref="Z197:Z260" si="34">IF(X197="","",_xlfn.TRANSLATE(X197,"vi","zh-Hans"))</f>
        <v/>
      </c>
      <c r="AA197" s="30"/>
      <c r="AB197" s="16" t="str">
        <f t="shared" ref="AB197:AB260" ca="1" si="35">IF(Q197="","",Q197-TODAY())</f>
        <v/>
      </c>
      <c r="AC197" s="16" t="str">
        <f ca="1">IF(A197="","",IF(OR(S197='02_マスタ'!$E$10,S197='02_マスタ'!$E$12),"",IF(R197="High","High",IF(AND(Q197&lt;&gt;"",Q197&lt;TODAY()),INDEX(_翻訳マスタ!$B$117:$D$247,MATCH("ALERT_OVERDUE",_翻訳マスタ!$A$117:$A$247,0),MATCH(言語切替!$B$3,_翻訳マスタ!$B$1:$D$1,0)),IF(AND(Q197&lt;&gt;"",Q197-TODAY()&lt;=7),INDEX(_翻訳マスタ!$B$117:$D$247,MATCH("ALERT_APPROACHING",_翻訳マスタ!$A$117:$A$247,0),MATCH(言語切替!$B$3,_翻訳マスタ!$B$1:$D$1,0)),IF(OR(S197='02_マスタ'!$E$7,S197='02_マスタ'!$E$8),INDEX(_翻訳マスタ!$B$117:$D$247,MATCH("ALERT_CHECK",_翻訳マスタ!$A$117:$A$247,0),MATCH(言語切替!$B$3,_翻訳マスタ!$B$1:$D$1,0)),""))))))</f>
        <v/>
      </c>
      <c r="AD197" s="41"/>
    </row>
    <row r="198" spans="1:30" s="22" customFormat="1" x14ac:dyDescent="0.25">
      <c r="A198" s="26"/>
      <c r="B198" s="27"/>
      <c r="C198" s="27"/>
      <c r="D198" s="27"/>
      <c r="E198" s="27"/>
      <c r="F198" s="45" t="str">
        <f t="shared" si="25"/>
        <v/>
      </c>
      <c r="G198" s="45" t="str">
        <f t="shared" si="26"/>
        <v/>
      </c>
      <c r="H198" s="27"/>
      <c r="I198" s="45" t="str">
        <f t="shared" si="27"/>
        <v/>
      </c>
      <c r="J198" s="45" t="str">
        <f t="shared" si="28"/>
        <v/>
      </c>
      <c r="K198" s="27"/>
      <c r="L198" s="45" t="str">
        <f t="shared" si="29"/>
        <v/>
      </c>
      <c r="M198" s="45" t="str">
        <f t="shared" si="30"/>
        <v/>
      </c>
      <c r="N198" s="27"/>
      <c r="O198" s="27"/>
      <c r="P198" s="28"/>
      <c r="Q198" s="28"/>
      <c r="R198" s="27"/>
      <c r="S198" s="27"/>
      <c r="T198" s="27"/>
      <c r="U198" s="27"/>
      <c r="V198" s="45" t="str">
        <f t="shared" si="31"/>
        <v/>
      </c>
      <c r="W198" s="45" t="str">
        <f t="shared" si="32"/>
        <v/>
      </c>
      <c r="X198" s="27"/>
      <c r="Y198" s="45" t="str">
        <f t="shared" si="33"/>
        <v/>
      </c>
      <c r="Z198" s="45" t="str">
        <f t="shared" si="34"/>
        <v/>
      </c>
      <c r="AA198" s="27"/>
      <c r="AB198" s="13" t="str">
        <f t="shared" ca="1" si="35"/>
        <v/>
      </c>
      <c r="AC198" s="13" t="str">
        <f ca="1">IF(A198="","",IF(OR(S198='02_マスタ'!$E$10,S198='02_マスタ'!$E$12),"",IF(R198="High","High",IF(AND(Q198&lt;&gt;"",Q198&lt;TODAY()),INDEX(_翻訳マスタ!$B$117:$D$247,MATCH("ALERT_OVERDUE",_翻訳マスタ!$A$117:$A$247,0),MATCH(言語切替!$B$3,_翻訳マスタ!$B$1:$D$1,0)),IF(AND(Q198&lt;&gt;"",Q198-TODAY()&lt;=7),INDEX(_翻訳マスタ!$B$117:$D$247,MATCH("ALERT_APPROACHING",_翻訳マスタ!$A$117:$A$247,0),MATCH(言語切替!$B$3,_翻訳マスタ!$B$1:$D$1,0)),IF(OR(S198='02_マスタ'!$E$7,S198='02_マスタ'!$E$8),INDEX(_翻訳マスタ!$B$117:$D$247,MATCH("ALERT_CHECK",_翻訳マスタ!$A$117:$A$247,0),MATCH(言語切替!$B$3,_翻訳マスタ!$B$1:$D$1,0)),""))))))</f>
        <v/>
      </c>
      <c r="AD198" s="40"/>
    </row>
    <row r="199" spans="1:30" s="22" customFormat="1" x14ac:dyDescent="0.25">
      <c r="A199" s="29"/>
      <c r="B199" s="30"/>
      <c r="C199" s="30"/>
      <c r="D199" s="30"/>
      <c r="E199" s="30"/>
      <c r="F199" s="46" t="str">
        <f t="shared" si="25"/>
        <v/>
      </c>
      <c r="G199" s="46" t="str">
        <f t="shared" si="26"/>
        <v/>
      </c>
      <c r="H199" s="30"/>
      <c r="I199" s="46" t="str">
        <f t="shared" si="27"/>
        <v/>
      </c>
      <c r="J199" s="46" t="str">
        <f t="shared" si="28"/>
        <v/>
      </c>
      <c r="K199" s="30"/>
      <c r="L199" s="46" t="str">
        <f t="shared" si="29"/>
        <v/>
      </c>
      <c r="M199" s="46" t="str">
        <f t="shared" si="30"/>
        <v/>
      </c>
      <c r="N199" s="30"/>
      <c r="O199" s="30"/>
      <c r="P199" s="31"/>
      <c r="Q199" s="31"/>
      <c r="R199" s="30"/>
      <c r="S199" s="30"/>
      <c r="T199" s="30"/>
      <c r="U199" s="30"/>
      <c r="V199" s="46" t="str">
        <f t="shared" si="31"/>
        <v/>
      </c>
      <c r="W199" s="46" t="str">
        <f t="shared" si="32"/>
        <v/>
      </c>
      <c r="X199" s="30"/>
      <c r="Y199" s="46" t="str">
        <f t="shared" si="33"/>
        <v/>
      </c>
      <c r="Z199" s="46" t="str">
        <f t="shared" si="34"/>
        <v/>
      </c>
      <c r="AA199" s="30"/>
      <c r="AB199" s="16" t="str">
        <f t="shared" ca="1" si="35"/>
        <v/>
      </c>
      <c r="AC199" s="16" t="str">
        <f ca="1">IF(A199="","",IF(OR(S199='02_マスタ'!$E$10,S199='02_マスタ'!$E$12),"",IF(R199="High","High",IF(AND(Q199&lt;&gt;"",Q199&lt;TODAY()),INDEX(_翻訳マスタ!$B$117:$D$247,MATCH("ALERT_OVERDUE",_翻訳マスタ!$A$117:$A$247,0),MATCH(言語切替!$B$3,_翻訳マスタ!$B$1:$D$1,0)),IF(AND(Q199&lt;&gt;"",Q199-TODAY()&lt;=7),INDEX(_翻訳マスタ!$B$117:$D$247,MATCH("ALERT_APPROACHING",_翻訳マスタ!$A$117:$A$247,0),MATCH(言語切替!$B$3,_翻訳マスタ!$B$1:$D$1,0)),IF(OR(S199='02_マスタ'!$E$7,S199='02_マスタ'!$E$8),INDEX(_翻訳マスタ!$B$117:$D$247,MATCH("ALERT_CHECK",_翻訳マスタ!$A$117:$A$247,0),MATCH(言語切替!$B$3,_翻訳マスタ!$B$1:$D$1,0)),""))))))</f>
        <v/>
      </c>
      <c r="AD199" s="41"/>
    </row>
    <row r="200" spans="1:30" s="22" customFormat="1" x14ac:dyDescent="0.25">
      <c r="A200" s="26"/>
      <c r="B200" s="27"/>
      <c r="C200" s="27"/>
      <c r="D200" s="27"/>
      <c r="E200" s="27"/>
      <c r="F200" s="45" t="str">
        <f t="shared" si="25"/>
        <v/>
      </c>
      <c r="G200" s="45" t="str">
        <f t="shared" si="26"/>
        <v/>
      </c>
      <c r="H200" s="27"/>
      <c r="I200" s="45" t="str">
        <f t="shared" si="27"/>
        <v/>
      </c>
      <c r="J200" s="45" t="str">
        <f t="shared" si="28"/>
        <v/>
      </c>
      <c r="K200" s="27"/>
      <c r="L200" s="45" t="str">
        <f t="shared" si="29"/>
        <v/>
      </c>
      <c r="M200" s="45" t="str">
        <f t="shared" si="30"/>
        <v/>
      </c>
      <c r="N200" s="27"/>
      <c r="O200" s="27"/>
      <c r="P200" s="28"/>
      <c r="Q200" s="28"/>
      <c r="R200" s="27"/>
      <c r="S200" s="27"/>
      <c r="T200" s="27"/>
      <c r="U200" s="27"/>
      <c r="V200" s="45" t="str">
        <f t="shared" si="31"/>
        <v/>
      </c>
      <c r="W200" s="45" t="str">
        <f t="shared" si="32"/>
        <v/>
      </c>
      <c r="X200" s="27"/>
      <c r="Y200" s="45" t="str">
        <f t="shared" si="33"/>
        <v/>
      </c>
      <c r="Z200" s="45" t="str">
        <f t="shared" si="34"/>
        <v/>
      </c>
      <c r="AA200" s="27"/>
      <c r="AB200" s="13" t="str">
        <f t="shared" ca="1" si="35"/>
        <v/>
      </c>
      <c r="AC200" s="13" t="str">
        <f ca="1">IF(A200="","",IF(OR(S200='02_マスタ'!$E$10,S200='02_マスタ'!$E$12),"",IF(R200="High","High",IF(AND(Q200&lt;&gt;"",Q200&lt;TODAY()),INDEX(_翻訳マスタ!$B$117:$D$247,MATCH("ALERT_OVERDUE",_翻訳マスタ!$A$117:$A$247,0),MATCH(言語切替!$B$3,_翻訳マスタ!$B$1:$D$1,0)),IF(AND(Q200&lt;&gt;"",Q200-TODAY()&lt;=7),INDEX(_翻訳マスタ!$B$117:$D$247,MATCH("ALERT_APPROACHING",_翻訳マスタ!$A$117:$A$247,0),MATCH(言語切替!$B$3,_翻訳マスタ!$B$1:$D$1,0)),IF(OR(S200='02_マスタ'!$E$7,S200='02_マスタ'!$E$8),INDEX(_翻訳マスタ!$B$117:$D$247,MATCH("ALERT_CHECK",_翻訳マスタ!$A$117:$A$247,0),MATCH(言語切替!$B$3,_翻訳マスタ!$B$1:$D$1,0)),""))))))</f>
        <v/>
      </c>
      <c r="AD200" s="40"/>
    </row>
    <row r="201" spans="1:30" s="22" customFormat="1" x14ac:dyDescent="0.25">
      <c r="A201" s="29"/>
      <c r="B201" s="30"/>
      <c r="C201" s="30"/>
      <c r="D201" s="30"/>
      <c r="E201" s="30"/>
      <c r="F201" s="46" t="str">
        <f t="shared" ref="F201:F264" si="36">IF(E201="","",_xlfn.TRANSLATE(E201,"vi","ja"))</f>
        <v/>
      </c>
      <c r="G201" s="46" t="str">
        <f t="shared" ref="G201:G264" si="37">IF(E201="","",_xlfn.TRANSLATE(E201,"vi","zh-Hans"))</f>
        <v/>
      </c>
      <c r="H201" s="30"/>
      <c r="I201" s="46" t="str">
        <f t="shared" ref="I201:I264" si="38">IF(H201="","",_xlfn.TRANSLATE(H201,"vi","ja"))</f>
        <v/>
      </c>
      <c r="J201" s="46" t="str">
        <f t="shared" ref="J201:J264" si="39">IF(H201="","",_xlfn.TRANSLATE(H201,"vi","zh-Hans"))</f>
        <v/>
      </c>
      <c r="K201" s="30"/>
      <c r="L201" s="46" t="str">
        <f t="shared" ref="L201:L264" si="40">IF(K201="","",_xlfn.TRANSLATE(K201,"vi","ja"))</f>
        <v/>
      </c>
      <c r="M201" s="46" t="str">
        <f t="shared" ref="M201:M264" si="41">IF(K201="","",_xlfn.TRANSLATE(K201,"vi","zh-Hans"))</f>
        <v/>
      </c>
      <c r="N201" s="30"/>
      <c r="O201" s="30"/>
      <c r="P201" s="31"/>
      <c r="Q201" s="31"/>
      <c r="R201" s="30"/>
      <c r="S201" s="30"/>
      <c r="T201" s="30"/>
      <c r="U201" s="30"/>
      <c r="V201" s="46" t="str">
        <f t="shared" ref="V201:V264" si="42">IF(U201="","",_xlfn.TRANSLATE(U201,"vi","ja"))</f>
        <v/>
      </c>
      <c r="W201" s="46" t="str">
        <f t="shared" ref="W201:W264" si="43">IF(U201="","",_xlfn.TRANSLATE(U201,"vi","zh-Hans"))</f>
        <v/>
      </c>
      <c r="X201" s="30"/>
      <c r="Y201" s="46" t="str">
        <f t="shared" si="33"/>
        <v/>
      </c>
      <c r="Z201" s="46" t="str">
        <f t="shared" si="34"/>
        <v/>
      </c>
      <c r="AA201" s="30"/>
      <c r="AB201" s="16" t="str">
        <f t="shared" ca="1" si="35"/>
        <v/>
      </c>
      <c r="AC201" s="16" t="str">
        <f ca="1">IF(A201="","",IF(OR(S201='02_マスタ'!$E$10,S201='02_マスタ'!$E$12),"",IF(R201="High","High",IF(AND(Q201&lt;&gt;"",Q201&lt;TODAY()),INDEX(_翻訳マスタ!$B$117:$D$247,MATCH("ALERT_OVERDUE",_翻訳マスタ!$A$117:$A$247,0),MATCH(言語切替!$B$3,_翻訳マスタ!$B$1:$D$1,0)),IF(AND(Q201&lt;&gt;"",Q201-TODAY()&lt;=7),INDEX(_翻訳マスタ!$B$117:$D$247,MATCH("ALERT_APPROACHING",_翻訳マスタ!$A$117:$A$247,0),MATCH(言語切替!$B$3,_翻訳マスタ!$B$1:$D$1,0)),IF(OR(S201='02_マスタ'!$E$7,S201='02_マスタ'!$E$8),INDEX(_翻訳マスタ!$B$117:$D$247,MATCH("ALERT_CHECK",_翻訳マスタ!$A$117:$A$247,0),MATCH(言語切替!$B$3,_翻訳マスタ!$B$1:$D$1,0)),""))))))</f>
        <v/>
      </c>
      <c r="AD201" s="41"/>
    </row>
    <row r="202" spans="1:30" s="22" customFormat="1" x14ac:dyDescent="0.25">
      <c r="A202" s="26"/>
      <c r="B202" s="27"/>
      <c r="C202" s="27"/>
      <c r="D202" s="27"/>
      <c r="E202" s="27"/>
      <c r="F202" s="45" t="str">
        <f t="shared" si="36"/>
        <v/>
      </c>
      <c r="G202" s="45" t="str">
        <f t="shared" si="37"/>
        <v/>
      </c>
      <c r="H202" s="27"/>
      <c r="I202" s="45" t="str">
        <f t="shared" si="38"/>
        <v/>
      </c>
      <c r="J202" s="45" t="str">
        <f t="shared" si="39"/>
        <v/>
      </c>
      <c r="K202" s="27"/>
      <c r="L202" s="45" t="str">
        <f t="shared" si="40"/>
        <v/>
      </c>
      <c r="M202" s="45" t="str">
        <f t="shared" si="41"/>
        <v/>
      </c>
      <c r="N202" s="27"/>
      <c r="O202" s="27"/>
      <c r="P202" s="28"/>
      <c r="Q202" s="28"/>
      <c r="R202" s="27"/>
      <c r="S202" s="27"/>
      <c r="T202" s="27"/>
      <c r="U202" s="27"/>
      <c r="V202" s="45" t="str">
        <f t="shared" si="42"/>
        <v/>
      </c>
      <c r="W202" s="45" t="str">
        <f t="shared" si="43"/>
        <v/>
      </c>
      <c r="X202" s="27"/>
      <c r="Y202" s="45" t="str">
        <f t="shared" si="33"/>
        <v/>
      </c>
      <c r="Z202" s="45" t="str">
        <f t="shared" si="34"/>
        <v/>
      </c>
      <c r="AA202" s="27"/>
      <c r="AB202" s="13" t="str">
        <f t="shared" ca="1" si="35"/>
        <v/>
      </c>
      <c r="AC202" s="13" t="str">
        <f ca="1">IF(A202="","",IF(OR(S202='02_マスタ'!$E$10,S202='02_マスタ'!$E$12),"",IF(R202="High","High",IF(AND(Q202&lt;&gt;"",Q202&lt;TODAY()),INDEX(_翻訳マスタ!$B$117:$D$247,MATCH("ALERT_OVERDUE",_翻訳マスタ!$A$117:$A$247,0),MATCH(言語切替!$B$3,_翻訳マスタ!$B$1:$D$1,0)),IF(AND(Q202&lt;&gt;"",Q202-TODAY()&lt;=7),INDEX(_翻訳マスタ!$B$117:$D$247,MATCH("ALERT_APPROACHING",_翻訳マスタ!$A$117:$A$247,0),MATCH(言語切替!$B$3,_翻訳マスタ!$B$1:$D$1,0)),IF(OR(S202='02_マスタ'!$E$7,S202='02_マスタ'!$E$8),INDEX(_翻訳マスタ!$B$117:$D$247,MATCH("ALERT_CHECK",_翻訳マスタ!$A$117:$A$247,0),MATCH(言語切替!$B$3,_翻訳マスタ!$B$1:$D$1,0)),""))))))</f>
        <v/>
      </c>
      <c r="AD202" s="40"/>
    </row>
    <row r="203" spans="1:30" s="22" customFormat="1" x14ac:dyDescent="0.25">
      <c r="A203" s="29"/>
      <c r="B203" s="30"/>
      <c r="C203" s="30"/>
      <c r="D203" s="30"/>
      <c r="E203" s="30"/>
      <c r="F203" s="46" t="str">
        <f t="shared" si="36"/>
        <v/>
      </c>
      <c r="G203" s="46" t="str">
        <f t="shared" si="37"/>
        <v/>
      </c>
      <c r="H203" s="30"/>
      <c r="I203" s="46" t="str">
        <f t="shared" si="38"/>
        <v/>
      </c>
      <c r="J203" s="46" t="str">
        <f t="shared" si="39"/>
        <v/>
      </c>
      <c r="K203" s="30"/>
      <c r="L203" s="46" t="str">
        <f t="shared" si="40"/>
        <v/>
      </c>
      <c r="M203" s="46" t="str">
        <f t="shared" si="41"/>
        <v/>
      </c>
      <c r="N203" s="30"/>
      <c r="O203" s="30"/>
      <c r="P203" s="31"/>
      <c r="Q203" s="31"/>
      <c r="R203" s="30"/>
      <c r="S203" s="30"/>
      <c r="T203" s="30"/>
      <c r="U203" s="30"/>
      <c r="V203" s="46" t="str">
        <f t="shared" si="42"/>
        <v/>
      </c>
      <c r="W203" s="46" t="str">
        <f t="shared" si="43"/>
        <v/>
      </c>
      <c r="X203" s="30"/>
      <c r="Y203" s="46" t="str">
        <f t="shared" si="33"/>
        <v/>
      </c>
      <c r="Z203" s="46" t="str">
        <f t="shared" si="34"/>
        <v/>
      </c>
      <c r="AA203" s="30"/>
      <c r="AB203" s="16" t="str">
        <f t="shared" ca="1" si="35"/>
        <v/>
      </c>
      <c r="AC203" s="16" t="str">
        <f ca="1">IF(A203="","",IF(OR(S203='02_マスタ'!$E$10,S203='02_マスタ'!$E$12),"",IF(R203="High","High",IF(AND(Q203&lt;&gt;"",Q203&lt;TODAY()),INDEX(_翻訳マスタ!$B$117:$D$247,MATCH("ALERT_OVERDUE",_翻訳マスタ!$A$117:$A$247,0),MATCH(言語切替!$B$3,_翻訳マスタ!$B$1:$D$1,0)),IF(AND(Q203&lt;&gt;"",Q203-TODAY()&lt;=7),INDEX(_翻訳マスタ!$B$117:$D$247,MATCH("ALERT_APPROACHING",_翻訳マスタ!$A$117:$A$247,0),MATCH(言語切替!$B$3,_翻訳マスタ!$B$1:$D$1,0)),IF(OR(S203='02_マスタ'!$E$7,S203='02_マスタ'!$E$8),INDEX(_翻訳マスタ!$B$117:$D$247,MATCH("ALERT_CHECK",_翻訳マスタ!$A$117:$A$247,0),MATCH(言語切替!$B$3,_翻訳マスタ!$B$1:$D$1,0)),""))))))</f>
        <v/>
      </c>
      <c r="AD203" s="41"/>
    </row>
    <row r="204" spans="1:30" s="22" customFormat="1" x14ac:dyDescent="0.25">
      <c r="A204" s="26"/>
      <c r="B204" s="27"/>
      <c r="C204" s="27"/>
      <c r="D204" s="27"/>
      <c r="E204" s="27"/>
      <c r="F204" s="45" t="str">
        <f t="shared" si="36"/>
        <v/>
      </c>
      <c r="G204" s="45" t="str">
        <f t="shared" si="37"/>
        <v/>
      </c>
      <c r="H204" s="27"/>
      <c r="I204" s="45" t="str">
        <f t="shared" si="38"/>
        <v/>
      </c>
      <c r="J204" s="45" t="str">
        <f t="shared" si="39"/>
        <v/>
      </c>
      <c r="K204" s="27"/>
      <c r="L204" s="45" t="str">
        <f t="shared" si="40"/>
        <v/>
      </c>
      <c r="M204" s="45" t="str">
        <f t="shared" si="41"/>
        <v/>
      </c>
      <c r="N204" s="27"/>
      <c r="O204" s="27"/>
      <c r="P204" s="28"/>
      <c r="Q204" s="28"/>
      <c r="R204" s="27"/>
      <c r="S204" s="27"/>
      <c r="T204" s="27"/>
      <c r="U204" s="27"/>
      <c r="V204" s="45" t="str">
        <f t="shared" si="42"/>
        <v/>
      </c>
      <c r="W204" s="45" t="str">
        <f t="shared" si="43"/>
        <v/>
      </c>
      <c r="X204" s="27"/>
      <c r="Y204" s="45" t="str">
        <f t="shared" si="33"/>
        <v/>
      </c>
      <c r="Z204" s="45" t="str">
        <f t="shared" si="34"/>
        <v/>
      </c>
      <c r="AA204" s="27"/>
      <c r="AB204" s="13" t="str">
        <f t="shared" ca="1" si="35"/>
        <v/>
      </c>
      <c r="AC204" s="13" t="str">
        <f ca="1">IF(A204="","",IF(OR(S204='02_マスタ'!$E$10,S204='02_マスタ'!$E$12),"",IF(R204="High","High",IF(AND(Q204&lt;&gt;"",Q204&lt;TODAY()),INDEX(_翻訳マスタ!$B$117:$D$247,MATCH("ALERT_OVERDUE",_翻訳マスタ!$A$117:$A$247,0),MATCH(言語切替!$B$3,_翻訳マスタ!$B$1:$D$1,0)),IF(AND(Q204&lt;&gt;"",Q204-TODAY()&lt;=7),INDEX(_翻訳マスタ!$B$117:$D$247,MATCH("ALERT_APPROACHING",_翻訳マスタ!$A$117:$A$247,0),MATCH(言語切替!$B$3,_翻訳マスタ!$B$1:$D$1,0)),IF(OR(S204='02_マスタ'!$E$7,S204='02_マスタ'!$E$8),INDEX(_翻訳マスタ!$B$117:$D$247,MATCH("ALERT_CHECK",_翻訳マスタ!$A$117:$A$247,0),MATCH(言語切替!$B$3,_翻訳マスタ!$B$1:$D$1,0)),""))))))</f>
        <v/>
      </c>
      <c r="AD204" s="40"/>
    </row>
    <row r="205" spans="1:30" s="22" customFormat="1" x14ac:dyDescent="0.25">
      <c r="A205" s="29"/>
      <c r="B205" s="30"/>
      <c r="C205" s="30"/>
      <c r="D205" s="30"/>
      <c r="E205" s="30"/>
      <c r="F205" s="46" t="str">
        <f t="shared" si="36"/>
        <v/>
      </c>
      <c r="G205" s="46" t="str">
        <f t="shared" si="37"/>
        <v/>
      </c>
      <c r="H205" s="30"/>
      <c r="I205" s="46" t="str">
        <f t="shared" si="38"/>
        <v/>
      </c>
      <c r="J205" s="46" t="str">
        <f t="shared" si="39"/>
        <v/>
      </c>
      <c r="K205" s="30"/>
      <c r="L205" s="46" t="str">
        <f t="shared" si="40"/>
        <v/>
      </c>
      <c r="M205" s="46" t="str">
        <f t="shared" si="41"/>
        <v/>
      </c>
      <c r="N205" s="30"/>
      <c r="O205" s="30"/>
      <c r="P205" s="31"/>
      <c r="Q205" s="31"/>
      <c r="R205" s="30"/>
      <c r="S205" s="30"/>
      <c r="T205" s="30"/>
      <c r="U205" s="30"/>
      <c r="V205" s="46" t="str">
        <f t="shared" si="42"/>
        <v/>
      </c>
      <c r="W205" s="46" t="str">
        <f t="shared" si="43"/>
        <v/>
      </c>
      <c r="X205" s="30"/>
      <c r="Y205" s="46" t="str">
        <f t="shared" si="33"/>
        <v/>
      </c>
      <c r="Z205" s="46" t="str">
        <f t="shared" si="34"/>
        <v/>
      </c>
      <c r="AA205" s="30"/>
      <c r="AB205" s="16" t="str">
        <f t="shared" ca="1" si="35"/>
        <v/>
      </c>
      <c r="AC205" s="16" t="str">
        <f ca="1">IF(A205="","",IF(OR(S205='02_マスタ'!$E$10,S205='02_マスタ'!$E$12),"",IF(R205="High","High",IF(AND(Q205&lt;&gt;"",Q205&lt;TODAY()),INDEX(_翻訳マスタ!$B$117:$D$247,MATCH("ALERT_OVERDUE",_翻訳マスタ!$A$117:$A$247,0),MATCH(言語切替!$B$3,_翻訳マスタ!$B$1:$D$1,0)),IF(AND(Q205&lt;&gt;"",Q205-TODAY()&lt;=7),INDEX(_翻訳マスタ!$B$117:$D$247,MATCH("ALERT_APPROACHING",_翻訳マスタ!$A$117:$A$247,0),MATCH(言語切替!$B$3,_翻訳マスタ!$B$1:$D$1,0)),IF(OR(S205='02_マスタ'!$E$7,S205='02_マスタ'!$E$8),INDEX(_翻訳マスタ!$B$117:$D$247,MATCH("ALERT_CHECK",_翻訳マスタ!$A$117:$A$247,0),MATCH(言語切替!$B$3,_翻訳マスタ!$B$1:$D$1,0)),""))))))</f>
        <v/>
      </c>
      <c r="AD205" s="41"/>
    </row>
    <row r="206" spans="1:30" s="22" customFormat="1" x14ac:dyDescent="0.25">
      <c r="A206" s="26"/>
      <c r="B206" s="27"/>
      <c r="C206" s="27"/>
      <c r="D206" s="27"/>
      <c r="E206" s="27"/>
      <c r="F206" s="45" t="str">
        <f t="shared" si="36"/>
        <v/>
      </c>
      <c r="G206" s="45" t="str">
        <f t="shared" si="37"/>
        <v/>
      </c>
      <c r="H206" s="27"/>
      <c r="I206" s="45" t="str">
        <f t="shared" si="38"/>
        <v/>
      </c>
      <c r="J206" s="45" t="str">
        <f t="shared" si="39"/>
        <v/>
      </c>
      <c r="K206" s="27"/>
      <c r="L206" s="45" t="str">
        <f t="shared" si="40"/>
        <v/>
      </c>
      <c r="M206" s="45" t="str">
        <f t="shared" si="41"/>
        <v/>
      </c>
      <c r="N206" s="27"/>
      <c r="O206" s="27"/>
      <c r="P206" s="28"/>
      <c r="Q206" s="28"/>
      <c r="R206" s="27"/>
      <c r="S206" s="27"/>
      <c r="T206" s="27"/>
      <c r="U206" s="27"/>
      <c r="V206" s="45" t="str">
        <f t="shared" si="42"/>
        <v/>
      </c>
      <c r="W206" s="45" t="str">
        <f t="shared" si="43"/>
        <v/>
      </c>
      <c r="X206" s="27"/>
      <c r="Y206" s="45" t="str">
        <f t="shared" si="33"/>
        <v/>
      </c>
      <c r="Z206" s="45" t="str">
        <f t="shared" si="34"/>
        <v/>
      </c>
      <c r="AA206" s="27"/>
      <c r="AB206" s="13" t="str">
        <f t="shared" ca="1" si="35"/>
        <v/>
      </c>
      <c r="AC206" s="13" t="str">
        <f ca="1">IF(A206="","",IF(OR(S206='02_マスタ'!$E$10,S206='02_マスタ'!$E$12),"",IF(R206="High","High",IF(AND(Q206&lt;&gt;"",Q206&lt;TODAY()),INDEX(_翻訳マスタ!$B$117:$D$247,MATCH("ALERT_OVERDUE",_翻訳マスタ!$A$117:$A$247,0),MATCH(言語切替!$B$3,_翻訳マスタ!$B$1:$D$1,0)),IF(AND(Q206&lt;&gt;"",Q206-TODAY()&lt;=7),INDEX(_翻訳マスタ!$B$117:$D$247,MATCH("ALERT_APPROACHING",_翻訳マスタ!$A$117:$A$247,0),MATCH(言語切替!$B$3,_翻訳マスタ!$B$1:$D$1,0)),IF(OR(S206='02_マスタ'!$E$7,S206='02_マスタ'!$E$8),INDEX(_翻訳マスタ!$B$117:$D$247,MATCH("ALERT_CHECK",_翻訳マスタ!$A$117:$A$247,0),MATCH(言語切替!$B$3,_翻訳マスタ!$B$1:$D$1,0)),""))))))</f>
        <v/>
      </c>
      <c r="AD206" s="40"/>
    </row>
    <row r="207" spans="1:30" s="22" customFormat="1" x14ac:dyDescent="0.25">
      <c r="A207" s="29"/>
      <c r="B207" s="30"/>
      <c r="C207" s="30"/>
      <c r="D207" s="30"/>
      <c r="E207" s="30"/>
      <c r="F207" s="46" t="str">
        <f t="shared" si="36"/>
        <v/>
      </c>
      <c r="G207" s="46" t="str">
        <f t="shared" si="37"/>
        <v/>
      </c>
      <c r="H207" s="30"/>
      <c r="I207" s="46" t="str">
        <f t="shared" si="38"/>
        <v/>
      </c>
      <c r="J207" s="46" t="str">
        <f t="shared" si="39"/>
        <v/>
      </c>
      <c r="K207" s="30"/>
      <c r="L207" s="46" t="str">
        <f t="shared" si="40"/>
        <v/>
      </c>
      <c r="M207" s="46" t="str">
        <f t="shared" si="41"/>
        <v/>
      </c>
      <c r="N207" s="30"/>
      <c r="O207" s="30"/>
      <c r="P207" s="31"/>
      <c r="Q207" s="31"/>
      <c r="R207" s="30"/>
      <c r="S207" s="30"/>
      <c r="T207" s="30"/>
      <c r="U207" s="30"/>
      <c r="V207" s="46" t="str">
        <f t="shared" si="42"/>
        <v/>
      </c>
      <c r="W207" s="46" t="str">
        <f t="shared" si="43"/>
        <v/>
      </c>
      <c r="X207" s="30"/>
      <c r="Y207" s="46" t="str">
        <f t="shared" si="33"/>
        <v/>
      </c>
      <c r="Z207" s="46" t="str">
        <f t="shared" si="34"/>
        <v/>
      </c>
      <c r="AA207" s="30"/>
      <c r="AB207" s="16" t="str">
        <f t="shared" ca="1" si="35"/>
        <v/>
      </c>
      <c r="AC207" s="16" t="str">
        <f ca="1">IF(A207="","",IF(OR(S207='02_マスタ'!$E$10,S207='02_マスタ'!$E$12),"",IF(R207="High","High",IF(AND(Q207&lt;&gt;"",Q207&lt;TODAY()),INDEX(_翻訳マスタ!$B$117:$D$247,MATCH("ALERT_OVERDUE",_翻訳マスタ!$A$117:$A$247,0),MATCH(言語切替!$B$3,_翻訳マスタ!$B$1:$D$1,0)),IF(AND(Q207&lt;&gt;"",Q207-TODAY()&lt;=7),INDEX(_翻訳マスタ!$B$117:$D$247,MATCH("ALERT_APPROACHING",_翻訳マスタ!$A$117:$A$247,0),MATCH(言語切替!$B$3,_翻訳マスタ!$B$1:$D$1,0)),IF(OR(S207='02_マスタ'!$E$7,S207='02_マスタ'!$E$8),INDEX(_翻訳マスタ!$B$117:$D$247,MATCH("ALERT_CHECK",_翻訳マスタ!$A$117:$A$247,0),MATCH(言語切替!$B$3,_翻訳マスタ!$B$1:$D$1,0)),""))))))</f>
        <v/>
      </c>
      <c r="AD207" s="41"/>
    </row>
    <row r="208" spans="1:30" s="22" customFormat="1" x14ac:dyDescent="0.25">
      <c r="A208" s="26"/>
      <c r="B208" s="27"/>
      <c r="C208" s="27"/>
      <c r="D208" s="27"/>
      <c r="E208" s="27"/>
      <c r="F208" s="45" t="str">
        <f t="shared" si="36"/>
        <v/>
      </c>
      <c r="G208" s="45" t="str">
        <f t="shared" si="37"/>
        <v/>
      </c>
      <c r="H208" s="27"/>
      <c r="I208" s="45" t="str">
        <f t="shared" si="38"/>
        <v/>
      </c>
      <c r="J208" s="45" t="str">
        <f t="shared" si="39"/>
        <v/>
      </c>
      <c r="K208" s="27"/>
      <c r="L208" s="45" t="str">
        <f t="shared" si="40"/>
        <v/>
      </c>
      <c r="M208" s="45" t="str">
        <f t="shared" si="41"/>
        <v/>
      </c>
      <c r="N208" s="27"/>
      <c r="O208" s="27"/>
      <c r="P208" s="28"/>
      <c r="Q208" s="28"/>
      <c r="R208" s="27"/>
      <c r="S208" s="27"/>
      <c r="T208" s="27"/>
      <c r="U208" s="27"/>
      <c r="V208" s="45" t="str">
        <f t="shared" si="42"/>
        <v/>
      </c>
      <c r="W208" s="45" t="str">
        <f t="shared" si="43"/>
        <v/>
      </c>
      <c r="X208" s="27"/>
      <c r="Y208" s="45" t="str">
        <f t="shared" si="33"/>
        <v/>
      </c>
      <c r="Z208" s="45" t="str">
        <f t="shared" si="34"/>
        <v/>
      </c>
      <c r="AA208" s="27"/>
      <c r="AB208" s="13" t="str">
        <f t="shared" ca="1" si="35"/>
        <v/>
      </c>
      <c r="AC208" s="13" t="str">
        <f ca="1">IF(A208="","",IF(OR(S208='02_マスタ'!$E$10,S208='02_マスタ'!$E$12),"",IF(R208="High","High",IF(AND(Q208&lt;&gt;"",Q208&lt;TODAY()),INDEX(_翻訳マスタ!$B$117:$D$247,MATCH("ALERT_OVERDUE",_翻訳マスタ!$A$117:$A$247,0),MATCH(言語切替!$B$3,_翻訳マスタ!$B$1:$D$1,0)),IF(AND(Q208&lt;&gt;"",Q208-TODAY()&lt;=7),INDEX(_翻訳マスタ!$B$117:$D$247,MATCH("ALERT_APPROACHING",_翻訳マスタ!$A$117:$A$247,0),MATCH(言語切替!$B$3,_翻訳マスタ!$B$1:$D$1,0)),IF(OR(S208='02_マスタ'!$E$7,S208='02_マスタ'!$E$8),INDEX(_翻訳マスタ!$B$117:$D$247,MATCH("ALERT_CHECK",_翻訳マスタ!$A$117:$A$247,0),MATCH(言語切替!$B$3,_翻訳マスタ!$B$1:$D$1,0)),""))))))</f>
        <v/>
      </c>
      <c r="AD208" s="40"/>
    </row>
    <row r="209" spans="1:30" s="22" customFormat="1" x14ac:dyDescent="0.25">
      <c r="A209" s="29"/>
      <c r="B209" s="30"/>
      <c r="C209" s="30"/>
      <c r="D209" s="30"/>
      <c r="E209" s="30"/>
      <c r="F209" s="46" t="str">
        <f t="shared" si="36"/>
        <v/>
      </c>
      <c r="G209" s="46" t="str">
        <f t="shared" si="37"/>
        <v/>
      </c>
      <c r="H209" s="30"/>
      <c r="I209" s="46" t="str">
        <f t="shared" si="38"/>
        <v/>
      </c>
      <c r="J209" s="46" t="str">
        <f t="shared" si="39"/>
        <v/>
      </c>
      <c r="K209" s="30"/>
      <c r="L209" s="46" t="str">
        <f t="shared" si="40"/>
        <v/>
      </c>
      <c r="M209" s="46" t="str">
        <f t="shared" si="41"/>
        <v/>
      </c>
      <c r="N209" s="30"/>
      <c r="O209" s="30"/>
      <c r="P209" s="31"/>
      <c r="Q209" s="31"/>
      <c r="R209" s="30"/>
      <c r="S209" s="30"/>
      <c r="T209" s="30"/>
      <c r="U209" s="30"/>
      <c r="V209" s="46" t="str">
        <f t="shared" si="42"/>
        <v/>
      </c>
      <c r="W209" s="46" t="str">
        <f t="shared" si="43"/>
        <v/>
      </c>
      <c r="X209" s="30"/>
      <c r="Y209" s="46" t="str">
        <f t="shared" si="33"/>
        <v/>
      </c>
      <c r="Z209" s="46" t="str">
        <f t="shared" si="34"/>
        <v/>
      </c>
      <c r="AA209" s="30"/>
      <c r="AB209" s="16" t="str">
        <f t="shared" ca="1" si="35"/>
        <v/>
      </c>
      <c r="AC209" s="16" t="str">
        <f ca="1">IF(A209="","",IF(OR(S209='02_マスタ'!$E$10,S209='02_マスタ'!$E$12),"",IF(R209="High","High",IF(AND(Q209&lt;&gt;"",Q209&lt;TODAY()),INDEX(_翻訳マスタ!$B$117:$D$247,MATCH("ALERT_OVERDUE",_翻訳マスタ!$A$117:$A$247,0),MATCH(言語切替!$B$3,_翻訳マスタ!$B$1:$D$1,0)),IF(AND(Q209&lt;&gt;"",Q209-TODAY()&lt;=7),INDEX(_翻訳マスタ!$B$117:$D$247,MATCH("ALERT_APPROACHING",_翻訳マスタ!$A$117:$A$247,0),MATCH(言語切替!$B$3,_翻訳マスタ!$B$1:$D$1,0)),IF(OR(S209='02_マスタ'!$E$7,S209='02_マスタ'!$E$8),INDEX(_翻訳マスタ!$B$117:$D$247,MATCH("ALERT_CHECK",_翻訳マスタ!$A$117:$A$247,0),MATCH(言語切替!$B$3,_翻訳マスタ!$B$1:$D$1,0)),""))))))</f>
        <v/>
      </c>
      <c r="AD209" s="41"/>
    </row>
    <row r="210" spans="1:30" s="22" customFormat="1" x14ac:dyDescent="0.25">
      <c r="A210" s="26"/>
      <c r="B210" s="27"/>
      <c r="C210" s="27"/>
      <c r="D210" s="27"/>
      <c r="E210" s="27"/>
      <c r="F210" s="45" t="str">
        <f t="shared" si="36"/>
        <v/>
      </c>
      <c r="G210" s="45" t="str">
        <f t="shared" si="37"/>
        <v/>
      </c>
      <c r="H210" s="27"/>
      <c r="I210" s="45" t="str">
        <f t="shared" si="38"/>
        <v/>
      </c>
      <c r="J210" s="45" t="str">
        <f t="shared" si="39"/>
        <v/>
      </c>
      <c r="K210" s="27"/>
      <c r="L210" s="45" t="str">
        <f t="shared" si="40"/>
        <v/>
      </c>
      <c r="M210" s="45" t="str">
        <f t="shared" si="41"/>
        <v/>
      </c>
      <c r="N210" s="27"/>
      <c r="O210" s="27"/>
      <c r="P210" s="28"/>
      <c r="Q210" s="28"/>
      <c r="R210" s="27"/>
      <c r="S210" s="27"/>
      <c r="T210" s="27"/>
      <c r="U210" s="27"/>
      <c r="V210" s="45" t="str">
        <f t="shared" si="42"/>
        <v/>
      </c>
      <c r="W210" s="45" t="str">
        <f t="shared" si="43"/>
        <v/>
      </c>
      <c r="X210" s="27"/>
      <c r="Y210" s="45" t="str">
        <f t="shared" si="33"/>
        <v/>
      </c>
      <c r="Z210" s="45" t="str">
        <f t="shared" si="34"/>
        <v/>
      </c>
      <c r="AA210" s="27"/>
      <c r="AB210" s="13" t="str">
        <f t="shared" ca="1" si="35"/>
        <v/>
      </c>
      <c r="AC210" s="13" t="str">
        <f ca="1">IF(A210="","",IF(OR(S210='02_マスタ'!$E$10,S210='02_マスタ'!$E$12),"",IF(R210="High","High",IF(AND(Q210&lt;&gt;"",Q210&lt;TODAY()),INDEX(_翻訳マスタ!$B$117:$D$247,MATCH("ALERT_OVERDUE",_翻訳マスタ!$A$117:$A$247,0),MATCH(言語切替!$B$3,_翻訳マスタ!$B$1:$D$1,0)),IF(AND(Q210&lt;&gt;"",Q210-TODAY()&lt;=7),INDEX(_翻訳マスタ!$B$117:$D$247,MATCH("ALERT_APPROACHING",_翻訳マスタ!$A$117:$A$247,0),MATCH(言語切替!$B$3,_翻訳マスタ!$B$1:$D$1,0)),IF(OR(S210='02_マスタ'!$E$7,S210='02_マスタ'!$E$8),INDEX(_翻訳マスタ!$B$117:$D$247,MATCH("ALERT_CHECK",_翻訳マスタ!$A$117:$A$247,0),MATCH(言語切替!$B$3,_翻訳マスタ!$B$1:$D$1,0)),""))))))</f>
        <v/>
      </c>
      <c r="AD210" s="40"/>
    </row>
    <row r="211" spans="1:30" s="22" customFormat="1" x14ac:dyDescent="0.25">
      <c r="A211" s="29"/>
      <c r="B211" s="30"/>
      <c r="C211" s="30"/>
      <c r="D211" s="30"/>
      <c r="E211" s="30"/>
      <c r="F211" s="46" t="str">
        <f t="shared" si="36"/>
        <v/>
      </c>
      <c r="G211" s="46" t="str">
        <f t="shared" si="37"/>
        <v/>
      </c>
      <c r="H211" s="30"/>
      <c r="I211" s="46" t="str">
        <f t="shared" si="38"/>
        <v/>
      </c>
      <c r="J211" s="46" t="str">
        <f t="shared" si="39"/>
        <v/>
      </c>
      <c r="K211" s="30"/>
      <c r="L211" s="46" t="str">
        <f t="shared" si="40"/>
        <v/>
      </c>
      <c r="M211" s="46" t="str">
        <f t="shared" si="41"/>
        <v/>
      </c>
      <c r="N211" s="30"/>
      <c r="O211" s="30"/>
      <c r="P211" s="31"/>
      <c r="Q211" s="31"/>
      <c r="R211" s="30"/>
      <c r="S211" s="30"/>
      <c r="T211" s="30"/>
      <c r="U211" s="30"/>
      <c r="V211" s="46" t="str">
        <f t="shared" si="42"/>
        <v/>
      </c>
      <c r="W211" s="46" t="str">
        <f t="shared" si="43"/>
        <v/>
      </c>
      <c r="X211" s="30"/>
      <c r="Y211" s="46" t="str">
        <f t="shared" si="33"/>
        <v/>
      </c>
      <c r="Z211" s="46" t="str">
        <f t="shared" si="34"/>
        <v/>
      </c>
      <c r="AA211" s="30"/>
      <c r="AB211" s="16" t="str">
        <f t="shared" ca="1" si="35"/>
        <v/>
      </c>
      <c r="AC211" s="16" t="str">
        <f ca="1">IF(A211="","",IF(OR(S211='02_マスタ'!$E$10,S211='02_マスタ'!$E$12),"",IF(R211="High","High",IF(AND(Q211&lt;&gt;"",Q211&lt;TODAY()),INDEX(_翻訳マスタ!$B$117:$D$247,MATCH("ALERT_OVERDUE",_翻訳マスタ!$A$117:$A$247,0),MATCH(言語切替!$B$3,_翻訳マスタ!$B$1:$D$1,0)),IF(AND(Q211&lt;&gt;"",Q211-TODAY()&lt;=7),INDEX(_翻訳マスタ!$B$117:$D$247,MATCH("ALERT_APPROACHING",_翻訳マスタ!$A$117:$A$247,0),MATCH(言語切替!$B$3,_翻訳マスタ!$B$1:$D$1,0)),IF(OR(S211='02_マスタ'!$E$7,S211='02_マスタ'!$E$8),INDEX(_翻訳マスタ!$B$117:$D$247,MATCH("ALERT_CHECK",_翻訳マスタ!$A$117:$A$247,0),MATCH(言語切替!$B$3,_翻訳マスタ!$B$1:$D$1,0)),""))))))</f>
        <v/>
      </c>
      <c r="AD211" s="41"/>
    </row>
    <row r="212" spans="1:30" s="22" customFormat="1" x14ac:dyDescent="0.25">
      <c r="A212" s="26"/>
      <c r="B212" s="27"/>
      <c r="C212" s="27"/>
      <c r="D212" s="27"/>
      <c r="E212" s="27"/>
      <c r="F212" s="45" t="str">
        <f t="shared" si="36"/>
        <v/>
      </c>
      <c r="G212" s="45" t="str">
        <f t="shared" si="37"/>
        <v/>
      </c>
      <c r="H212" s="27"/>
      <c r="I212" s="45" t="str">
        <f t="shared" si="38"/>
        <v/>
      </c>
      <c r="J212" s="45" t="str">
        <f t="shared" si="39"/>
        <v/>
      </c>
      <c r="K212" s="27"/>
      <c r="L212" s="45" t="str">
        <f t="shared" si="40"/>
        <v/>
      </c>
      <c r="M212" s="45" t="str">
        <f t="shared" si="41"/>
        <v/>
      </c>
      <c r="N212" s="27"/>
      <c r="O212" s="27"/>
      <c r="P212" s="28"/>
      <c r="Q212" s="28"/>
      <c r="R212" s="27"/>
      <c r="S212" s="27"/>
      <c r="T212" s="27"/>
      <c r="U212" s="27"/>
      <c r="V212" s="45" t="str">
        <f t="shared" si="42"/>
        <v/>
      </c>
      <c r="W212" s="45" t="str">
        <f t="shared" si="43"/>
        <v/>
      </c>
      <c r="X212" s="27"/>
      <c r="Y212" s="45" t="str">
        <f t="shared" si="33"/>
        <v/>
      </c>
      <c r="Z212" s="45" t="str">
        <f t="shared" si="34"/>
        <v/>
      </c>
      <c r="AA212" s="27"/>
      <c r="AB212" s="13" t="str">
        <f t="shared" ca="1" si="35"/>
        <v/>
      </c>
      <c r="AC212" s="13" t="str">
        <f ca="1">IF(A212="","",IF(OR(S212='02_マスタ'!$E$10,S212='02_マスタ'!$E$12),"",IF(R212="High","High",IF(AND(Q212&lt;&gt;"",Q212&lt;TODAY()),INDEX(_翻訳マスタ!$B$117:$D$247,MATCH("ALERT_OVERDUE",_翻訳マスタ!$A$117:$A$247,0),MATCH(言語切替!$B$3,_翻訳マスタ!$B$1:$D$1,0)),IF(AND(Q212&lt;&gt;"",Q212-TODAY()&lt;=7),INDEX(_翻訳マスタ!$B$117:$D$247,MATCH("ALERT_APPROACHING",_翻訳マスタ!$A$117:$A$247,0),MATCH(言語切替!$B$3,_翻訳マスタ!$B$1:$D$1,0)),IF(OR(S212='02_マスタ'!$E$7,S212='02_マスタ'!$E$8),INDEX(_翻訳マスタ!$B$117:$D$247,MATCH("ALERT_CHECK",_翻訳マスタ!$A$117:$A$247,0),MATCH(言語切替!$B$3,_翻訳マスタ!$B$1:$D$1,0)),""))))))</f>
        <v/>
      </c>
      <c r="AD212" s="40"/>
    </row>
    <row r="213" spans="1:30" s="22" customFormat="1" x14ac:dyDescent="0.25">
      <c r="A213" s="29"/>
      <c r="B213" s="30"/>
      <c r="C213" s="30"/>
      <c r="D213" s="30"/>
      <c r="E213" s="30"/>
      <c r="F213" s="46" t="str">
        <f t="shared" si="36"/>
        <v/>
      </c>
      <c r="G213" s="46" t="str">
        <f t="shared" si="37"/>
        <v/>
      </c>
      <c r="H213" s="30"/>
      <c r="I213" s="46" t="str">
        <f t="shared" si="38"/>
        <v/>
      </c>
      <c r="J213" s="46" t="str">
        <f t="shared" si="39"/>
        <v/>
      </c>
      <c r="K213" s="30"/>
      <c r="L213" s="46" t="str">
        <f t="shared" si="40"/>
        <v/>
      </c>
      <c r="M213" s="46" t="str">
        <f t="shared" si="41"/>
        <v/>
      </c>
      <c r="N213" s="30"/>
      <c r="O213" s="30"/>
      <c r="P213" s="31"/>
      <c r="Q213" s="31"/>
      <c r="R213" s="30"/>
      <c r="S213" s="30"/>
      <c r="T213" s="30"/>
      <c r="U213" s="30"/>
      <c r="V213" s="46" t="str">
        <f t="shared" si="42"/>
        <v/>
      </c>
      <c r="W213" s="46" t="str">
        <f t="shared" si="43"/>
        <v/>
      </c>
      <c r="X213" s="30"/>
      <c r="Y213" s="46" t="str">
        <f t="shared" si="33"/>
        <v/>
      </c>
      <c r="Z213" s="46" t="str">
        <f t="shared" si="34"/>
        <v/>
      </c>
      <c r="AA213" s="30"/>
      <c r="AB213" s="16" t="str">
        <f t="shared" ca="1" si="35"/>
        <v/>
      </c>
      <c r="AC213" s="16" t="str">
        <f ca="1">IF(A213="","",IF(OR(S213='02_マスタ'!$E$10,S213='02_マスタ'!$E$12),"",IF(R213="High","High",IF(AND(Q213&lt;&gt;"",Q213&lt;TODAY()),INDEX(_翻訳マスタ!$B$117:$D$247,MATCH("ALERT_OVERDUE",_翻訳マスタ!$A$117:$A$247,0),MATCH(言語切替!$B$3,_翻訳マスタ!$B$1:$D$1,0)),IF(AND(Q213&lt;&gt;"",Q213-TODAY()&lt;=7),INDEX(_翻訳マスタ!$B$117:$D$247,MATCH("ALERT_APPROACHING",_翻訳マスタ!$A$117:$A$247,0),MATCH(言語切替!$B$3,_翻訳マスタ!$B$1:$D$1,0)),IF(OR(S213='02_マスタ'!$E$7,S213='02_マスタ'!$E$8),INDEX(_翻訳マスタ!$B$117:$D$247,MATCH("ALERT_CHECK",_翻訳マスタ!$A$117:$A$247,0),MATCH(言語切替!$B$3,_翻訳マスタ!$B$1:$D$1,0)),""))))))</f>
        <v/>
      </c>
      <c r="AD213" s="41"/>
    </row>
    <row r="214" spans="1:30" s="22" customFormat="1" x14ac:dyDescent="0.25">
      <c r="A214" s="26"/>
      <c r="B214" s="27"/>
      <c r="C214" s="27"/>
      <c r="D214" s="27"/>
      <c r="E214" s="27"/>
      <c r="F214" s="45" t="str">
        <f t="shared" si="36"/>
        <v/>
      </c>
      <c r="G214" s="45" t="str">
        <f t="shared" si="37"/>
        <v/>
      </c>
      <c r="H214" s="27"/>
      <c r="I214" s="45" t="str">
        <f t="shared" si="38"/>
        <v/>
      </c>
      <c r="J214" s="45" t="str">
        <f t="shared" si="39"/>
        <v/>
      </c>
      <c r="K214" s="27"/>
      <c r="L214" s="45" t="str">
        <f t="shared" si="40"/>
        <v/>
      </c>
      <c r="M214" s="45" t="str">
        <f t="shared" si="41"/>
        <v/>
      </c>
      <c r="N214" s="27"/>
      <c r="O214" s="27"/>
      <c r="P214" s="28"/>
      <c r="Q214" s="28"/>
      <c r="R214" s="27"/>
      <c r="S214" s="27"/>
      <c r="T214" s="27"/>
      <c r="U214" s="27"/>
      <c r="V214" s="45" t="str">
        <f t="shared" si="42"/>
        <v/>
      </c>
      <c r="W214" s="45" t="str">
        <f t="shared" si="43"/>
        <v/>
      </c>
      <c r="X214" s="27"/>
      <c r="Y214" s="45" t="str">
        <f t="shared" si="33"/>
        <v/>
      </c>
      <c r="Z214" s="45" t="str">
        <f t="shared" si="34"/>
        <v/>
      </c>
      <c r="AA214" s="27"/>
      <c r="AB214" s="13" t="str">
        <f t="shared" ca="1" si="35"/>
        <v/>
      </c>
      <c r="AC214" s="13" t="str">
        <f ca="1">IF(A214="","",IF(OR(S214='02_マスタ'!$E$10,S214='02_マスタ'!$E$12),"",IF(R214="High","High",IF(AND(Q214&lt;&gt;"",Q214&lt;TODAY()),INDEX(_翻訳マスタ!$B$117:$D$247,MATCH("ALERT_OVERDUE",_翻訳マスタ!$A$117:$A$247,0),MATCH(言語切替!$B$3,_翻訳マスタ!$B$1:$D$1,0)),IF(AND(Q214&lt;&gt;"",Q214-TODAY()&lt;=7),INDEX(_翻訳マスタ!$B$117:$D$247,MATCH("ALERT_APPROACHING",_翻訳マスタ!$A$117:$A$247,0),MATCH(言語切替!$B$3,_翻訳マスタ!$B$1:$D$1,0)),IF(OR(S214='02_マスタ'!$E$7,S214='02_マスタ'!$E$8),INDEX(_翻訳マスタ!$B$117:$D$247,MATCH("ALERT_CHECK",_翻訳マスタ!$A$117:$A$247,0),MATCH(言語切替!$B$3,_翻訳マスタ!$B$1:$D$1,0)),""))))))</f>
        <v/>
      </c>
      <c r="AD214" s="40"/>
    </row>
    <row r="215" spans="1:30" s="22" customFormat="1" x14ac:dyDescent="0.25">
      <c r="A215" s="29"/>
      <c r="B215" s="30"/>
      <c r="C215" s="30"/>
      <c r="D215" s="30"/>
      <c r="E215" s="30"/>
      <c r="F215" s="46" t="str">
        <f t="shared" si="36"/>
        <v/>
      </c>
      <c r="G215" s="46" t="str">
        <f t="shared" si="37"/>
        <v/>
      </c>
      <c r="H215" s="30"/>
      <c r="I215" s="46" t="str">
        <f t="shared" si="38"/>
        <v/>
      </c>
      <c r="J215" s="46" t="str">
        <f t="shared" si="39"/>
        <v/>
      </c>
      <c r="K215" s="30"/>
      <c r="L215" s="46" t="str">
        <f t="shared" si="40"/>
        <v/>
      </c>
      <c r="M215" s="46" t="str">
        <f t="shared" si="41"/>
        <v/>
      </c>
      <c r="N215" s="30"/>
      <c r="O215" s="30"/>
      <c r="P215" s="31"/>
      <c r="Q215" s="31"/>
      <c r="R215" s="30"/>
      <c r="S215" s="30"/>
      <c r="T215" s="30"/>
      <c r="U215" s="30"/>
      <c r="V215" s="46" t="str">
        <f t="shared" si="42"/>
        <v/>
      </c>
      <c r="W215" s="46" t="str">
        <f t="shared" si="43"/>
        <v/>
      </c>
      <c r="X215" s="30"/>
      <c r="Y215" s="46" t="str">
        <f t="shared" si="33"/>
        <v/>
      </c>
      <c r="Z215" s="46" t="str">
        <f t="shared" si="34"/>
        <v/>
      </c>
      <c r="AA215" s="30"/>
      <c r="AB215" s="16" t="str">
        <f t="shared" ca="1" si="35"/>
        <v/>
      </c>
      <c r="AC215" s="16" t="str">
        <f ca="1">IF(A215="","",IF(OR(S215='02_マスタ'!$E$10,S215='02_マスタ'!$E$12),"",IF(R215="High","High",IF(AND(Q215&lt;&gt;"",Q215&lt;TODAY()),INDEX(_翻訳マスタ!$B$117:$D$247,MATCH("ALERT_OVERDUE",_翻訳マスタ!$A$117:$A$247,0),MATCH(言語切替!$B$3,_翻訳マスタ!$B$1:$D$1,0)),IF(AND(Q215&lt;&gt;"",Q215-TODAY()&lt;=7),INDEX(_翻訳マスタ!$B$117:$D$247,MATCH("ALERT_APPROACHING",_翻訳マスタ!$A$117:$A$247,0),MATCH(言語切替!$B$3,_翻訳マスタ!$B$1:$D$1,0)),IF(OR(S215='02_マスタ'!$E$7,S215='02_マスタ'!$E$8),INDEX(_翻訳マスタ!$B$117:$D$247,MATCH("ALERT_CHECK",_翻訳マスタ!$A$117:$A$247,0),MATCH(言語切替!$B$3,_翻訳マスタ!$B$1:$D$1,0)),""))))))</f>
        <v/>
      </c>
      <c r="AD215" s="41"/>
    </row>
    <row r="216" spans="1:30" s="22" customFormat="1" x14ac:dyDescent="0.25">
      <c r="A216" s="26"/>
      <c r="B216" s="27"/>
      <c r="C216" s="27"/>
      <c r="D216" s="27"/>
      <c r="E216" s="27"/>
      <c r="F216" s="45" t="str">
        <f t="shared" si="36"/>
        <v/>
      </c>
      <c r="G216" s="45" t="str">
        <f t="shared" si="37"/>
        <v/>
      </c>
      <c r="H216" s="27"/>
      <c r="I216" s="45" t="str">
        <f t="shared" si="38"/>
        <v/>
      </c>
      <c r="J216" s="45" t="str">
        <f t="shared" si="39"/>
        <v/>
      </c>
      <c r="K216" s="27"/>
      <c r="L216" s="45" t="str">
        <f t="shared" si="40"/>
        <v/>
      </c>
      <c r="M216" s="45" t="str">
        <f t="shared" si="41"/>
        <v/>
      </c>
      <c r="N216" s="27"/>
      <c r="O216" s="27"/>
      <c r="P216" s="28"/>
      <c r="Q216" s="28"/>
      <c r="R216" s="27"/>
      <c r="S216" s="27"/>
      <c r="T216" s="27"/>
      <c r="U216" s="27"/>
      <c r="V216" s="45" t="str">
        <f t="shared" si="42"/>
        <v/>
      </c>
      <c r="W216" s="45" t="str">
        <f t="shared" si="43"/>
        <v/>
      </c>
      <c r="X216" s="27"/>
      <c r="Y216" s="45" t="str">
        <f t="shared" si="33"/>
        <v/>
      </c>
      <c r="Z216" s="45" t="str">
        <f t="shared" si="34"/>
        <v/>
      </c>
      <c r="AA216" s="27"/>
      <c r="AB216" s="13" t="str">
        <f t="shared" ca="1" si="35"/>
        <v/>
      </c>
      <c r="AC216" s="13" t="str">
        <f ca="1">IF(A216="","",IF(OR(S216='02_マスタ'!$E$10,S216='02_マスタ'!$E$12),"",IF(R216="High","High",IF(AND(Q216&lt;&gt;"",Q216&lt;TODAY()),INDEX(_翻訳マスタ!$B$117:$D$247,MATCH("ALERT_OVERDUE",_翻訳マスタ!$A$117:$A$247,0),MATCH(言語切替!$B$3,_翻訳マスタ!$B$1:$D$1,0)),IF(AND(Q216&lt;&gt;"",Q216-TODAY()&lt;=7),INDEX(_翻訳マスタ!$B$117:$D$247,MATCH("ALERT_APPROACHING",_翻訳マスタ!$A$117:$A$247,0),MATCH(言語切替!$B$3,_翻訳マスタ!$B$1:$D$1,0)),IF(OR(S216='02_マスタ'!$E$7,S216='02_マスタ'!$E$8),INDEX(_翻訳マスタ!$B$117:$D$247,MATCH("ALERT_CHECK",_翻訳マスタ!$A$117:$A$247,0),MATCH(言語切替!$B$3,_翻訳マスタ!$B$1:$D$1,0)),""))))))</f>
        <v/>
      </c>
      <c r="AD216" s="40"/>
    </row>
    <row r="217" spans="1:30" s="22" customFormat="1" x14ac:dyDescent="0.25">
      <c r="A217" s="29"/>
      <c r="B217" s="30"/>
      <c r="C217" s="30"/>
      <c r="D217" s="30"/>
      <c r="E217" s="30"/>
      <c r="F217" s="46" t="str">
        <f t="shared" si="36"/>
        <v/>
      </c>
      <c r="G217" s="46" t="str">
        <f t="shared" si="37"/>
        <v/>
      </c>
      <c r="H217" s="30"/>
      <c r="I217" s="46" t="str">
        <f t="shared" si="38"/>
        <v/>
      </c>
      <c r="J217" s="46" t="str">
        <f t="shared" si="39"/>
        <v/>
      </c>
      <c r="K217" s="30"/>
      <c r="L217" s="46" t="str">
        <f t="shared" si="40"/>
        <v/>
      </c>
      <c r="M217" s="46" t="str">
        <f t="shared" si="41"/>
        <v/>
      </c>
      <c r="N217" s="30"/>
      <c r="O217" s="30"/>
      <c r="P217" s="31"/>
      <c r="Q217" s="31"/>
      <c r="R217" s="30"/>
      <c r="S217" s="30"/>
      <c r="T217" s="30"/>
      <c r="U217" s="30"/>
      <c r="V217" s="46" t="str">
        <f t="shared" si="42"/>
        <v/>
      </c>
      <c r="W217" s="46" t="str">
        <f t="shared" si="43"/>
        <v/>
      </c>
      <c r="X217" s="30"/>
      <c r="Y217" s="46" t="str">
        <f t="shared" si="33"/>
        <v/>
      </c>
      <c r="Z217" s="46" t="str">
        <f t="shared" si="34"/>
        <v/>
      </c>
      <c r="AA217" s="30"/>
      <c r="AB217" s="16" t="str">
        <f t="shared" ca="1" si="35"/>
        <v/>
      </c>
      <c r="AC217" s="16" t="str">
        <f ca="1">IF(A217="","",IF(OR(S217='02_マスタ'!$E$10,S217='02_マスタ'!$E$12),"",IF(R217="High","High",IF(AND(Q217&lt;&gt;"",Q217&lt;TODAY()),INDEX(_翻訳マスタ!$B$117:$D$247,MATCH("ALERT_OVERDUE",_翻訳マスタ!$A$117:$A$247,0),MATCH(言語切替!$B$3,_翻訳マスタ!$B$1:$D$1,0)),IF(AND(Q217&lt;&gt;"",Q217-TODAY()&lt;=7),INDEX(_翻訳マスタ!$B$117:$D$247,MATCH("ALERT_APPROACHING",_翻訳マスタ!$A$117:$A$247,0),MATCH(言語切替!$B$3,_翻訳マスタ!$B$1:$D$1,0)),IF(OR(S217='02_マスタ'!$E$7,S217='02_マスタ'!$E$8),INDEX(_翻訳マスタ!$B$117:$D$247,MATCH("ALERT_CHECK",_翻訳マスタ!$A$117:$A$247,0),MATCH(言語切替!$B$3,_翻訳マスタ!$B$1:$D$1,0)),""))))))</f>
        <v/>
      </c>
      <c r="AD217" s="41"/>
    </row>
    <row r="218" spans="1:30" s="22" customFormat="1" x14ac:dyDescent="0.25">
      <c r="A218" s="26"/>
      <c r="B218" s="27"/>
      <c r="C218" s="27"/>
      <c r="D218" s="27"/>
      <c r="E218" s="27"/>
      <c r="F218" s="45" t="str">
        <f t="shared" si="36"/>
        <v/>
      </c>
      <c r="G218" s="45" t="str">
        <f t="shared" si="37"/>
        <v/>
      </c>
      <c r="H218" s="27"/>
      <c r="I218" s="45" t="str">
        <f t="shared" si="38"/>
        <v/>
      </c>
      <c r="J218" s="45" t="str">
        <f t="shared" si="39"/>
        <v/>
      </c>
      <c r="K218" s="27"/>
      <c r="L218" s="45" t="str">
        <f t="shared" si="40"/>
        <v/>
      </c>
      <c r="M218" s="45" t="str">
        <f t="shared" si="41"/>
        <v/>
      </c>
      <c r="N218" s="27"/>
      <c r="O218" s="27"/>
      <c r="P218" s="28"/>
      <c r="Q218" s="28"/>
      <c r="R218" s="27"/>
      <c r="S218" s="27"/>
      <c r="T218" s="27"/>
      <c r="U218" s="27"/>
      <c r="V218" s="45" t="str">
        <f t="shared" si="42"/>
        <v/>
      </c>
      <c r="W218" s="45" t="str">
        <f t="shared" si="43"/>
        <v/>
      </c>
      <c r="X218" s="27"/>
      <c r="Y218" s="45" t="str">
        <f t="shared" si="33"/>
        <v/>
      </c>
      <c r="Z218" s="45" t="str">
        <f t="shared" si="34"/>
        <v/>
      </c>
      <c r="AA218" s="27"/>
      <c r="AB218" s="13" t="str">
        <f t="shared" ca="1" si="35"/>
        <v/>
      </c>
      <c r="AC218" s="13" t="str">
        <f ca="1">IF(A218="","",IF(OR(S218='02_マスタ'!$E$10,S218='02_マスタ'!$E$12),"",IF(R218="High","High",IF(AND(Q218&lt;&gt;"",Q218&lt;TODAY()),INDEX(_翻訳マスタ!$B$117:$D$247,MATCH("ALERT_OVERDUE",_翻訳マスタ!$A$117:$A$247,0),MATCH(言語切替!$B$3,_翻訳マスタ!$B$1:$D$1,0)),IF(AND(Q218&lt;&gt;"",Q218-TODAY()&lt;=7),INDEX(_翻訳マスタ!$B$117:$D$247,MATCH("ALERT_APPROACHING",_翻訳マスタ!$A$117:$A$247,0),MATCH(言語切替!$B$3,_翻訳マスタ!$B$1:$D$1,0)),IF(OR(S218='02_マスタ'!$E$7,S218='02_マスタ'!$E$8),INDEX(_翻訳マスタ!$B$117:$D$247,MATCH("ALERT_CHECK",_翻訳マスタ!$A$117:$A$247,0),MATCH(言語切替!$B$3,_翻訳マスタ!$B$1:$D$1,0)),""))))))</f>
        <v/>
      </c>
      <c r="AD218" s="40"/>
    </row>
    <row r="219" spans="1:30" s="22" customFormat="1" x14ac:dyDescent="0.25">
      <c r="A219" s="29"/>
      <c r="B219" s="30"/>
      <c r="C219" s="30"/>
      <c r="D219" s="30"/>
      <c r="E219" s="30"/>
      <c r="F219" s="46" t="str">
        <f t="shared" si="36"/>
        <v/>
      </c>
      <c r="G219" s="46" t="str">
        <f t="shared" si="37"/>
        <v/>
      </c>
      <c r="H219" s="30"/>
      <c r="I219" s="46" t="str">
        <f t="shared" si="38"/>
        <v/>
      </c>
      <c r="J219" s="46" t="str">
        <f t="shared" si="39"/>
        <v/>
      </c>
      <c r="K219" s="30"/>
      <c r="L219" s="46" t="str">
        <f t="shared" si="40"/>
        <v/>
      </c>
      <c r="M219" s="46" t="str">
        <f t="shared" si="41"/>
        <v/>
      </c>
      <c r="N219" s="30"/>
      <c r="O219" s="30"/>
      <c r="P219" s="31"/>
      <c r="Q219" s="31"/>
      <c r="R219" s="30"/>
      <c r="S219" s="30"/>
      <c r="T219" s="30"/>
      <c r="U219" s="30"/>
      <c r="V219" s="46" t="str">
        <f t="shared" si="42"/>
        <v/>
      </c>
      <c r="W219" s="46" t="str">
        <f t="shared" si="43"/>
        <v/>
      </c>
      <c r="X219" s="30"/>
      <c r="Y219" s="46" t="str">
        <f t="shared" si="33"/>
        <v/>
      </c>
      <c r="Z219" s="46" t="str">
        <f t="shared" si="34"/>
        <v/>
      </c>
      <c r="AA219" s="30"/>
      <c r="AB219" s="16" t="str">
        <f t="shared" ca="1" si="35"/>
        <v/>
      </c>
      <c r="AC219" s="16" t="str">
        <f ca="1">IF(A219="","",IF(OR(S219='02_マスタ'!$E$10,S219='02_マスタ'!$E$12),"",IF(R219="High","High",IF(AND(Q219&lt;&gt;"",Q219&lt;TODAY()),INDEX(_翻訳マスタ!$B$117:$D$247,MATCH("ALERT_OVERDUE",_翻訳マスタ!$A$117:$A$247,0),MATCH(言語切替!$B$3,_翻訳マスタ!$B$1:$D$1,0)),IF(AND(Q219&lt;&gt;"",Q219-TODAY()&lt;=7),INDEX(_翻訳マスタ!$B$117:$D$247,MATCH("ALERT_APPROACHING",_翻訳マスタ!$A$117:$A$247,0),MATCH(言語切替!$B$3,_翻訳マスタ!$B$1:$D$1,0)),IF(OR(S219='02_マスタ'!$E$7,S219='02_マスタ'!$E$8),INDEX(_翻訳マスタ!$B$117:$D$247,MATCH("ALERT_CHECK",_翻訳マスタ!$A$117:$A$247,0),MATCH(言語切替!$B$3,_翻訳マスタ!$B$1:$D$1,0)),""))))))</f>
        <v/>
      </c>
      <c r="AD219" s="41"/>
    </row>
    <row r="220" spans="1:30" s="22" customFormat="1" x14ac:dyDescent="0.25">
      <c r="A220" s="26"/>
      <c r="B220" s="27"/>
      <c r="C220" s="27"/>
      <c r="D220" s="27"/>
      <c r="E220" s="27"/>
      <c r="F220" s="45" t="str">
        <f t="shared" si="36"/>
        <v/>
      </c>
      <c r="G220" s="45" t="str">
        <f t="shared" si="37"/>
        <v/>
      </c>
      <c r="H220" s="27"/>
      <c r="I220" s="45" t="str">
        <f t="shared" si="38"/>
        <v/>
      </c>
      <c r="J220" s="45" t="str">
        <f t="shared" si="39"/>
        <v/>
      </c>
      <c r="K220" s="27"/>
      <c r="L220" s="45" t="str">
        <f t="shared" si="40"/>
        <v/>
      </c>
      <c r="M220" s="45" t="str">
        <f t="shared" si="41"/>
        <v/>
      </c>
      <c r="N220" s="27"/>
      <c r="O220" s="27"/>
      <c r="P220" s="28"/>
      <c r="Q220" s="28"/>
      <c r="R220" s="27"/>
      <c r="S220" s="27"/>
      <c r="T220" s="27"/>
      <c r="U220" s="27"/>
      <c r="V220" s="45" t="str">
        <f t="shared" si="42"/>
        <v/>
      </c>
      <c r="W220" s="45" t="str">
        <f t="shared" si="43"/>
        <v/>
      </c>
      <c r="X220" s="27"/>
      <c r="Y220" s="45" t="str">
        <f t="shared" si="33"/>
        <v/>
      </c>
      <c r="Z220" s="45" t="str">
        <f t="shared" si="34"/>
        <v/>
      </c>
      <c r="AA220" s="27"/>
      <c r="AB220" s="13" t="str">
        <f t="shared" ca="1" si="35"/>
        <v/>
      </c>
      <c r="AC220" s="13" t="str">
        <f ca="1">IF(A220="","",IF(OR(S220='02_マスタ'!$E$10,S220='02_マスタ'!$E$12),"",IF(R220="High","High",IF(AND(Q220&lt;&gt;"",Q220&lt;TODAY()),INDEX(_翻訳マスタ!$B$117:$D$247,MATCH("ALERT_OVERDUE",_翻訳マスタ!$A$117:$A$247,0),MATCH(言語切替!$B$3,_翻訳マスタ!$B$1:$D$1,0)),IF(AND(Q220&lt;&gt;"",Q220-TODAY()&lt;=7),INDEX(_翻訳マスタ!$B$117:$D$247,MATCH("ALERT_APPROACHING",_翻訳マスタ!$A$117:$A$247,0),MATCH(言語切替!$B$3,_翻訳マスタ!$B$1:$D$1,0)),IF(OR(S220='02_マスタ'!$E$7,S220='02_マスタ'!$E$8),INDEX(_翻訳マスタ!$B$117:$D$247,MATCH("ALERT_CHECK",_翻訳マスタ!$A$117:$A$247,0),MATCH(言語切替!$B$3,_翻訳マスタ!$B$1:$D$1,0)),""))))))</f>
        <v/>
      </c>
      <c r="AD220" s="40"/>
    </row>
    <row r="221" spans="1:30" s="22" customFormat="1" x14ac:dyDescent="0.25">
      <c r="A221" s="29"/>
      <c r="B221" s="30"/>
      <c r="C221" s="30"/>
      <c r="D221" s="30"/>
      <c r="E221" s="30"/>
      <c r="F221" s="46" t="str">
        <f t="shared" si="36"/>
        <v/>
      </c>
      <c r="G221" s="46" t="str">
        <f t="shared" si="37"/>
        <v/>
      </c>
      <c r="H221" s="30"/>
      <c r="I221" s="46" t="str">
        <f t="shared" si="38"/>
        <v/>
      </c>
      <c r="J221" s="46" t="str">
        <f t="shared" si="39"/>
        <v/>
      </c>
      <c r="K221" s="30"/>
      <c r="L221" s="46" t="str">
        <f t="shared" si="40"/>
        <v/>
      </c>
      <c r="M221" s="46" t="str">
        <f t="shared" si="41"/>
        <v/>
      </c>
      <c r="N221" s="30"/>
      <c r="O221" s="30"/>
      <c r="P221" s="31"/>
      <c r="Q221" s="31"/>
      <c r="R221" s="30"/>
      <c r="S221" s="30"/>
      <c r="T221" s="30"/>
      <c r="U221" s="30"/>
      <c r="V221" s="46" t="str">
        <f t="shared" si="42"/>
        <v/>
      </c>
      <c r="W221" s="46" t="str">
        <f t="shared" si="43"/>
        <v/>
      </c>
      <c r="X221" s="30"/>
      <c r="Y221" s="46" t="str">
        <f t="shared" si="33"/>
        <v/>
      </c>
      <c r="Z221" s="46" t="str">
        <f t="shared" si="34"/>
        <v/>
      </c>
      <c r="AA221" s="30"/>
      <c r="AB221" s="16" t="str">
        <f t="shared" ca="1" si="35"/>
        <v/>
      </c>
      <c r="AC221" s="16" t="str">
        <f ca="1">IF(A221="","",IF(OR(S221='02_マスタ'!$E$10,S221='02_マスタ'!$E$12),"",IF(R221="High","High",IF(AND(Q221&lt;&gt;"",Q221&lt;TODAY()),INDEX(_翻訳マスタ!$B$117:$D$247,MATCH("ALERT_OVERDUE",_翻訳マスタ!$A$117:$A$247,0),MATCH(言語切替!$B$3,_翻訳マスタ!$B$1:$D$1,0)),IF(AND(Q221&lt;&gt;"",Q221-TODAY()&lt;=7),INDEX(_翻訳マスタ!$B$117:$D$247,MATCH("ALERT_APPROACHING",_翻訳マスタ!$A$117:$A$247,0),MATCH(言語切替!$B$3,_翻訳マスタ!$B$1:$D$1,0)),IF(OR(S221='02_マスタ'!$E$7,S221='02_マスタ'!$E$8),INDEX(_翻訳マスタ!$B$117:$D$247,MATCH("ALERT_CHECK",_翻訳マスタ!$A$117:$A$247,0),MATCH(言語切替!$B$3,_翻訳マスタ!$B$1:$D$1,0)),""))))))</f>
        <v/>
      </c>
      <c r="AD221" s="41"/>
    </row>
    <row r="222" spans="1:30" s="22" customFormat="1" x14ac:dyDescent="0.25">
      <c r="A222" s="26"/>
      <c r="B222" s="27"/>
      <c r="C222" s="27"/>
      <c r="D222" s="27"/>
      <c r="E222" s="27"/>
      <c r="F222" s="45" t="str">
        <f t="shared" si="36"/>
        <v/>
      </c>
      <c r="G222" s="45" t="str">
        <f t="shared" si="37"/>
        <v/>
      </c>
      <c r="H222" s="27"/>
      <c r="I222" s="45" t="str">
        <f t="shared" si="38"/>
        <v/>
      </c>
      <c r="J222" s="45" t="str">
        <f t="shared" si="39"/>
        <v/>
      </c>
      <c r="K222" s="27"/>
      <c r="L222" s="45" t="str">
        <f t="shared" si="40"/>
        <v/>
      </c>
      <c r="M222" s="45" t="str">
        <f t="shared" si="41"/>
        <v/>
      </c>
      <c r="N222" s="27"/>
      <c r="O222" s="27"/>
      <c r="P222" s="28"/>
      <c r="Q222" s="28"/>
      <c r="R222" s="27"/>
      <c r="S222" s="27"/>
      <c r="T222" s="27"/>
      <c r="U222" s="27"/>
      <c r="V222" s="45" t="str">
        <f t="shared" si="42"/>
        <v/>
      </c>
      <c r="W222" s="45" t="str">
        <f t="shared" si="43"/>
        <v/>
      </c>
      <c r="X222" s="27"/>
      <c r="Y222" s="45" t="str">
        <f t="shared" si="33"/>
        <v/>
      </c>
      <c r="Z222" s="45" t="str">
        <f t="shared" si="34"/>
        <v/>
      </c>
      <c r="AA222" s="27"/>
      <c r="AB222" s="13" t="str">
        <f t="shared" ca="1" si="35"/>
        <v/>
      </c>
      <c r="AC222" s="13" t="str">
        <f ca="1">IF(A222="","",IF(OR(S222='02_マスタ'!$E$10,S222='02_マスタ'!$E$12),"",IF(R222="High","High",IF(AND(Q222&lt;&gt;"",Q222&lt;TODAY()),INDEX(_翻訳マスタ!$B$117:$D$247,MATCH("ALERT_OVERDUE",_翻訳マスタ!$A$117:$A$247,0),MATCH(言語切替!$B$3,_翻訳マスタ!$B$1:$D$1,0)),IF(AND(Q222&lt;&gt;"",Q222-TODAY()&lt;=7),INDEX(_翻訳マスタ!$B$117:$D$247,MATCH("ALERT_APPROACHING",_翻訳マスタ!$A$117:$A$247,0),MATCH(言語切替!$B$3,_翻訳マスタ!$B$1:$D$1,0)),IF(OR(S222='02_マスタ'!$E$7,S222='02_マスタ'!$E$8),INDEX(_翻訳マスタ!$B$117:$D$247,MATCH("ALERT_CHECK",_翻訳マスタ!$A$117:$A$247,0),MATCH(言語切替!$B$3,_翻訳マスタ!$B$1:$D$1,0)),""))))))</f>
        <v/>
      </c>
      <c r="AD222" s="40"/>
    </row>
    <row r="223" spans="1:30" s="22" customFormat="1" x14ac:dyDescent="0.25">
      <c r="A223" s="29"/>
      <c r="B223" s="30"/>
      <c r="C223" s="30"/>
      <c r="D223" s="30"/>
      <c r="E223" s="30"/>
      <c r="F223" s="46" t="str">
        <f t="shared" si="36"/>
        <v/>
      </c>
      <c r="G223" s="46" t="str">
        <f t="shared" si="37"/>
        <v/>
      </c>
      <c r="H223" s="30"/>
      <c r="I223" s="46" t="str">
        <f t="shared" si="38"/>
        <v/>
      </c>
      <c r="J223" s="46" t="str">
        <f t="shared" si="39"/>
        <v/>
      </c>
      <c r="K223" s="30"/>
      <c r="L223" s="46" t="str">
        <f t="shared" si="40"/>
        <v/>
      </c>
      <c r="M223" s="46" t="str">
        <f t="shared" si="41"/>
        <v/>
      </c>
      <c r="N223" s="30"/>
      <c r="O223" s="30"/>
      <c r="P223" s="31"/>
      <c r="Q223" s="31"/>
      <c r="R223" s="30"/>
      <c r="S223" s="30"/>
      <c r="T223" s="30"/>
      <c r="U223" s="30"/>
      <c r="V223" s="46" t="str">
        <f t="shared" si="42"/>
        <v/>
      </c>
      <c r="W223" s="46" t="str">
        <f t="shared" si="43"/>
        <v/>
      </c>
      <c r="X223" s="30"/>
      <c r="Y223" s="46" t="str">
        <f t="shared" si="33"/>
        <v/>
      </c>
      <c r="Z223" s="46" t="str">
        <f t="shared" si="34"/>
        <v/>
      </c>
      <c r="AA223" s="30"/>
      <c r="AB223" s="16" t="str">
        <f t="shared" ca="1" si="35"/>
        <v/>
      </c>
      <c r="AC223" s="16" t="str">
        <f ca="1">IF(A223="","",IF(OR(S223='02_マスタ'!$E$10,S223='02_マスタ'!$E$12),"",IF(R223="High","High",IF(AND(Q223&lt;&gt;"",Q223&lt;TODAY()),INDEX(_翻訳マスタ!$B$117:$D$247,MATCH("ALERT_OVERDUE",_翻訳マスタ!$A$117:$A$247,0),MATCH(言語切替!$B$3,_翻訳マスタ!$B$1:$D$1,0)),IF(AND(Q223&lt;&gt;"",Q223-TODAY()&lt;=7),INDEX(_翻訳マスタ!$B$117:$D$247,MATCH("ALERT_APPROACHING",_翻訳マスタ!$A$117:$A$247,0),MATCH(言語切替!$B$3,_翻訳マスタ!$B$1:$D$1,0)),IF(OR(S223='02_マスタ'!$E$7,S223='02_マスタ'!$E$8),INDEX(_翻訳マスタ!$B$117:$D$247,MATCH("ALERT_CHECK",_翻訳マスタ!$A$117:$A$247,0),MATCH(言語切替!$B$3,_翻訳マスタ!$B$1:$D$1,0)),""))))))</f>
        <v/>
      </c>
      <c r="AD223" s="41"/>
    </row>
    <row r="224" spans="1:30" s="22" customFormat="1" x14ac:dyDescent="0.25">
      <c r="A224" s="26"/>
      <c r="B224" s="27"/>
      <c r="C224" s="27"/>
      <c r="D224" s="27"/>
      <c r="E224" s="27"/>
      <c r="F224" s="45" t="str">
        <f t="shared" si="36"/>
        <v/>
      </c>
      <c r="G224" s="45" t="str">
        <f t="shared" si="37"/>
        <v/>
      </c>
      <c r="H224" s="27"/>
      <c r="I224" s="45" t="str">
        <f t="shared" si="38"/>
        <v/>
      </c>
      <c r="J224" s="45" t="str">
        <f t="shared" si="39"/>
        <v/>
      </c>
      <c r="K224" s="27"/>
      <c r="L224" s="45" t="str">
        <f t="shared" si="40"/>
        <v/>
      </c>
      <c r="M224" s="45" t="str">
        <f t="shared" si="41"/>
        <v/>
      </c>
      <c r="N224" s="27"/>
      <c r="O224" s="27"/>
      <c r="P224" s="28"/>
      <c r="Q224" s="28"/>
      <c r="R224" s="27"/>
      <c r="S224" s="27"/>
      <c r="T224" s="27"/>
      <c r="U224" s="27"/>
      <c r="V224" s="45" t="str">
        <f t="shared" si="42"/>
        <v/>
      </c>
      <c r="W224" s="45" t="str">
        <f t="shared" si="43"/>
        <v/>
      </c>
      <c r="X224" s="27"/>
      <c r="Y224" s="45" t="str">
        <f t="shared" si="33"/>
        <v/>
      </c>
      <c r="Z224" s="45" t="str">
        <f t="shared" si="34"/>
        <v/>
      </c>
      <c r="AA224" s="27"/>
      <c r="AB224" s="13" t="str">
        <f t="shared" ca="1" si="35"/>
        <v/>
      </c>
      <c r="AC224" s="13" t="str">
        <f ca="1">IF(A224="","",IF(OR(S224='02_マスタ'!$E$10,S224='02_マスタ'!$E$12),"",IF(R224="High","High",IF(AND(Q224&lt;&gt;"",Q224&lt;TODAY()),INDEX(_翻訳マスタ!$B$117:$D$247,MATCH("ALERT_OVERDUE",_翻訳マスタ!$A$117:$A$247,0),MATCH(言語切替!$B$3,_翻訳マスタ!$B$1:$D$1,0)),IF(AND(Q224&lt;&gt;"",Q224-TODAY()&lt;=7),INDEX(_翻訳マスタ!$B$117:$D$247,MATCH("ALERT_APPROACHING",_翻訳マスタ!$A$117:$A$247,0),MATCH(言語切替!$B$3,_翻訳マスタ!$B$1:$D$1,0)),IF(OR(S224='02_マスタ'!$E$7,S224='02_マスタ'!$E$8),INDEX(_翻訳マスタ!$B$117:$D$247,MATCH("ALERT_CHECK",_翻訳マスタ!$A$117:$A$247,0),MATCH(言語切替!$B$3,_翻訳マスタ!$B$1:$D$1,0)),""))))))</f>
        <v/>
      </c>
      <c r="AD224" s="40"/>
    </row>
    <row r="225" spans="1:30" s="22" customFormat="1" x14ac:dyDescent="0.25">
      <c r="A225" s="29"/>
      <c r="B225" s="30"/>
      <c r="C225" s="30"/>
      <c r="D225" s="30"/>
      <c r="E225" s="30"/>
      <c r="F225" s="46" t="str">
        <f t="shared" si="36"/>
        <v/>
      </c>
      <c r="G225" s="46" t="str">
        <f t="shared" si="37"/>
        <v/>
      </c>
      <c r="H225" s="30"/>
      <c r="I225" s="46" t="str">
        <f t="shared" si="38"/>
        <v/>
      </c>
      <c r="J225" s="46" t="str">
        <f t="shared" si="39"/>
        <v/>
      </c>
      <c r="K225" s="30"/>
      <c r="L225" s="46" t="str">
        <f t="shared" si="40"/>
        <v/>
      </c>
      <c r="M225" s="46" t="str">
        <f t="shared" si="41"/>
        <v/>
      </c>
      <c r="N225" s="30"/>
      <c r="O225" s="30"/>
      <c r="P225" s="31"/>
      <c r="Q225" s="31"/>
      <c r="R225" s="30"/>
      <c r="S225" s="30"/>
      <c r="T225" s="30"/>
      <c r="U225" s="30"/>
      <c r="V225" s="46" t="str">
        <f t="shared" si="42"/>
        <v/>
      </c>
      <c r="W225" s="46" t="str">
        <f t="shared" si="43"/>
        <v/>
      </c>
      <c r="X225" s="30"/>
      <c r="Y225" s="46" t="str">
        <f t="shared" si="33"/>
        <v/>
      </c>
      <c r="Z225" s="46" t="str">
        <f t="shared" si="34"/>
        <v/>
      </c>
      <c r="AA225" s="30"/>
      <c r="AB225" s="16" t="str">
        <f t="shared" ca="1" si="35"/>
        <v/>
      </c>
      <c r="AC225" s="16" t="str">
        <f ca="1">IF(A225="","",IF(OR(S225='02_マスタ'!$E$10,S225='02_マスタ'!$E$12),"",IF(R225="High","High",IF(AND(Q225&lt;&gt;"",Q225&lt;TODAY()),INDEX(_翻訳マスタ!$B$117:$D$247,MATCH("ALERT_OVERDUE",_翻訳マスタ!$A$117:$A$247,0),MATCH(言語切替!$B$3,_翻訳マスタ!$B$1:$D$1,0)),IF(AND(Q225&lt;&gt;"",Q225-TODAY()&lt;=7),INDEX(_翻訳マスタ!$B$117:$D$247,MATCH("ALERT_APPROACHING",_翻訳マスタ!$A$117:$A$247,0),MATCH(言語切替!$B$3,_翻訳マスタ!$B$1:$D$1,0)),IF(OR(S225='02_マスタ'!$E$7,S225='02_マスタ'!$E$8),INDEX(_翻訳マスタ!$B$117:$D$247,MATCH("ALERT_CHECK",_翻訳マスタ!$A$117:$A$247,0),MATCH(言語切替!$B$3,_翻訳マスタ!$B$1:$D$1,0)),""))))))</f>
        <v/>
      </c>
      <c r="AD225" s="41"/>
    </row>
    <row r="226" spans="1:30" s="22" customFormat="1" x14ac:dyDescent="0.25">
      <c r="A226" s="26"/>
      <c r="B226" s="27"/>
      <c r="C226" s="27"/>
      <c r="D226" s="27"/>
      <c r="E226" s="27"/>
      <c r="F226" s="45" t="str">
        <f t="shared" si="36"/>
        <v/>
      </c>
      <c r="G226" s="45" t="str">
        <f t="shared" si="37"/>
        <v/>
      </c>
      <c r="H226" s="27"/>
      <c r="I226" s="45" t="str">
        <f t="shared" si="38"/>
        <v/>
      </c>
      <c r="J226" s="45" t="str">
        <f t="shared" si="39"/>
        <v/>
      </c>
      <c r="K226" s="27"/>
      <c r="L226" s="45" t="str">
        <f t="shared" si="40"/>
        <v/>
      </c>
      <c r="M226" s="45" t="str">
        <f t="shared" si="41"/>
        <v/>
      </c>
      <c r="N226" s="27"/>
      <c r="O226" s="27"/>
      <c r="P226" s="28"/>
      <c r="Q226" s="28"/>
      <c r="R226" s="27"/>
      <c r="S226" s="27"/>
      <c r="T226" s="27"/>
      <c r="U226" s="27"/>
      <c r="V226" s="45" t="str">
        <f t="shared" si="42"/>
        <v/>
      </c>
      <c r="W226" s="45" t="str">
        <f t="shared" si="43"/>
        <v/>
      </c>
      <c r="X226" s="27"/>
      <c r="Y226" s="45" t="str">
        <f t="shared" si="33"/>
        <v/>
      </c>
      <c r="Z226" s="45" t="str">
        <f t="shared" si="34"/>
        <v/>
      </c>
      <c r="AA226" s="27"/>
      <c r="AB226" s="13" t="str">
        <f t="shared" ca="1" si="35"/>
        <v/>
      </c>
      <c r="AC226" s="13" t="str">
        <f ca="1">IF(A226="","",IF(OR(S226='02_マスタ'!$E$10,S226='02_マスタ'!$E$12),"",IF(R226="High","High",IF(AND(Q226&lt;&gt;"",Q226&lt;TODAY()),INDEX(_翻訳マスタ!$B$117:$D$247,MATCH("ALERT_OVERDUE",_翻訳マスタ!$A$117:$A$247,0),MATCH(言語切替!$B$3,_翻訳マスタ!$B$1:$D$1,0)),IF(AND(Q226&lt;&gt;"",Q226-TODAY()&lt;=7),INDEX(_翻訳マスタ!$B$117:$D$247,MATCH("ALERT_APPROACHING",_翻訳マスタ!$A$117:$A$247,0),MATCH(言語切替!$B$3,_翻訳マスタ!$B$1:$D$1,0)),IF(OR(S226='02_マスタ'!$E$7,S226='02_マスタ'!$E$8),INDEX(_翻訳マスタ!$B$117:$D$247,MATCH("ALERT_CHECK",_翻訳マスタ!$A$117:$A$247,0),MATCH(言語切替!$B$3,_翻訳マスタ!$B$1:$D$1,0)),""))))))</f>
        <v/>
      </c>
      <c r="AD226" s="40"/>
    </row>
    <row r="227" spans="1:30" s="22" customFormat="1" x14ac:dyDescent="0.25">
      <c r="A227" s="29"/>
      <c r="B227" s="30"/>
      <c r="C227" s="30"/>
      <c r="D227" s="30"/>
      <c r="E227" s="30"/>
      <c r="F227" s="46" t="str">
        <f t="shared" si="36"/>
        <v/>
      </c>
      <c r="G227" s="46" t="str">
        <f t="shared" si="37"/>
        <v/>
      </c>
      <c r="H227" s="30"/>
      <c r="I227" s="46" t="str">
        <f t="shared" si="38"/>
        <v/>
      </c>
      <c r="J227" s="46" t="str">
        <f t="shared" si="39"/>
        <v/>
      </c>
      <c r="K227" s="30"/>
      <c r="L227" s="46" t="str">
        <f t="shared" si="40"/>
        <v/>
      </c>
      <c r="M227" s="46" t="str">
        <f t="shared" si="41"/>
        <v/>
      </c>
      <c r="N227" s="30"/>
      <c r="O227" s="30"/>
      <c r="P227" s="31"/>
      <c r="Q227" s="31"/>
      <c r="R227" s="30"/>
      <c r="S227" s="30"/>
      <c r="T227" s="30"/>
      <c r="U227" s="30"/>
      <c r="V227" s="46" t="str">
        <f t="shared" si="42"/>
        <v/>
      </c>
      <c r="W227" s="46" t="str">
        <f t="shared" si="43"/>
        <v/>
      </c>
      <c r="X227" s="30"/>
      <c r="Y227" s="46" t="str">
        <f t="shared" si="33"/>
        <v/>
      </c>
      <c r="Z227" s="46" t="str">
        <f t="shared" si="34"/>
        <v/>
      </c>
      <c r="AA227" s="30"/>
      <c r="AB227" s="16" t="str">
        <f t="shared" ca="1" si="35"/>
        <v/>
      </c>
      <c r="AC227" s="16" t="str">
        <f ca="1">IF(A227="","",IF(OR(S227='02_マスタ'!$E$10,S227='02_マスタ'!$E$12),"",IF(R227="High","High",IF(AND(Q227&lt;&gt;"",Q227&lt;TODAY()),INDEX(_翻訳マスタ!$B$117:$D$247,MATCH("ALERT_OVERDUE",_翻訳マスタ!$A$117:$A$247,0),MATCH(言語切替!$B$3,_翻訳マスタ!$B$1:$D$1,0)),IF(AND(Q227&lt;&gt;"",Q227-TODAY()&lt;=7),INDEX(_翻訳マスタ!$B$117:$D$247,MATCH("ALERT_APPROACHING",_翻訳マスタ!$A$117:$A$247,0),MATCH(言語切替!$B$3,_翻訳マスタ!$B$1:$D$1,0)),IF(OR(S227='02_マスタ'!$E$7,S227='02_マスタ'!$E$8),INDEX(_翻訳マスタ!$B$117:$D$247,MATCH("ALERT_CHECK",_翻訳マスタ!$A$117:$A$247,0),MATCH(言語切替!$B$3,_翻訳マスタ!$B$1:$D$1,0)),""))))))</f>
        <v/>
      </c>
      <c r="AD227" s="41"/>
    </row>
    <row r="228" spans="1:30" s="22" customFormat="1" x14ac:dyDescent="0.25">
      <c r="A228" s="26"/>
      <c r="B228" s="27"/>
      <c r="C228" s="27"/>
      <c r="D228" s="27"/>
      <c r="E228" s="27"/>
      <c r="F228" s="45" t="str">
        <f t="shared" si="36"/>
        <v/>
      </c>
      <c r="G228" s="45" t="str">
        <f t="shared" si="37"/>
        <v/>
      </c>
      <c r="H228" s="27"/>
      <c r="I228" s="45" t="str">
        <f t="shared" si="38"/>
        <v/>
      </c>
      <c r="J228" s="45" t="str">
        <f t="shared" si="39"/>
        <v/>
      </c>
      <c r="K228" s="27"/>
      <c r="L228" s="45" t="str">
        <f t="shared" si="40"/>
        <v/>
      </c>
      <c r="M228" s="45" t="str">
        <f t="shared" si="41"/>
        <v/>
      </c>
      <c r="N228" s="27"/>
      <c r="O228" s="27"/>
      <c r="P228" s="28"/>
      <c r="Q228" s="28"/>
      <c r="R228" s="27"/>
      <c r="S228" s="27"/>
      <c r="T228" s="27"/>
      <c r="U228" s="27"/>
      <c r="V228" s="45" t="str">
        <f t="shared" si="42"/>
        <v/>
      </c>
      <c r="W228" s="45" t="str">
        <f t="shared" si="43"/>
        <v/>
      </c>
      <c r="X228" s="27"/>
      <c r="Y228" s="45" t="str">
        <f t="shared" si="33"/>
        <v/>
      </c>
      <c r="Z228" s="45" t="str">
        <f t="shared" si="34"/>
        <v/>
      </c>
      <c r="AA228" s="27"/>
      <c r="AB228" s="13" t="str">
        <f t="shared" ca="1" si="35"/>
        <v/>
      </c>
      <c r="AC228" s="13" t="str">
        <f ca="1">IF(A228="","",IF(OR(S228='02_マスタ'!$E$10,S228='02_マスタ'!$E$12),"",IF(R228="High","High",IF(AND(Q228&lt;&gt;"",Q228&lt;TODAY()),INDEX(_翻訳マスタ!$B$117:$D$247,MATCH("ALERT_OVERDUE",_翻訳マスタ!$A$117:$A$247,0),MATCH(言語切替!$B$3,_翻訳マスタ!$B$1:$D$1,0)),IF(AND(Q228&lt;&gt;"",Q228-TODAY()&lt;=7),INDEX(_翻訳マスタ!$B$117:$D$247,MATCH("ALERT_APPROACHING",_翻訳マスタ!$A$117:$A$247,0),MATCH(言語切替!$B$3,_翻訳マスタ!$B$1:$D$1,0)),IF(OR(S228='02_マスタ'!$E$7,S228='02_マスタ'!$E$8),INDEX(_翻訳マスタ!$B$117:$D$247,MATCH("ALERT_CHECK",_翻訳マスタ!$A$117:$A$247,0),MATCH(言語切替!$B$3,_翻訳マスタ!$B$1:$D$1,0)),""))))))</f>
        <v/>
      </c>
      <c r="AD228" s="40"/>
    </row>
    <row r="229" spans="1:30" s="22" customFormat="1" x14ac:dyDescent="0.25">
      <c r="A229" s="29"/>
      <c r="B229" s="30"/>
      <c r="C229" s="30"/>
      <c r="D229" s="30"/>
      <c r="E229" s="30"/>
      <c r="F229" s="46" t="str">
        <f t="shared" si="36"/>
        <v/>
      </c>
      <c r="G229" s="46" t="str">
        <f t="shared" si="37"/>
        <v/>
      </c>
      <c r="H229" s="30"/>
      <c r="I229" s="46" t="str">
        <f t="shared" si="38"/>
        <v/>
      </c>
      <c r="J229" s="46" t="str">
        <f t="shared" si="39"/>
        <v/>
      </c>
      <c r="K229" s="30"/>
      <c r="L229" s="46" t="str">
        <f t="shared" si="40"/>
        <v/>
      </c>
      <c r="M229" s="46" t="str">
        <f t="shared" si="41"/>
        <v/>
      </c>
      <c r="N229" s="30"/>
      <c r="O229" s="30"/>
      <c r="P229" s="31"/>
      <c r="Q229" s="31"/>
      <c r="R229" s="30"/>
      <c r="S229" s="30"/>
      <c r="T229" s="30"/>
      <c r="U229" s="30"/>
      <c r="V229" s="46" t="str">
        <f t="shared" si="42"/>
        <v/>
      </c>
      <c r="W229" s="46" t="str">
        <f t="shared" si="43"/>
        <v/>
      </c>
      <c r="X229" s="30"/>
      <c r="Y229" s="46" t="str">
        <f t="shared" si="33"/>
        <v/>
      </c>
      <c r="Z229" s="46" t="str">
        <f t="shared" si="34"/>
        <v/>
      </c>
      <c r="AA229" s="30"/>
      <c r="AB229" s="16" t="str">
        <f t="shared" ca="1" si="35"/>
        <v/>
      </c>
      <c r="AC229" s="16" t="str">
        <f ca="1">IF(A229="","",IF(OR(S229='02_マスタ'!$E$10,S229='02_マスタ'!$E$12),"",IF(R229="High","High",IF(AND(Q229&lt;&gt;"",Q229&lt;TODAY()),INDEX(_翻訳マスタ!$B$117:$D$247,MATCH("ALERT_OVERDUE",_翻訳マスタ!$A$117:$A$247,0),MATCH(言語切替!$B$3,_翻訳マスタ!$B$1:$D$1,0)),IF(AND(Q229&lt;&gt;"",Q229-TODAY()&lt;=7),INDEX(_翻訳マスタ!$B$117:$D$247,MATCH("ALERT_APPROACHING",_翻訳マスタ!$A$117:$A$247,0),MATCH(言語切替!$B$3,_翻訳マスタ!$B$1:$D$1,0)),IF(OR(S229='02_マスタ'!$E$7,S229='02_マスタ'!$E$8),INDEX(_翻訳マスタ!$B$117:$D$247,MATCH("ALERT_CHECK",_翻訳マスタ!$A$117:$A$247,0),MATCH(言語切替!$B$3,_翻訳マスタ!$B$1:$D$1,0)),""))))))</f>
        <v/>
      </c>
      <c r="AD229" s="41"/>
    </row>
    <row r="230" spans="1:30" s="22" customFormat="1" x14ac:dyDescent="0.25">
      <c r="A230" s="26"/>
      <c r="B230" s="27"/>
      <c r="C230" s="27"/>
      <c r="D230" s="27"/>
      <c r="E230" s="27"/>
      <c r="F230" s="45" t="str">
        <f t="shared" si="36"/>
        <v/>
      </c>
      <c r="G230" s="45" t="str">
        <f t="shared" si="37"/>
        <v/>
      </c>
      <c r="H230" s="27"/>
      <c r="I230" s="45" t="str">
        <f t="shared" si="38"/>
        <v/>
      </c>
      <c r="J230" s="45" t="str">
        <f t="shared" si="39"/>
        <v/>
      </c>
      <c r="K230" s="27"/>
      <c r="L230" s="45" t="str">
        <f t="shared" si="40"/>
        <v/>
      </c>
      <c r="M230" s="45" t="str">
        <f t="shared" si="41"/>
        <v/>
      </c>
      <c r="N230" s="27"/>
      <c r="O230" s="27"/>
      <c r="P230" s="28"/>
      <c r="Q230" s="28"/>
      <c r="R230" s="27"/>
      <c r="S230" s="27"/>
      <c r="T230" s="27"/>
      <c r="U230" s="27"/>
      <c r="V230" s="45" t="str">
        <f t="shared" si="42"/>
        <v/>
      </c>
      <c r="W230" s="45" t="str">
        <f t="shared" si="43"/>
        <v/>
      </c>
      <c r="X230" s="27"/>
      <c r="Y230" s="45" t="str">
        <f t="shared" si="33"/>
        <v/>
      </c>
      <c r="Z230" s="45" t="str">
        <f t="shared" si="34"/>
        <v/>
      </c>
      <c r="AA230" s="27"/>
      <c r="AB230" s="13" t="str">
        <f t="shared" ca="1" si="35"/>
        <v/>
      </c>
      <c r="AC230" s="13" t="str">
        <f ca="1">IF(A230="","",IF(OR(S230='02_マスタ'!$E$10,S230='02_マスタ'!$E$12),"",IF(R230="High","High",IF(AND(Q230&lt;&gt;"",Q230&lt;TODAY()),INDEX(_翻訳マスタ!$B$117:$D$247,MATCH("ALERT_OVERDUE",_翻訳マスタ!$A$117:$A$247,0),MATCH(言語切替!$B$3,_翻訳マスタ!$B$1:$D$1,0)),IF(AND(Q230&lt;&gt;"",Q230-TODAY()&lt;=7),INDEX(_翻訳マスタ!$B$117:$D$247,MATCH("ALERT_APPROACHING",_翻訳マスタ!$A$117:$A$247,0),MATCH(言語切替!$B$3,_翻訳マスタ!$B$1:$D$1,0)),IF(OR(S230='02_マスタ'!$E$7,S230='02_マスタ'!$E$8),INDEX(_翻訳マスタ!$B$117:$D$247,MATCH("ALERT_CHECK",_翻訳マスタ!$A$117:$A$247,0),MATCH(言語切替!$B$3,_翻訳マスタ!$B$1:$D$1,0)),""))))))</f>
        <v/>
      </c>
      <c r="AD230" s="40"/>
    </row>
    <row r="231" spans="1:30" s="22" customFormat="1" x14ac:dyDescent="0.25">
      <c r="A231" s="29"/>
      <c r="B231" s="30"/>
      <c r="C231" s="30"/>
      <c r="D231" s="30"/>
      <c r="E231" s="30"/>
      <c r="F231" s="46" t="str">
        <f t="shared" si="36"/>
        <v/>
      </c>
      <c r="G231" s="46" t="str">
        <f t="shared" si="37"/>
        <v/>
      </c>
      <c r="H231" s="30"/>
      <c r="I231" s="46" t="str">
        <f t="shared" si="38"/>
        <v/>
      </c>
      <c r="J231" s="46" t="str">
        <f t="shared" si="39"/>
        <v/>
      </c>
      <c r="K231" s="30"/>
      <c r="L231" s="46" t="str">
        <f t="shared" si="40"/>
        <v/>
      </c>
      <c r="M231" s="46" t="str">
        <f t="shared" si="41"/>
        <v/>
      </c>
      <c r="N231" s="30"/>
      <c r="O231" s="30"/>
      <c r="P231" s="31"/>
      <c r="Q231" s="31"/>
      <c r="R231" s="30"/>
      <c r="S231" s="30"/>
      <c r="T231" s="30"/>
      <c r="U231" s="30"/>
      <c r="V231" s="46" t="str">
        <f t="shared" si="42"/>
        <v/>
      </c>
      <c r="W231" s="46" t="str">
        <f t="shared" si="43"/>
        <v/>
      </c>
      <c r="X231" s="30"/>
      <c r="Y231" s="46" t="str">
        <f t="shared" si="33"/>
        <v/>
      </c>
      <c r="Z231" s="46" t="str">
        <f t="shared" si="34"/>
        <v/>
      </c>
      <c r="AA231" s="30"/>
      <c r="AB231" s="16" t="str">
        <f t="shared" ca="1" si="35"/>
        <v/>
      </c>
      <c r="AC231" s="16" t="str">
        <f ca="1">IF(A231="","",IF(OR(S231='02_マスタ'!$E$10,S231='02_マスタ'!$E$12),"",IF(R231="High","High",IF(AND(Q231&lt;&gt;"",Q231&lt;TODAY()),INDEX(_翻訳マスタ!$B$117:$D$247,MATCH("ALERT_OVERDUE",_翻訳マスタ!$A$117:$A$247,0),MATCH(言語切替!$B$3,_翻訳マスタ!$B$1:$D$1,0)),IF(AND(Q231&lt;&gt;"",Q231-TODAY()&lt;=7),INDEX(_翻訳マスタ!$B$117:$D$247,MATCH("ALERT_APPROACHING",_翻訳マスタ!$A$117:$A$247,0),MATCH(言語切替!$B$3,_翻訳マスタ!$B$1:$D$1,0)),IF(OR(S231='02_マスタ'!$E$7,S231='02_マスタ'!$E$8),INDEX(_翻訳マスタ!$B$117:$D$247,MATCH("ALERT_CHECK",_翻訳マスタ!$A$117:$A$247,0),MATCH(言語切替!$B$3,_翻訳マスタ!$B$1:$D$1,0)),""))))))</f>
        <v/>
      </c>
      <c r="AD231" s="41"/>
    </row>
    <row r="232" spans="1:30" s="22" customFormat="1" x14ac:dyDescent="0.25">
      <c r="A232" s="26"/>
      <c r="B232" s="27"/>
      <c r="C232" s="27"/>
      <c r="D232" s="27"/>
      <c r="E232" s="27"/>
      <c r="F232" s="45" t="str">
        <f t="shared" si="36"/>
        <v/>
      </c>
      <c r="G232" s="45" t="str">
        <f t="shared" si="37"/>
        <v/>
      </c>
      <c r="H232" s="27"/>
      <c r="I232" s="45" t="str">
        <f t="shared" si="38"/>
        <v/>
      </c>
      <c r="J232" s="45" t="str">
        <f t="shared" si="39"/>
        <v/>
      </c>
      <c r="K232" s="27"/>
      <c r="L232" s="45" t="str">
        <f t="shared" si="40"/>
        <v/>
      </c>
      <c r="M232" s="45" t="str">
        <f t="shared" si="41"/>
        <v/>
      </c>
      <c r="N232" s="27"/>
      <c r="O232" s="27"/>
      <c r="P232" s="28"/>
      <c r="Q232" s="28"/>
      <c r="R232" s="27"/>
      <c r="S232" s="27"/>
      <c r="T232" s="27"/>
      <c r="U232" s="27"/>
      <c r="V232" s="45" t="str">
        <f t="shared" si="42"/>
        <v/>
      </c>
      <c r="W232" s="45" t="str">
        <f t="shared" si="43"/>
        <v/>
      </c>
      <c r="X232" s="27"/>
      <c r="Y232" s="45" t="str">
        <f t="shared" si="33"/>
        <v/>
      </c>
      <c r="Z232" s="45" t="str">
        <f t="shared" si="34"/>
        <v/>
      </c>
      <c r="AA232" s="27"/>
      <c r="AB232" s="13" t="str">
        <f t="shared" ca="1" si="35"/>
        <v/>
      </c>
      <c r="AC232" s="13" t="str">
        <f ca="1">IF(A232="","",IF(OR(S232='02_マスタ'!$E$10,S232='02_マスタ'!$E$12),"",IF(R232="High","High",IF(AND(Q232&lt;&gt;"",Q232&lt;TODAY()),INDEX(_翻訳マスタ!$B$117:$D$247,MATCH("ALERT_OVERDUE",_翻訳マスタ!$A$117:$A$247,0),MATCH(言語切替!$B$3,_翻訳マスタ!$B$1:$D$1,0)),IF(AND(Q232&lt;&gt;"",Q232-TODAY()&lt;=7),INDEX(_翻訳マスタ!$B$117:$D$247,MATCH("ALERT_APPROACHING",_翻訳マスタ!$A$117:$A$247,0),MATCH(言語切替!$B$3,_翻訳マスタ!$B$1:$D$1,0)),IF(OR(S232='02_マスタ'!$E$7,S232='02_マスタ'!$E$8),INDEX(_翻訳マスタ!$B$117:$D$247,MATCH("ALERT_CHECK",_翻訳マスタ!$A$117:$A$247,0),MATCH(言語切替!$B$3,_翻訳マスタ!$B$1:$D$1,0)),""))))))</f>
        <v/>
      </c>
      <c r="AD232" s="40"/>
    </row>
    <row r="233" spans="1:30" s="22" customFormat="1" x14ac:dyDescent="0.25">
      <c r="A233" s="29"/>
      <c r="B233" s="30"/>
      <c r="C233" s="30"/>
      <c r="D233" s="30"/>
      <c r="E233" s="30"/>
      <c r="F233" s="46" t="str">
        <f t="shared" si="36"/>
        <v/>
      </c>
      <c r="G233" s="46" t="str">
        <f t="shared" si="37"/>
        <v/>
      </c>
      <c r="H233" s="30"/>
      <c r="I233" s="46" t="str">
        <f t="shared" si="38"/>
        <v/>
      </c>
      <c r="J233" s="46" t="str">
        <f t="shared" si="39"/>
        <v/>
      </c>
      <c r="K233" s="30"/>
      <c r="L233" s="46" t="str">
        <f t="shared" si="40"/>
        <v/>
      </c>
      <c r="M233" s="46" t="str">
        <f t="shared" si="41"/>
        <v/>
      </c>
      <c r="N233" s="30"/>
      <c r="O233" s="30"/>
      <c r="P233" s="31"/>
      <c r="Q233" s="31"/>
      <c r="R233" s="30"/>
      <c r="S233" s="30"/>
      <c r="T233" s="30"/>
      <c r="U233" s="30"/>
      <c r="V233" s="46" t="str">
        <f t="shared" si="42"/>
        <v/>
      </c>
      <c r="W233" s="46" t="str">
        <f t="shared" si="43"/>
        <v/>
      </c>
      <c r="X233" s="30"/>
      <c r="Y233" s="46" t="str">
        <f t="shared" si="33"/>
        <v/>
      </c>
      <c r="Z233" s="46" t="str">
        <f t="shared" si="34"/>
        <v/>
      </c>
      <c r="AA233" s="30"/>
      <c r="AB233" s="16" t="str">
        <f t="shared" ca="1" si="35"/>
        <v/>
      </c>
      <c r="AC233" s="16" t="str">
        <f ca="1">IF(A233="","",IF(OR(S233='02_マスタ'!$E$10,S233='02_マスタ'!$E$12),"",IF(R233="High","High",IF(AND(Q233&lt;&gt;"",Q233&lt;TODAY()),INDEX(_翻訳マスタ!$B$117:$D$247,MATCH("ALERT_OVERDUE",_翻訳マスタ!$A$117:$A$247,0),MATCH(言語切替!$B$3,_翻訳マスタ!$B$1:$D$1,0)),IF(AND(Q233&lt;&gt;"",Q233-TODAY()&lt;=7),INDEX(_翻訳マスタ!$B$117:$D$247,MATCH("ALERT_APPROACHING",_翻訳マスタ!$A$117:$A$247,0),MATCH(言語切替!$B$3,_翻訳マスタ!$B$1:$D$1,0)),IF(OR(S233='02_マスタ'!$E$7,S233='02_マスタ'!$E$8),INDEX(_翻訳マスタ!$B$117:$D$247,MATCH("ALERT_CHECK",_翻訳マスタ!$A$117:$A$247,0),MATCH(言語切替!$B$3,_翻訳マスタ!$B$1:$D$1,0)),""))))))</f>
        <v/>
      </c>
      <c r="AD233" s="41"/>
    </row>
    <row r="234" spans="1:30" s="22" customFormat="1" x14ac:dyDescent="0.25">
      <c r="A234" s="26"/>
      <c r="B234" s="27"/>
      <c r="C234" s="27"/>
      <c r="D234" s="27"/>
      <c r="E234" s="27"/>
      <c r="F234" s="45" t="str">
        <f t="shared" si="36"/>
        <v/>
      </c>
      <c r="G234" s="45" t="str">
        <f t="shared" si="37"/>
        <v/>
      </c>
      <c r="H234" s="27"/>
      <c r="I234" s="45" t="str">
        <f t="shared" si="38"/>
        <v/>
      </c>
      <c r="J234" s="45" t="str">
        <f t="shared" si="39"/>
        <v/>
      </c>
      <c r="K234" s="27"/>
      <c r="L234" s="45" t="str">
        <f t="shared" si="40"/>
        <v/>
      </c>
      <c r="M234" s="45" t="str">
        <f t="shared" si="41"/>
        <v/>
      </c>
      <c r="N234" s="27"/>
      <c r="O234" s="27"/>
      <c r="P234" s="28"/>
      <c r="Q234" s="28"/>
      <c r="R234" s="27"/>
      <c r="S234" s="27"/>
      <c r="T234" s="27"/>
      <c r="U234" s="27"/>
      <c r="V234" s="45" t="str">
        <f t="shared" si="42"/>
        <v/>
      </c>
      <c r="W234" s="45" t="str">
        <f t="shared" si="43"/>
        <v/>
      </c>
      <c r="X234" s="27"/>
      <c r="Y234" s="45" t="str">
        <f t="shared" si="33"/>
        <v/>
      </c>
      <c r="Z234" s="45" t="str">
        <f t="shared" si="34"/>
        <v/>
      </c>
      <c r="AA234" s="27"/>
      <c r="AB234" s="13" t="str">
        <f t="shared" ca="1" si="35"/>
        <v/>
      </c>
      <c r="AC234" s="13" t="str">
        <f ca="1">IF(A234="","",IF(OR(S234='02_マスタ'!$E$10,S234='02_マスタ'!$E$12),"",IF(R234="High","High",IF(AND(Q234&lt;&gt;"",Q234&lt;TODAY()),INDEX(_翻訳マスタ!$B$117:$D$247,MATCH("ALERT_OVERDUE",_翻訳マスタ!$A$117:$A$247,0),MATCH(言語切替!$B$3,_翻訳マスタ!$B$1:$D$1,0)),IF(AND(Q234&lt;&gt;"",Q234-TODAY()&lt;=7),INDEX(_翻訳マスタ!$B$117:$D$247,MATCH("ALERT_APPROACHING",_翻訳マスタ!$A$117:$A$247,0),MATCH(言語切替!$B$3,_翻訳マスタ!$B$1:$D$1,0)),IF(OR(S234='02_マスタ'!$E$7,S234='02_マスタ'!$E$8),INDEX(_翻訳マスタ!$B$117:$D$247,MATCH("ALERT_CHECK",_翻訳マスタ!$A$117:$A$247,0),MATCH(言語切替!$B$3,_翻訳マスタ!$B$1:$D$1,0)),""))))))</f>
        <v/>
      </c>
      <c r="AD234" s="40"/>
    </row>
    <row r="235" spans="1:30" s="22" customFormat="1" x14ac:dyDescent="0.25">
      <c r="A235" s="29"/>
      <c r="B235" s="30"/>
      <c r="C235" s="30"/>
      <c r="D235" s="30"/>
      <c r="E235" s="30"/>
      <c r="F235" s="46" t="str">
        <f t="shared" si="36"/>
        <v/>
      </c>
      <c r="G235" s="46" t="str">
        <f t="shared" si="37"/>
        <v/>
      </c>
      <c r="H235" s="30"/>
      <c r="I235" s="46" t="str">
        <f t="shared" si="38"/>
        <v/>
      </c>
      <c r="J235" s="46" t="str">
        <f t="shared" si="39"/>
        <v/>
      </c>
      <c r="K235" s="30"/>
      <c r="L235" s="46" t="str">
        <f t="shared" si="40"/>
        <v/>
      </c>
      <c r="M235" s="46" t="str">
        <f t="shared" si="41"/>
        <v/>
      </c>
      <c r="N235" s="30"/>
      <c r="O235" s="30"/>
      <c r="P235" s="31"/>
      <c r="Q235" s="31"/>
      <c r="R235" s="30"/>
      <c r="S235" s="30"/>
      <c r="T235" s="30"/>
      <c r="U235" s="30"/>
      <c r="V235" s="46" t="str">
        <f t="shared" si="42"/>
        <v/>
      </c>
      <c r="W235" s="46" t="str">
        <f t="shared" si="43"/>
        <v/>
      </c>
      <c r="X235" s="30"/>
      <c r="Y235" s="46" t="str">
        <f t="shared" si="33"/>
        <v/>
      </c>
      <c r="Z235" s="46" t="str">
        <f t="shared" si="34"/>
        <v/>
      </c>
      <c r="AA235" s="30"/>
      <c r="AB235" s="16" t="str">
        <f t="shared" ca="1" si="35"/>
        <v/>
      </c>
      <c r="AC235" s="16" t="str">
        <f ca="1">IF(A235="","",IF(OR(S235='02_マスタ'!$E$10,S235='02_マスタ'!$E$12),"",IF(R235="High","High",IF(AND(Q235&lt;&gt;"",Q235&lt;TODAY()),INDEX(_翻訳マスタ!$B$117:$D$247,MATCH("ALERT_OVERDUE",_翻訳マスタ!$A$117:$A$247,0),MATCH(言語切替!$B$3,_翻訳マスタ!$B$1:$D$1,0)),IF(AND(Q235&lt;&gt;"",Q235-TODAY()&lt;=7),INDEX(_翻訳マスタ!$B$117:$D$247,MATCH("ALERT_APPROACHING",_翻訳マスタ!$A$117:$A$247,0),MATCH(言語切替!$B$3,_翻訳マスタ!$B$1:$D$1,0)),IF(OR(S235='02_マスタ'!$E$7,S235='02_マスタ'!$E$8),INDEX(_翻訳マスタ!$B$117:$D$247,MATCH("ALERT_CHECK",_翻訳マスタ!$A$117:$A$247,0),MATCH(言語切替!$B$3,_翻訳マスタ!$B$1:$D$1,0)),""))))))</f>
        <v/>
      </c>
      <c r="AD235" s="41"/>
    </row>
    <row r="236" spans="1:30" s="22" customFormat="1" x14ac:dyDescent="0.25">
      <c r="A236" s="26"/>
      <c r="B236" s="27"/>
      <c r="C236" s="27"/>
      <c r="D236" s="27"/>
      <c r="E236" s="27"/>
      <c r="F236" s="45" t="str">
        <f t="shared" si="36"/>
        <v/>
      </c>
      <c r="G236" s="45" t="str">
        <f t="shared" si="37"/>
        <v/>
      </c>
      <c r="H236" s="27"/>
      <c r="I236" s="45" t="str">
        <f t="shared" si="38"/>
        <v/>
      </c>
      <c r="J236" s="45" t="str">
        <f t="shared" si="39"/>
        <v/>
      </c>
      <c r="K236" s="27"/>
      <c r="L236" s="45" t="str">
        <f t="shared" si="40"/>
        <v/>
      </c>
      <c r="M236" s="45" t="str">
        <f t="shared" si="41"/>
        <v/>
      </c>
      <c r="N236" s="27"/>
      <c r="O236" s="27"/>
      <c r="P236" s="28"/>
      <c r="Q236" s="28"/>
      <c r="R236" s="27"/>
      <c r="S236" s="27"/>
      <c r="T236" s="27"/>
      <c r="U236" s="27"/>
      <c r="V236" s="45" t="str">
        <f t="shared" si="42"/>
        <v/>
      </c>
      <c r="W236" s="45" t="str">
        <f t="shared" si="43"/>
        <v/>
      </c>
      <c r="X236" s="27"/>
      <c r="Y236" s="45" t="str">
        <f t="shared" si="33"/>
        <v/>
      </c>
      <c r="Z236" s="45" t="str">
        <f t="shared" si="34"/>
        <v/>
      </c>
      <c r="AA236" s="27"/>
      <c r="AB236" s="13" t="str">
        <f t="shared" ca="1" si="35"/>
        <v/>
      </c>
      <c r="AC236" s="13" t="str">
        <f ca="1">IF(A236="","",IF(OR(S236='02_マスタ'!$E$10,S236='02_マスタ'!$E$12),"",IF(R236="High","High",IF(AND(Q236&lt;&gt;"",Q236&lt;TODAY()),INDEX(_翻訳マスタ!$B$117:$D$247,MATCH("ALERT_OVERDUE",_翻訳マスタ!$A$117:$A$247,0),MATCH(言語切替!$B$3,_翻訳マスタ!$B$1:$D$1,0)),IF(AND(Q236&lt;&gt;"",Q236-TODAY()&lt;=7),INDEX(_翻訳マスタ!$B$117:$D$247,MATCH("ALERT_APPROACHING",_翻訳マスタ!$A$117:$A$247,0),MATCH(言語切替!$B$3,_翻訳マスタ!$B$1:$D$1,0)),IF(OR(S236='02_マスタ'!$E$7,S236='02_マスタ'!$E$8),INDEX(_翻訳マスタ!$B$117:$D$247,MATCH("ALERT_CHECK",_翻訳マスタ!$A$117:$A$247,0),MATCH(言語切替!$B$3,_翻訳マスタ!$B$1:$D$1,0)),""))))))</f>
        <v/>
      </c>
      <c r="AD236" s="40"/>
    </row>
    <row r="237" spans="1:30" s="22" customFormat="1" x14ac:dyDescent="0.25">
      <c r="A237" s="29"/>
      <c r="B237" s="30"/>
      <c r="C237" s="30"/>
      <c r="D237" s="30"/>
      <c r="E237" s="30"/>
      <c r="F237" s="46" t="str">
        <f t="shared" si="36"/>
        <v/>
      </c>
      <c r="G237" s="46" t="str">
        <f t="shared" si="37"/>
        <v/>
      </c>
      <c r="H237" s="30"/>
      <c r="I237" s="46" t="str">
        <f t="shared" si="38"/>
        <v/>
      </c>
      <c r="J237" s="46" t="str">
        <f t="shared" si="39"/>
        <v/>
      </c>
      <c r="K237" s="30"/>
      <c r="L237" s="46" t="str">
        <f t="shared" si="40"/>
        <v/>
      </c>
      <c r="M237" s="46" t="str">
        <f t="shared" si="41"/>
        <v/>
      </c>
      <c r="N237" s="30"/>
      <c r="O237" s="30"/>
      <c r="P237" s="31"/>
      <c r="Q237" s="31"/>
      <c r="R237" s="30"/>
      <c r="S237" s="30"/>
      <c r="T237" s="30"/>
      <c r="U237" s="30"/>
      <c r="V237" s="46" t="str">
        <f t="shared" si="42"/>
        <v/>
      </c>
      <c r="W237" s="46" t="str">
        <f t="shared" si="43"/>
        <v/>
      </c>
      <c r="X237" s="30"/>
      <c r="Y237" s="46" t="str">
        <f t="shared" si="33"/>
        <v/>
      </c>
      <c r="Z237" s="46" t="str">
        <f t="shared" si="34"/>
        <v/>
      </c>
      <c r="AA237" s="30"/>
      <c r="AB237" s="16" t="str">
        <f t="shared" ca="1" si="35"/>
        <v/>
      </c>
      <c r="AC237" s="16" t="str">
        <f ca="1">IF(A237="","",IF(OR(S237='02_マスタ'!$E$10,S237='02_マスタ'!$E$12),"",IF(R237="High","High",IF(AND(Q237&lt;&gt;"",Q237&lt;TODAY()),INDEX(_翻訳マスタ!$B$117:$D$247,MATCH("ALERT_OVERDUE",_翻訳マスタ!$A$117:$A$247,0),MATCH(言語切替!$B$3,_翻訳マスタ!$B$1:$D$1,0)),IF(AND(Q237&lt;&gt;"",Q237-TODAY()&lt;=7),INDEX(_翻訳マスタ!$B$117:$D$247,MATCH("ALERT_APPROACHING",_翻訳マスタ!$A$117:$A$247,0),MATCH(言語切替!$B$3,_翻訳マスタ!$B$1:$D$1,0)),IF(OR(S237='02_マスタ'!$E$7,S237='02_マスタ'!$E$8),INDEX(_翻訳マスタ!$B$117:$D$247,MATCH("ALERT_CHECK",_翻訳マスタ!$A$117:$A$247,0),MATCH(言語切替!$B$3,_翻訳マスタ!$B$1:$D$1,0)),""))))))</f>
        <v/>
      </c>
      <c r="AD237" s="41"/>
    </row>
    <row r="238" spans="1:30" s="22" customFormat="1" x14ac:dyDescent="0.25">
      <c r="A238" s="26"/>
      <c r="B238" s="27"/>
      <c r="C238" s="27"/>
      <c r="D238" s="27"/>
      <c r="E238" s="27"/>
      <c r="F238" s="45" t="str">
        <f t="shared" si="36"/>
        <v/>
      </c>
      <c r="G238" s="45" t="str">
        <f t="shared" si="37"/>
        <v/>
      </c>
      <c r="H238" s="27"/>
      <c r="I238" s="45" t="str">
        <f t="shared" si="38"/>
        <v/>
      </c>
      <c r="J238" s="45" t="str">
        <f t="shared" si="39"/>
        <v/>
      </c>
      <c r="K238" s="27"/>
      <c r="L238" s="45" t="str">
        <f t="shared" si="40"/>
        <v/>
      </c>
      <c r="M238" s="45" t="str">
        <f t="shared" si="41"/>
        <v/>
      </c>
      <c r="N238" s="27"/>
      <c r="O238" s="27"/>
      <c r="P238" s="28"/>
      <c r="Q238" s="28"/>
      <c r="R238" s="27"/>
      <c r="S238" s="27"/>
      <c r="T238" s="27"/>
      <c r="U238" s="27"/>
      <c r="V238" s="45" t="str">
        <f t="shared" si="42"/>
        <v/>
      </c>
      <c r="W238" s="45" t="str">
        <f t="shared" si="43"/>
        <v/>
      </c>
      <c r="X238" s="27"/>
      <c r="Y238" s="45" t="str">
        <f t="shared" si="33"/>
        <v/>
      </c>
      <c r="Z238" s="45" t="str">
        <f t="shared" si="34"/>
        <v/>
      </c>
      <c r="AA238" s="27"/>
      <c r="AB238" s="13" t="str">
        <f t="shared" ca="1" si="35"/>
        <v/>
      </c>
      <c r="AC238" s="13" t="str">
        <f ca="1">IF(A238="","",IF(OR(S238='02_マスタ'!$E$10,S238='02_マスタ'!$E$12),"",IF(R238="High","High",IF(AND(Q238&lt;&gt;"",Q238&lt;TODAY()),INDEX(_翻訳マスタ!$B$117:$D$247,MATCH("ALERT_OVERDUE",_翻訳マスタ!$A$117:$A$247,0),MATCH(言語切替!$B$3,_翻訳マスタ!$B$1:$D$1,0)),IF(AND(Q238&lt;&gt;"",Q238-TODAY()&lt;=7),INDEX(_翻訳マスタ!$B$117:$D$247,MATCH("ALERT_APPROACHING",_翻訳マスタ!$A$117:$A$247,0),MATCH(言語切替!$B$3,_翻訳マスタ!$B$1:$D$1,0)),IF(OR(S238='02_マスタ'!$E$7,S238='02_マスタ'!$E$8),INDEX(_翻訳マスタ!$B$117:$D$247,MATCH("ALERT_CHECK",_翻訳マスタ!$A$117:$A$247,0),MATCH(言語切替!$B$3,_翻訳マスタ!$B$1:$D$1,0)),""))))))</f>
        <v/>
      </c>
      <c r="AD238" s="40"/>
    </row>
    <row r="239" spans="1:30" s="22" customFormat="1" x14ac:dyDescent="0.25">
      <c r="A239" s="29"/>
      <c r="B239" s="30"/>
      <c r="C239" s="30"/>
      <c r="D239" s="30"/>
      <c r="E239" s="30"/>
      <c r="F239" s="46" t="str">
        <f t="shared" si="36"/>
        <v/>
      </c>
      <c r="G239" s="46" t="str">
        <f t="shared" si="37"/>
        <v/>
      </c>
      <c r="H239" s="30"/>
      <c r="I239" s="46" t="str">
        <f t="shared" si="38"/>
        <v/>
      </c>
      <c r="J239" s="46" t="str">
        <f t="shared" si="39"/>
        <v/>
      </c>
      <c r="K239" s="30"/>
      <c r="L239" s="46" t="str">
        <f t="shared" si="40"/>
        <v/>
      </c>
      <c r="M239" s="46" t="str">
        <f t="shared" si="41"/>
        <v/>
      </c>
      <c r="N239" s="30"/>
      <c r="O239" s="30"/>
      <c r="P239" s="31"/>
      <c r="Q239" s="31"/>
      <c r="R239" s="30"/>
      <c r="S239" s="30"/>
      <c r="T239" s="30"/>
      <c r="U239" s="30"/>
      <c r="V239" s="46" t="str">
        <f t="shared" si="42"/>
        <v/>
      </c>
      <c r="W239" s="46" t="str">
        <f t="shared" si="43"/>
        <v/>
      </c>
      <c r="X239" s="30"/>
      <c r="Y239" s="46" t="str">
        <f t="shared" si="33"/>
        <v/>
      </c>
      <c r="Z239" s="46" t="str">
        <f t="shared" si="34"/>
        <v/>
      </c>
      <c r="AA239" s="30"/>
      <c r="AB239" s="16" t="str">
        <f t="shared" ca="1" si="35"/>
        <v/>
      </c>
      <c r="AC239" s="16" t="str">
        <f ca="1">IF(A239="","",IF(OR(S239='02_マスタ'!$E$10,S239='02_マスタ'!$E$12),"",IF(R239="High","High",IF(AND(Q239&lt;&gt;"",Q239&lt;TODAY()),INDEX(_翻訳マスタ!$B$117:$D$247,MATCH("ALERT_OVERDUE",_翻訳マスタ!$A$117:$A$247,0),MATCH(言語切替!$B$3,_翻訳マスタ!$B$1:$D$1,0)),IF(AND(Q239&lt;&gt;"",Q239-TODAY()&lt;=7),INDEX(_翻訳マスタ!$B$117:$D$247,MATCH("ALERT_APPROACHING",_翻訳マスタ!$A$117:$A$247,0),MATCH(言語切替!$B$3,_翻訳マスタ!$B$1:$D$1,0)),IF(OR(S239='02_マスタ'!$E$7,S239='02_マスタ'!$E$8),INDEX(_翻訳マスタ!$B$117:$D$247,MATCH("ALERT_CHECK",_翻訳マスタ!$A$117:$A$247,0),MATCH(言語切替!$B$3,_翻訳マスタ!$B$1:$D$1,0)),""))))))</f>
        <v/>
      </c>
      <c r="AD239" s="41"/>
    </row>
    <row r="240" spans="1:30" s="22" customFormat="1" x14ac:dyDescent="0.25">
      <c r="A240" s="26"/>
      <c r="B240" s="27"/>
      <c r="C240" s="27"/>
      <c r="D240" s="27"/>
      <c r="E240" s="27"/>
      <c r="F240" s="45" t="str">
        <f t="shared" si="36"/>
        <v/>
      </c>
      <c r="G240" s="45" t="str">
        <f t="shared" si="37"/>
        <v/>
      </c>
      <c r="H240" s="27"/>
      <c r="I240" s="45" t="str">
        <f t="shared" si="38"/>
        <v/>
      </c>
      <c r="J240" s="45" t="str">
        <f t="shared" si="39"/>
        <v/>
      </c>
      <c r="K240" s="27"/>
      <c r="L240" s="45" t="str">
        <f t="shared" si="40"/>
        <v/>
      </c>
      <c r="M240" s="45" t="str">
        <f t="shared" si="41"/>
        <v/>
      </c>
      <c r="N240" s="27"/>
      <c r="O240" s="27"/>
      <c r="P240" s="28"/>
      <c r="Q240" s="28"/>
      <c r="R240" s="27"/>
      <c r="S240" s="27"/>
      <c r="T240" s="27"/>
      <c r="U240" s="27"/>
      <c r="V240" s="45" t="str">
        <f t="shared" si="42"/>
        <v/>
      </c>
      <c r="W240" s="45" t="str">
        <f t="shared" si="43"/>
        <v/>
      </c>
      <c r="X240" s="27"/>
      <c r="Y240" s="45" t="str">
        <f t="shared" si="33"/>
        <v/>
      </c>
      <c r="Z240" s="45" t="str">
        <f t="shared" si="34"/>
        <v/>
      </c>
      <c r="AA240" s="27"/>
      <c r="AB240" s="13" t="str">
        <f t="shared" ca="1" si="35"/>
        <v/>
      </c>
      <c r="AC240" s="13" t="str">
        <f ca="1">IF(A240="","",IF(OR(S240='02_マスタ'!$E$10,S240='02_マスタ'!$E$12),"",IF(R240="High","High",IF(AND(Q240&lt;&gt;"",Q240&lt;TODAY()),INDEX(_翻訳マスタ!$B$117:$D$247,MATCH("ALERT_OVERDUE",_翻訳マスタ!$A$117:$A$247,0),MATCH(言語切替!$B$3,_翻訳マスタ!$B$1:$D$1,0)),IF(AND(Q240&lt;&gt;"",Q240-TODAY()&lt;=7),INDEX(_翻訳マスタ!$B$117:$D$247,MATCH("ALERT_APPROACHING",_翻訳マスタ!$A$117:$A$247,0),MATCH(言語切替!$B$3,_翻訳マスタ!$B$1:$D$1,0)),IF(OR(S240='02_マスタ'!$E$7,S240='02_マスタ'!$E$8),INDEX(_翻訳マスタ!$B$117:$D$247,MATCH("ALERT_CHECK",_翻訳マスタ!$A$117:$A$247,0),MATCH(言語切替!$B$3,_翻訳マスタ!$B$1:$D$1,0)),""))))))</f>
        <v/>
      </c>
      <c r="AD240" s="40"/>
    </row>
    <row r="241" spans="1:30" s="22" customFormat="1" x14ac:dyDescent="0.25">
      <c r="A241" s="29"/>
      <c r="B241" s="30"/>
      <c r="C241" s="30"/>
      <c r="D241" s="30"/>
      <c r="E241" s="30"/>
      <c r="F241" s="46" t="str">
        <f t="shared" si="36"/>
        <v/>
      </c>
      <c r="G241" s="46" t="str">
        <f t="shared" si="37"/>
        <v/>
      </c>
      <c r="H241" s="30"/>
      <c r="I241" s="46" t="str">
        <f t="shared" si="38"/>
        <v/>
      </c>
      <c r="J241" s="46" t="str">
        <f t="shared" si="39"/>
        <v/>
      </c>
      <c r="K241" s="30"/>
      <c r="L241" s="46" t="str">
        <f t="shared" si="40"/>
        <v/>
      </c>
      <c r="M241" s="46" t="str">
        <f t="shared" si="41"/>
        <v/>
      </c>
      <c r="N241" s="30"/>
      <c r="O241" s="30"/>
      <c r="P241" s="31"/>
      <c r="Q241" s="31"/>
      <c r="R241" s="30"/>
      <c r="S241" s="30"/>
      <c r="T241" s="30"/>
      <c r="U241" s="30"/>
      <c r="V241" s="46" t="str">
        <f t="shared" si="42"/>
        <v/>
      </c>
      <c r="W241" s="46" t="str">
        <f t="shared" si="43"/>
        <v/>
      </c>
      <c r="X241" s="30"/>
      <c r="Y241" s="46" t="str">
        <f t="shared" si="33"/>
        <v/>
      </c>
      <c r="Z241" s="46" t="str">
        <f t="shared" si="34"/>
        <v/>
      </c>
      <c r="AA241" s="30"/>
      <c r="AB241" s="16" t="str">
        <f t="shared" ca="1" si="35"/>
        <v/>
      </c>
      <c r="AC241" s="16" t="str">
        <f ca="1">IF(A241="","",IF(OR(S241='02_マスタ'!$E$10,S241='02_マスタ'!$E$12),"",IF(R241="High","High",IF(AND(Q241&lt;&gt;"",Q241&lt;TODAY()),INDEX(_翻訳マスタ!$B$117:$D$247,MATCH("ALERT_OVERDUE",_翻訳マスタ!$A$117:$A$247,0),MATCH(言語切替!$B$3,_翻訳マスタ!$B$1:$D$1,0)),IF(AND(Q241&lt;&gt;"",Q241-TODAY()&lt;=7),INDEX(_翻訳マスタ!$B$117:$D$247,MATCH("ALERT_APPROACHING",_翻訳マスタ!$A$117:$A$247,0),MATCH(言語切替!$B$3,_翻訳マスタ!$B$1:$D$1,0)),IF(OR(S241='02_マスタ'!$E$7,S241='02_マスタ'!$E$8),INDEX(_翻訳マスタ!$B$117:$D$247,MATCH("ALERT_CHECK",_翻訳マスタ!$A$117:$A$247,0),MATCH(言語切替!$B$3,_翻訳マスタ!$B$1:$D$1,0)),""))))))</f>
        <v/>
      </c>
      <c r="AD241" s="41"/>
    </row>
    <row r="242" spans="1:30" s="22" customFormat="1" x14ac:dyDescent="0.25">
      <c r="A242" s="26"/>
      <c r="B242" s="27"/>
      <c r="C242" s="27"/>
      <c r="D242" s="27"/>
      <c r="E242" s="27"/>
      <c r="F242" s="45" t="str">
        <f t="shared" si="36"/>
        <v/>
      </c>
      <c r="G242" s="45" t="str">
        <f t="shared" si="37"/>
        <v/>
      </c>
      <c r="H242" s="27"/>
      <c r="I242" s="45" t="str">
        <f t="shared" si="38"/>
        <v/>
      </c>
      <c r="J242" s="45" t="str">
        <f t="shared" si="39"/>
        <v/>
      </c>
      <c r="K242" s="27"/>
      <c r="L242" s="45" t="str">
        <f t="shared" si="40"/>
        <v/>
      </c>
      <c r="M242" s="45" t="str">
        <f t="shared" si="41"/>
        <v/>
      </c>
      <c r="N242" s="27"/>
      <c r="O242" s="27"/>
      <c r="P242" s="28"/>
      <c r="Q242" s="28"/>
      <c r="R242" s="27"/>
      <c r="S242" s="27"/>
      <c r="T242" s="27"/>
      <c r="U242" s="27"/>
      <c r="V242" s="45" t="str">
        <f t="shared" si="42"/>
        <v/>
      </c>
      <c r="W242" s="45" t="str">
        <f t="shared" si="43"/>
        <v/>
      </c>
      <c r="X242" s="27"/>
      <c r="Y242" s="45" t="str">
        <f t="shared" si="33"/>
        <v/>
      </c>
      <c r="Z242" s="45" t="str">
        <f t="shared" si="34"/>
        <v/>
      </c>
      <c r="AA242" s="27"/>
      <c r="AB242" s="13" t="str">
        <f t="shared" ca="1" si="35"/>
        <v/>
      </c>
      <c r="AC242" s="13" t="str">
        <f ca="1">IF(A242="","",IF(OR(S242='02_マスタ'!$E$10,S242='02_マスタ'!$E$12),"",IF(R242="High","High",IF(AND(Q242&lt;&gt;"",Q242&lt;TODAY()),INDEX(_翻訳マスタ!$B$117:$D$247,MATCH("ALERT_OVERDUE",_翻訳マスタ!$A$117:$A$247,0),MATCH(言語切替!$B$3,_翻訳マスタ!$B$1:$D$1,0)),IF(AND(Q242&lt;&gt;"",Q242-TODAY()&lt;=7),INDEX(_翻訳マスタ!$B$117:$D$247,MATCH("ALERT_APPROACHING",_翻訳マスタ!$A$117:$A$247,0),MATCH(言語切替!$B$3,_翻訳マスタ!$B$1:$D$1,0)),IF(OR(S242='02_マスタ'!$E$7,S242='02_マスタ'!$E$8),INDEX(_翻訳マスタ!$B$117:$D$247,MATCH("ALERT_CHECK",_翻訳マスタ!$A$117:$A$247,0),MATCH(言語切替!$B$3,_翻訳マスタ!$B$1:$D$1,0)),""))))))</f>
        <v/>
      </c>
      <c r="AD242" s="40"/>
    </row>
    <row r="243" spans="1:30" s="22" customFormat="1" x14ac:dyDescent="0.25">
      <c r="A243" s="29"/>
      <c r="B243" s="30"/>
      <c r="C243" s="30"/>
      <c r="D243" s="30"/>
      <c r="E243" s="30"/>
      <c r="F243" s="46" t="str">
        <f t="shared" si="36"/>
        <v/>
      </c>
      <c r="G243" s="46" t="str">
        <f t="shared" si="37"/>
        <v/>
      </c>
      <c r="H243" s="30"/>
      <c r="I243" s="46" t="str">
        <f t="shared" si="38"/>
        <v/>
      </c>
      <c r="J243" s="46" t="str">
        <f t="shared" si="39"/>
        <v/>
      </c>
      <c r="K243" s="30"/>
      <c r="L243" s="46" t="str">
        <f t="shared" si="40"/>
        <v/>
      </c>
      <c r="M243" s="46" t="str">
        <f t="shared" si="41"/>
        <v/>
      </c>
      <c r="N243" s="30"/>
      <c r="O243" s="30"/>
      <c r="P243" s="31"/>
      <c r="Q243" s="31"/>
      <c r="R243" s="30"/>
      <c r="S243" s="30"/>
      <c r="T243" s="30"/>
      <c r="U243" s="30"/>
      <c r="V243" s="46" t="str">
        <f t="shared" si="42"/>
        <v/>
      </c>
      <c r="W243" s="46" t="str">
        <f t="shared" si="43"/>
        <v/>
      </c>
      <c r="X243" s="30"/>
      <c r="Y243" s="46" t="str">
        <f t="shared" si="33"/>
        <v/>
      </c>
      <c r="Z243" s="46" t="str">
        <f t="shared" si="34"/>
        <v/>
      </c>
      <c r="AA243" s="30"/>
      <c r="AB243" s="16" t="str">
        <f t="shared" ca="1" si="35"/>
        <v/>
      </c>
      <c r="AC243" s="16" t="str">
        <f ca="1">IF(A243="","",IF(OR(S243='02_マスタ'!$E$10,S243='02_マスタ'!$E$12),"",IF(R243="High","High",IF(AND(Q243&lt;&gt;"",Q243&lt;TODAY()),INDEX(_翻訳マスタ!$B$117:$D$247,MATCH("ALERT_OVERDUE",_翻訳マスタ!$A$117:$A$247,0),MATCH(言語切替!$B$3,_翻訳マスタ!$B$1:$D$1,0)),IF(AND(Q243&lt;&gt;"",Q243-TODAY()&lt;=7),INDEX(_翻訳マスタ!$B$117:$D$247,MATCH("ALERT_APPROACHING",_翻訳マスタ!$A$117:$A$247,0),MATCH(言語切替!$B$3,_翻訳マスタ!$B$1:$D$1,0)),IF(OR(S243='02_マスタ'!$E$7,S243='02_マスタ'!$E$8),INDEX(_翻訳マスタ!$B$117:$D$247,MATCH("ALERT_CHECK",_翻訳マスタ!$A$117:$A$247,0),MATCH(言語切替!$B$3,_翻訳マスタ!$B$1:$D$1,0)),""))))))</f>
        <v/>
      </c>
      <c r="AD243" s="41"/>
    </row>
    <row r="244" spans="1:30" s="22" customFormat="1" x14ac:dyDescent="0.25">
      <c r="A244" s="26"/>
      <c r="B244" s="27"/>
      <c r="C244" s="27"/>
      <c r="D244" s="27"/>
      <c r="E244" s="27"/>
      <c r="F244" s="45" t="str">
        <f t="shared" si="36"/>
        <v/>
      </c>
      <c r="G244" s="45" t="str">
        <f t="shared" si="37"/>
        <v/>
      </c>
      <c r="H244" s="27"/>
      <c r="I244" s="45" t="str">
        <f t="shared" si="38"/>
        <v/>
      </c>
      <c r="J244" s="45" t="str">
        <f t="shared" si="39"/>
        <v/>
      </c>
      <c r="K244" s="27"/>
      <c r="L244" s="45" t="str">
        <f t="shared" si="40"/>
        <v/>
      </c>
      <c r="M244" s="45" t="str">
        <f t="shared" si="41"/>
        <v/>
      </c>
      <c r="N244" s="27"/>
      <c r="O244" s="27"/>
      <c r="P244" s="28"/>
      <c r="Q244" s="28"/>
      <c r="R244" s="27"/>
      <c r="S244" s="27"/>
      <c r="T244" s="27"/>
      <c r="U244" s="27"/>
      <c r="V244" s="45" t="str">
        <f t="shared" si="42"/>
        <v/>
      </c>
      <c r="W244" s="45" t="str">
        <f t="shared" si="43"/>
        <v/>
      </c>
      <c r="X244" s="27"/>
      <c r="Y244" s="45" t="str">
        <f t="shared" si="33"/>
        <v/>
      </c>
      <c r="Z244" s="45" t="str">
        <f t="shared" si="34"/>
        <v/>
      </c>
      <c r="AA244" s="27"/>
      <c r="AB244" s="13" t="str">
        <f t="shared" ca="1" si="35"/>
        <v/>
      </c>
      <c r="AC244" s="13" t="str">
        <f ca="1">IF(A244="","",IF(OR(S244='02_マスタ'!$E$10,S244='02_マスタ'!$E$12),"",IF(R244="High","High",IF(AND(Q244&lt;&gt;"",Q244&lt;TODAY()),INDEX(_翻訳マスタ!$B$117:$D$247,MATCH("ALERT_OVERDUE",_翻訳マスタ!$A$117:$A$247,0),MATCH(言語切替!$B$3,_翻訳マスタ!$B$1:$D$1,0)),IF(AND(Q244&lt;&gt;"",Q244-TODAY()&lt;=7),INDEX(_翻訳マスタ!$B$117:$D$247,MATCH("ALERT_APPROACHING",_翻訳マスタ!$A$117:$A$247,0),MATCH(言語切替!$B$3,_翻訳マスタ!$B$1:$D$1,0)),IF(OR(S244='02_マスタ'!$E$7,S244='02_マスタ'!$E$8),INDEX(_翻訳マスタ!$B$117:$D$247,MATCH("ALERT_CHECK",_翻訳マスタ!$A$117:$A$247,0),MATCH(言語切替!$B$3,_翻訳マスタ!$B$1:$D$1,0)),""))))))</f>
        <v/>
      </c>
      <c r="AD244" s="40"/>
    </row>
    <row r="245" spans="1:30" s="22" customFormat="1" x14ac:dyDescent="0.25">
      <c r="A245" s="29"/>
      <c r="B245" s="30"/>
      <c r="C245" s="30"/>
      <c r="D245" s="30"/>
      <c r="E245" s="30"/>
      <c r="F245" s="46" t="str">
        <f t="shared" si="36"/>
        <v/>
      </c>
      <c r="G245" s="46" t="str">
        <f t="shared" si="37"/>
        <v/>
      </c>
      <c r="H245" s="30"/>
      <c r="I245" s="46" t="str">
        <f t="shared" si="38"/>
        <v/>
      </c>
      <c r="J245" s="46" t="str">
        <f t="shared" si="39"/>
        <v/>
      </c>
      <c r="K245" s="30"/>
      <c r="L245" s="46" t="str">
        <f t="shared" si="40"/>
        <v/>
      </c>
      <c r="M245" s="46" t="str">
        <f t="shared" si="41"/>
        <v/>
      </c>
      <c r="N245" s="30"/>
      <c r="O245" s="30"/>
      <c r="P245" s="31"/>
      <c r="Q245" s="31"/>
      <c r="R245" s="30"/>
      <c r="S245" s="30"/>
      <c r="T245" s="30"/>
      <c r="U245" s="30"/>
      <c r="V245" s="46" t="str">
        <f t="shared" si="42"/>
        <v/>
      </c>
      <c r="W245" s="46" t="str">
        <f t="shared" si="43"/>
        <v/>
      </c>
      <c r="X245" s="30"/>
      <c r="Y245" s="46" t="str">
        <f t="shared" si="33"/>
        <v/>
      </c>
      <c r="Z245" s="46" t="str">
        <f t="shared" si="34"/>
        <v/>
      </c>
      <c r="AA245" s="30"/>
      <c r="AB245" s="16" t="str">
        <f t="shared" ca="1" si="35"/>
        <v/>
      </c>
      <c r="AC245" s="16" t="str">
        <f ca="1">IF(A245="","",IF(OR(S245='02_マスタ'!$E$10,S245='02_マスタ'!$E$12),"",IF(R245="High","High",IF(AND(Q245&lt;&gt;"",Q245&lt;TODAY()),INDEX(_翻訳マスタ!$B$117:$D$247,MATCH("ALERT_OVERDUE",_翻訳マスタ!$A$117:$A$247,0),MATCH(言語切替!$B$3,_翻訳マスタ!$B$1:$D$1,0)),IF(AND(Q245&lt;&gt;"",Q245-TODAY()&lt;=7),INDEX(_翻訳マスタ!$B$117:$D$247,MATCH("ALERT_APPROACHING",_翻訳マスタ!$A$117:$A$247,0),MATCH(言語切替!$B$3,_翻訳マスタ!$B$1:$D$1,0)),IF(OR(S245='02_マスタ'!$E$7,S245='02_マスタ'!$E$8),INDEX(_翻訳マスタ!$B$117:$D$247,MATCH("ALERT_CHECK",_翻訳マスタ!$A$117:$A$247,0),MATCH(言語切替!$B$3,_翻訳マスタ!$B$1:$D$1,0)),""))))))</f>
        <v/>
      </c>
      <c r="AD245" s="41"/>
    </row>
    <row r="246" spans="1:30" s="22" customFormat="1" x14ac:dyDescent="0.25">
      <c r="A246" s="26"/>
      <c r="B246" s="27"/>
      <c r="C246" s="27"/>
      <c r="D246" s="27"/>
      <c r="E246" s="27"/>
      <c r="F246" s="45" t="str">
        <f t="shared" si="36"/>
        <v/>
      </c>
      <c r="G246" s="45" t="str">
        <f t="shared" si="37"/>
        <v/>
      </c>
      <c r="H246" s="27"/>
      <c r="I246" s="45" t="str">
        <f t="shared" si="38"/>
        <v/>
      </c>
      <c r="J246" s="45" t="str">
        <f t="shared" si="39"/>
        <v/>
      </c>
      <c r="K246" s="27"/>
      <c r="L246" s="45" t="str">
        <f t="shared" si="40"/>
        <v/>
      </c>
      <c r="M246" s="45" t="str">
        <f t="shared" si="41"/>
        <v/>
      </c>
      <c r="N246" s="27"/>
      <c r="O246" s="27"/>
      <c r="P246" s="28"/>
      <c r="Q246" s="28"/>
      <c r="R246" s="27"/>
      <c r="S246" s="27"/>
      <c r="T246" s="27"/>
      <c r="U246" s="27"/>
      <c r="V246" s="45" t="str">
        <f t="shared" si="42"/>
        <v/>
      </c>
      <c r="W246" s="45" t="str">
        <f t="shared" si="43"/>
        <v/>
      </c>
      <c r="X246" s="27"/>
      <c r="Y246" s="45" t="str">
        <f t="shared" si="33"/>
        <v/>
      </c>
      <c r="Z246" s="45" t="str">
        <f t="shared" si="34"/>
        <v/>
      </c>
      <c r="AA246" s="27"/>
      <c r="AB246" s="13" t="str">
        <f t="shared" ca="1" si="35"/>
        <v/>
      </c>
      <c r="AC246" s="13" t="str">
        <f ca="1">IF(A246="","",IF(OR(S246='02_マスタ'!$E$10,S246='02_マスタ'!$E$12),"",IF(R246="High","High",IF(AND(Q246&lt;&gt;"",Q246&lt;TODAY()),INDEX(_翻訳マスタ!$B$117:$D$247,MATCH("ALERT_OVERDUE",_翻訳マスタ!$A$117:$A$247,0),MATCH(言語切替!$B$3,_翻訳マスタ!$B$1:$D$1,0)),IF(AND(Q246&lt;&gt;"",Q246-TODAY()&lt;=7),INDEX(_翻訳マスタ!$B$117:$D$247,MATCH("ALERT_APPROACHING",_翻訳マスタ!$A$117:$A$247,0),MATCH(言語切替!$B$3,_翻訳マスタ!$B$1:$D$1,0)),IF(OR(S246='02_マスタ'!$E$7,S246='02_マスタ'!$E$8),INDEX(_翻訳マスタ!$B$117:$D$247,MATCH("ALERT_CHECK",_翻訳マスタ!$A$117:$A$247,0),MATCH(言語切替!$B$3,_翻訳マスタ!$B$1:$D$1,0)),""))))))</f>
        <v/>
      </c>
      <c r="AD246" s="40"/>
    </row>
    <row r="247" spans="1:30" s="22" customFormat="1" x14ac:dyDescent="0.25">
      <c r="A247" s="29"/>
      <c r="B247" s="30"/>
      <c r="C247" s="30"/>
      <c r="D247" s="30"/>
      <c r="E247" s="30"/>
      <c r="F247" s="46" t="str">
        <f t="shared" si="36"/>
        <v/>
      </c>
      <c r="G247" s="46" t="str">
        <f t="shared" si="37"/>
        <v/>
      </c>
      <c r="H247" s="30"/>
      <c r="I247" s="46" t="str">
        <f t="shared" si="38"/>
        <v/>
      </c>
      <c r="J247" s="46" t="str">
        <f t="shared" si="39"/>
        <v/>
      </c>
      <c r="K247" s="30"/>
      <c r="L247" s="46" t="str">
        <f t="shared" si="40"/>
        <v/>
      </c>
      <c r="M247" s="46" t="str">
        <f t="shared" si="41"/>
        <v/>
      </c>
      <c r="N247" s="30"/>
      <c r="O247" s="30"/>
      <c r="P247" s="31"/>
      <c r="Q247" s="31"/>
      <c r="R247" s="30"/>
      <c r="S247" s="30"/>
      <c r="T247" s="30"/>
      <c r="U247" s="30"/>
      <c r="V247" s="46" t="str">
        <f t="shared" si="42"/>
        <v/>
      </c>
      <c r="W247" s="46" t="str">
        <f t="shared" si="43"/>
        <v/>
      </c>
      <c r="X247" s="30"/>
      <c r="Y247" s="46" t="str">
        <f t="shared" si="33"/>
        <v/>
      </c>
      <c r="Z247" s="46" t="str">
        <f t="shared" si="34"/>
        <v/>
      </c>
      <c r="AA247" s="30"/>
      <c r="AB247" s="16" t="str">
        <f t="shared" ca="1" si="35"/>
        <v/>
      </c>
      <c r="AC247" s="16" t="str">
        <f ca="1">IF(A247="","",IF(OR(S247='02_マスタ'!$E$10,S247='02_マスタ'!$E$12),"",IF(R247="High","High",IF(AND(Q247&lt;&gt;"",Q247&lt;TODAY()),INDEX(_翻訳マスタ!$B$117:$D$247,MATCH("ALERT_OVERDUE",_翻訳マスタ!$A$117:$A$247,0),MATCH(言語切替!$B$3,_翻訳マスタ!$B$1:$D$1,0)),IF(AND(Q247&lt;&gt;"",Q247-TODAY()&lt;=7),INDEX(_翻訳マスタ!$B$117:$D$247,MATCH("ALERT_APPROACHING",_翻訳マスタ!$A$117:$A$247,0),MATCH(言語切替!$B$3,_翻訳マスタ!$B$1:$D$1,0)),IF(OR(S247='02_マスタ'!$E$7,S247='02_マスタ'!$E$8),INDEX(_翻訳マスタ!$B$117:$D$247,MATCH("ALERT_CHECK",_翻訳マスタ!$A$117:$A$247,0),MATCH(言語切替!$B$3,_翻訳マスタ!$B$1:$D$1,0)),""))))))</f>
        <v/>
      </c>
      <c r="AD247" s="41"/>
    </row>
    <row r="248" spans="1:30" s="22" customFormat="1" x14ac:dyDescent="0.25">
      <c r="A248" s="26"/>
      <c r="B248" s="27"/>
      <c r="C248" s="27"/>
      <c r="D248" s="27"/>
      <c r="E248" s="27"/>
      <c r="F248" s="45" t="str">
        <f t="shared" si="36"/>
        <v/>
      </c>
      <c r="G248" s="45" t="str">
        <f t="shared" si="37"/>
        <v/>
      </c>
      <c r="H248" s="27"/>
      <c r="I248" s="45" t="str">
        <f t="shared" si="38"/>
        <v/>
      </c>
      <c r="J248" s="45" t="str">
        <f t="shared" si="39"/>
        <v/>
      </c>
      <c r="K248" s="27"/>
      <c r="L248" s="45" t="str">
        <f t="shared" si="40"/>
        <v/>
      </c>
      <c r="M248" s="45" t="str">
        <f t="shared" si="41"/>
        <v/>
      </c>
      <c r="N248" s="27"/>
      <c r="O248" s="27"/>
      <c r="P248" s="28"/>
      <c r="Q248" s="28"/>
      <c r="R248" s="27"/>
      <c r="S248" s="27"/>
      <c r="T248" s="27"/>
      <c r="U248" s="27"/>
      <c r="V248" s="45" t="str">
        <f t="shared" si="42"/>
        <v/>
      </c>
      <c r="W248" s="45" t="str">
        <f t="shared" si="43"/>
        <v/>
      </c>
      <c r="X248" s="27"/>
      <c r="Y248" s="45" t="str">
        <f t="shared" si="33"/>
        <v/>
      </c>
      <c r="Z248" s="45" t="str">
        <f t="shared" si="34"/>
        <v/>
      </c>
      <c r="AA248" s="27"/>
      <c r="AB248" s="13" t="str">
        <f t="shared" ca="1" si="35"/>
        <v/>
      </c>
      <c r="AC248" s="13" t="str">
        <f ca="1">IF(A248="","",IF(OR(S248='02_マスタ'!$E$10,S248='02_マスタ'!$E$12),"",IF(R248="High","High",IF(AND(Q248&lt;&gt;"",Q248&lt;TODAY()),INDEX(_翻訳マスタ!$B$117:$D$247,MATCH("ALERT_OVERDUE",_翻訳マスタ!$A$117:$A$247,0),MATCH(言語切替!$B$3,_翻訳マスタ!$B$1:$D$1,0)),IF(AND(Q248&lt;&gt;"",Q248-TODAY()&lt;=7),INDEX(_翻訳マスタ!$B$117:$D$247,MATCH("ALERT_APPROACHING",_翻訳マスタ!$A$117:$A$247,0),MATCH(言語切替!$B$3,_翻訳マスタ!$B$1:$D$1,0)),IF(OR(S248='02_マスタ'!$E$7,S248='02_マスタ'!$E$8),INDEX(_翻訳マスタ!$B$117:$D$247,MATCH("ALERT_CHECK",_翻訳マスタ!$A$117:$A$247,0),MATCH(言語切替!$B$3,_翻訳マスタ!$B$1:$D$1,0)),""))))))</f>
        <v/>
      </c>
      <c r="AD248" s="40"/>
    </row>
    <row r="249" spans="1:30" s="22" customFormat="1" x14ac:dyDescent="0.25">
      <c r="A249" s="29"/>
      <c r="B249" s="30"/>
      <c r="C249" s="30"/>
      <c r="D249" s="30"/>
      <c r="E249" s="30"/>
      <c r="F249" s="46" t="str">
        <f t="shared" si="36"/>
        <v/>
      </c>
      <c r="G249" s="46" t="str">
        <f t="shared" si="37"/>
        <v/>
      </c>
      <c r="H249" s="30"/>
      <c r="I249" s="46" t="str">
        <f t="shared" si="38"/>
        <v/>
      </c>
      <c r="J249" s="46" t="str">
        <f t="shared" si="39"/>
        <v/>
      </c>
      <c r="K249" s="30"/>
      <c r="L249" s="46" t="str">
        <f t="shared" si="40"/>
        <v/>
      </c>
      <c r="M249" s="46" t="str">
        <f t="shared" si="41"/>
        <v/>
      </c>
      <c r="N249" s="30"/>
      <c r="O249" s="30"/>
      <c r="P249" s="31"/>
      <c r="Q249" s="31"/>
      <c r="R249" s="30"/>
      <c r="S249" s="30"/>
      <c r="T249" s="30"/>
      <c r="U249" s="30"/>
      <c r="V249" s="46" t="str">
        <f t="shared" si="42"/>
        <v/>
      </c>
      <c r="W249" s="46" t="str">
        <f t="shared" si="43"/>
        <v/>
      </c>
      <c r="X249" s="30"/>
      <c r="Y249" s="46" t="str">
        <f t="shared" si="33"/>
        <v/>
      </c>
      <c r="Z249" s="46" t="str">
        <f t="shared" si="34"/>
        <v/>
      </c>
      <c r="AA249" s="30"/>
      <c r="AB249" s="16" t="str">
        <f t="shared" ca="1" si="35"/>
        <v/>
      </c>
      <c r="AC249" s="16" t="str">
        <f ca="1">IF(A249="","",IF(OR(S249='02_マスタ'!$E$10,S249='02_マスタ'!$E$12),"",IF(R249="High","High",IF(AND(Q249&lt;&gt;"",Q249&lt;TODAY()),INDEX(_翻訳マスタ!$B$117:$D$247,MATCH("ALERT_OVERDUE",_翻訳マスタ!$A$117:$A$247,0),MATCH(言語切替!$B$3,_翻訳マスタ!$B$1:$D$1,0)),IF(AND(Q249&lt;&gt;"",Q249-TODAY()&lt;=7),INDEX(_翻訳マスタ!$B$117:$D$247,MATCH("ALERT_APPROACHING",_翻訳マスタ!$A$117:$A$247,0),MATCH(言語切替!$B$3,_翻訳マスタ!$B$1:$D$1,0)),IF(OR(S249='02_マスタ'!$E$7,S249='02_マスタ'!$E$8),INDEX(_翻訳マスタ!$B$117:$D$247,MATCH("ALERT_CHECK",_翻訳マスタ!$A$117:$A$247,0),MATCH(言語切替!$B$3,_翻訳マスタ!$B$1:$D$1,0)),""))))))</f>
        <v/>
      </c>
      <c r="AD249" s="41"/>
    </row>
    <row r="250" spans="1:30" s="22" customFormat="1" x14ac:dyDescent="0.25">
      <c r="A250" s="26"/>
      <c r="B250" s="27"/>
      <c r="C250" s="27"/>
      <c r="D250" s="27"/>
      <c r="E250" s="27"/>
      <c r="F250" s="45" t="str">
        <f t="shared" si="36"/>
        <v/>
      </c>
      <c r="G250" s="45" t="str">
        <f t="shared" si="37"/>
        <v/>
      </c>
      <c r="H250" s="27"/>
      <c r="I250" s="45" t="str">
        <f t="shared" si="38"/>
        <v/>
      </c>
      <c r="J250" s="45" t="str">
        <f t="shared" si="39"/>
        <v/>
      </c>
      <c r="K250" s="27"/>
      <c r="L250" s="45" t="str">
        <f t="shared" si="40"/>
        <v/>
      </c>
      <c r="M250" s="45" t="str">
        <f t="shared" si="41"/>
        <v/>
      </c>
      <c r="N250" s="27"/>
      <c r="O250" s="27"/>
      <c r="P250" s="28"/>
      <c r="Q250" s="28"/>
      <c r="R250" s="27"/>
      <c r="S250" s="27"/>
      <c r="T250" s="27"/>
      <c r="U250" s="27"/>
      <c r="V250" s="45" t="str">
        <f t="shared" si="42"/>
        <v/>
      </c>
      <c r="W250" s="45" t="str">
        <f t="shared" si="43"/>
        <v/>
      </c>
      <c r="X250" s="27"/>
      <c r="Y250" s="45" t="str">
        <f t="shared" si="33"/>
        <v/>
      </c>
      <c r="Z250" s="45" t="str">
        <f t="shared" si="34"/>
        <v/>
      </c>
      <c r="AA250" s="27"/>
      <c r="AB250" s="13" t="str">
        <f t="shared" ca="1" si="35"/>
        <v/>
      </c>
      <c r="AC250" s="13" t="str">
        <f ca="1">IF(A250="","",IF(OR(S250='02_マスタ'!$E$10,S250='02_マスタ'!$E$12),"",IF(R250="High","High",IF(AND(Q250&lt;&gt;"",Q250&lt;TODAY()),INDEX(_翻訳マスタ!$B$117:$D$247,MATCH("ALERT_OVERDUE",_翻訳マスタ!$A$117:$A$247,0),MATCH(言語切替!$B$3,_翻訳マスタ!$B$1:$D$1,0)),IF(AND(Q250&lt;&gt;"",Q250-TODAY()&lt;=7),INDEX(_翻訳マスタ!$B$117:$D$247,MATCH("ALERT_APPROACHING",_翻訳マスタ!$A$117:$A$247,0),MATCH(言語切替!$B$3,_翻訳マスタ!$B$1:$D$1,0)),IF(OR(S250='02_マスタ'!$E$7,S250='02_マスタ'!$E$8),INDEX(_翻訳マスタ!$B$117:$D$247,MATCH("ALERT_CHECK",_翻訳マスタ!$A$117:$A$247,0),MATCH(言語切替!$B$3,_翻訳マスタ!$B$1:$D$1,0)),""))))))</f>
        <v/>
      </c>
      <c r="AD250" s="40"/>
    </row>
    <row r="251" spans="1:30" s="22" customFormat="1" x14ac:dyDescent="0.25">
      <c r="A251" s="29"/>
      <c r="B251" s="30"/>
      <c r="C251" s="30"/>
      <c r="D251" s="30"/>
      <c r="E251" s="30"/>
      <c r="F251" s="46" t="str">
        <f t="shared" si="36"/>
        <v/>
      </c>
      <c r="G251" s="46" t="str">
        <f t="shared" si="37"/>
        <v/>
      </c>
      <c r="H251" s="30"/>
      <c r="I251" s="46" t="str">
        <f t="shared" si="38"/>
        <v/>
      </c>
      <c r="J251" s="46" t="str">
        <f t="shared" si="39"/>
        <v/>
      </c>
      <c r="K251" s="30"/>
      <c r="L251" s="46" t="str">
        <f t="shared" si="40"/>
        <v/>
      </c>
      <c r="M251" s="46" t="str">
        <f t="shared" si="41"/>
        <v/>
      </c>
      <c r="N251" s="30"/>
      <c r="O251" s="30"/>
      <c r="P251" s="31"/>
      <c r="Q251" s="31"/>
      <c r="R251" s="30"/>
      <c r="S251" s="30"/>
      <c r="T251" s="30"/>
      <c r="U251" s="30"/>
      <c r="V251" s="46" t="str">
        <f t="shared" si="42"/>
        <v/>
      </c>
      <c r="W251" s="46" t="str">
        <f t="shared" si="43"/>
        <v/>
      </c>
      <c r="X251" s="30"/>
      <c r="Y251" s="46" t="str">
        <f t="shared" si="33"/>
        <v/>
      </c>
      <c r="Z251" s="46" t="str">
        <f t="shared" si="34"/>
        <v/>
      </c>
      <c r="AA251" s="30"/>
      <c r="AB251" s="16" t="str">
        <f t="shared" ca="1" si="35"/>
        <v/>
      </c>
      <c r="AC251" s="16" t="str">
        <f ca="1">IF(A251="","",IF(OR(S251='02_マスタ'!$E$10,S251='02_マスタ'!$E$12),"",IF(R251="High","High",IF(AND(Q251&lt;&gt;"",Q251&lt;TODAY()),INDEX(_翻訳マスタ!$B$117:$D$247,MATCH("ALERT_OVERDUE",_翻訳マスタ!$A$117:$A$247,0),MATCH(言語切替!$B$3,_翻訳マスタ!$B$1:$D$1,0)),IF(AND(Q251&lt;&gt;"",Q251-TODAY()&lt;=7),INDEX(_翻訳マスタ!$B$117:$D$247,MATCH("ALERT_APPROACHING",_翻訳マスタ!$A$117:$A$247,0),MATCH(言語切替!$B$3,_翻訳マスタ!$B$1:$D$1,0)),IF(OR(S251='02_マスタ'!$E$7,S251='02_マスタ'!$E$8),INDEX(_翻訳マスタ!$B$117:$D$247,MATCH("ALERT_CHECK",_翻訳マスタ!$A$117:$A$247,0),MATCH(言語切替!$B$3,_翻訳マスタ!$B$1:$D$1,0)),""))))))</f>
        <v/>
      </c>
      <c r="AD251" s="41"/>
    </row>
    <row r="252" spans="1:30" s="22" customFormat="1" x14ac:dyDescent="0.25">
      <c r="A252" s="26"/>
      <c r="B252" s="27"/>
      <c r="C252" s="27"/>
      <c r="D252" s="27"/>
      <c r="E252" s="27"/>
      <c r="F252" s="45" t="str">
        <f t="shared" si="36"/>
        <v/>
      </c>
      <c r="G252" s="45" t="str">
        <f t="shared" si="37"/>
        <v/>
      </c>
      <c r="H252" s="27"/>
      <c r="I252" s="45" t="str">
        <f t="shared" si="38"/>
        <v/>
      </c>
      <c r="J252" s="45" t="str">
        <f t="shared" si="39"/>
        <v/>
      </c>
      <c r="K252" s="27"/>
      <c r="L252" s="45" t="str">
        <f t="shared" si="40"/>
        <v/>
      </c>
      <c r="M252" s="45" t="str">
        <f t="shared" si="41"/>
        <v/>
      </c>
      <c r="N252" s="27"/>
      <c r="O252" s="27"/>
      <c r="P252" s="28"/>
      <c r="Q252" s="28"/>
      <c r="R252" s="27"/>
      <c r="S252" s="27"/>
      <c r="T252" s="27"/>
      <c r="U252" s="27"/>
      <c r="V252" s="45" t="str">
        <f t="shared" si="42"/>
        <v/>
      </c>
      <c r="W252" s="45" t="str">
        <f t="shared" si="43"/>
        <v/>
      </c>
      <c r="X252" s="27"/>
      <c r="Y252" s="45" t="str">
        <f t="shared" si="33"/>
        <v/>
      </c>
      <c r="Z252" s="45" t="str">
        <f t="shared" si="34"/>
        <v/>
      </c>
      <c r="AA252" s="27"/>
      <c r="AB252" s="13" t="str">
        <f t="shared" ca="1" si="35"/>
        <v/>
      </c>
      <c r="AC252" s="13" t="str">
        <f ca="1">IF(A252="","",IF(OR(S252='02_マスタ'!$E$10,S252='02_マスタ'!$E$12),"",IF(R252="High","High",IF(AND(Q252&lt;&gt;"",Q252&lt;TODAY()),INDEX(_翻訳マスタ!$B$117:$D$247,MATCH("ALERT_OVERDUE",_翻訳マスタ!$A$117:$A$247,0),MATCH(言語切替!$B$3,_翻訳マスタ!$B$1:$D$1,0)),IF(AND(Q252&lt;&gt;"",Q252-TODAY()&lt;=7),INDEX(_翻訳マスタ!$B$117:$D$247,MATCH("ALERT_APPROACHING",_翻訳マスタ!$A$117:$A$247,0),MATCH(言語切替!$B$3,_翻訳マスタ!$B$1:$D$1,0)),IF(OR(S252='02_マスタ'!$E$7,S252='02_マスタ'!$E$8),INDEX(_翻訳マスタ!$B$117:$D$247,MATCH("ALERT_CHECK",_翻訳マスタ!$A$117:$A$247,0),MATCH(言語切替!$B$3,_翻訳マスタ!$B$1:$D$1,0)),""))))))</f>
        <v/>
      </c>
      <c r="AD252" s="40"/>
    </row>
    <row r="253" spans="1:30" s="22" customFormat="1" x14ac:dyDescent="0.25">
      <c r="A253" s="29"/>
      <c r="B253" s="30"/>
      <c r="C253" s="30"/>
      <c r="D253" s="30"/>
      <c r="E253" s="30"/>
      <c r="F253" s="46" t="str">
        <f t="shared" si="36"/>
        <v/>
      </c>
      <c r="G253" s="46" t="str">
        <f t="shared" si="37"/>
        <v/>
      </c>
      <c r="H253" s="30"/>
      <c r="I253" s="46" t="str">
        <f t="shared" si="38"/>
        <v/>
      </c>
      <c r="J253" s="46" t="str">
        <f t="shared" si="39"/>
        <v/>
      </c>
      <c r="K253" s="30"/>
      <c r="L253" s="46" t="str">
        <f t="shared" si="40"/>
        <v/>
      </c>
      <c r="M253" s="46" t="str">
        <f t="shared" si="41"/>
        <v/>
      </c>
      <c r="N253" s="30"/>
      <c r="O253" s="30"/>
      <c r="P253" s="31"/>
      <c r="Q253" s="31"/>
      <c r="R253" s="30"/>
      <c r="S253" s="30"/>
      <c r="T253" s="30"/>
      <c r="U253" s="30"/>
      <c r="V253" s="46" t="str">
        <f t="shared" si="42"/>
        <v/>
      </c>
      <c r="W253" s="46" t="str">
        <f t="shared" si="43"/>
        <v/>
      </c>
      <c r="X253" s="30"/>
      <c r="Y253" s="46" t="str">
        <f t="shared" si="33"/>
        <v/>
      </c>
      <c r="Z253" s="46" t="str">
        <f t="shared" si="34"/>
        <v/>
      </c>
      <c r="AA253" s="30"/>
      <c r="AB253" s="16" t="str">
        <f t="shared" ca="1" si="35"/>
        <v/>
      </c>
      <c r="AC253" s="16" t="str">
        <f ca="1">IF(A253="","",IF(OR(S253='02_マスタ'!$E$10,S253='02_マスタ'!$E$12),"",IF(R253="High","High",IF(AND(Q253&lt;&gt;"",Q253&lt;TODAY()),INDEX(_翻訳マスタ!$B$117:$D$247,MATCH("ALERT_OVERDUE",_翻訳マスタ!$A$117:$A$247,0),MATCH(言語切替!$B$3,_翻訳マスタ!$B$1:$D$1,0)),IF(AND(Q253&lt;&gt;"",Q253-TODAY()&lt;=7),INDEX(_翻訳マスタ!$B$117:$D$247,MATCH("ALERT_APPROACHING",_翻訳マスタ!$A$117:$A$247,0),MATCH(言語切替!$B$3,_翻訳マスタ!$B$1:$D$1,0)),IF(OR(S253='02_マスタ'!$E$7,S253='02_マスタ'!$E$8),INDEX(_翻訳マスタ!$B$117:$D$247,MATCH("ALERT_CHECK",_翻訳マスタ!$A$117:$A$247,0),MATCH(言語切替!$B$3,_翻訳マスタ!$B$1:$D$1,0)),""))))))</f>
        <v/>
      </c>
      <c r="AD253" s="41"/>
    </row>
    <row r="254" spans="1:30" s="22" customFormat="1" x14ac:dyDescent="0.25">
      <c r="A254" s="26"/>
      <c r="B254" s="27"/>
      <c r="C254" s="27"/>
      <c r="D254" s="27"/>
      <c r="E254" s="27"/>
      <c r="F254" s="45" t="str">
        <f t="shared" si="36"/>
        <v/>
      </c>
      <c r="G254" s="45" t="str">
        <f t="shared" si="37"/>
        <v/>
      </c>
      <c r="H254" s="27"/>
      <c r="I254" s="45" t="str">
        <f t="shared" si="38"/>
        <v/>
      </c>
      <c r="J254" s="45" t="str">
        <f t="shared" si="39"/>
        <v/>
      </c>
      <c r="K254" s="27"/>
      <c r="L254" s="45" t="str">
        <f t="shared" si="40"/>
        <v/>
      </c>
      <c r="M254" s="45" t="str">
        <f t="shared" si="41"/>
        <v/>
      </c>
      <c r="N254" s="27"/>
      <c r="O254" s="27"/>
      <c r="P254" s="28"/>
      <c r="Q254" s="28"/>
      <c r="R254" s="27"/>
      <c r="S254" s="27"/>
      <c r="T254" s="27"/>
      <c r="U254" s="27"/>
      <c r="V254" s="45" t="str">
        <f t="shared" si="42"/>
        <v/>
      </c>
      <c r="W254" s="45" t="str">
        <f t="shared" si="43"/>
        <v/>
      </c>
      <c r="X254" s="27"/>
      <c r="Y254" s="45" t="str">
        <f t="shared" si="33"/>
        <v/>
      </c>
      <c r="Z254" s="45" t="str">
        <f t="shared" si="34"/>
        <v/>
      </c>
      <c r="AA254" s="27"/>
      <c r="AB254" s="13" t="str">
        <f t="shared" ca="1" si="35"/>
        <v/>
      </c>
      <c r="AC254" s="13" t="str">
        <f ca="1">IF(A254="","",IF(OR(S254='02_マスタ'!$E$10,S254='02_マスタ'!$E$12),"",IF(R254="High","High",IF(AND(Q254&lt;&gt;"",Q254&lt;TODAY()),INDEX(_翻訳マスタ!$B$117:$D$247,MATCH("ALERT_OVERDUE",_翻訳マスタ!$A$117:$A$247,0),MATCH(言語切替!$B$3,_翻訳マスタ!$B$1:$D$1,0)),IF(AND(Q254&lt;&gt;"",Q254-TODAY()&lt;=7),INDEX(_翻訳マスタ!$B$117:$D$247,MATCH("ALERT_APPROACHING",_翻訳マスタ!$A$117:$A$247,0),MATCH(言語切替!$B$3,_翻訳マスタ!$B$1:$D$1,0)),IF(OR(S254='02_マスタ'!$E$7,S254='02_マスタ'!$E$8),INDEX(_翻訳マスタ!$B$117:$D$247,MATCH("ALERT_CHECK",_翻訳マスタ!$A$117:$A$247,0),MATCH(言語切替!$B$3,_翻訳マスタ!$B$1:$D$1,0)),""))))))</f>
        <v/>
      </c>
      <c r="AD254" s="40"/>
    </row>
    <row r="255" spans="1:30" s="22" customFormat="1" x14ac:dyDescent="0.25">
      <c r="A255" s="29"/>
      <c r="B255" s="30"/>
      <c r="C255" s="30"/>
      <c r="D255" s="30"/>
      <c r="E255" s="30"/>
      <c r="F255" s="46" t="str">
        <f t="shared" si="36"/>
        <v/>
      </c>
      <c r="G255" s="46" t="str">
        <f t="shared" si="37"/>
        <v/>
      </c>
      <c r="H255" s="30"/>
      <c r="I255" s="46" t="str">
        <f t="shared" si="38"/>
        <v/>
      </c>
      <c r="J255" s="46" t="str">
        <f t="shared" si="39"/>
        <v/>
      </c>
      <c r="K255" s="30"/>
      <c r="L255" s="46" t="str">
        <f t="shared" si="40"/>
        <v/>
      </c>
      <c r="M255" s="46" t="str">
        <f t="shared" si="41"/>
        <v/>
      </c>
      <c r="N255" s="30"/>
      <c r="O255" s="30"/>
      <c r="P255" s="31"/>
      <c r="Q255" s="31"/>
      <c r="R255" s="30"/>
      <c r="S255" s="30"/>
      <c r="T255" s="30"/>
      <c r="U255" s="30"/>
      <c r="V255" s="46" t="str">
        <f t="shared" si="42"/>
        <v/>
      </c>
      <c r="W255" s="46" t="str">
        <f t="shared" si="43"/>
        <v/>
      </c>
      <c r="X255" s="30"/>
      <c r="Y255" s="46" t="str">
        <f t="shared" si="33"/>
        <v/>
      </c>
      <c r="Z255" s="46" t="str">
        <f t="shared" si="34"/>
        <v/>
      </c>
      <c r="AA255" s="30"/>
      <c r="AB255" s="16" t="str">
        <f t="shared" ca="1" si="35"/>
        <v/>
      </c>
      <c r="AC255" s="16" t="str">
        <f ca="1">IF(A255="","",IF(OR(S255='02_マスタ'!$E$10,S255='02_マスタ'!$E$12),"",IF(R255="High","High",IF(AND(Q255&lt;&gt;"",Q255&lt;TODAY()),INDEX(_翻訳マスタ!$B$117:$D$247,MATCH("ALERT_OVERDUE",_翻訳マスタ!$A$117:$A$247,0),MATCH(言語切替!$B$3,_翻訳マスタ!$B$1:$D$1,0)),IF(AND(Q255&lt;&gt;"",Q255-TODAY()&lt;=7),INDEX(_翻訳マスタ!$B$117:$D$247,MATCH("ALERT_APPROACHING",_翻訳マスタ!$A$117:$A$247,0),MATCH(言語切替!$B$3,_翻訳マスタ!$B$1:$D$1,0)),IF(OR(S255='02_マスタ'!$E$7,S255='02_マスタ'!$E$8),INDEX(_翻訳マスタ!$B$117:$D$247,MATCH("ALERT_CHECK",_翻訳マスタ!$A$117:$A$247,0),MATCH(言語切替!$B$3,_翻訳マスタ!$B$1:$D$1,0)),""))))))</f>
        <v/>
      </c>
      <c r="AD255" s="41"/>
    </row>
    <row r="256" spans="1:30" s="22" customFormat="1" x14ac:dyDescent="0.25">
      <c r="A256" s="26"/>
      <c r="B256" s="27"/>
      <c r="C256" s="27"/>
      <c r="D256" s="27"/>
      <c r="E256" s="27"/>
      <c r="F256" s="45" t="str">
        <f t="shared" si="36"/>
        <v/>
      </c>
      <c r="G256" s="45" t="str">
        <f t="shared" si="37"/>
        <v/>
      </c>
      <c r="H256" s="27"/>
      <c r="I256" s="45" t="str">
        <f t="shared" si="38"/>
        <v/>
      </c>
      <c r="J256" s="45" t="str">
        <f t="shared" si="39"/>
        <v/>
      </c>
      <c r="K256" s="27"/>
      <c r="L256" s="45" t="str">
        <f t="shared" si="40"/>
        <v/>
      </c>
      <c r="M256" s="45" t="str">
        <f t="shared" si="41"/>
        <v/>
      </c>
      <c r="N256" s="27"/>
      <c r="O256" s="27"/>
      <c r="P256" s="28"/>
      <c r="Q256" s="28"/>
      <c r="R256" s="27"/>
      <c r="S256" s="27"/>
      <c r="T256" s="27"/>
      <c r="U256" s="27"/>
      <c r="V256" s="45" t="str">
        <f t="shared" si="42"/>
        <v/>
      </c>
      <c r="W256" s="45" t="str">
        <f t="shared" si="43"/>
        <v/>
      </c>
      <c r="X256" s="27"/>
      <c r="Y256" s="45" t="str">
        <f t="shared" si="33"/>
        <v/>
      </c>
      <c r="Z256" s="45" t="str">
        <f t="shared" si="34"/>
        <v/>
      </c>
      <c r="AA256" s="27"/>
      <c r="AB256" s="13" t="str">
        <f t="shared" ca="1" si="35"/>
        <v/>
      </c>
      <c r="AC256" s="13" t="str">
        <f ca="1">IF(A256="","",IF(OR(S256='02_マスタ'!$E$10,S256='02_マスタ'!$E$12),"",IF(R256="High","High",IF(AND(Q256&lt;&gt;"",Q256&lt;TODAY()),INDEX(_翻訳マスタ!$B$117:$D$247,MATCH("ALERT_OVERDUE",_翻訳マスタ!$A$117:$A$247,0),MATCH(言語切替!$B$3,_翻訳マスタ!$B$1:$D$1,0)),IF(AND(Q256&lt;&gt;"",Q256-TODAY()&lt;=7),INDEX(_翻訳マスタ!$B$117:$D$247,MATCH("ALERT_APPROACHING",_翻訳マスタ!$A$117:$A$247,0),MATCH(言語切替!$B$3,_翻訳マスタ!$B$1:$D$1,0)),IF(OR(S256='02_マスタ'!$E$7,S256='02_マスタ'!$E$8),INDEX(_翻訳マスタ!$B$117:$D$247,MATCH("ALERT_CHECK",_翻訳マスタ!$A$117:$A$247,0),MATCH(言語切替!$B$3,_翻訳マスタ!$B$1:$D$1,0)),""))))))</f>
        <v/>
      </c>
      <c r="AD256" s="40"/>
    </row>
    <row r="257" spans="1:30" s="22" customFormat="1" x14ac:dyDescent="0.25">
      <c r="A257" s="29"/>
      <c r="B257" s="30"/>
      <c r="C257" s="30"/>
      <c r="D257" s="30"/>
      <c r="E257" s="30"/>
      <c r="F257" s="46" t="str">
        <f t="shared" si="36"/>
        <v/>
      </c>
      <c r="G257" s="46" t="str">
        <f t="shared" si="37"/>
        <v/>
      </c>
      <c r="H257" s="30"/>
      <c r="I257" s="46" t="str">
        <f t="shared" si="38"/>
        <v/>
      </c>
      <c r="J257" s="46" t="str">
        <f t="shared" si="39"/>
        <v/>
      </c>
      <c r="K257" s="30"/>
      <c r="L257" s="46" t="str">
        <f t="shared" si="40"/>
        <v/>
      </c>
      <c r="M257" s="46" t="str">
        <f t="shared" si="41"/>
        <v/>
      </c>
      <c r="N257" s="30"/>
      <c r="O257" s="30"/>
      <c r="P257" s="31"/>
      <c r="Q257" s="31"/>
      <c r="R257" s="30"/>
      <c r="S257" s="30"/>
      <c r="T257" s="30"/>
      <c r="U257" s="30"/>
      <c r="V257" s="46" t="str">
        <f t="shared" si="42"/>
        <v/>
      </c>
      <c r="W257" s="46" t="str">
        <f t="shared" si="43"/>
        <v/>
      </c>
      <c r="X257" s="30"/>
      <c r="Y257" s="46" t="str">
        <f t="shared" si="33"/>
        <v/>
      </c>
      <c r="Z257" s="46" t="str">
        <f t="shared" si="34"/>
        <v/>
      </c>
      <c r="AA257" s="30"/>
      <c r="AB257" s="16" t="str">
        <f t="shared" ca="1" si="35"/>
        <v/>
      </c>
      <c r="AC257" s="16" t="str">
        <f ca="1">IF(A257="","",IF(OR(S257='02_マスタ'!$E$10,S257='02_マスタ'!$E$12),"",IF(R257="High","High",IF(AND(Q257&lt;&gt;"",Q257&lt;TODAY()),INDEX(_翻訳マスタ!$B$117:$D$247,MATCH("ALERT_OVERDUE",_翻訳マスタ!$A$117:$A$247,0),MATCH(言語切替!$B$3,_翻訳マスタ!$B$1:$D$1,0)),IF(AND(Q257&lt;&gt;"",Q257-TODAY()&lt;=7),INDEX(_翻訳マスタ!$B$117:$D$247,MATCH("ALERT_APPROACHING",_翻訳マスタ!$A$117:$A$247,0),MATCH(言語切替!$B$3,_翻訳マスタ!$B$1:$D$1,0)),IF(OR(S257='02_マスタ'!$E$7,S257='02_マスタ'!$E$8),INDEX(_翻訳マスタ!$B$117:$D$247,MATCH("ALERT_CHECK",_翻訳マスタ!$A$117:$A$247,0),MATCH(言語切替!$B$3,_翻訳マスタ!$B$1:$D$1,0)),""))))))</f>
        <v/>
      </c>
      <c r="AD257" s="41"/>
    </row>
    <row r="258" spans="1:30" s="22" customFormat="1" x14ac:dyDescent="0.25">
      <c r="A258" s="26"/>
      <c r="B258" s="27"/>
      <c r="C258" s="27"/>
      <c r="D258" s="27"/>
      <c r="E258" s="27"/>
      <c r="F258" s="45" t="str">
        <f t="shared" si="36"/>
        <v/>
      </c>
      <c r="G258" s="45" t="str">
        <f t="shared" si="37"/>
        <v/>
      </c>
      <c r="H258" s="27"/>
      <c r="I258" s="45" t="str">
        <f t="shared" si="38"/>
        <v/>
      </c>
      <c r="J258" s="45" t="str">
        <f t="shared" si="39"/>
        <v/>
      </c>
      <c r="K258" s="27"/>
      <c r="L258" s="45" t="str">
        <f t="shared" si="40"/>
        <v/>
      </c>
      <c r="M258" s="45" t="str">
        <f t="shared" si="41"/>
        <v/>
      </c>
      <c r="N258" s="27"/>
      <c r="O258" s="27"/>
      <c r="P258" s="28"/>
      <c r="Q258" s="28"/>
      <c r="R258" s="27"/>
      <c r="S258" s="27"/>
      <c r="T258" s="27"/>
      <c r="U258" s="27"/>
      <c r="V258" s="45" t="str">
        <f t="shared" si="42"/>
        <v/>
      </c>
      <c r="W258" s="45" t="str">
        <f t="shared" si="43"/>
        <v/>
      </c>
      <c r="X258" s="27"/>
      <c r="Y258" s="45" t="str">
        <f t="shared" si="33"/>
        <v/>
      </c>
      <c r="Z258" s="45" t="str">
        <f t="shared" si="34"/>
        <v/>
      </c>
      <c r="AA258" s="27"/>
      <c r="AB258" s="13" t="str">
        <f t="shared" ca="1" si="35"/>
        <v/>
      </c>
      <c r="AC258" s="13" t="str">
        <f ca="1">IF(A258="","",IF(OR(S258='02_マスタ'!$E$10,S258='02_マスタ'!$E$12),"",IF(R258="High","High",IF(AND(Q258&lt;&gt;"",Q258&lt;TODAY()),INDEX(_翻訳マスタ!$B$117:$D$247,MATCH("ALERT_OVERDUE",_翻訳マスタ!$A$117:$A$247,0),MATCH(言語切替!$B$3,_翻訳マスタ!$B$1:$D$1,0)),IF(AND(Q258&lt;&gt;"",Q258-TODAY()&lt;=7),INDEX(_翻訳マスタ!$B$117:$D$247,MATCH("ALERT_APPROACHING",_翻訳マスタ!$A$117:$A$247,0),MATCH(言語切替!$B$3,_翻訳マスタ!$B$1:$D$1,0)),IF(OR(S258='02_マスタ'!$E$7,S258='02_マスタ'!$E$8),INDEX(_翻訳マスタ!$B$117:$D$247,MATCH("ALERT_CHECK",_翻訳マスタ!$A$117:$A$247,0),MATCH(言語切替!$B$3,_翻訳マスタ!$B$1:$D$1,0)),""))))))</f>
        <v/>
      </c>
      <c r="AD258" s="40"/>
    </row>
    <row r="259" spans="1:30" s="22" customFormat="1" x14ac:dyDescent="0.25">
      <c r="A259" s="29"/>
      <c r="B259" s="30"/>
      <c r="C259" s="30"/>
      <c r="D259" s="30"/>
      <c r="E259" s="30"/>
      <c r="F259" s="46" t="str">
        <f t="shared" si="36"/>
        <v/>
      </c>
      <c r="G259" s="46" t="str">
        <f t="shared" si="37"/>
        <v/>
      </c>
      <c r="H259" s="30"/>
      <c r="I259" s="46" t="str">
        <f t="shared" si="38"/>
        <v/>
      </c>
      <c r="J259" s="46" t="str">
        <f t="shared" si="39"/>
        <v/>
      </c>
      <c r="K259" s="30"/>
      <c r="L259" s="46" t="str">
        <f t="shared" si="40"/>
        <v/>
      </c>
      <c r="M259" s="46" t="str">
        <f t="shared" si="41"/>
        <v/>
      </c>
      <c r="N259" s="30"/>
      <c r="O259" s="30"/>
      <c r="P259" s="31"/>
      <c r="Q259" s="31"/>
      <c r="R259" s="30"/>
      <c r="S259" s="30"/>
      <c r="T259" s="30"/>
      <c r="U259" s="30"/>
      <c r="V259" s="46" t="str">
        <f t="shared" si="42"/>
        <v/>
      </c>
      <c r="W259" s="46" t="str">
        <f t="shared" si="43"/>
        <v/>
      </c>
      <c r="X259" s="30"/>
      <c r="Y259" s="46" t="str">
        <f t="shared" si="33"/>
        <v/>
      </c>
      <c r="Z259" s="46" t="str">
        <f t="shared" si="34"/>
        <v/>
      </c>
      <c r="AA259" s="30"/>
      <c r="AB259" s="16" t="str">
        <f t="shared" ca="1" si="35"/>
        <v/>
      </c>
      <c r="AC259" s="16" t="str">
        <f ca="1">IF(A259="","",IF(OR(S259='02_マスタ'!$E$10,S259='02_マスタ'!$E$12),"",IF(R259="High","High",IF(AND(Q259&lt;&gt;"",Q259&lt;TODAY()),INDEX(_翻訳マスタ!$B$117:$D$247,MATCH("ALERT_OVERDUE",_翻訳マスタ!$A$117:$A$247,0),MATCH(言語切替!$B$3,_翻訳マスタ!$B$1:$D$1,0)),IF(AND(Q259&lt;&gt;"",Q259-TODAY()&lt;=7),INDEX(_翻訳マスタ!$B$117:$D$247,MATCH("ALERT_APPROACHING",_翻訳マスタ!$A$117:$A$247,0),MATCH(言語切替!$B$3,_翻訳マスタ!$B$1:$D$1,0)),IF(OR(S259='02_マスタ'!$E$7,S259='02_マスタ'!$E$8),INDEX(_翻訳マスタ!$B$117:$D$247,MATCH("ALERT_CHECK",_翻訳マスタ!$A$117:$A$247,0),MATCH(言語切替!$B$3,_翻訳マスタ!$B$1:$D$1,0)),""))))))</f>
        <v/>
      </c>
      <c r="AD259" s="41"/>
    </row>
    <row r="260" spans="1:30" s="22" customFormat="1" x14ac:dyDescent="0.25">
      <c r="A260" s="26"/>
      <c r="B260" s="27"/>
      <c r="C260" s="27"/>
      <c r="D260" s="27"/>
      <c r="E260" s="27"/>
      <c r="F260" s="45" t="str">
        <f t="shared" si="36"/>
        <v/>
      </c>
      <c r="G260" s="45" t="str">
        <f t="shared" si="37"/>
        <v/>
      </c>
      <c r="H260" s="27"/>
      <c r="I260" s="45" t="str">
        <f t="shared" si="38"/>
        <v/>
      </c>
      <c r="J260" s="45" t="str">
        <f t="shared" si="39"/>
        <v/>
      </c>
      <c r="K260" s="27"/>
      <c r="L260" s="45" t="str">
        <f t="shared" si="40"/>
        <v/>
      </c>
      <c r="M260" s="45" t="str">
        <f t="shared" si="41"/>
        <v/>
      </c>
      <c r="N260" s="27"/>
      <c r="O260" s="27"/>
      <c r="P260" s="28"/>
      <c r="Q260" s="28"/>
      <c r="R260" s="27"/>
      <c r="S260" s="27"/>
      <c r="T260" s="27"/>
      <c r="U260" s="27"/>
      <c r="V260" s="45" t="str">
        <f t="shared" si="42"/>
        <v/>
      </c>
      <c r="W260" s="45" t="str">
        <f t="shared" si="43"/>
        <v/>
      </c>
      <c r="X260" s="27"/>
      <c r="Y260" s="45" t="str">
        <f t="shared" si="33"/>
        <v/>
      </c>
      <c r="Z260" s="45" t="str">
        <f t="shared" si="34"/>
        <v/>
      </c>
      <c r="AA260" s="27"/>
      <c r="AB260" s="13" t="str">
        <f t="shared" ca="1" si="35"/>
        <v/>
      </c>
      <c r="AC260" s="13" t="str">
        <f ca="1">IF(A260="","",IF(OR(S260='02_マスタ'!$E$10,S260='02_マスタ'!$E$12),"",IF(R260="High","High",IF(AND(Q260&lt;&gt;"",Q260&lt;TODAY()),INDEX(_翻訳マスタ!$B$117:$D$247,MATCH("ALERT_OVERDUE",_翻訳マスタ!$A$117:$A$247,0),MATCH(言語切替!$B$3,_翻訳マスタ!$B$1:$D$1,0)),IF(AND(Q260&lt;&gt;"",Q260-TODAY()&lt;=7),INDEX(_翻訳マスタ!$B$117:$D$247,MATCH("ALERT_APPROACHING",_翻訳マスタ!$A$117:$A$247,0),MATCH(言語切替!$B$3,_翻訳マスタ!$B$1:$D$1,0)),IF(OR(S260='02_マスタ'!$E$7,S260='02_マスタ'!$E$8),INDEX(_翻訳マスタ!$B$117:$D$247,MATCH("ALERT_CHECK",_翻訳マスタ!$A$117:$A$247,0),MATCH(言語切替!$B$3,_翻訳マスタ!$B$1:$D$1,0)),""))))))</f>
        <v/>
      </c>
      <c r="AD260" s="40"/>
    </row>
    <row r="261" spans="1:30" s="22" customFormat="1" x14ac:dyDescent="0.25">
      <c r="A261" s="29"/>
      <c r="B261" s="30"/>
      <c r="C261" s="30"/>
      <c r="D261" s="30"/>
      <c r="E261" s="30"/>
      <c r="F261" s="46" t="str">
        <f t="shared" si="36"/>
        <v/>
      </c>
      <c r="G261" s="46" t="str">
        <f t="shared" si="37"/>
        <v/>
      </c>
      <c r="H261" s="30"/>
      <c r="I261" s="46" t="str">
        <f t="shared" si="38"/>
        <v/>
      </c>
      <c r="J261" s="46" t="str">
        <f t="shared" si="39"/>
        <v/>
      </c>
      <c r="K261" s="30"/>
      <c r="L261" s="46" t="str">
        <f t="shared" si="40"/>
        <v/>
      </c>
      <c r="M261" s="46" t="str">
        <f t="shared" si="41"/>
        <v/>
      </c>
      <c r="N261" s="30"/>
      <c r="O261" s="30"/>
      <c r="P261" s="31"/>
      <c r="Q261" s="31"/>
      <c r="R261" s="30"/>
      <c r="S261" s="30"/>
      <c r="T261" s="30"/>
      <c r="U261" s="30"/>
      <c r="V261" s="46" t="str">
        <f t="shared" si="42"/>
        <v/>
      </c>
      <c r="W261" s="46" t="str">
        <f t="shared" si="43"/>
        <v/>
      </c>
      <c r="X261" s="30"/>
      <c r="Y261" s="46" t="str">
        <f t="shared" ref="Y261:Y304" si="44">IF(X261="","",_xlfn.TRANSLATE(X261,"vi","ja"))</f>
        <v/>
      </c>
      <c r="Z261" s="46" t="str">
        <f t="shared" ref="Z261:Z304" si="45">IF(X261="","",_xlfn.TRANSLATE(X261,"vi","zh-Hans"))</f>
        <v/>
      </c>
      <c r="AA261" s="30"/>
      <c r="AB261" s="16" t="str">
        <f t="shared" ref="AB261:AB304" ca="1" si="46">IF(Q261="","",Q261-TODAY())</f>
        <v/>
      </c>
      <c r="AC261" s="16" t="str">
        <f ca="1">IF(A261="","",IF(OR(S261='02_マスタ'!$E$10,S261='02_マスタ'!$E$12),"",IF(R261="High","High",IF(AND(Q261&lt;&gt;"",Q261&lt;TODAY()),INDEX(_翻訳マスタ!$B$117:$D$247,MATCH("ALERT_OVERDUE",_翻訳マスタ!$A$117:$A$247,0),MATCH(言語切替!$B$3,_翻訳マスタ!$B$1:$D$1,0)),IF(AND(Q261&lt;&gt;"",Q261-TODAY()&lt;=7),INDEX(_翻訳マスタ!$B$117:$D$247,MATCH("ALERT_APPROACHING",_翻訳マスタ!$A$117:$A$247,0),MATCH(言語切替!$B$3,_翻訳マスタ!$B$1:$D$1,0)),IF(OR(S261='02_マスタ'!$E$7,S261='02_マスタ'!$E$8),INDEX(_翻訳マスタ!$B$117:$D$247,MATCH("ALERT_CHECK",_翻訳マスタ!$A$117:$A$247,0),MATCH(言語切替!$B$3,_翻訳マスタ!$B$1:$D$1,0)),""))))))</f>
        <v/>
      </c>
      <c r="AD261" s="41"/>
    </row>
    <row r="262" spans="1:30" s="22" customFormat="1" x14ac:dyDescent="0.25">
      <c r="A262" s="26"/>
      <c r="B262" s="27"/>
      <c r="C262" s="27"/>
      <c r="D262" s="27"/>
      <c r="E262" s="27"/>
      <c r="F262" s="45" t="str">
        <f t="shared" si="36"/>
        <v/>
      </c>
      <c r="G262" s="45" t="str">
        <f t="shared" si="37"/>
        <v/>
      </c>
      <c r="H262" s="27"/>
      <c r="I262" s="45" t="str">
        <f t="shared" si="38"/>
        <v/>
      </c>
      <c r="J262" s="45" t="str">
        <f t="shared" si="39"/>
        <v/>
      </c>
      <c r="K262" s="27"/>
      <c r="L262" s="45" t="str">
        <f t="shared" si="40"/>
        <v/>
      </c>
      <c r="M262" s="45" t="str">
        <f t="shared" si="41"/>
        <v/>
      </c>
      <c r="N262" s="27"/>
      <c r="O262" s="27"/>
      <c r="P262" s="28"/>
      <c r="Q262" s="28"/>
      <c r="R262" s="27"/>
      <c r="S262" s="27"/>
      <c r="T262" s="27"/>
      <c r="U262" s="27"/>
      <c r="V262" s="45" t="str">
        <f t="shared" si="42"/>
        <v/>
      </c>
      <c r="W262" s="45" t="str">
        <f t="shared" si="43"/>
        <v/>
      </c>
      <c r="X262" s="27"/>
      <c r="Y262" s="45" t="str">
        <f t="shared" si="44"/>
        <v/>
      </c>
      <c r="Z262" s="45" t="str">
        <f t="shared" si="45"/>
        <v/>
      </c>
      <c r="AA262" s="27"/>
      <c r="AB262" s="13" t="str">
        <f t="shared" ca="1" si="46"/>
        <v/>
      </c>
      <c r="AC262" s="13" t="str">
        <f ca="1">IF(A262="","",IF(OR(S262='02_マスタ'!$E$10,S262='02_マスタ'!$E$12),"",IF(R262="High","High",IF(AND(Q262&lt;&gt;"",Q262&lt;TODAY()),INDEX(_翻訳マスタ!$B$117:$D$247,MATCH("ALERT_OVERDUE",_翻訳マスタ!$A$117:$A$247,0),MATCH(言語切替!$B$3,_翻訳マスタ!$B$1:$D$1,0)),IF(AND(Q262&lt;&gt;"",Q262-TODAY()&lt;=7),INDEX(_翻訳マスタ!$B$117:$D$247,MATCH("ALERT_APPROACHING",_翻訳マスタ!$A$117:$A$247,0),MATCH(言語切替!$B$3,_翻訳マスタ!$B$1:$D$1,0)),IF(OR(S262='02_マスタ'!$E$7,S262='02_マスタ'!$E$8),INDEX(_翻訳マスタ!$B$117:$D$247,MATCH("ALERT_CHECK",_翻訳マスタ!$A$117:$A$247,0),MATCH(言語切替!$B$3,_翻訳マスタ!$B$1:$D$1,0)),""))))))</f>
        <v/>
      </c>
      <c r="AD262" s="40"/>
    </row>
    <row r="263" spans="1:30" s="22" customFormat="1" x14ac:dyDescent="0.25">
      <c r="A263" s="29"/>
      <c r="B263" s="30"/>
      <c r="C263" s="30"/>
      <c r="D263" s="30"/>
      <c r="E263" s="30"/>
      <c r="F263" s="46" t="str">
        <f t="shared" si="36"/>
        <v/>
      </c>
      <c r="G263" s="46" t="str">
        <f t="shared" si="37"/>
        <v/>
      </c>
      <c r="H263" s="30"/>
      <c r="I263" s="46" t="str">
        <f t="shared" si="38"/>
        <v/>
      </c>
      <c r="J263" s="46" t="str">
        <f t="shared" si="39"/>
        <v/>
      </c>
      <c r="K263" s="30"/>
      <c r="L263" s="46" t="str">
        <f t="shared" si="40"/>
        <v/>
      </c>
      <c r="M263" s="46" t="str">
        <f t="shared" si="41"/>
        <v/>
      </c>
      <c r="N263" s="30"/>
      <c r="O263" s="30"/>
      <c r="P263" s="31"/>
      <c r="Q263" s="31"/>
      <c r="R263" s="30"/>
      <c r="S263" s="30"/>
      <c r="T263" s="30"/>
      <c r="U263" s="30"/>
      <c r="V263" s="46" t="str">
        <f t="shared" si="42"/>
        <v/>
      </c>
      <c r="W263" s="46" t="str">
        <f t="shared" si="43"/>
        <v/>
      </c>
      <c r="X263" s="30"/>
      <c r="Y263" s="46" t="str">
        <f t="shared" si="44"/>
        <v/>
      </c>
      <c r="Z263" s="46" t="str">
        <f t="shared" si="45"/>
        <v/>
      </c>
      <c r="AA263" s="30"/>
      <c r="AB263" s="16" t="str">
        <f t="shared" ca="1" si="46"/>
        <v/>
      </c>
      <c r="AC263" s="16" t="str">
        <f ca="1">IF(A263="","",IF(OR(S263='02_マスタ'!$E$10,S263='02_マスタ'!$E$12),"",IF(R263="High","High",IF(AND(Q263&lt;&gt;"",Q263&lt;TODAY()),INDEX(_翻訳マスタ!$B$117:$D$247,MATCH("ALERT_OVERDUE",_翻訳マスタ!$A$117:$A$247,0),MATCH(言語切替!$B$3,_翻訳マスタ!$B$1:$D$1,0)),IF(AND(Q263&lt;&gt;"",Q263-TODAY()&lt;=7),INDEX(_翻訳マスタ!$B$117:$D$247,MATCH("ALERT_APPROACHING",_翻訳マスタ!$A$117:$A$247,0),MATCH(言語切替!$B$3,_翻訳マスタ!$B$1:$D$1,0)),IF(OR(S263='02_マスタ'!$E$7,S263='02_マスタ'!$E$8),INDEX(_翻訳マスタ!$B$117:$D$247,MATCH("ALERT_CHECK",_翻訳マスタ!$A$117:$A$247,0),MATCH(言語切替!$B$3,_翻訳マスタ!$B$1:$D$1,0)),""))))))</f>
        <v/>
      </c>
      <c r="AD263" s="41"/>
    </row>
    <row r="264" spans="1:30" s="22" customFormat="1" x14ac:dyDescent="0.25">
      <c r="A264" s="26"/>
      <c r="B264" s="27"/>
      <c r="C264" s="27"/>
      <c r="D264" s="27"/>
      <c r="E264" s="27"/>
      <c r="F264" s="45" t="str">
        <f t="shared" si="36"/>
        <v/>
      </c>
      <c r="G264" s="45" t="str">
        <f t="shared" si="37"/>
        <v/>
      </c>
      <c r="H264" s="27"/>
      <c r="I264" s="45" t="str">
        <f t="shared" si="38"/>
        <v/>
      </c>
      <c r="J264" s="45" t="str">
        <f t="shared" si="39"/>
        <v/>
      </c>
      <c r="K264" s="27"/>
      <c r="L264" s="45" t="str">
        <f t="shared" si="40"/>
        <v/>
      </c>
      <c r="M264" s="45" t="str">
        <f t="shared" si="41"/>
        <v/>
      </c>
      <c r="N264" s="27"/>
      <c r="O264" s="27"/>
      <c r="P264" s="28"/>
      <c r="Q264" s="28"/>
      <c r="R264" s="27"/>
      <c r="S264" s="27"/>
      <c r="T264" s="27"/>
      <c r="U264" s="27"/>
      <c r="V264" s="45" t="str">
        <f t="shared" si="42"/>
        <v/>
      </c>
      <c r="W264" s="45" t="str">
        <f t="shared" si="43"/>
        <v/>
      </c>
      <c r="X264" s="27"/>
      <c r="Y264" s="45" t="str">
        <f t="shared" si="44"/>
        <v/>
      </c>
      <c r="Z264" s="45" t="str">
        <f t="shared" si="45"/>
        <v/>
      </c>
      <c r="AA264" s="27"/>
      <c r="AB264" s="13" t="str">
        <f t="shared" ca="1" si="46"/>
        <v/>
      </c>
      <c r="AC264" s="13" t="str">
        <f ca="1">IF(A264="","",IF(OR(S264='02_マスタ'!$E$10,S264='02_マスタ'!$E$12),"",IF(R264="High","High",IF(AND(Q264&lt;&gt;"",Q264&lt;TODAY()),INDEX(_翻訳マスタ!$B$117:$D$247,MATCH("ALERT_OVERDUE",_翻訳マスタ!$A$117:$A$247,0),MATCH(言語切替!$B$3,_翻訳マスタ!$B$1:$D$1,0)),IF(AND(Q264&lt;&gt;"",Q264-TODAY()&lt;=7),INDEX(_翻訳マスタ!$B$117:$D$247,MATCH("ALERT_APPROACHING",_翻訳マスタ!$A$117:$A$247,0),MATCH(言語切替!$B$3,_翻訳マスタ!$B$1:$D$1,0)),IF(OR(S264='02_マスタ'!$E$7,S264='02_マスタ'!$E$8),INDEX(_翻訳マスタ!$B$117:$D$247,MATCH("ALERT_CHECK",_翻訳マスタ!$A$117:$A$247,0),MATCH(言語切替!$B$3,_翻訳マスタ!$B$1:$D$1,0)),""))))))</f>
        <v/>
      </c>
      <c r="AD264" s="40"/>
    </row>
    <row r="265" spans="1:30" s="22" customFormat="1" x14ac:dyDescent="0.25">
      <c r="A265" s="29"/>
      <c r="B265" s="30"/>
      <c r="C265" s="30"/>
      <c r="D265" s="30"/>
      <c r="E265" s="30"/>
      <c r="F265" s="46" t="str">
        <f t="shared" ref="F265:F304" si="47">IF(E265="","",_xlfn.TRANSLATE(E265,"vi","ja"))</f>
        <v/>
      </c>
      <c r="G265" s="46" t="str">
        <f t="shared" ref="G265:G304" si="48">IF(E265="","",_xlfn.TRANSLATE(E265,"vi","zh-Hans"))</f>
        <v/>
      </c>
      <c r="H265" s="30"/>
      <c r="I265" s="46" t="str">
        <f t="shared" ref="I265:I304" si="49">IF(H265="","",_xlfn.TRANSLATE(H265,"vi","ja"))</f>
        <v/>
      </c>
      <c r="J265" s="46" t="str">
        <f t="shared" ref="J265:J304" si="50">IF(H265="","",_xlfn.TRANSLATE(H265,"vi","zh-Hans"))</f>
        <v/>
      </c>
      <c r="K265" s="30"/>
      <c r="L265" s="46" t="str">
        <f t="shared" ref="L265:L304" si="51">IF(K265="","",_xlfn.TRANSLATE(K265,"vi","ja"))</f>
        <v/>
      </c>
      <c r="M265" s="46" t="str">
        <f t="shared" ref="M265:M304" si="52">IF(K265="","",_xlfn.TRANSLATE(K265,"vi","zh-Hans"))</f>
        <v/>
      </c>
      <c r="N265" s="30"/>
      <c r="O265" s="30"/>
      <c r="P265" s="31"/>
      <c r="Q265" s="31"/>
      <c r="R265" s="30"/>
      <c r="S265" s="30"/>
      <c r="T265" s="30"/>
      <c r="U265" s="30"/>
      <c r="V265" s="46" t="str">
        <f t="shared" ref="V265:V304" si="53">IF(U265="","",_xlfn.TRANSLATE(U265,"vi","ja"))</f>
        <v/>
      </c>
      <c r="W265" s="46" t="str">
        <f t="shared" ref="W265:W304" si="54">IF(U265="","",_xlfn.TRANSLATE(U265,"vi","zh-Hans"))</f>
        <v/>
      </c>
      <c r="X265" s="30"/>
      <c r="Y265" s="46" t="str">
        <f t="shared" si="44"/>
        <v/>
      </c>
      <c r="Z265" s="46" t="str">
        <f t="shared" si="45"/>
        <v/>
      </c>
      <c r="AA265" s="30"/>
      <c r="AB265" s="16" t="str">
        <f t="shared" ca="1" si="46"/>
        <v/>
      </c>
      <c r="AC265" s="16" t="str">
        <f ca="1">IF(A265="","",IF(OR(S265='02_マスタ'!$E$10,S265='02_マスタ'!$E$12),"",IF(R265="High","High",IF(AND(Q265&lt;&gt;"",Q265&lt;TODAY()),INDEX(_翻訳マスタ!$B$117:$D$247,MATCH("ALERT_OVERDUE",_翻訳マスタ!$A$117:$A$247,0),MATCH(言語切替!$B$3,_翻訳マスタ!$B$1:$D$1,0)),IF(AND(Q265&lt;&gt;"",Q265-TODAY()&lt;=7),INDEX(_翻訳マスタ!$B$117:$D$247,MATCH("ALERT_APPROACHING",_翻訳マスタ!$A$117:$A$247,0),MATCH(言語切替!$B$3,_翻訳マスタ!$B$1:$D$1,0)),IF(OR(S265='02_マスタ'!$E$7,S265='02_マスタ'!$E$8),INDEX(_翻訳マスタ!$B$117:$D$247,MATCH("ALERT_CHECK",_翻訳マスタ!$A$117:$A$247,0),MATCH(言語切替!$B$3,_翻訳マスタ!$B$1:$D$1,0)),""))))))</f>
        <v/>
      </c>
      <c r="AD265" s="41"/>
    </row>
    <row r="266" spans="1:30" s="22" customFormat="1" x14ac:dyDescent="0.25">
      <c r="A266" s="26"/>
      <c r="B266" s="27"/>
      <c r="C266" s="27"/>
      <c r="D266" s="27"/>
      <c r="E266" s="27"/>
      <c r="F266" s="45" t="str">
        <f t="shared" si="47"/>
        <v/>
      </c>
      <c r="G266" s="45" t="str">
        <f t="shared" si="48"/>
        <v/>
      </c>
      <c r="H266" s="27"/>
      <c r="I266" s="45" t="str">
        <f t="shared" si="49"/>
        <v/>
      </c>
      <c r="J266" s="45" t="str">
        <f t="shared" si="50"/>
        <v/>
      </c>
      <c r="K266" s="27"/>
      <c r="L266" s="45" t="str">
        <f t="shared" si="51"/>
        <v/>
      </c>
      <c r="M266" s="45" t="str">
        <f t="shared" si="52"/>
        <v/>
      </c>
      <c r="N266" s="27"/>
      <c r="O266" s="27"/>
      <c r="P266" s="28"/>
      <c r="Q266" s="28"/>
      <c r="R266" s="27"/>
      <c r="S266" s="27"/>
      <c r="T266" s="27"/>
      <c r="U266" s="27"/>
      <c r="V266" s="45" t="str">
        <f t="shared" si="53"/>
        <v/>
      </c>
      <c r="W266" s="45" t="str">
        <f t="shared" si="54"/>
        <v/>
      </c>
      <c r="X266" s="27"/>
      <c r="Y266" s="45" t="str">
        <f t="shared" si="44"/>
        <v/>
      </c>
      <c r="Z266" s="45" t="str">
        <f t="shared" si="45"/>
        <v/>
      </c>
      <c r="AA266" s="27"/>
      <c r="AB266" s="13" t="str">
        <f t="shared" ca="1" si="46"/>
        <v/>
      </c>
      <c r="AC266" s="13" t="str">
        <f ca="1">IF(A266="","",IF(OR(S266='02_マスタ'!$E$10,S266='02_マスタ'!$E$12),"",IF(R266="High","High",IF(AND(Q266&lt;&gt;"",Q266&lt;TODAY()),INDEX(_翻訳マスタ!$B$117:$D$247,MATCH("ALERT_OVERDUE",_翻訳マスタ!$A$117:$A$247,0),MATCH(言語切替!$B$3,_翻訳マスタ!$B$1:$D$1,0)),IF(AND(Q266&lt;&gt;"",Q266-TODAY()&lt;=7),INDEX(_翻訳マスタ!$B$117:$D$247,MATCH("ALERT_APPROACHING",_翻訳マスタ!$A$117:$A$247,0),MATCH(言語切替!$B$3,_翻訳マスタ!$B$1:$D$1,0)),IF(OR(S266='02_マスタ'!$E$7,S266='02_マスタ'!$E$8),INDEX(_翻訳マスタ!$B$117:$D$247,MATCH("ALERT_CHECK",_翻訳マスタ!$A$117:$A$247,0),MATCH(言語切替!$B$3,_翻訳マスタ!$B$1:$D$1,0)),""))))))</f>
        <v/>
      </c>
      <c r="AD266" s="40"/>
    </row>
    <row r="267" spans="1:30" s="22" customFormat="1" x14ac:dyDescent="0.25">
      <c r="A267" s="29"/>
      <c r="B267" s="30"/>
      <c r="C267" s="30"/>
      <c r="D267" s="30"/>
      <c r="E267" s="30"/>
      <c r="F267" s="46" t="str">
        <f t="shared" si="47"/>
        <v/>
      </c>
      <c r="G267" s="46" t="str">
        <f t="shared" si="48"/>
        <v/>
      </c>
      <c r="H267" s="30"/>
      <c r="I267" s="46" t="str">
        <f t="shared" si="49"/>
        <v/>
      </c>
      <c r="J267" s="46" t="str">
        <f t="shared" si="50"/>
        <v/>
      </c>
      <c r="K267" s="30"/>
      <c r="L267" s="46" t="str">
        <f t="shared" si="51"/>
        <v/>
      </c>
      <c r="M267" s="46" t="str">
        <f t="shared" si="52"/>
        <v/>
      </c>
      <c r="N267" s="30"/>
      <c r="O267" s="30"/>
      <c r="P267" s="31"/>
      <c r="Q267" s="31"/>
      <c r="R267" s="30"/>
      <c r="S267" s="30"/>
      <c r="T267" s="30"/>
      <c r="U267" s="30"/>
      <c r="V267" s="46" t="str">
        <f t="shared" si="53"/>
        <v/>
      </c>
      <c r="W267" s="46" t="str">
        <f t="shared" si="54"/>
        <v/>
      </c>
      <c r="X267" s="30"/>
      <c r="Y267" s="46" t="str">
        <f t="shared" si="44"/>
        <v/>
      </c>
      <c r="Z267" s="46" t="str">
        <f t="shared" si="45"/>
        <v/>
      </c>
      <c r="AA267" s="30"/>
      <c r="AB267" s="16" t="str">
        <f t="shared" ca="1" si="46"/>
        <v/>
      </c>
      <c r="AC267" s="16" t="str">
        <f ca="1">IF(A267="","",IF(OR(S267='02_マスタ'!$E$10,S267='02_マスタ'!$E$12),"",IF(R267="High","High",IF(AND(Q267&lt;&gt;"",Q267&lt;TODAY()),INDEX(_翻訳マスタ!$B$117:$D$247,MATCH("ALERT_OVERDUE",_翻訳マスタ!$A$117:$A$247,0),MATCH(言語切替!$B$3,_翻訳マスタ!$B$1:$D$1,0)),IF(AND(Q267&lt;&gt;"",Q267-TODAY()&lt;=7),INDEX(_翻訳マスタ!$B$117:$D$247,MATCH("ALERT_APPROACHING",_翻訳マスタ!$A$117:$A$247,0),MATCH(言語切替!$B$3,_翻訳マスタ!$B$1:$D$1,0)),IF(OR(S267='02_マスタ'!$E$7,S267='02_マスタ'!$E$8),INDEX(_翻訳マスタ!$B$117:$D$247,MATCH("ALERT_CHECK",_翻訳マスタ!$A$117:$A$247,0),MATCH(言語切替!$B$3,_翻訳マスタ!$B$1:$D$1,0)),""))))))</f>
        <v/>
      </c>
      <c r="AD267" s="41"/>
    </row>
    <row r="268" spans="1:30" s="22" customFormat="1" x14ac:dyDescent="0.25">
      <c r="A268" s="26"/>
      <c r="B268" s="27"/>
      <c r="C268" s="27"/>
      <c r="D268" s="27"/>
      <c r="E268" s="27"/>
      <c r="F268" s="45" t="str">
        <f t="shared" si="47"/>
        <v/>
      </c>
      <c r="G268" s="45" t="str">
        <f t="shared" si="48"/>
        <v/>
      </c>
      <c r="H268" s="27"/>
      <c r="I268" s="45" t="str">
        <f t="shared" si="49"/>
        <v/>
      </c>
      <c r="J268" s="45" t="str">
        <f t="shared" si="50"/>
        <v/>
      </c>
      <c r="K268" s="27"/>
      <c r="L268" s="45" t="str">
        <f t="shared" si="51"/>
        <v/>
      </c>
      <c r="M268" s="45" t="str">
        <f t="shared" si="52"/>
        <v/>
      </c>
      <c r="N268" s="27"/>
      <c r="O268" s="27"/>
      <c r="P268" s="28"/>
      <c r="Q268" s="28"/>
      <c r="R268" s="27"/>
      <c r="S268" s="27"/>
      <c r="T268" s="27"/>
      <c r="U268" s="27"/>
      <c r="V268" s="45" t="str">
        <f t="shared" si="53"/>
        <v/>
      </c>
      <c r="W268" s="45" t="str">
        <f t="shared" si="54"/>
        <v/>
      </c>
      <c r="X268" s="27"/>
      <c r="Y268" s="45" t="str">
        <f t="shared" si="44"/>
        <v/>
      </c>
      <c r="Z268" s="45" t="str">
        <f t="shared" si="45"/>
        <v/>
      </c>
      <c r="AA268" s="27"/>
      <c r="AB268" s="13" t="str">
        <f t="shared" ca="1" si="46"/>
        <v/>
      </c>
      <c r="AC268" s="13" t="str">
        <f ca="1">IF(A268="","",IF(OR(S268='02_マスタ'!$E$10,S268='02_マスタ'!$E$12),"",IF(R268="High","High",IF(AND(Q268&lt;&gt;"",Q268&lt;TODAY()),INDEX(_翻訳マスタ!$B$117:$D$247,MATCH("ALERT_OVERDUE",_翻訳マスタ!$A$117:$A$247,0),MATCH(言語切替!$B$3,_翻訳マスタ!$B$1:$D$1,0)),IF(AND(Q268&lt;&gt;"",Q268-TODAY()&lt;=7),INDEX(_翻訳マスタ!$B$117:$D$247,MATCH("ALERT_APPROACHING",_翻訳マスタ!$A$117:$A$247,0),MATCH(言語切替!$B$3,_翻訳マスタ!$B$1:$D$1,0)),IF(OR(S268='02_マスタ'!$E$7,S268='02_マスタ'!$E$8),INDEX(_翻訳マスタ!$B$117:$D$247,MATCH("ALERT_CHECK",_翻訳マスタ!$A$117:$A$247,0),MATCH(言語切替!$B$3,_翻訳マスタ!$B$1:$D$1,0)),""))))))</f>
        <v/>
      </c>
      <c r="AD268" s="40"/>
    </row>
    <row r="269" spans="1:30" s="22" customFormat="1" x14ac:dyDescent="0.25">
      <c r="A269" s="29"/>
      <c r="B269" s="30"/>
      <c r="C269" s="30"/>
      <c r="D269" s="30"/>
      <c r="E269" s="30"/>
      <c r="F269" s="46" t="str">
        <f t="shared" si="47"/>
        <v/>
      </c>
      <c r="G269" s="46" t="str">
        <f t="shared" si="48"/>
        <v/>
      </c>
      <c r="H269" s="30"/>
      <c r="I269" s="46" t="str">
        <f t="shared" si="49"/>
        <v/>
      </c>
      <c r="J269" s="46" t="str">
        <f t="shared" si="50"/>
        <v/>
      </c>
      <c r="K269" s="30"/>
      <c r="L269" s="46" t="str">
        <f t="shared" si="51"/>
        <v/>
      </c>
      <c r="M269" s="46" t="str">
        <f t="shared" si="52"/>
        <v/>
      </c>
      <c r="N269" s="30"/>
      <c r="O269" s="30"/>
      <c r="P269" s="31"/>
      <c r="Q269" s="31"/>
      <c r="R269" s="30"/>
      <c r="S269" s="30"/>
      <c r="T269" s="30"/>
      <c r="U269" s="30"/>
      <c r="V269" s="46" t="str">
        <f t="shared" si="53"/>
        <v/>
      </c>
      <c r="W269" s="46" t="str">
        <f t="shared" si="54"/>
        <v/>
      </c>
      <c r="X269" s="30"/>
      <c r="Y269" s="46" t="str">
        <f t="shared" si="44"/>
        <v/>
      </c>
      <c r="Z269" s="46" t="str">
        <f t="shared" si="45"/>
        <v/>
      </c>
      <c r="AA269" s="30"/>
      <c r="AB269" s="16" t="str">
        <f t="shared" ca="1" si="46"/>
        <v/>
      </c>
      <c r="AC269" s="16" t="str">
        <f ca="1">IF(A269="","",IF(OR(S269='02_マスタ'!$E$10,S269='02_マスタ'!$E$12),"",IF(R269="High","High",IF(AND(Q269&lt;&gt;"",Q269&lt;TODAY()),INDEX(_翻訳マスタ!$B$117:$D$247,MATCH("ALERT_OVERDUE",_翻訳マスタ!$A$117:$A$247,0),MATCH(言語切替!$B$3,_翻訳マスタ!$B$1:$D$1,0)),IF(AND(Q269&lt;&gt;"",Q269-TODAY()&lt;=7),INDEX(_翻訳マスタ!$B$117:$D$247,MATCH("ALERT_APPROACHING",_翻訳マスタ!$A$117:$A$247,0),MATCH(言語切替!$B$3,_翻訳マスタ!$B$1:$D$1,0)),IF(OR(S269='02_マスタ'!$E$7,S269='02_マスタ'!$E$8),INDEX(_翻訳マスタ!$B$117:$D$247,MATCH("ALERT_CHECK",_翻訳マスタ!$A$117:$A$247,0),MATCH(言語切替!$B$3,_翻訳マスタ!$B$1:$D$1,0)),""))))))</f>
        <v/>
      </c>
      <c r="AD269" s="41"/>
    </row>
    <row r="270" spans="1:30" s="22" customFormat="1" x14ac:dyDescent="0.25">
      <c r="A270" s="26"/>
      <c r="B270" s="27"/>
      <c r="C270" s="27"/>
      <c r="D270" s="27"/>
      <c r="E270" s="27"/>
      <c r="F270" s="45" t="str">
        <f t="shared" si="47"/>
        <v/>
      </c>
      <c r="G270" s="45" t="str">
        <f t="shared" si="48"/>
        <v/>
      </c>
      <c r="H270" s="27"/>
      <c r="I270" s="45" t="str">
        <f t="shared" si="49"/>
        <v/>
      </c>
      <c r="J270" s="45" t="str">
        <f t="shared" si="50"/>
        <v/>
      </c>
      <c r="K270" s="27"/>
      <c r="L270" s="45" t="str">
        <f t="shared" si="51"/>
        <v/>
      </c>
      <c r="M270" s="45" t="str">
        <f t="shared" si="52"/>
        <v/>
      </c>
      <c r="N270" s="27"/>
      <c r="O270" s="27"/>
      <c r="P270" s="28"/>
      <c r="Q270" s="28"/>
      <c r="R270" s="27"/>
      <c r="S270" s="27"/>
      <c r="T270" s="27"/>
      <c r="U270" s="27"/>
      <c r="V270" s="45" t="str">
        <f t="shared" si="53"/>
        <v/>
      </c>
      <c r="W270" s="45" t="str">
        <f t="shared" si="54"/>
        <v/>
      </c>
      <c r="X270" s="27"/>
      <c r="Y270" s="45" t="str">
        <f t="shared" si="44"/>
        <v/>
      </c>
      <c r="Z270" s="45" t="str">
        <f t="shared" si="45"/>
        <v/>
      </c>
      <c r="AA270" s="27"/>
      <c r="AB270" s="13" t="str">
        <f t="shared" ca="1" si="46"/>
        <v/>
      </c>
      <c r="AC270" s="13" t="str">
        <f ca="1">IF(A270="","",IF(OR(S270='02_マスタ'!$E$10,S270='02_マスタ'!$E$12),"",IF(R270="High","High",IF(AND(Q270&lt;&gt;"",Q270&lt;TODAY()),INDEX(_翻訳マスタ!$B$117:$D$247,MATCH("ALERT_OVERDUE",_翻訳マスタ!$A$117:$A$247,0),MATCH(言語切替!$B$3,_翻訳マスタ!$B$1:$D$1,0)),IF(AND(Q270&lt;&gt;"",Q270-TODAY()&lt;=7),INDEX(_翻訳マスタ!$B$117:$D$247,MATCH("ALERT_APPROACHING",_翻訳マスタ!$A$117:$A$247,0),MATCH(言語切替!$B$3,_翻訳マスタ!$B$1:$D$1,0)),IF(OR(S270='02_マスタ'!$E$7,S270='02_マスタ'!$E$8),INDEX(_翻訳マスタ!$B$117:$D$247,MATCH("ALERT_CHECK",_翻訳マスタ!$A$117:$A$247,0),MATCH(言語切替!$B$3,_翻訳マスタ!$B$1:$D$1,0)),""))))))</f>
        <v/>
      </c>
      <c r="AD270" s="40"/>
    </row>
    <row r="271" spans="1:30" s="22" customFormat="1" x14ac:dyDescent="0.25">
      <c r="A271" s="29"/>
      <c r="B271" s="30"/>
      <c r="C271" s="30"/>
      <c r="D271" s="30"/>
      <c r="E271" s="30"/>
      <c r="F271" s="46" t="str">
        <f t="shared" si="47"/>
        <v/>
      </c>
      <c r="G271" s="46" t="str">
        <f t="shared" si="48"/>
        <v/>
      </c>
      <c r="H271" s="30"/>
      <c r="I271" s="46" t="str">
        <f t="shared" si="49"/>
        <v/>
      </c>
      <c r="J271" s="46" t="str">
        <f t="shared" si="50"/>
        <v/>
      </c>
      <c r="K271" s="30"/>
      <c r="L271" s="46" t="str">
        <f t="shared" si="51"/>
        <v/>
      </c>
      <c r="M271" s="46" t="str">
        <f t="shared" si="52"/>
        <v/>
      </c>
      <c r="N271" s="30"/>
      <c r="O271" s="30"/>
      <c r="P271" s="31"/>
      <c r="Q271" s="31"/>
      <c r="R271" s="30"/>
      <c r="S271" s="30"/>
      <c r="T271" s="30"/>
      <c r="U271" s="30"/>
      <c r="V271" s="46" t="str">
        <f t="shared" si="53"/>
        <v/>
      </c>
      <c r="W271" s="46" t="str">
        <f t="shared" si="54"/>
        <v/>
      </c>
      <c r="X271" s="30"/>
      <c r="Y271" s="46" t="str">
        <f t="shared" si="44"/>
        <v/>
      </c>
      <c r="Z271" s="46" t="str">
        <f t="shared" si="45"/>
        <v/>
      </c>
      <c r="AA271" s="30"/>
      <c r="AB271" s="16" t="str">
        <f t="shared" ca="1" si="46"/>
        <v/>
      </c>
      <c r="AC271" s="16" t="str">
        <f ca="1">IF(A271="","",IF(OR(S271='02_マスタ'!$E$10,S271='02_マスタ'!$E$12),"",IF(R271="High","High",IF(AND(Q271&lt;&gt;"",Q271&lt;TODAY()),INDEX(_翻訳マスタ!$B$117:$D$247,MATCH("ALERT_OVERDUE",_翻訳マスタ!$A$117:$A$247,0),MATCH(言語切替!$B$3,_翻訳マスタ!$B$1:$D$1,0)),IF(AND(Q271&lt;&gt;"",Q271-TODAY()&lt;=7),INDEX(_翻訳マスタ!$B$117:$D$247,MATCH("ALERT_APPROACHING",_翻訳マスタ!$A$117:$A$247,0),MATCH(言語切替!$B$3,_翻訳マスタ!$B$1:$D$1,0)),IF(OR(S271='02_マスタ'!$E$7,S271='02_マスタ'!$E$8),INDEX(_翻訳マスタ!$B$117:$D$247,MATCH("ALERT_CHECK",_翻訳マスタ!$A$117:$A$247,0),MATCH(言語切替!$B$3,_翻訳マスタ!$B$1:$D$1,0)),""))))))</f>
        <v/>
      </c>
      <c r="AD271" s="41"/>
    </row>
    <row r="272" spans="1:30" s="22" customFormat="1" x14ac:dyDescent="0.25">
      <c r="A272" s="26"/>
      <c r="B272" s="27"/>
      <c r="C272" s="27"/>
      <c r="D272" s="27"/>
      <c r="E272" s="27"/>
      <c r="F272" s="45" t="str">
        <f t="shared" si="47"/>
        <v/>
      </c>
      <c r="G272" s="45" t="str">
        <f t="shared" si="48"/>
        <v/>
      </c>
      <c r="H272" s="27"/>
      <c r="I272" s="45" t="str">
        <f t="shared" si="49"/>
        <v/>
      </c>
      <c r="J272" s="45" t="str">
        <f t="shared" si="50"/>
        <v/>
      </c>
      <c r="K272" s="27"/>
      <c r="L272" s="45" t="str">
        <f t="shared" si="51"/>
        <v/>
      </c>
      <c r="M272" s="45" t="str">
        <f t="shared" si="52"/>
        <v/>
      </c>
      <c r="N272" s="27"/>
      <c r="O272" s="27"/>
      <c r="P272" s="28"/>
      <c r="Q272" s="28"/>
      <c r="R272" s="27"/>
      <c r="S272" s="27"/>
      <c r="T272" s="27"/>
      <c r="U272" s="27"/>
      <c r="V272" s="45" t="str">
        <f t="shared" si="53"/>
        <v/>
      </c>
      <c r="W272" s="45" t="str">
        <f t="shared" si="54"/>
        <v/>
      </c>
      <c r="X272" s="27"/>
      <c r="Y272" s="45" t="str">
        <f t="shared" si="44"/>
        <v/>
      </c>
      <c r="Z272" s="45" t="str">
        <f t="shared" si="45"/>
        <v/>
      </c>
      <c r="AA272" s="27"/>
      <c r="AB272" s="13" t="str">
        <f t="shared" ca="1" si="46"/>
        <v/>
      </c>
      <c r="AC272" s="13" t="str">
        <f ca="1">IF(A272="","",IF(OR(S272='02_マスタ'!$E$10,S272='02_マスタ'!$E$12),"",IF(R272="High","High",IF(AND(Q272&lt;&gt;"",Q272&lt;TODAY()),INDEX(_翻訳マスタ!$B$117:$D$247,MATCH("ALERT_OVERDUE",_翻訳マスタ!$A$117:$A$247,0),MATCH(言語切替!$B$3,_翻訳マスタ!$B$1:$D$1,0)),IF(AND(Q272&lt;&gt;"",Q272-TODAY()&lt;=7),INDEX(_翻訳マスタ!$B$117:$D$247,MATCH("ALERT_APPROACHING",_翻訳マスタ!$A$117:$A$247,0),MATCH(言語切替!$B$3,_翻訳マスタ!$B$1:$D$1,0)),IF(OR(S272='02_マスタ'!$E$7,S272='02_マスタ'!$E$8),INDEX(_翻訳マスタ!$B$117:$D$247,MATCH("ALERT_CHECK",_翻訳マスタ!$A$117:$A$247,0),MATCH(言語切替!$B$3,_翻訳マスタ!$B$1:$D$1,0)),""))))))</f>
        <v/>
      </c>
      <c r="AD272" s="40"/>
    </row>
    <row r="273" spans="1:30" s="22" customFormat="1" x14ac:dyDescent="0.25">
      <c r="A273" s="29"/>
      <c r="B273" s="30"/>
      <c r="C273" s="30"/>
      <c r="D273" s="30"/>
      <c r="E273" s="30"/>
      <c r="F273" s="46" t="str">
        <f t="shared" si="47"/>
        <v/>
      </c>
      <c r="G273" s="46" t="str">
        <f t="shared" si="48"/>
        <v/>
      </c>
      <c r="H273" s="30"/>
      <c r="I273" s="46" t="str">
        <f t="shared" si="49"/>
        <v/>
      </c>
      <c r="J273" s="46" t="str">
        <f t="shared" si="50"/>
        <v/>
      </c>
      <c r="K273" s="30"/>
      <c r="L273" s="46" t="str">
        <f t="shared" si="51"/>
        <v/>
      </c>
      <c r="M273" s="46" t="str">
        <f t="shared" si="52"/>
        <v/>
      </c>
      <c r="N273" s="30"/>
      <c r="O273" s="30"/>
      <c r="P273" s="31"/>
      <c r="Q273" s="31"/>
      <c r="R273" s="30"/>
      <c r="S273" s="30"/>
      <c r="T273" s="30"/>
      <c r="U273" s="30"/>
      <c r="V273" s="46" t="str">
        <f t="shared" si="53"/>
        <v/>
      </c>
      <c r="W273" s="46" t="str">
        <f t="shared" si="54"/>
        <v/>
      </c>
      <c r="X273" s="30"/>
      <c r="Y273" s="46" t="str">
        <f t="shared" si="44"/>
        <v/>
      </c>
      <c r="Z273" s="46" t="str">
        <f t="shared" si="45"/>
        <v/>
      </c>
      <c r="AA273" s="30"/>
      <c r="AB273" s="16" t="str">
        <f t="shared" ca="1" si="46"/>
        <v/>
      </c>
      <c r="AC273" s="16" t="str">
        <f ca="1">IF(A273="","",IF(OR(S273='02_マスタ'!$E$10,S273='02_マスタ'!$E$12),"",IF(R273="High","High",IF(AND(Q273&lt;&gt;"",Q273&lt;TODAY()),INDEX(_翻訳マスタ!$B$117:$D$247,MATCH("ALERT_OVERDUE",_翻訳マスタ!$A$117:$A$247,0),MATCH(言語切替!$B$3,_翻訳マスタ!$B$1:$D$1,0)),IF(AND(Q273&lt;&gt;"",Q273-TODAY()&lt;=7),INDEX(_翻訳マスタ!$B$117:$D$247,MATCH("ALERT_APPROACHING",_翻訳マスタ!$A$117:$A$247,0),MATCH(言語切替!$B$3,_翻訳マスタ!$B$1:$D$1,0)),IF(OR(S273='02_マスタ'!$E$7,S273='02_マスタ'!$E$8),INDEX(_翻訳マスタ!$B$117:$D$247,MATCH("ALERT_CHECK",_翻訳マスタ!$A$117:$A$247,0),MATCH(言語切替!$B$3,_翻訳マスタ!$B$1:$D$1,0)),""))))))</f>
        <v/>
      </c>
      <c r="AD273" s="41"/>
    </row>
    <row r="274" spans="1:30" s="22" customFormat="1" x14ac:dyDescent="0.25">
      <c r="A274" s="26"/>
      <c r="B274" s="27"/>
      <c r="C274" s="27"/>
      <c r="D274" s="27"/>
      <c r="E274" s="27"/>
      <c r="F274" s="45" t="str">
        <f t="shared" si="47"/>
        <v/>
      </c>
      <c r="G274" s="45" t="str">
        <f t="shared" si="48"/>
        <v/>
      </c>
      <c r="H274" s="27"/>
      <c r="I274" s="45" t="str">
        <f t="shared" si="49"/>
        <v/>
      </c>
      <c r="J274" s="45" t="str">
        <f t="shared" si="50"/>
        <v/>
      </c>
      <c r="K274" s="27"/>
      <c r="L274" s="45" t="str">
        <f t="shared" si="51"/>
        <v/>
      </c>
      <c r="M274" s="45" t="str">
        <f t="shared" si="52"/>
        <v/>
      </c>
      <c r="N274" s="27"/>
      <c r="O274" s="27"/>
      <c r="P274" s="28"/>
      <c r="Q274" s="28"/>
      <c r="R274" s="27"/>
      <c r="S274" s="27"/>
      <c r="T274" s="27"/>
      <c r="U274" s="27"/>
      <c r="V274" s="45" t="str">
        <f t="shared" si="53"/>
        <v/>
      </c>
      <c r="W274" s="45" t="str">
        <f t="shared" si="54"/>
        <v/>
      </c>
      <c r="X274" s="27"/>
      <c r="Y274" s="45" t="str">
        <f t="shared" si="44"/>
        <v/>
      </c>
      <c r="Z274" s="45" t="str">
        <f t="shared" si="45"/>
        <v/>
      </c>
      <c r="AA274" s="27"/>
      <c r="AB274" s="13" t="str">
        <f t="shared" ca="1" si="46"/>
        <v/>
      </c>
      <c r="AC274" s="13" t="str">
        <f ca="1">IF(A274="","",IF(OR(S274='02_マスタ'!$E$10,S274='02_マスタ'!$E$12),"",IF(R274="High","High",IF(AND(Q274&lt;&gt;"",Q274&lt;TODAY()),INDEX(_翻訳マスタ!$B$117:$D$247,MATCH("ALERT_OVERDUE",_翻訳マスタ!$A$117:$A$247,0),MATCH(言語切替!$B$3,_翻訳マスタ!$B$1:$D$1,0)),IF(AND(Q274&lt;&gt;"",Q274-TODAY()&lt;=7),INDEX(_翻訳マスタ!$B$117:$D$247,MATCH("ALERT_APPROACHING",_翻訳マスタ!$A$117:$A$247,0),MATCH(言語切替!$B$3,_翻訳マスタ!$B$1:$D$1,0)),IF(OR(S274='02_マスタ'!$E$7,S274='02_マスタ'!$E$8),INDEX(_翻訳マスタ!$B$117:$D$247,MATCH("ALERT_CHECK",_翻訳マスタ!$A$117:$A$247,0),MATCH(言語切替!$B$3,_翻訳マスタ!$B$1:$D$1,0)),""))))))</f>
        <v/>
      </c>
      <c r="AD274" s="40"/>
    </row>
    <row r="275" spans="1:30" s="22" customFormat="1" x14ac:dyDescent="0.25">
      <c r="A275" s="29"/>
      <c r="B275" s="30"/>
      <c r="C275" s="30"/>
      <c r="D275" s="30"/>
      <c r="E275" s="30"/>
      <c r="F275" s="46" t="str">
        <f t="shared" si="47"/>
        <v/>
      </c>
      <c r="G275" s="46" t="str">
        <f t="shared" si="48"/>
        <v/>
      </c>
      <c r="H275" s="30"/>
      <c r="I275" s="46" t="str">
        <f t="shared" si="49"/>
        <v/>
      </c>
      <c r="J275" s="46" t="str">
        <f t="shared" si="50"/>
        <v/>
      </c>
      <c r="K275" s="30"/>
      <c r="L275" s="46" t="str">
        <f t="shared" si="51"/>
        <v/>
      </c>
      <c r="M275" s="46" t="str">
        <f t="shared" si="52"/>
        <v/>
      </c>
      <c r="N275" s="30"/>
      <c r="O275" s="30"/>
      <c r="P275" s="31"/>
      <c r="Q275" s="31"/>
      <c r="R275" s="30"/>
      <c r="S275" s="30"/>
      <c r="T275" s="30"/>
      <c r="U275" s="30"/>
      <c r="V275" s="46" t="str">
        <f t="shared" si="53"/>
        <v/>
      </c>
      <c r="W275" s="46" t="str">
        <f t="shared" si="54"/>
        <v/>
      </c>
      <c r="X275" s="30"/>
      <c r="Y275" s="46" t="str">
        <f t="shared" si="44"/>
        <v/>
      </c>
      <c r="Z275" s="46" t="str">
        <f t="shared" si="45"/>
        <v/>
      </c>
      <c r="AA275" s="30"/>
      <c r="AB275" s="16" t="str">
        <f t="shared" ca="1" si="46"/>
        <v/>
      </c>
      <c r="AC275" s="16" t="str">
        <f ca="1">IF(A275="","",IF(OR(S275='02_マスタ'!$E$10,S275='02_マスタ'!$E$12),"",IF(R275="High","High",IF(AND(Q275&lt;&gt;"",Q275&lt;TODAY()),INDEX(_翻訳マスタ!$B$117:$D$247,MATCH("ALERT_OVERDUE",_翻訳マスタ!$A$117:$A$247,0),MATCH(言語切替!$B$3,_翻訳マスタ!$B$1:$D$1,0)),IF(AND(Q275&lt;&gt;"",Q275-TODAY()&lt;=7),INDEX(_翻訳マスタ!$B$117:$D$247,MATCH("ALERT_APPROACHING",_翻訳マスタ!$A$117:$A$247,0),MATCH(言語切替!$B$3,_翻訳マスタ!$B$1:$D$1,0)),IF(OR(S275='02_マスタ'!$E$7,S275='02_マスタ'!$E$8),INDEX(_翻訳マスタ!$B$117:$D$247,MATCH("ALERT_CHECK",_翻訳マスタ!$A$117:$A$247,0),MATCH(言語切替!$B$3,_翻訳マスタ!$B$1:$D$1,0)),""))))))</f>
        <v/>
      </c>
      <c r="AD275" s="41"/>
    </row>
    <row r="276" spans="1:30" s="22" customFormat="1" x14ac:dyDescent="0.25">
      <c r="A276" s="26"/>
      <c r="B276" s="27"/>
      <c r="C276" s="27"/>
      <c r="D276" s="27"/>
      <c r="E276" s="27"/>
      <c r="F276" s="45" t="str">
        <f t="shared" si="47"/>
        <v/>
      </c>
      <c r="G276" s="45" t="str">
        <f t="shared" si="48"/>
        <v/>
      </c>
      <c r="H276" s="27"/>
      <c r="I276" s="45" t="str">
        <f t="shared" si="49"/>
        <v/>
      </c>
      <c r="J276" s="45" t="str">
        <f t="shared" si="50"/>
        <v/>
      </c>
      <c r="K276" s="27"/>
      <c r="L276" s="45" t="str">
        <f t="shared" si="51"/>
        <v/>
      </c>
      <c r="M276" s="45" t="str">
        <f t="shared" si="52"/>
        <v/>
      </c>
      <c r="N276" s="27"/>
      <c r="O276" s="27"/>
      <c r="P276" s="28"/>
      <c r="Q276" s="28"/>
      <c r="R276" s="27"/>
      <c r="S276" s="27"/>
      <c r="T276" s="27"/>
      <c r="U276" s="27"/>
      <c r="V276" s="45" t="str">
        <f t="shared" si="53"/>
        <v/>
      </c>
      <c r="W276" s="45" t="str">
        <f t="shared" si="54"/>
        <v/>
      </c>
      <c r="X276" s="27"/>
      <c r="Y276" s="45" t="str">
        <f t="shared" si="44"/>
        <v/>
      </c>
      <c r="Z276" s="45" t="str">
        <f t="shared" si="45"/>
        <v/>
      </c>
      <c r="AA276" s="27"/>
      <c r="AB276" s="13" t="str">
        <f t="shared" ca="1" si="46"/>
        <v/>
      </c>
      <c r="AC276" s="13" t="str">
        <f ca="1">IF(A276="","",IF(OR(S276='02_マスタ'!$E$10,S276='02_マスタ'!$E$12),"",IF(R276="High","High",IF(AND(Q276&lt;&gt;"",Q276&lt;TODAY()),INDEX(_翻訳マスタ!$B$117:$D$247,MATCH("ALERT_OVERDUE",_翻訳マスタ!$A$117:$A$247,0),MATCH(言語切替!$B$3,_翻訳マスタ!$B$1:$D$1,0)),IF(AND(Q276&lt;&gt;"",Q276-TODAY()&lt;=7),INDEX(_翻訳マスタ!$B$117:$D$247,MATCH("ALERT_APPROACHING",_翻訳マスタ!$A$117:$A$247,0),MATCH(言語切替!$B$3,_翻訳マスタ!$B$1:$D$1,0)),IF(OR(S276='02_マスタ'!$E$7,S276='02_マスタ'!$E$8),INDEX(_翻訳マスタ!$B$117:$D$247,MATCH("ALERT_CHECK",_翻訳マスタ!$A$117:$A$247,0),MATCH(言語切替!$B$3,_翻訳マスタ!$B$1:$D$1,0)),""))))))</f>
        <v/>
      </c>
      <c r="AD276" s="40"/>
    </row>
    <row r="277" spans="1:30" s="22" customFormat="1" x14ac:dyDescent="0.25">
      <c r="A277" s="29"/>
      <c r="B277" s="30"/>
      <c r="C277" s="30"/>
      <c r="D277" s="30"/>
      <c r="E277" s="30"/>
      <c r="F277" s="46" t="str">
        <f t="shared" si="47"/>
        <v/>
      </c>
      <c r="G277" s="46" t="str">
        <f t="shared" si="48"/>
        <v/>
      </c>
      <c r="H277" s="30"/>
      <c r="I277" s="46" t="str">
        <f t="shared" si="49"/>
        <v/>
      </c>
      <c r="J277" s="46" t="str">
        <f t="shared" si="50"/>
        <v/>
      </c>
      <c r="K277" s="30"/>
      <c r="L277" s="46" t="str">
        <f t="shared" si="51"/>
        <v/>
      </c>
      <c r="M277" s="46" t="str">
        <f t="shared" si="52"/>
        <v/>
      </c>
      <c r="N277" s="30"/>
      <c r="O277" s="30"/>
      <c r="P277" s="31"/>
      <c r="Q277" s="31"/>
      <c r="R277" s="30"/>
      <c r="S277" s="30"/>
      <c r="T277" s="30"/>
      <c r="U277" s="30"/>
      <c r="V277" s="46" t="str">
        <f t="shared" si="53"/>
        <v/>
      </c>
      <c r="W277" s="46" t="str">
        <f t="shared" si="54"/>
        <v/>
      </c>
      <c r="X277" s="30"/>
      <c r="Y277" s="46" t="str">
        <f t="shared" si="44"/>
        <v/>
      </c>
      <c r="Z277" s="46" t="str">
        <f t="shared" si="45"/>
        <v/>
      </c>
      <c r="AA277" s="30"/>
      <c r="AB277" s="16" t="str">
        <f t="shared" ca="1" si="46"/>
        <v/>
      </c>
      <c r="AC277" s="16" t="str">
        <f ca="1">IF(A277="","",IF(OR(S277='02_マスタ'!$E$10,S277='02_マスタ'!$E$12),"",IF(R277="High","High",IF(AND(Q277&lt;&gt;"",Q277&lt;TODAY()),INDEX(_翻訳マスタ!$B$117:$D$247,MATCH("ALERT_OVERDUE",_翻訳マスタ!$A$117:$A$247,0),MATCH(言語切替!$B$3,_翻訳マスタ!$B$1:$D$1,0)),IF(AND(Q277&lt;&gt;"",Q277-TODAY()&lt;=7),INDEX(_翻訳マスタ!$B$117:$D$247,MATCH("ALERT_APPROACHING",_翻訳マスタ!$A$117:$A$247,0),MATCH(言語切替!$B$3,_翻訳マスタ!$B$1:$D$1,0)),IF(OR(S277='02_マスタ'!$E$7,S277='02_マスタ'!$E$8),INDEX(_翻訳マスタ!$B$117:$D$247,MATCH("ALERT_CHECK",_翻訳マスタ!$A$117:$A$247,0),MATCH(言語切替!$B$3,_翻訳マスタ!$B$1:$D$1,0)),""))))))</f>
        <v/>
      </c>
      <c r="AD277" s="41"/>
    </row>
    <row r="278" spans="1:30" s="22" customFormat="1" x14ac:dyDescent="0.25">
      <c r="A278" s="26"/>
      <c r="B278" s="27"/>
      <c r="C278" s="27"/>
      <c r="D278" s="27"/>
      <c r="E278" s="27"/>
      <c r="F278" s="45" t="str">
        <f t="shared" si="47"/>
        <v/>
      </c>
      <c r="G278" s="45" t="str">
        <f t="shared" si="48"/>
        <v/>
      </c>
      <c r="H278" s="27"/>
      <c r="I278" s="45" t="str">
        <f t="shared" si="49"/>
        <v/>
      </c>
      <c r="J278" s="45" t="str">
        <f t="shared" si="50"/>
        <v/>
      </c>
      <c r="K278" s="27"/>
      <c r="L278" s="45" t="str">
        <f t="shared" si="51"/>
        <v/>
      </c>
      <c r="M278" s="45" t="str">
        <f t="shared" si="52"/>
        <v/>
      </c>
      <c r="N278" s="27"/>
      <c r="O278" s="27"/>
      <c r="P278" s="28"/>
      <c r="Q278" s="28"/>
      <c r="R278" s="27"/>
      <c r="S278" s="27"/>
      <c r="T278" s="27"/>
      <c r="U278" s="27"/>
      <c r="V278" s="45" t="str">
        <f t="shared" si="53"/>
        <v/>
      </c>
      <c r="W278" s="45" t="str">
        <f t="shared" si="54"/>
        <v/>
      </c>
      <c r="X278" s="27"/>
      <c r="Y278" s="45" t="str">
        <f t="shared" si="44"/>
        <v/>
      </c>
      <c r="Z278" s="45" t="str">
        <f t="shared" si="45"/>
        <v/>
      </c>
      <c r="AA278" s="27"/>
      <c r="AB278" s="13" t="str">
        <f t="shared" ca="1" si="46"/>
        <v/>
      </c>
      <c r="AC278" s="13" t="str">
        <f ca="1">IF(A278="","",IF(OR(S278='02_マスタ'!$E$10,S278='02_マスタ'!$E$12),"",IF(R278="High","High",IF(AND(Q278&lt;&gt;"",Q278&lt;TODAY()),INDEX(_翻訳マスタ!$B$117:$D$247,MATCH("ALERT_OVERDUE",_翻訳マスタ!$A$117:$A$247,0),MATCH(言語切替!$B$3,_翻訳マスタ!$B$1:$D$1,0)),IF(AND(Q278&lt;&gt;"",Q278-TODAY()&lt;=7),INDEX(_翻訳マスタ!$B$117:$D$247,MATCH("ALERT_APPROACHING",_翻訳マスタ!$A$117:$A$247,0),MATCH(言語切替!$B$3,_翻訳マスタ!$B$1:$D$1,0)),IF(OR(S278='02_マスタ'!$E$7,S278='02_マスタ'!$E$8),INDEX(_翻訳マスタ!$B$117:$D$247,MATCH("ALERT_CHECK",_翻訳マスタ!$A$117:$A$247,0),MATCH(言語切替!$B$3,_翻訳マスタ!$B$1:$D$1,0)),""))))))</f>
        <v/>
      </c>
      <c r="AD278" s="40"/>
    </row>
    <row r="279" spans="1:30" s="22" customFormat="1" x14ac:dyDescent="0.25">
      <c r="A279" s="29"/>
      <c r="B279" s="30"/>
      <c r="C279" s="30"/>
      <c r="D279" s="30"/>
      <c r="E279" s="30"/>
      <c r="F279" s="46" t="str">
        <f t="shared" si="47"/>
        <v/>
      </c>
      <c r="G279" s="46" t="str">
        <f t="shared" si="48"/>
        <v/>
      </c>
      <c r="H279" s="30"/>
      <c r="I279" s="46" t="str">
        <f t="shared" si="49"/>
        <v/>
      </c>
      <c r="J279" s="46" t="str">
        <f t="shared" si="50"/>
        <v/>
      </c>
      <c r="K279" s="30"/>
      <c r="L279" s="46" t="str">
        <f t="shared" si="51"/>
        <v/>
      </c>
      <c r="M279" s="46" t="str">
        <f t="shared" si="52"/>
        <v/>
      </c>
      <c r="N279" s="30"/>
      <c r="O279" s="30"/>
      <c r="P279" s="31"/>
      <c r="Q279" s="31"/>
      <c r="R279" s="30"/>
      <c r="S279" s="30"/>
      <c r="T279" s="30"/>
      <c r="U279" s="30"/>
      <c r="V279" s="46" t="str">
        <f t="shared" si="53"/>
        <v/>
      </c>
      <c r="W279" s="46" t="str">
        <f t="shared" si="54"/>
        <v/>
      </c>
      <c r="X279" s="30"/>
      <c r="Y279" s="46" t="str">
        <f t="shared" si="44"/>
        <v/>
      </c>
      <c r="Z279" s="46" t="str">
        <f t="shared" si="45"/>
        <v/>
      </c>
      <c r="AA279" s="30"/>
      <c r="AB279" s="16" t="str">
        <f t="shared" ca="1" si="46"/>
        <v/>
      </c>
      <c r="AC279" s="16" t="str">
        <f ca="1">IF(A279="","",IF(OR(S279='02_マスタ'!$E$10,S279='02_マスタ'!$E$12),"",IF(R279="High","High",IF(AND(Q279&lt;&gt;"",Q279&lt;TODAY()),INDEX(_翻訳マスタ!$B$117:$D$247,MATCH("ALERT_OVERDUE",_翻訳マスタ!$A$117:$A$247,0),MATCH(言語切替!$B$3,_翻訳マスタ!$B$1:$D$1,0)),IF(AND(Q279&lt;&gt;"",Q279-TODAY()&lt;=7),INDEX(_翻訳マスタ!$B$117:$D$247,MATCH("ALERT_APPROACHING",_翻訳マスタ!$A$117:$A$247,0),MATCH(言語切替!$B$3,_翻訳マスタ!$B$1:$D$1,0)),IF(OR(S279='02_マスタ'!$E$7,S279='02_マスタ'!$E$8),INDEX(_翻訳マスタ!$B$117:$D$247,MATCH("ALERT_CHECK",_翻訳マスタ!$A$117:$A$247,0),MATCH(言語切替!$B$3,_翻訳マスタ!$B$1:$D$1,0)),""))))))</f>
        <v/>
      </c>
      <c r="AD279" s="41"/>
    </row>
    <row r="280" spans="1:30" s="22" customFormat="1" x14ac:dyDescent="0.25">
      <c r="A280" s="26"/>
      <c r="B280" s="27"/>
      <c r="C280" s="27"/>
      <c r="D280" s="27"/>
      <c r="E280" s="27"/>
      <c r="F280" s="45" t="str">
        <f t="shared" si="47"/>
        <v/>
      </c>
      <c r="G280" s="45" t="str">
        <f t="shared" si="48"/>
        <v/>
      </c>
      <c r="H280" s="27"/>
      <c r="I280" s="45" t="str">
        <f t="shared" si="49"/>
        <v/>
      </c>
      <c r="J280" s="45" t="str">
        <f t="shared" si="50"/>
        <v/>
      </c>
      <c r="K280" s="27"/>
      <c r="L280" s="45" t="str">
        <f t="shared" si="51"/>
        <v/>
      </c>
      <c r="M280" s="45" t="str">
        <f t="shared" si="52"/>
        <v/>
      </c>
      <c r="N280" s="27"/>
      <c r="O280" s="27"/>
      <c r="P280" s="28"/>
      <c r="Q280" s="28"/>
      <c r="R280" s="27"/>
      <c r="S280" s="27"/>
      <c r="T280" s="27"/>
      <c r="U280" s="27"/>
      <c r="V280" s="45" t="str">
        <f t="shared" si="53"/>
        <v/>
      </c>
      <c r="W280" s="45" t="str">
        <f t="shared" si="54"/>
        <v/>
      </c>
      <c r="X280" s="27"/>
      <c r="Y280" s="45" t="str">
        <f t="shared" si="44"/>
        <v/>
      </c>
      <c r="Z280" s="45" t="str">
        <f t="shared" si="45"/>
        <v/>
      </c>
      <c r="AA280" s="27"/>
      <c r="AB280" s="13" t="str">
        <f t="shared" ca="1" si="46"/>
        <v/>
      </c>
      <c r="AC280" s="13" t="str">
        <f ca="1">IF(A280="","",IF(OR(S280='02_マスタ'!$E$10,S280='02_マスタ'!$E$12),"",IF(R280="High","High",IF(AND(Q280&lt;&gt;"",Q280&lt;TODAY()),INDEX(_翻訳マスタ!$B$117:$D$247,MATCH("ALERT_OVERDUE",_翻訳マスタ!$A$117:$A$247,0),MATCH(言語切替!$B$3,_翻訳マスタ!$B$1:$D$1,0)),IF(AND(Q280&lt;&gt;"",Q280-TODAY()&lt;=7),INDEX(_翻訳マスタ!$B$117:$D$247,MATCH("ALERT_APPROACHING",_翻訳マスタ!$A$117:$A$247,0),MATCH(言語切替!$B$3,_翻訳マスタ!$B$1:$D$1,0)),IF(OR(S280='02_マスタ'!$E$7,S280='02_マスタ'!$E$8),INDEX(_翻訳マスタ!$B$117:$D$247,MATCH("ALERT_CHECK",_翻訳マスタ!$A$117:$A$247,0),MATCH(言語切替!$B$3,_翻訳マスタ!$B$1:$D$1,0)),""))))))</f>
        <v/>
      </c>
      <c r="AD280" s="40"/>
    </row>
    <row r="281" spans="1:30" s="22" customFormat="1" x14ac:dyDescent="0.25">
      <c r="A281" s="29"/>
      <c r="B281" s="30"/>
      <c r="C281" s="30"/>
      <c r="D281" s="30"/>
      <c r="E281" s="30"/>
      <c r="F281" s="46" t="str">
        <f t="shared" si="47"/>
        <v/>
      </c>
      <c r="G281" s="46" t="str">
        <f t="shared" si="48"/>
        <v/>
      </c>
      <c r="H281" s="30"/>
      <c r="I281" s="46" t="str">
        <f t="shared" si="49"/>
        <v/>
      </c>
      <c r="J281" s="46" t="str">
        <f t="shared" si="50"/>
        <v/>
      </c>
      <c r="K281" s="30"/>
      <c r="L281" s="46" t="str">
        <f t="shared" si="51"/>
        <v/>
      </c>
      <c r="M281" s="46" t="str">
        <f t="shared" si="52"/>
        <v/>
      </c>
      <c r="N281" s="30"/>
      <c r="O281" s="30"/>
      <c r="P281" s="31"/>
      <c r="Q281" s="31"/>
      <c r="R281" s="30"/>
      <c r="S281" s="30"/>
      <c r="T281" s="30"/>
      <c r="U281" s="30"/>
      <c r="V281" s="46" t="str">
        <f t="shared" si="53"/>
        <v/>
      </c>
      <c r="W281" s="46" t="str">
        <f t="shared" si="54"/>
        <v/>
      </c>
      <c r="X281" s="30"/>
      <c r="Y281" s="46" t="str">
        <f t="shared" si="44"/>
        <v/>
      </c>
      <c r="Z281" s="46" t="str">
        <f t="shared" si="45"/>
        <v/>
      </c>
      <c r="AA281" s="30"/>
      <c r="AB281" s="16" t="str">
        <f t="shared" ca="1" si="46"/>
        <v/>
      </c>
      <c r="AC281" s="16" t="str">
        <f ca="1">IF(A281="","",IF(OR(S281='02_マスタ'!$E$10,S281='02_マスタ'!$E$12),"",IF(R281="High","High",IF(AND(Q281&lt;&gt;"",Q281&lt;TODAY()),INDEX(_翻訳マスタ!$B$117:$D$247,MATCH("ALERT_OVERDUE",_翻訳マスタ!$A$117:$A$247,0),MATCH(言語切替!$B$3,_翻訳マスタ!$B$1:$D$1,0)),IF(AND(Q281&lt;&gt;"",Q281-TODAY()&lt;=7),INDEX(_翻訳マスタ!$B$117:$D$247,MATCH("ALERT_APPROACHING",_翻訳マスタ!$A$117:$A$247,0),MATCH(言語切替!$B$3,_翻訳マスタ!$B$1:$D$1,0)),IF(OR(S281='02_マスタ'!$E$7,S281='02_マスタ'!$E$8),INDEX(_翻訳マスタ!$B$117:$D$247,MATCH("ALERT_CHECK",_翻訳マスタ!$A$117:$A$247,0),MATCH(言語切替!$B$3,_翻訳マスタ!$B$1:$D$1,0)),""))))))</f>
        <v/>
      </c>
      <c r="AD281" s="41"/>
    </row>
    <row r="282" spans="1:30" s="22" customFormat="1" x14ac:dyDescent="0.25">
      <c r="A282" s="26"/>
      <c r="B282" s="27"/>
      <c r="C282" s="27"/>
      <c r="D282" s="27"/>
      <c r="E282" s="27"/>
      <c r="F282" s="45" t="str">
        <f t="shared" si="47"/>
        <v/>
      </c>
      <c r="G282" s="45" t="str">
        <f t="shared" si="48"/>
        <v/>
      </c>
      <c r="H282" s="27"/>
      <c r="I282" s="45" t="str">
        <f t="shared" si="49"/>
        <v/>
      </c>
      <c r="J282" s="45" t="str">
        <f t="shared" si="50"/>
        <v/>
      </c>
      <c r="K282" s="27"/>
      <c r="L282" s="45" t="str">
        <f t="shared" si="51"/>
        <v/>
      </c>
      <c r="M282" s="45" t="str">
        <f t="shared" si="52"/>
        <v/>
      </c>
      <c r="N282" s="27"/>
      <c r="O282" s="27"/>
      <c r="P282" s="28"/>
      <c r="Q282" s="28"/>
      <c r="R282" s="27"/>
      <c r="S282" s="27"/>
      <c r="T282" s="27"/>
      <c r="U282" s="27"/>
      <c r="V282" s="45" t="str">
        <f t="shared" si="53"/>
        <v/>
      </c>
      <c r="W282" s="45" t="str">
        <f t="shared" si="54"/>
        <v/>
      </c>
      <c r="X282" s="27"/>
      <c r="Y282" s="45" t="str">
        <f t="shared" si="44"/>
        <v/>
      </c>
      <c r="Z282" s="45" t="str">
        <f t="shared" si="45"/>
        <v/>
      </c>
      <c r="AA282" s="27"/>
      <c r="AB282" s="13" t="str">
        <f t="shared" ca="1" si="46"/>
        <v/>
      </c>
      <c r="AC282" s="13" t="str">
        <f ca="1">IF(A282="","",IF(OR(S282='02_マスタ'!$E$10,S282='02_マスタ'!$E$12),"",IF(R282="High","High",IF(AND(Q282&lt;&gt;"",Q282&lt;TODAY()),INDEX(_翻訳マスタ!$B$117:$D$247,MATCH("ALERT_OVERDUE",_翻訳マスタ!$A$117:$A$247,0),MATCH(言語切替!$B$3,_翻訳マスタ!$B$1:$D$1,0)),IF(AND(Q282&lt;&gt;"",Q282-TODAY()&lt;=7),INDEX(_翻訳マスタ!$B$117:$D$247,MATCH("ALERT_APPROACHING",_翻訳マスタ!$A$117:$A$247,0),MATCH(言語切替!$B$3,_翻訳マスタ!$B$1:$D$1,0)),IF(OR(S282='02_マスタ'!$E$7,S282='02_マスタ'!$E$8),INDEX(_翻訳マスタ!$B$117:$D$247,MATCH("ALERT_CHECK",_翻訳マスタ!$A$117:$A$247,0),MATCH(言語切替!$B$3,_翻訳マスタ!$B$1:$D$1,0)),""))))))</f>
        <v/>
      </c>
      <c r="AD282" s="40"/>
    </row>
    <row r="283" spans="1:30" s="22" customFormat="1" x14ac:dyDescent="0.25">
      <c r="A283" s="29"/>
      <c r="B283" s="30"/>
      <c r="C283" s="30"/>
      <c r="D283" s="30"/>
      <c r="E283" s="30"/>
      <c r="F283" s="46" t="str">
        <f t="shared" si="47"/>
        <v/>
      </c>
      <c r="G283" s="46" t="str">
        <f t="shared" si="48"/>
        <v/>
      </c>
      <c r="H283" s="30"/>
      <c r="I283" s="46" t="str">
        <f t="shared" si="49"/>
        <v/>
      </c>
      <c r="J283" s="46" t="str">
        <f t="shared" si="50"/>
        <v/>
      </c>
      <c r="K283" s="30"/>
      <c r="L283" s="46" t="str">
        <f t="shared" si="51"/>
        <v/>
      </c>
      <c r="M283" s="46" t="str">
        <f t="shared" si="52"/>
        <v/>
      </c>
      <c r="N283" s="30"/>
      <c r="O283" s="30"/>
      <c r="P283" s="31"/>
      <c r="Q283" s="31"/>
      <c r="R283" s="30"/>
      <c r="S283" s="30"/>
      <c r="T283" s="30"/>
      <c r="U283" s="30"/>
      <c r="V283" s="46" t="str">
        <f t="shared" si="53"/>
        <v/>
      </c>
      <c r="W283" s="46" t="str">
        <f t="shared" si="54"/>
        <v/>
      </c>
      <c r="X283" s="30"/>
      <c r="Y283" s="46" t="str">
        <f t="shared" si="44"/>
        <v/>
      </c>
      <c r="Z283" s="46" t="str">
        <f t="shared" si="45"/>
        <v/>
      </c>
      <c r="AA283" s="30"/>
      <c r="AB283" s="16" t="str">
        <f t="shared" ca="1" si="46"/>
        <v/>
      </c>
      <c r="AC283" s="16" t="str">
        <f ca="1">IF(A283="","",IF(OR(S283='02_マスタ'!$E$10,S283='02_マスタ'!$E$12),"",IF(R283="High","High",IF(AND(Q283&lt;&gt;"",Q283&lt;TODAY()),INDEX(_翻訳マスタ!$B$117:$D$247,MATCH("ALERT_OVERDUE",_翻訳マスタ!$A$117:$A$247,0),MATCH(言語切替!$B$3,_翻訳マスタ!$B$1:$D$1,0)),IF(AND(Q283&lt;&gt;"",Q283-TODAY()&lt;=7),INDEX(_翻訳マスタ!$B$117:$D$247,MATCH("ALERT_APPROACHING",_翻訳マスタ!$A$117:$A$247,0),MATCH(言語切替!$B$3,_翻訳マスタ!$B$1:$D$1,0)),IF(OR(S283='02_マスタ'!$E$7,S283='02_マスタ'!$E$8),INDEX(_翻訳マスタ!$B$117:$D$247,MATCH("ALERT_CHECK",_翻訳マスタ!$A$117:$A$247,0),MATCH(言語切替!$B$3,_翻訳マスタ!$B$1:$D$1,0)),""))))))</f>
        <v/>
      </c>
      <c r="AD283" s="41"/>
    </row>
    <row r="284" spans="1:30" s="22" customFormat="1" x14ac:dyDescent="0.25">
      <c r="A284" s="26"/>
      <c r="B284" s="27"/>
      <c r="C284" s="27"/>
      <c r="D284" s="27"/>
      <c r="E284" s="27"/>
      <c r="F284" s="45" t="str">
        <f t="shared" si="47"/>
        <v/>
      </c>
      <c r="G284" s="45" t="str">
        <f t="shared" si="48"/>
        <v/>
      </c>
      <c r="H284" s="27"/>
      <c r="I284" s="45" t="str">
        <f t="shared" si="49"/>
        <v/>
      </c>
      <c r="J284" s="45" t="str">
        <f t="shared" si="50"/>
        <v/>
      </c>
      <c r="K284" s="27"/>
      <c r="L284" s="45" t="str">
        <f t="shared" si="51"/>
        <v/>
      </c>
      <c r="M284" s="45" t="str">
        <f t="shared" si="52"/>
        <v/>
      </c>
      <c r="N284" s="27"/>
      <c r="O284" s="27"/>
      <c r="P284" s="28"/>
      <c r="Q284" s="28"/>
      <c r="R284" s="27"/>
      <c r="S284" s="27"/>
      <c r="T284" s="27"/>
      <c r="U284" s="27"/>
      <c r="V284" s="45" t="str">
        <f t="shared" si="53"/>
        <v/>
      </c>
      <c r="W284" s="45" t="str">
        <f t="shared" si="54"/>
        <v/>
      </c>
      <c r="X284" s="27"/>
      <c r="Y284" s="45" t="str">
        <f t="shared" si="44"/>
        <v/>
      </c>
      <c r="Z284" s="45" t="str">
        <f t="shared" si="45"/>
        <v/>
      </c>
      <c r="AA284" s="27"/>
      <c r="AB284" s="13" t="str">
        <f t="shared" ca="1" si="46"/>
        <v/>
      </c>
      <c r="AC284" s="13" t="str">
        <f ca="1">IF(A284="","",IF(OR(S284='02_マスタ'!$E$10,S284='02_マスタ'!$E$12),"",IF(R284="High","High",IF(AND(Q284&lt;&gt;"",Q284&lt;TODAY()),INDEX(_翻訳マスタ!$B$117:$D$247,MATCH("ALERT_OVERDUE",_翻訳マスタ!$A$117:$A$247,0),MATCH(言語切替!$B$3,_翻訳マスタ!$B$1:$D$1,0)),IF(AND(Q284&lt;&gt;"",Q284-TODAY()&lt;=7),INDEX(_翻訳マスタ!$B$117:$D$247,MATCH("ALERT_APPROACHING",_翻訳マスタ!$A$117:$A$247,0),MATCH(言語切替!$B$3,_翻訳マスタ!$B$1:$D$1,0)),IF(OR(S284='02_マスタ'!$E$7,S284='02_マスタ'!$E$8),INDEX(_翻訳マスタ!$B$117:$D$247,MATCH("ALERT_CHECK",_翻訳マスタ!$A$117:$A$247,0),MATCH(言語切替!$B$3,_翻訳マスタ!$B$1:$D$1,0)),""))))))</f>
        <v/>
      </c>
      <c r="AD284" s="40"/>
    </row>
    <row r="285" spans="1:30" s="22" customFormat="1" x14ac:dyDescent="0.25">
      <c r="A285" s="29"/>
      <c r="B285" s="30"/>
      <c r="C285" s="30"/>
      <c r="D285" s="30"/>
      <c r="E285" s="30"/>
      <c r="F285" s="46" t="str">
        <f t="shared" si="47"/>
        <v/>
      </c>
      <c r="G285" s="46" t="str">
        <f t="shared" si="48"/>
        <v/>
      </c>
      <c r="H285" s="30"/>
      <c r="I285" s="46" t="str">
        <f t="shared" si="49"/>
        <v/>
      </c>
      <c r="J285" s="46" t="str">
        <f t="shared" si="50"/>
        <v/>
      </c>
      <c r="K285" s="30"/>
      <c r="L285" s="46" t="str">
        <f t="shared" si="51"/>
        <v/>
      </c>
      <c r="M285" s="46" t="str">
        <f t="shared" si="52"/>
        <v/>
      </c>
      <c r="N285" s="30"/>
      <c r="O285" s="30"/>
      <c r="P285" s="31"/>
      <c r="Q285" s="31"/>
      <c r="R285" s="30"/>
      <c r="S285" s="30"/>
      <c r="T285" s="30"/>
      <c r="U285" s="30"/>
      <c r="V285" s="46" t="str">
        <f t="shared" si="53"/>
        <v/>
      </c>
      <c r="W285" s="46" t="str">
        <f t="shared" si="54"/>
        <v/>
      </c>
      <c r="X285" s="30"/>
      <c r="Y285" s="46" t="str">
        <f t="shared" si="44"/>
        <v/>
      </c>
      <c r="Z285" s="46" t="str">
        <f t="shared" si="45"/>
        <v/>
      </c>
      <c r="AA285" s="30"/>
      <c r="AB285" s="16" t="str">
        <f t="shared" ca="1" si="46"/>
        <v/>
      </c>
      <c r="AC285" s="16" t="str">
        <f ca="1">IF(A285="","",IF(OR(S285='02_マスタ'!$E$10,S285='02_マスタ'!$E$12),"",IF(R285="High","High",IF(AND(Q285&lt;&gt;"",Q285&lt;TODAY()),INDEX(_翻訳マスタ!$B$117:$D$247,MATCH("ALERT_OVERDUE",_翻訳マスタ!$A$117:$A$247,0),MATCH(言語切替!$B$3,_翻訳マスタ!$B$1:$D$1,0)),IF(AND(Q285&lt;&gt;"",Q285-TODAY()&lt;=7),INDEX(_翻訳マスタ!$B$117:$D$247,MATCH("ALERT_APPROACHING",_翻訳マスタ!$A$117:$A$247,0),MATCH(言語切替!$B$3,_翻訳マスタ!$B$1:$D$1,0)),IF(OR(S285='02_マスタ'!$E$7,S285='02_マスタ'!$E$8),INDEX(_翻訳マスタ!$B$117:$D$247,MATCH("ALERT_CHECK",_翻訳マスタ!$A$117:$A$247,0),MATCH(言語切替!$B$3,_翻訳マスタ!$B$1:$D$1,0)),""))))))</f>
        <v/>
      </c>
      <c r="AD285" s="41"/>
    </row>
    <row r="286" spans="1:30" s="22" customFormat="1" x14ac:dyDescent="0.25">
      <c r="A286" s="26"/>
      <c r="B286" s="27"/>
      <c r="C286" s="27"/>
      <c r="D286" s="27"/>
      <c r="E286" s="27"/>
      <c r="F286" s="45" t="str">
        <f t="shared" si="47"/>
        <v/>
      </c>
      <c r="G286" s="45" t="str">
        <f t="shared" si="48"/>
        <v/>
      </c>
      <c r="H286" s="27"/>
      <c r="I286" s="45" t="str">
        <f t="shared" si="49"/>
        <v/>
      </c>
      <c r="J286" s="45" t="str">
        <f t="shared" si="50"/>
        <v/>
      </c>
      <c r="K286" s="27"/>
      <c r="L286" s="45" t="str">
        <f t="shared" si="51"/>
        <v/>
      </c>
      <c r="M286" s="45" t="str">
        <f t="shared" si="52"/>
        <v/>
      </c>
      <c r="N286" s="27"/>
      <c r="O286" s="27"/>
      <c r="P286" s="28"/>
      <c r="Q286" s="28"/>
      <c r="R286" s="27"/>
      <c r="S286" s="27"/>
      <c r="T286" s="27"/>
      <c r="U286" s="27"/>
      <c r="V286" s="45" t="str">
        <f t="shared" si="53"/>
        <v/>
      </c>
      <c r="W286" s="45" t="str">
        <f t="shared" si="54"/>
        <v/>
      </c>
      <c r="X286" s="27"/>
      <c r="Y286" s="45" t="str">
        <f t="shared" si="44"/>
        <v/>
      </c>
      <c r="Z286" s="45" t="str">
        <f t="shared" si="45"/>
        <v/>
      </c>
      <c r="AA286" s="27"/>
      <c r="AB286" s="13" t="str">
        <f t="shared" ca="1" si="46"/>
        <v/>
      </c>
      <c r="AC286" s="13" t="str">
        <f ca="1">IF(A286="","",IF(OR(S286='02_マスタ'!$E$10,S286='02_マスタ'!$E$12),"",IF(R286="High","High",IF(AND(Q286&lt;&gt;"",Q286&lt;TODAY()),INDEX(_翻訳マスタ!$B$117:$D$247,MATCH("ALERT_OVERDUE",_翻訳マスタ!$A$117:$A$247,0),MATCH(言語切替!$B$3,_翻訳マスタ!$B$1:$D$1,0)),IF(AND(Q286&lt;&gt;"",Q286-TODAY()&lt;=7),INDEX(_翻訳マスタ!$B$117:$D$247,MATCH("ALERT_APPROACHING",_翻訳マスタ!$A$117:$A$247,0),MATCH(言語切替!$B$3,_翻訳マスタ!$B$1:$D$1,0)),IF(OR(S286='02_マスタ'!$E$7,S286='02_マスタ'!$E$8),INDEX(_翻訳マスタ!$B$117:$D$247,MATCH("ALERT_CHECK",_翻訳マスタ!$A$117:$A$247,0),MATCH(言語切替!$B$3,_翻訳マスタ!$B$1:$D$1,0)),""))))))</f>
        <v/>
      </c>
      <c r="AD286" s="40"/>
    </row>
    <row r="287" spans="1:30" s="22" customFormat="1" x14ac:dyDescent="0.25">
      <c r="A287" s="29"/>
      <c r="B287" s="30"/>
      <c r="C287" s="30"/>
      <c r="D287" s="30"/>
      <c r="E287" s="30"/>
      <c r="F287" s="46" t="str">
        <f t="shared" si="47"/>
        <v/>
      </c>
      <c r="G287" s="46" t="str">
        <f t="shared" si="48"/>
        <v/>
      </c>
      <c r="H287" s="30"/>
      <c r="I287" s="46" t="str">
        <f t="shared" si="49"/>
        <v/>
      </c>
      <c r="J287" s="46" t="str">
        <f t="shared" si="50"/>
        <v/>
      </c>
      <c r="K287" s="30"/>
      <c r="L287" s="46" t="str">
        <f t="shared" si="51"/>
        <v/>
      </c>
      <c r="M287" s="46" t="str">
        <f t="shared" si="52"/>
        <v/>
      </c>
      <c r="N287" s="30"/>
      <c r="O287" s="30"/>
      <c r="P287" s="31"/>
      <c r="Q287" s="31"/>
      <c r="R287" s="30"/>
      <c r="S287" s="30"/>
      <c r="T287" s="30"/>
      <c r="U287" s="30"/>
      <c r="V287" s="46" t="str">
        <f t="shared" si="53"/>
        <v/>
      </c>
      <c r="W287" s="46" t="str">
        <f t="shared" si="54"/>
        <v/>
      </c>
      <c r="X287" s="30"/>
      <c r="Y287" s="46" t="str">
        <f t="shared" si="44"/>
        <v/>
      </c>
      <c r="Z287" s="46" t="str">
        <f t="shared" si="45"/>
        <v/>
      </c>
      <c r="AA287" s="30"/>
      <c r="AB287" s="16" t="str">
        <f t="shared" ca="1" si="46"/>
        <v/>
      </c>
      <c r="AC287" s="16" t="str">
        <f ca="1">IF(A287="","",IF(OR(S287='02_マスタ'!$E$10,S287='02_マスタ'!$E$12),"",IF(R287="High","High",IF(AND(Q287&lt;&gt;"",Q287&lt;TODAY()),INDEX(_翻訳マスタ!$B$117:$D$247,MATCH("ALERT_OVERDUE",_翻訳マスタ!$A$117:$A$247,0),MATCH(言語切替!$B$3,_翻訳マスタ!$B$1:$D$1,0)),IF(AND(Q287&lt;&gt;"",Q287-TODAY()&lt;=7),INDEX(_翻訳マスタ!$B$117:$D$247,MATCH("ALERT_APPROACHING",_翻訳マスタ!$A$117:$A$247,0),MATCH(言語切替!$B$3,_翻訳マスタ!$B$1:$D$1,0)),IF(OR(S287='02_マスタ'!$E$7,S287='02_マスタ'!$E$8),INDEX(_翻訳マスタ!$B$117:$D$247,MATCH("ALERT_CHECK",_翻訳マスタ!$A$117:$A$247,0),MATCH(言語切替!$B$3,_翻訳マスタ!$B$1:$D$1,0)),""))))))</f>
        <v/>
      </c>
      <c r="AD287" s="41"/>
    </row>
    <row r="288" spans="1:30" s="22" customFormat="1" x14ac:dyDescent="0.25">
      <c r="A288" s="26"/>
      <c r="B288" s="27"/>
      <c r="C288" s="27"/>
      <c r="D288" s="27"/>
      <c r="E288" s="27"/>
      <c r="F288" s="45" t="str">
        <f t="shared" si="47"/>
        <v/>
      </c>
      <c r="G288" s="45" t="str">
        <f t="shared" si="48"/>
        <v/>
      </c>
      <c r="H288" s="27"/>
      <c r="I288" s="45" t="str">
        <f t="shared" si="49"/>
        <v/>
      </c>
      <c r="J288" s="45" t="str">
        <f t="shared" si="50"/>
        <v/>
      </c>
      <c r="K288" s="27"/>
      <c r="L288" s="45" t="str">
        <f t="shared" si="51"/>
        <v/>
      </c>
      <c r="M288" s="45" t="str">
        <f t="shared" si="52"/>
        <v/>
      </c>
      <c r="N288" s="27"/>
      <c r="O288" s="27"/>
      <c r="P288" s="28"/>
      <c r="Q288" s="28"/>
      <c r="R288" s="27"/>
      <c r="S288" s="27"/>
      <c r="T288" s="27"/>
      <c r="U288" s="27"/>
      <c r="V288" s="45" t="str">
        <f t="shared" si="53"/>
        <v/>
      </c>
      <c r="W288" s="45" t="str">
        <f t="shared" si="54"/>
        <v/>
      </c>
      <c r="X288" s="27"/>
      <c r="Y288" s="45" t="str">
        <f t="shared" si="44"/>
        <v/>
      </c>
      <c r="Z288" s="45" t="str">
        <f t="shared" si="45"/>
        <v/>
      </c>
      <c r="AA288" s="27"/>
      <c r="AB288" s="13" t="str">
        <f t="shared" ca="1" si="46"/>
        <v/>
      </c>
      <c r="AC288" s="13" t="str">
        <f ca="1">IF(A288="","",IF(OR(S288='02_マスタ'!$E$10,S288='02_マスタ'!$E$12),"",IF(R288="High","High",IF(AND(Q288&lt;&gt;"",Q288&lt;TODAY()),INDEX(_翻訳マスタ!$B$117:$D$247,MATCH("ALERT_OVERDUE",_翻訳マスタ!$A$117:$A$247,0),MATCH(言語切替!$B$3,_翻訳マスタ!$B$1:$D$1,0)),IF(AND(Q288&lt;&gt;"",Q288-TODAY()&lt;=7),INDEX(_翻訳マスタ!$B$117:$D$247,MATCH("ALERT_APPROACHING",_翻訳マスタ!$A$117:$A$247,0),MATCH(言語切替!$B$3,_翻訳マスタ!$B$1:$D$1,0)),IF(OR(S288='02_マスタ'!$E$7,S288='02_マスタ'!$E$8),INDEX(_翻訳マスタ!$B$117:$D$247,MATCH("ALERT_CHECK",_翻訳マスタ!$A$117:$A$247,0),MATCH(言語切替!$B$3,_翻訳マスタ!$B$1:$D$1,0)),""))))))</f>
        <v/>
      </c>
      <c r="AD288" s="40"/>
    </row>
    <row r="289" spans="1:30" s="22" customFormat="1" x14ac:dyDescent="0.25">
      <c r="A289" s="29"/>
      <c r="B289" s="30"/>
      <c r="C289" s="30"/>
      <c r="D289" s="30"/>
      <c r="E289" s="30"/>
      <c r="F289" s="46" t="str">
        <f t="shared" si="47"/>
        <v/>
      </c>
      <c r="G289" s="46" t="str">
        <f t="shared" si="48"/>
        <v/>
      </c>
      <c r="H289" s="30"/>
      <c r="I289" s="46" t="str">
        <f t="shared" si="49"/>
        <v/>
      </c>
      <c r="J289" s="46" t="str">
        <f t="shared" si="50"/>
        <v/>
      </c>
      <c r="K289" s="30"/>
      <c r="L289" s="46" t="str">
        <f t="shared" si="51"/>
        <v/>
      </c>
      <c r="M289" s="46" t="str">
        <f t="shared" si="52"/>
        <v/>
      </c>
      <c r="N289" s="30"/>
      <c r="O289" s="30"/>
      <c r="P289" s="31"/>
      <c r="Q289" s="31"/>
      <c r="R289" s="30"/>
      <c r="S289" s="30"/>
      <c r="T289" s="30"/>
      <c r="U289" s="30"/>
      <c r="V289" s="46" t="str">
        <f t="shared" si="53"/>
        <v/>
      </c>
      <c r="W289" s="46" t="str">
        <f t="shared" si="54"/>
        <v/>
      </c>
      <c r="X289" s="30"/>
      <c r="Y289" s="46" t="str">
        <f t="shared" si="44"/>
        <v/>
      </c>
      <c r="Z289" s="46" t="str">
        <f t="shared" si="45"/>
        <v/>
      </c>
      <c r="AA289" s="30"/>
      <c r="AB289" s="16" t="str">
        <f t="shared" ca="1" si="46"/>
        <v/>
      </c>
      <c r="AC289" s="16" t="str">
        <f ca="1">IF(A289="","",IF(OR(S289='02_マスタ'!$E$10,S289='02_マスタ'!$E$12),"",IF(R289="High","High",IF(AND(Q289&lt;&gt;"",Q289&lt;TODAY()),INDEX(_翻訳マスタ!$B$117:$D$247,MATCH("ALERT_OVERDUE",_翻訳マスタ!$A$117:$A$247,0),MATCH(言語切替!$B$3,_翻訳マスタ!$B$1:$D$1,0)),IF(AND(Q289&lt;&gt;"",Q289-TODAY()&lt;=7),INDEX(_翻訳マスタ!$B$117:$D$247,MATCH("ALERT_APPROACHING",_翻訳マスタ!$A$117:$A$247,0),MATCH(言語切替!$B$3,_翻訳マスタ!$B$1:$D$1,0)),IF(OR(S289='02_マスタ'!$E$7,S289='02_マスタ'!$E$8),INDEX(_翻訳マスタ!$B$117:$D$247,MATCH("ALERT_CHECK",_翻訳マスタ!$A$117:$A$247,0),MATCH(言語切替!$B$3,_翻訳マスタ!$B$1:$D$1,0)),""))))))</f>
        <v/>
      </c>
      <c r="AD289" s="41"/>
    </row>
    <row r="290" spans="1:30" s="22" customFormat="1" x14ac:dyDescent="0.25">
      <c r="A290" s="26"/>
      <c r="B290" s="27"/>
      <c r="C290" s="27"/>
      <c r="D290" s="27"/>
      <c r="E290" s="27"/>
      <c r="F290" s="45" t="str">
        <f t="shared" si="47"/>
        <v/>
      </c>
      <c r="G290" s="45" t="str">
        <f t="shared" si="48"/>
        <v/>
      </c>
      <c r="H290" s="27"/>
      <c r="I290" s="45" t="str">
        <f t="shared" si="49"/>
        <v/>
      </c>
      <c r="J290" s="45" t="str">
        <f t="shared" si="50"/>
        <v/>
      </c>
      <c r="K290" s="27"/>
      <c r="L290" s="45" t="str">
        <f t="shared" si="51"/>
        <v/>
      </c>
      <c r="M290" s="45" t="str">
        <f t="shared" si="52"/>
        <v/>
      </c>
      <c r="N290" s="27"/>
      <c r="O290" s="27"/>
      <c r="P290" s="28"/>
      <c r="Q290" s="28"/>
      <c r="R290" s="27"/>
      <c r="S290" s="27"/>
      <c r="T290" s="27"/>
      <c r="U290" s="27"/>
      <c r="V290" s="45" t="str">
        <f t="shared" si="53"/>
        <v/>
      </c>
      <c r="W290" s="45" t="str">
        <f t="shared" si="54"/>
        <v/>
      </c>
      <c r="X290" s="27"/>
      <c r="Y290" s="45" t="str">
        <f t="shared" si="44"/>
        <v/>
      </c>
      <c r="Z290" s="45" t="str">
        <f t="shared" si="45"/>
        <v/>
      </c>
      <c r="AA290" s="27"/>
      <c r="AB290" s="13" t="str">
        <f t="shared" ca="1" si="46"/>
        <v/>
      </c>
      <c r="AC290" s="13" t="str">
        <f ca="1">IF(A290="","",IF(OR(S290='02_マスタ'!$E$10,S290='02_マスタ'!$E$12),"",IF(R290="High","High",IF(AND(Q290&lt;&gt;"",Q290&lt;TODAY()),INDEX(_翻訳マスタ!$B$117:$D$247,MATCH("ALERT_OVERDUE",_翻訳マスタ!$A$117:$A$247,0),MATCH(言語切替!$B$3,_翻訳マスタ!$B$1:$D$1,0)),IF(AND(Q290&lt;&gt;"",Q290-TODAY()&lt;=7),INDEX(_翻訳マスタ!$B$117:$D$247,MATCH("ALERT_APPROACHING",_翻訳マスタ!$A$117:$A$247,0),MATCH(言語切替!$B$3,_翻訳マスタ!$B$1:$D$1,0)),IF(OR(S290='02_マスタ'!$E$7,S290='02_マスタ'!$E$8),INDEX(_翻訳マスタ!$B$117:$D$247,MATCH("ALERT_CHECK",_翻訳マスタ!$A$117:$A$247,0),MATCH(言語切替!$B$3,_翻訳マスタ!$B$1:$D$1,0)),""))))))</f>
        <v/>
      </c>
      <c r="AD290" s="40"/>
    </row>
    <row r="291" spans="1:30" s="22" customFormat="1" x14ac:dyDescent="0.25">
      <c r="A291" s="29"/>
      <c r="B291" s="30"/>
      <c r="C291" s="30"/>
      <c r="D291" s="30"/>
      <c r="E291" s="30"/>
      <c r="F291" s="46" t="str">
        <f t="shared" si="47"/>
        <v/>
      </c>
      <c r="G291" s="46" t="str">
        <f t="shared" si="48"/>
        <v/>
      </c>
      <c r="H291" s="30"/>
      <c r="I291" s="46" t="str">
        <f t="shared" si="49"/>
        <v/>
      </c>
      <c r="J291" s="46" t="str">
        <f t="shared" si="50"/>
        <v/>
      </c>
      <c r="K291" s="30"/>
      <c r="L291" s="46" t="str">
        <f t="shared" si="51"/>
        <v/>
      </c>
      <c r="M291" s="46" t="str">
        <f t="shared" si="52"/>
        <v/>
      </c>
      <c r="N291" s="30"/>
      <c r="O291" s="30"/>
      <c r="P291" s="31"/>
      <c r="Q291" s="31"/>
      <c r="R291" s="30"/>
      <c r="S291" s="30"/>
      <c r="T291" s="30"/>
      <c r="U291" s="30"/>
      <c r="V291" s="46" t="str">
        <f t="shared" si="53"/>
        <v/>
      </c>
      <c r="W291" s="46" t="str">
        <f t="shared" si="54"/>
        <v/>
      </c>
      <c r="X291" s="30"/>
      <c r="Y291" s="46" t="str">
        <f t="shared" si="44"/>
        <v/>
      </c>
      <c r="Z291" s="46" t="str">
        <f t="shared" si="45"/>
        <v/>
      </c>
      <c r="AA291" s="30"/>
      <c r="AB291" s="16" t="str">
        <f t="shared" ca="1" si="46"/>
        <v/>
      </c>
      <c r="AC291" s="16" t="str">
        <f ca="1">IF(A291="","",IF(OR(S291='02_マスタ'!$E$10,S291='02_マスタ'!$E$12),"",IF(R291="High","High",IF(AND(Q291&lt;&gt;"",Q291&lt;TODAY()),INDEX(_翻訳マスタ!$B$117:$D$247,MATCH("ALERT_OVERDUE",_翻訳マスタ!$A$117:$A$247,0),MATCH(言語切替!$B$3,_翻訳マスタ!$B$1:$D$1,0)),IF(AND(Q291&lt;&gt;"",Q291-TODAY()&lt;=7),INDEX(_翻訳マスタ!$B$117:$D$247,MATCH("ALERT_APPROACHING",_翻訳マスタ!$A$117:$A$247,0),MATCH(言語切替!$B$3,_翻訳マスタ!$B$1:$D$1,0)),IF(OR(S291='02_マスタ'!$E$7,S291='02_マスタ'!$E$8),INDEX(_翻訳マスタ!$B$117:$D$247,MATCH("ALERT_CHECK",_翻訳マスタ!$A$117:$A$247,0),MATCH(言語切替!$B$3,_翻訳マスタ!$B$1:$D$1,0)),""))))))</f>
        <v/>
      </c>
      <c r="AD291" s="41"/>
    </row>
    <row r="292" spans="1:30" s="22" customFormat="1" x14ac:dyDescent="0.25">
      <c r="A292" s="26"/>
      <c r="B292" s="27"/>
      <c r="C292" s="27"/>
      <c r="D292" s="27"/>
      <c r="E292" s="27"/>
      <c r="F292" s="45" t="str">
        <f t="shared" si="47"/>
        <v/>
      </c>
      <c r="G292" s="45" t="str">
        <f t="shared" si="48"/>
        <v/>
      </c>
      <c r="H292" s="27"/>
      <c r="I292" s="45" t="str">
        <f t="shared" si="49"/>
        <v/>
      </c>
      <c r="J292" s="45" t="str">
        <f t="shared" si="50"/>
        <v/>
      </c>
      <c r="K292" s="27"/>
      <c r="L292" s="45" t="str">
        <f t="shared" si="51"/>
        <v/>
      </c>
      <c r="M292" s="45" t="str">
        <f t="shared" si="52"/>
        <v/>
      </c>
      <c r="N292" s="27"/>
      <c r="O292" s="27"/>
      <c r="P292" s="28"/>
      <c r="Q292" s="28"/>
      <c r="R292" s="27"/>
      <c r="S292" s="27"/>
      <c r="T292" s="27"/>
      <c r="U292" s="27"/>
      <c r="V292" s="45" t="str">
        <f t="shared" si="53"/>
        <v/>
      </c>
      <c r="W292" s="45" t="str">
        <f t="shared" si="54"/>
        <v/>
      </c>
      <c r="X292" s="27"/>
      <c r="Y292" s="45" t="str">
        <f t="shared" si="44"/>
        <v/>
      </c>
      <c r="Z292" s="45" t="str">
        <f t="shared" si="45"/>
        <v/>
      </c>
      <c r="AA292" s="27"/>
      <c r="AB292" s="13" t="str">
        <f t="shared" ca="1" si="46"/>
        <v/>
      </c>
      <c r="AC292" s="13" t="str">
        <f ca="1">IF(A292="","",IF(OR(S292='02_マスタ'!$E$10,S292='02_マスタ'!$E$12),"",IF(R292="High","High",IF(AND(Q292&lt;&gt;"",Q292&lt;TODAY()),INDEX(_翻訳マスタ!$B$117:$D$247,MATCH("ALERT_OVERDUE",_翻訳マスタ!$A$117:$A$247,0),MATCH(言語切替!$B$3,_翻訳マスタ!$B$1:$D$1,0)),IF(AND(Q292&lt;&gt;"",Q292-TODAY()&lt;=7),INDEX(_翻訳マスタ!$B$117:$D$247,MATCH("ALERT_APPROACHING",_翻訳マスタ!$A$117:$A$247,0),MATCH(言語切替!$B$3,_翻訳マスタ!$B$1:$D$1,0)),IF(OR(S292='02_マスタ'!$E$7,S292='02_マスタ'!$E$8),INDEX(_翻訳マスタ!$B$117:$D$247,MATCH("ALERT_CHECK",_翻訳マスタ!$A$117:$A$247,0),MATCH(言語切替!$B$3,_翻訳マスタ!$B$1:$D$1,0)),""))))))</f>
        <v/>
      </c>
      <c r="AD292" s="40"/>
    </row>
    <row r="293" spans="1:30" s="22" customFormat="1" x14ac:dyDescent="0.25">
      <c r="A293" s="29"/>
      <c r="B293" s="30"/>
      <c r="C293" s="30"/>
      <c r="D293" s="30"/>
      <c r="E293" s="30"/>
      <c r="F293" s="46" t="str">
        <f t="shared" si="47"/>
        <v/>
      </c>
      <c r="G293" s="46" t="str">
        <f t="shared" si="48"/>
        <v/>
      </c>
      <c r="H293" s="30"/>
      <c r="I293" s="46" t="str">
        <f t="shared" si="49"/>
        <v/>
      </c>
      <c r="J293" s="46" t="str">
        <f t="shared" si="50"/>
        <v/>
      </c>
      <c r="K293" s="30"/>
      <c r="L293" s="46" t="str">
        <f t="shared" si="51"/>
        <v/>
      </c>
      <c r="M293" s="46" t="str">
        <f t="shared" si="52"/>
        <v/>
      </c>
      <c r="N293" s="30"/>
      <c r="O293" s="30"/>
      <c r="P293" s="31"/>
      <c r="Q293" s="31"/>
      <c r="R293" s="30"/>
      <c r="S293" s="30"/>
      <c r="T293" s="30"/>
      <c r="U293" s="30"/>
      <c r="V293" s="46" t="str">
        <f t="shared" si="53"/>
        <v/>
      </c>
      <c r="W293" s="46" t="str">
        <f t="shared" si="54"/>
        <v/>
      </c>
      <c r="X293" s="30"/>
      <c r="Y293" s="46" t="str">
        <f t="shared" si="44"/>
        <v/>
      </c>
      <c r="Z293" s="46" t="str">
        <f t="shared" si="45"/>
        <v/>
      </c>
      <c r="AA293" s="30"/>
      <c r="AB293" s="16" t="str">
        <f t="shared" ca="1" si="46"/>
        <v/>
      </c>
      <c r="AC293" s="16" t="str">
        <f ca="1">IF(A293="","",IF(OR(S293='02_マスタ'!$E$10,S293='02_マスタ'!$E$12),"",IF(R293="High","High",IF(AND(Q293&lt;&gt;"",Q293&lt;TODAY()),INDEX(_翻訳マスタ!$B$117:$D$247,MATCH("ALERT_OVERDUE",_翻訳マスタ!$A$117:$A$247,0),MATCH(言語切替!$B$3,_翻訳マスタ!$B$1:$D$1,0)),IF(AND(Q293&lt;&gt;"",Q293-TODAY()&lt;=7),INDEX(_翻訳マスタ!$B$117:$D$247,MATCH("ALERT_APPROACHING",_翻訳マスタ!$A$117:$A$247,0),MATCH(言語切替!$B$3,_翻訳マスタ!$B$1:$D$1,0)),IF(OR(S293='02_マスタ'!$E$7,S293='02_マスタ'!$E$8),INDEX(_翻訳マスタ!$B$117:$D$247,MATCH("ALERT_CHECK",_翻訳マスタ!$A$117:$A$247,0),MATCH(言語切替!$B$3,_翻訳マスタ!$B$1:$D$1,0)),""))))))</f>
        <v/>
      </c>
      <c r="AD293" s="41"/>
    </row>
    <row r="294" spans="1:30" s="22" customFormat="1" x14ac:dyDescent="0.25">
      <c r="A294" s="26"/>
      <c r="B294" s="27"/>
      <c r="C294" s="27"/>
      <c r="D294" s="27"/>
      <c r="E294" s="27"/>
      <c r="F294" s="45" t="str">
        <f t="shared" si="47"/>
        <v/>
      </c>
      <c r="G294" s="45" t="str">
        <f t="shared" si="48"/>
        <v/>
      </c>
      <c r="H294" s="27"/>
      <c r="I294" s="45" t="str">
        <f t="shared" si="49"/>
        <v/>
      </c>
      <c r="J294" s="45" t="str">
        <f t="shared" si="50"/>
        <v/>
      </c>
      <c r="K294" s="27"/>
      <c r="L294" s="45" t="str">
        <f t="shared" si="51"/>
        <v/>
      </c>
      <c r="M294" s="45" t="str">
        <f t="shared" si="52"/>
        <v/>
      </c>
      <c r="N294" s="27"/>
      <c r="O294" s="27"/>
      <c r="P294" s="28"/>
      <c r="Q294" s="28"/>
      <c r="R294" s="27"/>
      <c r="S294" s="27"/>
      <c r="T294" s="27"/>
      <c r="U294" s="27"/>
      <c r="V294" s="45" t="str">
        <f t="shared" si="53"/>
        <v/>
      </c>
      <c r="W294" s="45" t="str">
        <f t="shared" si="54"/>
        <v/>
      </c>
      <c r="X294" s="27"/>
      <c r="Y294" s="45" t="str">
        <f t="shared" si="44"/>
        <v/>
      </c>
      <c r="Z294" s="45" t="str">
        <f t="shared" si="45"/>
        <v/>
      </c>
      <c r="AA294" s="27"/>
      <c r="AB294" s="13" t="str">
        <f t="shared" ca="1" si="46"/>
        <v/>
      </c>
      <c r="AC294" s="13" t="str">
        <f ca="1">IF(A294="","",IF(OR(S294='02_マスタ'!$E$10,S294='02_マスタ'!$E$12),"",IF(R294="High","High",IF(AND(Q294&lt;&gt;"",Q294&lt;TODAY()),INDEX(_翻訳マスタ!$B$117:$D$247,MATCH("ALERT_OVERDUE",_翻訳マスタ!$A$117:$A$247,0),MATCH(言語切替!$B$3,_翻訳マスタ!$B$1:$D$1,0)),IF(AND(Q294&lt;&gt;"",Q294-TODAY()&lt;=7),INDEX(_翻訳マスタ!$B$117:$D$247,MATCH("ALERT_APPROACHING",_翻訳マスタ!$A$117:$A$247,0),MATCH(言語切替!$B$3,_翻訳マスタ!$B$1:$D$1,0)),IF(OR(S294='02_マスタ'!$E$7,S294='02_マスタ'!$E$8),INDEX(_翻訳マスタ!$B$117:$D$247,MATCH("ALERT_CHECK",_翻訳マスタ!$A$117:$A$247,0),MATCH(言語切替!$B$3,_翻訳マスタ!$B$1:$D$1,0)),""))))))</f>
        <v/>
      </c>
      <c r="AD294" s="40"/>
    </row>
    <row r="295" spans="1:30" s="22" customFormat="1" x14ac:dyDescent="0.25">
      <c r="A295" s="29"/>
      <c r="B295" s="30"/>
      <c r="C295" s="30"/>
      <c r="D295" s="30"/>
      <c r="E295" s="30"/>
      <c r="F295" s="46" t="str">
        <f t="shared" si="47"/>
        <v/>
      </c>
      <c r="G295" s="46" t="str">
        <f t="shared" si="48"/>
        <v/>
      </c>
      <c r="H295" s="30"/>
      <c r="I295" s="46" t="str">
        <f t="shared" si="49"/>
        <v/>
      </c>
      <c r="J295" s="46" t="str">
        <f t="shared" si="50"/>
        <v/>
      </c>
      <c r="K295" s="30"/>
      <c r="L295" s="46" t="str">
        <f t="shared" si="51"/>
        <v/>
      </c>
      <c r="M295" s="46" t="str">
        <f t="shared" si="52"/>
        <v/>
      </c>
      <c r="N295" s="30"/>
      <c r="O295" s="30"/>
      <c r="P295" s="31"/>
      <c r="Q295" s="31"/>
      <c r="R295" s="30"/>
      <c r="S295" s="30"/>
      <c r="T295" s="30"/>
      <c r="U295" s="30"/>
      <c r="V295" s="46" t="str">
        <f t="shared" si="53"/>
        <v/>
      </c>
      <c r="W295" s="46" t="str">
        <f t="shared" si="54"/>
        <v/>
      </c>
      <c r="X295" s="30"/>
      <c r="Y295" s="46" t="str">
        <f t="shared" si="44"/>
        <v/>
      </c>
      <c r="Z295" s="46" t="str">
        <f t="shared" si="45"/>
        <v/>
      </c>
      <c r="AA295" s="30"/>
      <c r="AB295" s="16" t="str">
        <f t="shared" ca="1" si="46"/>
        <v/>
      </c>
      <c r="AC295" s="16" t="str">
        <f ca="1">IF(A295="","",IF(OR(S295='02_マスタ'!$E$10,S295='02_マスタ'!$E$12),"",IF(R295="High","High",IF(AND(Q295&lt;&gt;"",Q295&lt;TODAY()),INDEX(_翻訳マスタ!$B$117:$D$247,MATCH("ALERT_OVERDUE",_翻訳マスタ!$A$117:$A$247,0),MATCH(言語切替!$B$3,_翻訳マスタ!$B$1:$D$1,0)),IF(AND(Q295&lt;&gt;"",Q295-TODAY()&lt;=7),INDEX(_翻訳マスタ!$B$117:$D$247,MATCH("ALERT_APPROACHING",_翻訳マスタ!$A$117:$A$247,0),MATCH(言語切替!$B$3,_翻訳マスタ!$B$1:$D$1,0)),IF(OR(S295='02_マスタ'!$E$7,S295='02_マスタ'!$E$8),INDEX(_翻訳マスタ!$B$117:$D$247,MATCH("ALERT_CHECK",_翻訳マスタ!$A$117:$A$247,0),MATCH(言語切替!$B$3,_翻訳マスタ!$B$1:$D$1,0)),""))))))</f>
        <v/>
      </c>
      <c r="AD295" s="41"/>
    </row>
    <row r="296" spans="1:30" s="22" customFormat="1" x14ac:dyDescent="0.25">
      <c r="A296" s="26"/>
      <c r="B296" s="27"/>
      <c r="C296" s="27"/>
      <c r="D296" s="27"/>
      <c r="E296" s="27"/>
      <c r="F296" s="45" t="str">
        <f t="shared" si="47"/>
        <v/>
      </c>
      <c r="G296" s="45" t="str">
        <f t="shared" si="48"/>
        <v/>
      </c>
      <c r="H296" s="27"/>
      <c r="I296" s="45" t="str">
        <f t="shared" si="49"/>
        <v/>
      </c>
      <c r="J296" s="45" t="str">
        <f t="shared" si="50"/>
        <v/>
      </c>
      <c r="K296" s="27"/>
      <c r="L296" s="45" t="str">
        <f t="shared" si="51"/>
        <v/>
      </c>
      <c r="M296" s="45" t="str">
        <f t="shared" si="52"/>
        <v/>
      </c>
      <c r="N296" s="27"/>
      <c r="O296" s="27"/>
      <c r="P296" s="28"/>
      <c r="Q296" s="28"/>
      <c r="R296" s="27"/>
      <c r="S296" s="27"/>
      <c r="T296" s="27"/>
      <c r="U296" s="27"/>
      <c r="V296" s="45" t="str">
        <f t="shared" si="53"/>
        <v/>
      </c>
      <c r="W296" s="45" t="str">
        <f t="shared" si="54"/>
        <v/>
      </c>
      <c r="X296" s="27"/>
      <c r="Y296" s="45" t="str">
        <f t="shared" si="44"/>
        <v/>
      </c>
      <c r="Z296" s="45" t="str">
        <f t="shared" si="45"/>
        <v/>
      </c>
      <c r="AA296" s="27"/>
      <c r="AB296" s="13" t="str">
        <f t="shared" ca="1" si="46"/>
        <v/>
      </c>
      <c r="AC296" s="13" t="str">
        <f ca="1">IF(A296="","",IF(OR(S296='02_マスタ'!$E$10,S296='02_マスタ'!$E$12),"",IF(R296="High","High",IF(AND(Q296&lt;&gt;"",Q296&lt;TODAY()),INDEX(_翻訳マスタ!$B$117:$D$247,MATCH("ALERT_OVERDUE",_翻訳マスタ!$A$117:$A$247,0),MATCH(言語切替!$B$3,_翻訳マスタ!$B$1:$D$1,0)),IF(AND(Q296&lt;&gt;"",Q296-TODAY()&lt;=7),INDEX(_翻訳マスタ!$B$117:$D$247,MATCH("ALERT_APPROACHING",_翻訳マスタ!$A$117:$A$247,0),MATCH(言語切替!$B$3,_翻訳マスタ!$B$1:$D$1,0)),IF(OR(S296='02_マスタ'!$E$7,S296='02_マスタ'!$E$8),INDEX(_翻訳マスタ!$B$117:$D$247,MATCH("ALERT_CHECK",_翻訳マスタ!$A$117:$A$247,0),MATCH(言語切替!$B$3,_翻訳マスタ!$B$1:$D$1,0)),""))))))</f>
        <v/>
      </c>
      <c r="AD296" s="40"/>
    </row>
    <row r="297" spans="1:30" s="22" customFormat="1" x14ac:dyDescent="0.25">
      <c r="A297" s="29"/>
      <c r="B297" s="30"/>
      <c r="C297" s="30"/>
      <c r="D297" s="30"/>
      <c r="E297" s="30"/>
      <c r="F297" s="46" t="str">
        <f t="shared" si="47"/>
        <v/>
      </c>
      <c r="G297" s="46" t="str">
        <f t="shared" si="48"/>
        <v/>
      </c>
      <c r="H297" s="30"/>
      <c r="I297" s="46" t="str">
        <f t="shared" si="49"/>
        <v/>
      </c>
      <c r="J297" s="46" t="str">
        <f t="shared" si="50"/>
        <v/>
      </c>
      <c r="K297" s="30"/>
      <c r="L297" s="46" t="str">
        <f t="shared" si="51"/>
        <v/>
      </c>
      <c r="M297" s="46" t="str">
        <f t="shared" si="52"/>
        <v/>
      </c>
      <c r="N297" s="30"/>
      <c r="O297" s="30"/>
      <c r="P297" s="31"/>
      <c r="Q297" s="31"/>
      <c r="R297" s="30"/>
      <c r="S297" s="30"/>
      <c r="T297" s="30"/>
      <c r="U297" s="30"/>
      <c r="V297" s="46" t="str">
        <f t="shared" si="53"/>
        <v/>
      </c>
      <c r="W297" s="46" t="str">
        <f t="shared" si="54"/>
        <v/>
      </c>
      <c r="X297" s="30"/>
      <c r="Y297" s="46" t="str">
        <f t="shared" si="44"/>
        <v/>
      </c>
      <c r="Z297" s="46" t="str">
        <f t="shared" si="45"/>
        <v/>
      </c>
      <c r="AA297" s="30"/>
      <c r="AB297" s="16" t="str">
        <f t="shared" ca="1" si="46"/>
        <v/>
      </c>
      <c r="AC297" s="16" t="str">
        <f ca="1">IF(A297="","",IF(OR(S297='02_マスタ'!$E$10,S297='02_マスタ'!$E$12),"",IF(R297="High","High",IF(AND(Q297&lt;&gt;"",Q297&lt;TODAY()),INDEX(_翻訳マスタ!$B$117:$D$247,MATCH("ALERT_OVERDUE",_翻訳マスタ!$A$117:$A$247,0),MATCH(言語切替!$B$3,_翻訳マスタ!$B$1:$D$1,0)),IF(AND(Q297&lt;&gt;"",Q297-TODAY()&lt;=7),INDEX(_翻訳マスタ!$B$117:$D$247,MATCH("ALERT_APPROACHING",_翻訳マスタ!$A$117:$A$247,0),MATCH(言語切替!$B$3,_翻訳マスタ!$B$1:$D$1,0)),IF(OR(S297='02_マスタ'!$E$7,S297='02_マスタ'!$E$8),INDEX(_翻訳マスタ!$B$117:$D$247,MATCH("ALERT_CHECK",_翻訳マスタ!$A$117:$A$247,0),MATCH(言語切替!$B$3,_翻訳マスタ!$B$1:$D$1,0)),""))))))</f>
        <v/>
      </c>
      <c r="AD297" s="41"/>
    </row>
    <row r="298" spans="1:30" s="22" customFormat="1" x14ac:dyDescent="0.25">
      <c r="A298" s="26"/>
      <c r="B298" s="27"/>
      <c r="C298" s="27"/>
      <c r="D298" s="27"/>
      <c r="E298" s="27"/>
      <c r="F298" s="45" t="str">
        <f t="shared" si="47"/>
        <v/>
      </c>
      <c r="G298" s="45" t="str">
        <f t="shared" si="48"/>
        <v/>
      </c>
      <c r="H298" s="27"/>
      <c r="I298" s="45" t="str">
        <f t="shared" si="49"/>
        <v/>
      </c>
      <c r="J298" s="45" t="str">
        <f t="shared" si="50"/>
        <v/>
      </c>
      <c r="K298" s="27"/>
      <c r="L298" s="45" t="str">
        <f t="shared" si="51"/>
        <v/>
      </c>
      <c r="M298" s="45" t="str">
        <f t="shared" si="52"/>
        <v/>
      </c>
      <c r="N298" s="27"/>
      <c r="O298" s="27"/>
      <c r="P298" s="28"/>
      <c r="Q298" s="28"/>
      <c r="R298" s="27"/>
      <c r="S298" s="27"/>
      <c r="T298" s="27"/>
      <c r="U298" s="27"/>
      <c r="V298" s="45" t="str">
        <f t="shared" si="53"/>
        <v/>
      </c>
      <c r="W298" s="45" t="str">
        <f t="shared" si="54"/>
        <v/>
      </c>
      <c r="X298" s="27"/>
      <c r="Y298" s="45" t="str">
        <f t="shared" si="44"/>
        <v/>
      </c>
      <c r="Z298" s="45" t="str">
        <f t="shared" si="45"/>
        <v/>
      </c>
      <c r="AA298" s="27"/>
      <c r="AB298" s="13" t="str">
        <f t="shared" ca="1" si="46"/>
        <v/>
      </c>
      <c r="AC298" s="13" t="str">
        <f ca="1">IF(A298="","",IF(OR(S298='02_マスタ'!$E$10,S298='02_マスタ'!$E$12),"",IF(R298="High","High",IF(AND(Q298&lt;&gt;"",Q298&lt;TODAY()),INDEX(_翻訳マスタ!$B$117:$D$247,MATCH("ALERT_OVERDUE",_翻訳マスタ!$A$117:$A$247,0),MATCH(言語切替!$B$3,_翻訳マスタ!$B$1:$D$1,0)),IF(AND(Q298&lt;&gt;"",Q298-TODAY()&lt;=7),INDEX(_翻訳マスタ!$B$117:$D$247,MATCH("ALERT_APPROACHING",_翻訳マスタ!$A$117:$A$247,0),MATCH(言語切替!$B$3,_翻訳マスタ!$B$1:$D$1,0)),IF(OR(S298='02_マスタ'!$E$7,S298='02_マスタ'!$E$8),INDEX(_翻訳マスタ!$B$117:$D$247,MATCH("ALERT_CHECK",_翻訳マスタ!$A$117:$A$247,0),MATCH(言語切替!$B$3,_翻訳マスタ!$B$1:$D$1,0)),""))))))</f>
        <v/>
      </c>
      <c r="AD298" s="40"/>
    </row>
    <row r="299" spans="1:30" s="22" customFormat="1" x14ac:dyDescent="0.25">
      <c r="A299" s="29"/>
      <c r="B299" s="30"/>
      <c r="C299" s="30"/>
      <c r="D299" s="30"/>
      <c r="E299" s="30"/>
      <c r="F299" s="46" t="str">
        <f t="shared" si="47"/>
        <v/>
      </c>
      <c r="G299" s="46" t="str">
        <f t="shared" si="48"/>
        <v/>
      </c>
      <c r="H299" s="30"/>
      <c r="I299" s="46" t="str">
        <f t="shared" si="49"/>
        <v/>
      </c>
      <c r="J299" s="46" t="str">
        <f t="shared" si="50"/>
        <v/>
      </c>
      <c r="K299" s="30"/>
      <c r="L299" s="46" t="str">
        <f t="shared" si="51"/>
        <v/>
      </c>
      <c r="M299" s="46" t="str">
        <f t="shared" si="52"/>
        <v/>
      </c>
      <c r="N299" s="30"/>
      <c r="O299" s="30"/>
      <c r="P299" s="31"/>
      <c r="Q299" s="31"/>
      <c r="R299" s="30"/>
      <c r="S299" s="30"/>
      <c r="T299" s="30"/>
      <c r="U299" s="30"/>
      <c r="V299" s="46" t="str">
        <f t="shared" si="53"/>
        <v/>
      </c>
      <c r="W299" s="46" t="str">
        <f t="shared" si="54"/>
        <v/>
      </c>
      <c r="X299" s="30"/>
      <c r="Y299" s="46" t="str">
        <f t="shared" si="44"/>
        <v/>
      </c>
      <c r="Z299" s="46" t="str">
        <f t="shared" si="45"/>
        <v/>
      </c>
      <c r="AA299" s="30"/>
      <c r="AB299" s="16" t="str">
        <f t="shared" ca="1" si="46"/>
        <v/>
      </c>
      <c r="AC299" s="16" t="str">
        <f ca="1">IF(A299="","",IF(OR(S299='02_マスタ'!$E$10,S299='02_マスタ'!$E$12),"",IF(R299="High","High",IF(AND(Q299&lt;&gt;"",Q299&lt;TODAY()),INDEX(_翻訳マスタ!$B$117:$D$247,MATCH("ALERT_OVERDUE",_翻訳マスタ!$A$117:$A$247,0),MATCH(言語切替!$B$3,_翻訳マスタ!$B$1:$D$1,0)),IF(AND(Q299&lt;&gt;"",Q299-TODAY()&lt;=7),INDEX(_翻訳マスタ!$B$117:$D$247,MATCH("ALERT_APPROACHING",_翻訳マスタ!$A$117:$A$247,0),MATCH(言語切替!$B$3,_翻訳マスタ!$B$1:$D$1,0)),IF(OR(S299='02_マスタ'!$E$7,S299='02_マスタ'!$E$8),INDEX(_翻訳マスタ!$B$117:$D$247,MATCH("ALERT_CHECK",_翻訳マスタ!$A$117:$A$247,0),MATCH(言語切替!$B$3,_翻訳マスタ!$B$1:$D$1,0)),""))))))</f>
        <v/>
      </c>
      <c r="AD299" s="41"/>
    </row>
    <row r="300" spans="1:30" s="22" customFormat="1" x14ac:dyDescent="0.25">
      <c r="A300" s="26"/>
      <c r="B300" s="27"/>
      <c r="C300" s="27"/>
      <c r="D300" s="27"/>
      <c r="E300" s="27"/>
      <c r="F300" s="45" t="str">
        <f t="shared" si="47"/>
        <v/>
      </c>
      <c r="G300" s="45" t="str">
        <f t="shared" si="48"/>
        <v/>
      </c>
      <c r="H300" s="27"/>
      <c r="I300" s="45" t="str">
        <f t="shared" si="49"/>
        <v/>
      </c>
      <c r="J300" s="45" t="str">
        <f t="shared" si="50"/>
        <v/>
      </c>
      <c r="K300" s="27"/>
      <c r="L300" s="45" t="str">
        <f t="shared" si="51"/>
        <v/>
      </c>
      <c r="M300" s="45" t="str">
        <f t="shared" si="52"/>
        <v/>
      </c>
      <c r="N300" s="27"/>
      <c r="O300" s="27"/>
      <c r="P300" s="28"/>
      <c r="Q300" s="28"/>
      <c r="R300" s="27"/>
      <c r="S300" s="27"/>
      <c r="T300" s="27"/>
      <c r="U300" s="27"/>
      <c r="V300" s="45" t="str">
        <f t="shared" si="53"/>
        <v/>
      </c>
      <c r="W300" s="45" t="str">
        <f t="shared" si="54"/>
        <v/>
      </c>
      <c r="X300" s="27"/>
      <c r="Y300" s="45" t="str">
        <f t="shared" si="44"/>
        <v/>
      </c>
      <c r="Z300" s="45" t="str">
        <f t="shared" si="45"/>
        <v/>
      </c>
      <c r="AA300" s="27"/>
      <c r="AB300" s="13" t="str">
        <f t="shared" ca="1" si="46"/>
        <v/>
      </c>
      <c r="AC300" s="13" t="str">
        <f ca="1">IF(A300="","",IF(OR(S300='02_マスタ'!$E$10,S300='02_マスタ'!$E$12),"",IF(R300="High","High",IF(AND(Q300&lt;&gt;"",Q300&lt;TODAY()),INDEX(_翻訳マスタ!$B$117:$D$247,MATCH("ALERT_OVERDUE",_翻訳マスタ!$A$117:$A$247,0),MATCH(言語切替!$B$3,_翻訳マスタ!$B$1:$D$1,0)),IF(AND(Q300&lt;&gt;"",Q300-TODAY()&lt;=7),INDEX(_翻訳マスタ!$B$117:$D$247,MATCH("ALERT_APPROACHING",_翻訳マスタ!$A$117:$A$247,0),MATCH(言語切替!$B$3,_翻訳マスタ!$B$1:$D$1,0)),IF(OR(S300='02_マスタ'!$E$7,S300='02_マスタ'!$E$8),INDEX(_翻訳マスタ!$B$117:$D$247,MATCH("ALERT_CHECK",_翻訳マスタ!$A$117:$A$247,0),MATCH(言語切替!$B$3,_翻訳マスタ!$B$1:$D$1,0)),""))))))</f>
        <v/>
      </c>
      <c r="AD300" s="40"/>
    </row>
    <row r="301" spans="1:30" s="22" customFormat="1" x14ac:dyDescent="0.25">
      <c r="A301" s="29"/>
      <c r="B301" s="30"/>
      <c r="C301" s="30"/>
      <c r="D301" s="30"/>
      <c r="E301" s="30"/>
      <c r="F301" s="46" t="str">
        <f t="shared" si="47"/>
        <v/>
      </c>
      <c r="G301" s="46" t="str">
        <f t="shared" si="48"/>
        <v/>
      </c>
      <c r="H301" s="30"/>
      <c r="I301" s="46" t="str">
        <f t="shared" si="49"/>
        <v/>
      </c>
      <c r="J301" s="46" t="str">
        <f t="shared" si="50"/>
        <v/>
      </c>
      <c r="K301" s="30"/>
      <c r="L301" s="46" t="str">
        <f t="shared" si="51"/>
        <v/>
      </c>
      <c r="M301" s="46" t="str">
        <f t="shared" si="52"/>
        <v/>
      </c>
      <c r="N301" s="30"/>
      <c r="O301" s="30"/>
      <c r="P301" s="31"/>
      <c r="Q301" s="31"/>
      <c r="R301" s="30"/>
      <c r="S301" s="30"/>
      <c r="T301" s="30"/>
      <c r="U301" s="30"/>
      <c r="V301" s="46" t="str">
        <f t="shared" si="53"/>
        <v/>
      </c>
      <c r="W301" s="46" t="str">
        <f t="shared" si="54"/>
        <v/>
      </c>
      <c r="X301" s="30"/>
      <c r="Y301" s="46" t="str">
        <f t="shared" si="44"/>
        <v/>
      </c>
      <c r="Z301" s="46" t="str">
        <f t="shared" si="45"/>
        <v/>
      </c>
      <c r="AA301" s="30"/>
      <c r="AB301" s="16" t="str">
        <f t="shared" ca="1" si="46"/>
        <v/>
      </c>
      <c r="AC301" s="16" t="str">
        <f ca="1">IF(A301="","",IF(OR(S301='02_マスタ'!$E$10,S301='02_マスタ'!$E$12),"",IF(R301="High","High",IF(AND(Q301&lt;&gt;"",Q301&lt;TODAY()),INDEX(_翻訳マスタ!$B$117:$D$247,MATCH("ALERT_OVERDUE",_翻訳マスタ!$A$117:$A$247,0),MATCH(言語切替!$B$3,_翻訳マスタ!$B$1:$D$1,0)),IF(AND(Q301&lt;&gt;"",Q301-TODAY()&lt;=7),INDEX(_翻訳マスタ!$B$117:$D$247,MATCH("ALERT_APPROACHING",_翻訳マスタ!$A$117:$A$247,0),MATCH(言語切替!$B$3,_翻訳マスタ!$B$1:$D$1,0)),IF(OR(S301='02_マスタ'!$E$7,S301='02_マスタ'!$E$8),INDEX(_翻訳マスタ!$B$117:$D$247,MATCH("ALERT_CHECK",_翻訳マスタ!$A$117:$A$247,0),MATCH(言語切替!$B$3,_翻訳マスタ!$B$1:$D$1,0)),""))))))</f>
        <v/>
      </c>
      <c r="AD301" s="41"/>
    </row>
    <row r="302" spans="1:30" s="22" customFormat="1" x14ac:dyDescent="0.25">
      <c r="A302" s="26"/>
      <c r="B302" s="27"/>
      <c r="C302" s="27"/>
      <c r="D302" s="27"/>
      <c r="E302" s="27"/>
      <c r="F302" s="45" t="str">
        <f t="shared" si="47"/>
        <v/>
      </c>
      <c r="G302" s="45" t="str">
        <f t="shared" si="48"/>
        <v/>
      </c>
      <c r="H302" s="27"/>
      <c r="I302" s="45" t="str">
        <f t="shared" si="49"/>
        <v/>
      </c>
      <c r="J302" s="45" t="str">
        <f t="shared" si="50"/>
        <v/>
      </c>
      <c r="K302" s="27"/>
      <c r="L302" s="45" t="str">
        <f t="shared" si="51"/>
        <v/>
      </c>
      <c r="M302" s="45" t="str">
        <f t="shared" si="52"/>
        <v/>
      </c>
      <c r="N302" s="27"/>
      <c r="O302" s="27"/>
      <c r="P302" s="28"/>
      <c r="Q302" s="28"/>
      <c r="R302" s="27"/>
      <c r="S302" s="27"/>
      <c r="T302" s="27"/>
      <c r="U302" s="27"/>
      <c r="V302" s="45" t="str">
        <f t="shared" si="53"/>
        <v/>
      </c>
      <c r="W302" s="45" t="str">
        <f t="shared" si="54"/>
        <v/>
      </c>
      <c r="X302" s="27"/>
      <c r="Y302" s="45" t="str">
        <f t="shared" si="44"/>
        <v/>
      </c>
      <c r="Z302" s="45" t="str">
        <f t="shared" si="45"/>
        <v/>
      </c>
      <c r="AA302" s="27"/>
      <c r="AB302" s="13" t="str">
        <f t="shared" ca="1" si="46"/>
        <v/>
      </c>
      <c r="AC302" s="13" t="str">
        <f ca="1">IF(A302="","",IF(OR(S302='02_マスタ'!$E$10,S302='02_マスタ'!$E$12),"",IF(R302="High","High",IF(AND(Q302&lt;&gt;"",Q302&lt;TODAY()),INDEX(_翻訳マスタ!$B$117:$D$247,MATCH("ALERT_OVERDUE",_翻訳マスタ!$A$117:$A$247,0),MATCH(言語切替!$B$3,_翻訳マスタ!$B$1:$D$1,0)),IF(AND(Q302&lt;&gt;"",Q302-TODAY()&lt;=7),INDEX(_翻訳マスタ!$B$117:$D$247,MATCH("ALERT_APPROACHING",_翻訳マスタ!$A$117:$A$247,0),MATCH(言語切替!$B$3,_翻訳マスタ!$B$1:$D$1,0)),IF(OR(S302='02_マスタ'!$E$7,S302='02_マスタ'!$E$8),INDEX(_翻訳マスタ!$B$117:$D$247,MATCH("ALERT_CHECK",_翻訳マスタ!$A$117:$A$247,0),MATCH(言語切替!$B$3,_翻訳マスタ!$B$1:$D$1,0)),""))))))</f>
        <v/>
      </c>
      <c r="AD302" s="40"/>
    </row>
    <row r="303" spans="1:30" s="22" customFormat="1" x14ac:dyDescent="0.25">
      <c r="A303" s="29"/>
      <c r="B303" s="30"/>
      <c r="C303" s="30"/>
      <c r="D303" s="30"/>
      <c r="E303" s="30"/>
      <c r="F303" s="46" t="str">
        <f t="shared" si="47"/>
        <v/>
      </c>
      <c r="G303" s="46" t="str">
        <f t="shared" si="48"/>
        <v/>
      </c>
      <c r="H303" s="30"/>
      <c r="I303" s="46" t="str">
        <f t="shared" si="49"/>
        <v/>
      </c>
      <c r="J303" s="46" t="str">
        <f t="shared" si="50"/>
        <v/>
      </c>
      <c r="K303" s="30"/>
      <c r="L303" s="46" t="str">
        <f t="shared" si="51"/>
        <v/>
      </c>
      <c r="M303" s="46" t="str">
        <f t="shared" si="52"/>
        <v/>
      </c>
      <c r="N303" s="30"/>
      <c r="O303" s="30"/>
      <c r="P303" s="31"/>
      <c r="Q303" s="31"/>
      <c r="R303" s="30"/>
      <c r="S303" s="30"/>
      <c r="T303" s="30"/>
      <c r="U303" s="30"/>
      <c r="V303" s="46" t="str">
        <f t="shared" si="53"/>
        <v/>
      </c>
      <c r="W303" s="46" t="str">
        <f t="shared" si="54"/>
        <v/>
      </c>
      <c r="X303" s="30"/>
      <c r="Y303" s="46" t="str">
        <f t="shared" si="44"/>
        <v/>
      </c>
      <c r="Z303" s="46" t="str">
        <f t="shared" si="45"/>
        <v/>
      </c>
      <c r="AA303" s="30"/>
      <c r="AB303" s="16" t="str">
        <f t="shared" ca="1" si="46"/>
        <v/>
      </c>
      <c r="AC303" s="16" t="str">
        <f ca="1">IF(A303="","",IF(OR(S303='02_マスタ'!$E$10,S303='02_マスタ'!$E$12),"",IF(R303="High","High",IF(AND(Q303&lt;&gt;"",Q303&lt;TODAY()),INDEX(_翻訳マスタ!$B$117:$D$247,MATCH("ALERT_OVERDUE",_翻訳マスタ!$A$117:$A$247,0),MATCH(言語切替!$B$3,_翻訳マスタ!$B$1:$D$1,0)),IF(AND(Q303&lt;&gt;"",Q303-TODAY()&lt;=7),INDEX(_翻訳マスタ!$B$117:$D$247,MATCH("ALERT_APPROACHING",_翻訳マスタ!$A$117:$A$247,0),MATCH(言語切替!$B$3,_翻訳マスタ!$B$1:$D$1,0)),IF(OR(S303='02_マスタ'!$E$7,S303='02_マスタ'!$E$8),INDEX(_翻訳マスタ!$B$117:$D$247,MATCH("ALERT_CHECK",_翻訳マスタ!$A$117:$A$247,0),MATCH(言語切替!$B$3,_翻訳マスタ!$B$1:$D$1,0)),""))))))</f>
        <v/>
      </c>
      <c r="AD303" s="41"/>
    </row>
    <row r="304" spans="1:30" s="22" customFormat="1" x14ac:dyDescent="0.25">
      <c r="A304" s="32"/>
      <c r="B304" s="33"/>
      <c r="C304" s="33"/>
      <c r="D304" s="33"/>
      <c r="E304" s="33"/>
      <c r="F304" s="47" t="str">
        <f t="shared" si="47"/>
        <v/>
      </c>
      <c r="G304" s="47" t="str">
        <f t="shared" si="48"/>
        <v/>
      </c>
      <c r="H304" s="33"/>
      <c r="I304" s="47" t="str">
        <f t="shared" si="49"/>
        <v/>
      </c>
      <c r="J304" s="47" t="str">
        <f t="shared" si="50"/>
        <v/>
      </c>
      <c r="K304" s="33"/>
      <c r="L304" s="47" t="str">
        <f t="shared" si="51"/>
        <v/>
      </c>
      <c r="M304" s="47" t="str">
        <f t="shared" si="52"/>
        <v/>
      </c>
      <c r="N304" s="33"/>
      <c r="O304" s="33"/>
      <c r="P304" s="34"/>
      <c r="Q304" s="34"/>
      <c r="R304" s="33"/>
      <c r="S304" s="33"/>
      <c r="T304" s="33"/>
      <c r="U304" s="33"/>
      <c r="V304" s="47" t="str">
        <f t="shared" si="53"/>
        <v/>
      </c>
      <c r="W304" s="47" t="str">
        <f t="shared" si="54"/>
        <v/>
      </c>
      <c r="X304" s="33"/>
      <c r="Y304" s="47" t="str">
        <f t="shared" si="44"/>
        <v/>
      </c>
      <c r="Z304" s="47" t="str">
        <f t="shared" si="45"/>
        <v/>
      </c>
      <c r="AA304" s="33"/>
      <c r="AB304" s="19" t="str">
        <f t="shared" ca="1" si="46"/>
        <v/>
      </c>
      <c r="AC304" s="19" t="str">
        <f ca="1">IF(A304="","",IF(OR(S304='02_マスタ'!$E$10,S304='02_マスタ'!$E$12),"",IF(R304="High","High",IF(AND(Q304&lt;&gt;"",Q304&lt;TODAY()),INDEX(_翻訳マスタ!$B$117:$D$247,MATCH("ALERT_OVERDUE",_翻訳マスタ!$A$117:$A$247,0),MATCH(言語切替!$B$3,_翻訳マスタ!$B$1:$D$1,0)),IF(AND(Q304&lt;&gt;"",Q304-TODAY()&lt;=7),INDEX(_翻訳マスタ!$B$117:$D$247,MATCH("ALERT_APPROACHING",_翻訳マスタ!$A$117:$A$247,0),MATCH(言語切替!$B$3,_翻訳マスタ!$B$1:$D$1,0)),IF(OR(S304='02_マスタ'!$E$7,S304='02_マスタ'!$E$8),INDEX(_翻訳マスタ!$B$117:$D$247,MATCH("ALERT_CHECK",_翻訳マスタ!$A$117:$A$247,0),MATCH(言語切替!$B$3,_翻訳マスタ!$B$1:$D$1,0)),""))))))</f>
        <v/>
      </c>
      <c r="AD304" s="42"/>
    </row>
  </sheetData>
  <sheetProtection sheet="1" scenarios="1"/>
  <autoFilter ref="A4:AD304" xr:uid="{00000000-0001-0000-0400-000000000000}"/>
  <mergeCells count="2">
    <mergeCell ref="A2:T2"/>
    <mergeCell ref="A1:T1"/>
  </mergeCells>
  <phoneticPr fontId="1"/>
  <conditionalFormatting sqref="AC5:AC304">
    <cfRule type="expression" dxfId="1" priority="1" stopIfTrue="1">
      <formula>OR(AC5="High",AC5="期限超過",AC5="逾期",AC5="Quá hạn")</formula>
    </cfRule>
    <cfRule type="expression" dxfId="0" priority="2" stopIfTrue="1">
      <formula>OR(AC5="期限接近",AC5="临近期限",AC5="Sắp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</xm:sqref>
        </x14:dataValidation>
        <x14:dataValidation type="list" allowBlank="1" xr:uid="{00000000-0002-0000-0400-000003000000}">
          <x14:formula1>
            <xm:f>'02_マスタ'!$G$5:$G$7</xm:f>
          </x14:formula1>
          <xm:sqref>R5:R304</xm:sqref>
        </x14:dataValidation>
        <x14:dataValidation type="list" allowBlank="1" xr:uid="{00000000-0002-0000-0400-000004000000}">
          <x14:formula1>
            <xm:f>'02_マスタ'!$E$5:$E$12</xm:f>
          </x14:formula1>
          <xm:sqref>S5:S304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204"/>
  <sheetViews>
    <sheetView showGridLines="0" zoomScale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6" width="28" style="1" customWidth="1"/>
    <col min="7" max="9" width="44" style="1" customWidth="1"/>
    <col min="10" max="12" width="38" style="1" customWidth="1"/>
    <col min="13" max="13" width="18" style="1" customWidth="1"/>
    <col min="14" max="14" width="20" style="1" customWidth="1"/>
    <col min="15" max="15" width="13" style="1" customWidth="1"/>
    <col min="16" max="18" width="34" style="1" customWidth="1"/>
    <col min="19" max="19" width="18" style="1" customWidth="1"/>
    <col min="20" max="20" width="12" style="1" customWidth="1"/>
    <col min="21" max="21" width="15" style="1" customWidth="1"/>
    <col min="22" max="22" width="30" style="1" customWidth="1"/>
    <col min="23" max="25" width="22" style="1" customWidth="1"/>
    <col min="26" max="16384" width="8.75" style="1"/>
  </cols>
  <sheetData>
    <row r="1" spans="1:25" ht="27.95" customHeight="1" x14ac:dyDescent="0.25">
      <c r="A1" s="64" t="str">
        <f>INDEX(_翻訳マスタ!$B$117:$D$247,MATCH("DEC_TITLE",_翻訳マスタ!$A$117:$A$247,0),MATCH(言語切替!$B$3,_翻訳マスタ!$B$1:$D$1,0))</f>
        <v>Nhật ký quyết định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5" ht="27.95" customHeight="1" x14ac:dyDescent="0.25">
      <c r="A2" s="65" t="str">
        <f>INDEX(_翻訳マスタ!$B$117:$D$247,MATCH("DEC_DESC",_翻訳マスタ!$A$117:$A$247,0),MATCH(言語切替!$B$3,_翻訳マスタ!$B$1:$D$1,0))</f>
        <v>Ghi lại nội dung quyết định trong cuộc họp và phạm vi ảnh hưởng. Giúp theo dõi lại lý do đưa ra quyết định.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25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25" ht="45" customHeight="1" x14ac:dyDescent="0.25">
      <c r="A4" s="6" t="str">
        <f>INDEX(_翻訳マスタ!$B$117:$D$247,MATCH("DEC_COL_ID",_翻訳マスタ!$A$117:$A$247,0),MATCH(言語切替!$B$3,_翻訳マスタ!$B$1:$D$1,0))</f>
        <v>Mã quyết định</v>
      </c>
      <c r="B4" s="7" t="str">
        <f>INDEX(_翻訳マスタ!$B$117:$D$247,MATCH("DEC_COL_DATE",_翻訳マスタ!$A$117:$A$247,0),MATCH(言語切替!$B$3,_翻訳マスタ!$B$1:$D$1,0))</f>
        <v>Ngày quyết định</v>
      </c>
      <c r="C4" s="7" t="str">
        <f>INDEX(_翻訳マスタ!$B$117:$D$247,MATCH("DEC_COL_FORUM",_翻訳マスタ!$A$117:$A$247,0),MATCH(言語切替!$B$3,_翻訳マスタ!$B$1:$D$1,0))</f>
        <v>Cuộc họp / Diễn đàn</v>
      </c>
      <c r="D4" s="7" t="str">
        <f>INDEX(_翻訳マスタ!$B$2:$D$300,MATCH("DEC_COL_TITLE",_翻訳マスタ!$A$2:$A$300,0),MATCH(言語切替!$B$3,_翻訳マスタ!$B$1:$D$1,0))&amp;INDEX(_翻訳マスタ!$B$2:$D$300,MATCH("NEW_VI_SUFFIX",_翻訳マスタ!$A$2:$A$300,0),MATCH(言語切替!$B$3,_翻訳マスタ!$B$1:$D$1,0))</f>
        <v>Tiêu đề (VI)</v>
      </c>
      <c r="E4" s="7" t="str">
        <f>INDEX(_翻訳マスタ!$B$2:$D$300,MATCH("DEC_COL_TITLE",_翻訳マスタ!$A$2:$A$300,0),MATCH(言語切替!$B$3,_翻訳マスタ!$B$1:$D$1,0))&amp;INDEX(_翻訳マスタ!$B$2:$D$300,MATCH("NEW_JP_SUFFIX",_翻訳マスタ!$A$2:$A$300,0),MATCH(言語切替!$B$3,_翻訳マスタ!$B$1:$D$1,0))</f>
        <v>Tiêu đề (JP)</v>
      </c>
      <c r="F4" s="7" t="str">
        <f>INDEX(_翻訳マスタ!$B$2:$D$300,MATCH("DEC_COL_TITLE",_翻訳マスタ!$A$2:$A$300,0),MATCH(言語切替!$B$3,_翻訳マスタ!$B$1:$D$1,0))&amp;INDEX(_翻訳マスタ!$B$2:$D$300,MATCH("NEW_CN_SUFFIX",_翻訳マスタ!$A$2:$A$300,0),MATCH(言語切替!$B$3,_翻訳マスタ!$B$1:$D$1,0))</f>
        <v>Tiêu đề (CN)</v>
      </c>
      <c r="G4" s="7" t="str">
        <f>INDEX(_翻訳マスタ!$B$2:$D$300,MATCH("DEC_COL_CONTENT",_翻訳マスタ!$A$2:$A$300,0),MATCH(言語切替!$B$3,_翻訳マスタ!$B$1:$D$1,0))&amp;INDEX(_翻訳マスタ!$B$2:$D$300,MATCH("NEW_VI_SUFFIX",_翻訳マスタ!$A$2:$A$300,0),MATCH(言語切替!$B$3,_翻訳マスタ!$B$1:$D$1,0))</f>
        <v>Nội dung quyết định (VI)</v>
      </c>
      <c r="H4" s="7" t="str">
        <f>INDEX(_翻訳マスタ!$B$2:$D$300,MATCH("DEC_COL_CONTENT",_翻訳マスタ!$A$2:$A$300,0),MATCH(言語切替!$B$3,_翻訳マスタ!$B$1:$D$1,0))&amp;INDEX(_翻訳マスタ!$B$2:$D$300,MATCH("NEW_JP_SUFFIX",_翻訳マスタ!$A$2:$A$300,0),MATCH(言語切替!$B$3,_翻訳マスタ!$B$1:$D$1,0))</f>
        <v>Nội dung quyết định (JP)</v>
      </c>
      <c r="I4" s="7" t="str">
        <f>INDEX(_翻訳マスタ!$B$2:$D$300,MATCH("DEC_COL_CONTENT",_翻訳マスタ!$A$2:$A$300,0),MATCH(言語切替!$B$3,_翻訳マスタ!$B$1:$D$1,0))&amp;INDEX(_翻訳マスタ!$B$2:$D$300,MATCH("NEW_CN_SUFFIX",_翻訳マスタ!$A$2:$A$300,0),MATCH(言語切替!$B$3,_翻訳マスタ!$B$1:$D$1,0))</f>
        <v>Nội dung quyết định (CN)</v>
      </c>
      <c r="J4" s="7" t="str">
        <f>INDEX(_翻訳マスタ!$B$2:$D$300,MATCH("DEC_COL_REASON",_翻訳マスタ!$A$2:$A$300,0),MATCH(言語切替!$B$3,_翻訳マスタ!$B$1:$D$1,0))&amp;INDEX(_翻訳マスタ!$B$2:$D$300,MATCH("NEW_VI_SUFFIX",_翻訳マスタ!$A$2:$A$300,0),MATCH(言語切替!$B$3,_翻訳マスタ!$B$1:$D$1,0))</f>
        <v>Lý do quyết định (VI)</v>
      </c>
      <c r="K4" s="7" t="str">
        <f>INDEX(_翻訳マスタ!$B$2:$D$300,MATCH("DEC_COL_REASON",_翻訳マスタ!$A$2:$A$300,0),MATCH(言語切替!$B$3,_翻訳マスタ!$B$1:$D$1,0))&amp;INDEX(_翻訳マスタ!$B$2:$D$300,MATCH("NEW_JP_SUFFIX",_翻訳マスタ!$A$2:$A$300,0),MATCH(言語切替!$B$3,_翻訳マスタ!$B$1:$D$1,0))</f>
        <v>Lý do quyết định (JP)</v>
      </c>
      <c r="L4" s="7" t="str">
        <f>INDEX(_翻訳マスタ!$B$2:$D$300,MATCH("DEC_COL_REASON",_翻訳マスタ!$A$2:$A$300,0),MATCH(言語切替!$B$3,_翻訳マスタ!$B$1:$D$1,0))&amp;INDEX(_翻訳マスタ!$B$2:$D$300,MATCH("NEW_CN_SUFFIX",_翻訳マスタ!$A$2:$A$300,0),MATCH(言語切替!$B$3,_翻訳マスタ!$B$1:$D$1,0))</f>
        <v>Lý do quyết định (CN)</v>
      </c>
      <c r="M4" s="7" t="str">
        <f>INDEX(_翻訳マスタ!$B$117:$D$247,MATCH("DEC_COL_DECIDER",_翻訳マスタ!$A$117:$A$247,0),MATCH(言語切替!$B$3,_翻訳マスタ!$B$1:$D$1,0))</f>
        <v>Người quyết định</v>
      </c>
      <c r="N4" s="7" t="str">
        <f>INDEX(_翻訳マスタ!$B$117:$D$247,MATCH("DEC_COL_WG",_翻訳マスタ!$A$117:$A$247,0),MATCH(言語切替!$B$3,_翻訳マスタ!$B$1:$D$1,0))</f>
        <v>WG áp dụng</v>
      </c>
      <c r="O4" s="7" t="str">
        <f>INDEX(_翻訳マスタ!$B$117:$D$247,MATCH("DEC_COL_SITE",_翻訳マスタ!$A$117:$A$247,0),MATCH(言語切替!$B$3,_翻訳マスタ!$B$1:$D$1,0))</f>
        <v>Đơn vị áp dụng</v>
      </c>
      <c r="P4" s="7" t="str">
        <f>INDEX(_翻訳マスタ!$B$2:$D$300,MATCH("DEC_COL_SCOPE",_翻訳マスタ!$A$2:$A$300,0),MATCH(言語切替!$B$3,_翻訳マスタ!$B$1:$D$1,0))&amp;INDEX(_翻訳マスタ!$B$2:$D$300,MATCH("NEW_VI_SUFFIX",_翻訳マスタ!$A$2:$A$300,0),MATCH(言語切替!$B$3,_翻訳マスタ!$B$1:$D$1,0))</f>
        <v>Phạm vi ảnh hưởng (VI)</v>
      </c>
      <c r="Q4" s="7" t="str">
        <f>INDEX(_翻訳マスタ!$B$2:$D$300,MATCH("DEC_COL_SCOPE",_翻訳マスタ!$A$2:$A$300,0),MATCH(言語切替!$B$3,_翻訳マスタ!$B$1:$D$1,0))&amp;INDEX(_翻訳マスタ!$B$2:$D$300,MATCH("NEW_JP_SUFFIX",_翻訳マスタ!$A$2:$A$300,0),MATCH(言語切替!$B$3,_翻訳マスタ!$B$1:$D$1,0))</f>
        <v>Phạm vi ảnh hưởng (JP)</v>
      </c>
      <c r="R4" s="7" t="str">
        <f>INDEX(_翻訳マスタ!$B$2:$D$300,MATCH("DEC_COL_SCOPE",_翻訳マスタ!$A$2:$A$300,0),MATCH(言語切替!$B$3,_翻訳マスタ!$B$1:$D$1,0))&amp;INDEX(_翻訳マスタ!$B$2:$D$300,MATCH("NEW_CN_SUFFIX",_翻訳マスタ!$A$2:$A$300,0),MATCH(言語切替!$B$3,_翻訳マスタ!$B$1:$D$1,0))</f>
        <v>Phạm vi ảnh hưởng (CN)</v>
      </c>
      <c r="S4" s="7" t="str">
        <f>INDEX(_翻訳マスタ!$B$117:$D$247,MATCH("DEC_COL_LEAD",_翻訳マスタ!$A$117:$A$247,0),MATCH(言語切替!$B$3,_翻訳マスタ!$B$1:$D$1,0))</f>
        <v>Người chịu trách nhiệm thực hiện</v>
      </c>
      <c r="T4" s="7" t="str">
        <f>INDEX(_翻訳マスタ!$B$117:$D$247,MATCH("DEC_COL_DUE",_翻訳マスタ!$A$117:$A$247,0),MATCH(言語切替!$B$3,_翻訳マスタ!$B$1:$D$1,0))</f>
        <v>Thời hạn áp dụng</v>
      </c>
      <c r="U4" s="7" t="str">
        <f>INDEX(_翻訳マスタ!$B$117:$D$247,MATCH("DEC_COL_ISSUE_ID",_翻訳マスタ!$A$117:$A$247,0),MATCH(言語切替!$B$3,_翻訳マスタ!$B$1:$D$1,0))</f>
        <v>Mã vấn đề liên quan</v>
      </c>
      <c r="V4" s="7" t="str">
        <f>INDEX(_翻訳マスタ!$B$117:$D$247,MATCH("DEC_COL_LINK",_翻訳マスタ!$A$117:$A$247,0),MATCH(言語切替!$B$3,_翻訳マスタ!$B$1:$D$1,0))</f>
        <v>Liên kết tài liệu liên quan</v>
      </c>
      <c r="W4" s="8" t="str">
        <f>INDEX(_翻訳マスタ!$B$2:$D$300,MATCH("DEC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X4" s="43" t="str">
        <f>INDEX(_翻訳マスタ!$B$2:$D$300,MATCH("DEC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Y4" s="43" t="str">
        <f>INDEX(_翻訳マスタ!$B$2:$D$300,MATCH("DEC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25" s="22" customFormat="1" ht="31.5" customHeight="1" x14ac:dyDescent="0.25">
      <c r="A5" s="23" t="s">
        <v>168</v>
      </c>
      <c r="B5" s="25">
        <v>46288</v>
      </c>
      <c r="C5" s="24" t="str">
        <f>INDEX(_翻訳マスタ!$B$117:$D$247,MATCH("DEC_EX1_FORUM",_翻訳マスタ!$A$117:$A$247,0),MATCH(言語切替!$B$3,_翻訳マスタ!$B$1:$D$1,0))</f>
        <v>Họp ban điều hành</v>
      </c>
      <c r="D5" s="24" t="str">
        <f>INDEX(_翻訳マスタ!$D$2:$D$300,MATCH("DEC_EX1_TITLE",_翻訳マスタ!$A$2:$A$300,0))</f>
        <v>Bản đầu tiên công cụ quản lý</v>
      </c>
      <c r="E5" s="44" t="e" vm="1">
        <f>IF(D5="","",_xlfn.TRANSLATE(D5,"","ja"))</f>
        <v>#VALUE!</v>
      </c>
      <c r="F5" s="44" t="e" vm="1">
        <f>IF(D5="","",_xlfn.TRANSLATE(D5,"","zh-Hans"))</f>
        <v>#VALUE!</v>
      </c>
      <c r="G5" s="24" t="str">
        <f>INDEX(_翻訳マスタ!$D$2:$D$300,MATCH("DEC_EX1_CONTENT",_翻訳マスタ!$A$2:$A$300,0))</f>
        <v>Đưa phương án quản lý tập trung bằng Excel vào rà soát nội bộ ban điều hành</v>
      </c>
      <c r="H5" s="44" t="e" vm="1">
        <f>IF(G5="","",_xlfn.TRANSLATE(G5,"","ja"))</f>
        <v>#VALUE!</v>
      </c>
      <c r="I5" s="44" t="e" vm="1">
        <f>IF(G5="","",_xlfn.TRANSLATE(G5,"","zh-Hans"))</f>
        <v>#VALUE!</v>
      </c>
      <c r="J5" s="24" t="str">
        <f>INDEX(_翻訳マスタ!$D$2:$D$300,MATCH("DEC_EX1_REASON",_翻訳マスタ!$A$2:$A$300,0))</f>
        <v>Để củng cố các quy tắc chung trước tiên</v>
      </c>
      <c r="K5" s="44" t="e" vm="1">
        <f>IF(J5="","",_xlfn.TRANSLATE(J5,"","ja"))</f>
        <v>#VALUE!</v>
      </c>
      <c r="L5" s="44" t="e" vm="1">
        <f>IF(J5="","",_xlfn.TRANSLATE(J5,"","zh-Hans"))</f>
        <v>#VALUE!</v>
      </c>
      <c r="M5" s="24" t="str">
        <f>INDEX(_翻訳マスタ!$B$117:$D$247,MATCH("ROLE_SUBLEADER",_翻訳マスタ!$A$117:$A$247,0),MATCH(言語切替!$B$3,_翻訳マスタ!$B$1:$D$1,0))</f>
        <v>Trưởng tiểu ban</v>
      </c>
      <c r="N5" s="24" t="str">
        <f>'02_マスタ'!$A$5</f>
        <v>Toàn bộ</v>
      </c>
      <c r="O5" s="24" t="str">
        <f>'02_マスタ'!$C$5</f>
        <v>Chung</v>
      </c>
      <c r="P5" s="24" t="str">
        <f>INDEX(_翻訳マスタ!$D$2:$D$300,MATCH("COMMON_ALL_WG",_翻訳マスタ!$A$2:$A$300,0))</f>
        <v>Tất cả WG</v>
      </c>
      <c r="Q5" s="44" t="e" vm="1">
        <f>IF(P5="","",_xlfn.TRANSLATE(P5,"","ja"))</f>
        <v>#VALUE!</v>
      </c>
      <c r="R5" s="44" t="e" vm="1">
        <f>IF(P5="","",_xlfn.TRANSLATE(P5,"","zh-Hans"))</f>
        <v>#VALUE!</v>
      </c>
      <c r="S5" s="24" t="str">
        <f>INDEX(_翻訳マスタ!$B$117:$D$247,MATCH("ROLE_PMO",_翻訳マスタ!$A$117:$A$247,0),MATCH(言語切替!$B$3,_翻訳マスタ!$B$1:$D$1,0))</f>
        <v>Ban điều hành</v>
      </c>
      <c r="T5" s="25">
        <v>46295</v>
      </c>
      <c r="U5" s="24" t="s">
        <v>131</v>
      </c>
      <c r="V5" s="24"/>
      <c r="W5" s="35" t="str">
        <f>INDEX(_翻訳マスタ!$D$2:$D$300,MATCH("COMMON_EXAMPLE",_翻訳マスタ!$A$2:$A$300,0))</f>
        <v>Ví dụ nhập liệu</v>
      </c>
      <c r="X5" s="52" t="e" vm="1">
        <f>IF(W5="","",_xlfn.TRANSLATE(W5,"","ja"))</f>
        <v>#VALUE!</v>
      </c>
      <c r="Y5" s="52" t="e" vm="1">
        <f>IF(W5="","",_xlfn.TRANSLATE(W5,"","zh-Hans"))</f>
        <v>#VALUE!</v>
      </c>
    </row>
    <row r="6" spans="1:25" s="22" customFormat="1" ht="31.5" customHeight="1" x14ac:dyDescent="0.25">
      <c r="A6" s="26"/>
      <c r="B6" s="28"/>
      <c r="C6" s="27"/>
      <c r="D6" s="27"/>
      <c r="E6" s="45" t="str">
        <f>IF(D6="","",_xlfn.TRANSLATE(D6,"","ja"))</f>
        <v/>
      </c>
      <c r="F6" s="45" t="str">
        <f>IF(D6="","",_xlfn.TRANSLATE(D6,"","zh-Hans"))</f>
        <v/>
      </c>
      <c r="G6" s="27"/>
      <c r="H6" s="45" t="str">
        <f>IF(G6="","",_xlfn.TRANSLATE(G6,"","ja"))</f>
        <v/>
      </c>
      <c r="I6" s="45" t="str">
        <f>IF(G6="","",_xlfn.TRANSLATE(G6,"","zh-Hans"))</f>
        <v/>
      </c>
      <c r="J6" s="27"/>
      <c r="K6" s="45" t="str">
        <f>IF(J6="","",_xlfn.TRANSLATE(J6,"","ja"))</f>
        <v/>
      </c>
      <c r="L6" s="45" t="str">
        <f>IF(J6="","",_xlfn.TRANSLATE(J6,"","zh-Hans"))</f>
        <v/>
      </c>
      <c r="M6" s="27"/>
      <c r="N6" s="27"/>
      <c r="O6" s="27"/>
      <c r="P6" s="27"/>
      <c r="Q6" s="45" t="str">
        <f>IF(P6="","",_xlfn.TRANSLATE(P6,"","ja"))</f>
        <v/>
      </c>
      <c r="R6" s="45" t="str">
        <f>IF(P6="","",_xlfn.TRANSLATE(P6,"","zh-Hans"))</f>
        <v/>
      </c>
      <c r="S6" s="27"/>
      <c r="T6" s="28"/>
      <c r="U6" s="27"/>
      <c r="V6" s="27"/>
      <c r="W6" s="36"/>
      <c r="X6" s="53" t="str">
        <f>IF(W6="","",_xlfn.TRANSLATE(W6,"","ja"))</f>
        <v/>
      </c>
      <c r="Y6" s="53" t="str">
        <f>IF(W6="","",_xlfn.TRANSLATE(W6,"","zh-Hans"))</f>
        <v/>
      </c>
    </row>
    <row r="7" spans="1:25" s="22" customFormat="1" ht="31.5" customHeight="1" x14ac:dyDescent="0.25">
      <c r="A7" s="29"/>
      <c r="B7" s="31"/>
      <c r="C7" s="30"/>
      <c r="D7" s="30"/>
      <c r="E7" s="46" t="str">
        <f>IF(D7="","",_xlfn.TRANSLATE(D7,"","ja"))</f>
        <v/>
      </c>
      <c r="F7" s="46" t="str">
        <f>IF(D7="","",_xlfn.TRANSLATE(D7,"","zh-Hans"))</f>
        <v/>
      </c>
      <c r="G7" s="30"/>
      <c r="H7" s="46" t="str">
        <f>IF(G7="","",_xlfn.TRANSLATE(G7,"","ja"))</f>
        <v/>
      </c>
      <c r="I7" s="46" t="str">
        <f>IF(G7="","",_xlfn.TRANSLATE(G7,"","zh-Hans"))</f>
        <v/>
      </c>
      <c r="J7" s="30"/>
      <c r="K7" s="46" t="str">
        <f>IF(J7="","",_xlfn.TRANSLATE(J7,"","ja"))</f>
        <v/>
      </c>
      <c r="L7" s="46" t="str">
        <f>IF(J7="","",_xlfn.TRANSLATE(J7,"","zh-Hans"))</f>
        <v/>
      </c>
      <c r="M7" s="30"/>
      <c r="N7" s="30"/>
      <c r="O7" s="30"/>
      <c r="P7" s="30"/>
      <c r="Q7" s="46" t="str">
        <f>IF(P7="","",_xlfn.TRANSLATE(P7,"","ja"))</f>
        <v/>
      </c>
      <c r="R7" s="46" t="str">
        <f>IF(P7="","",_xlfn.TRANSLATE(P7,"","zh-Hans"))</f>
        <v/>
      </c>
      <c r="S7" s="30"/>
      <c r="T7" s="31"/>
      <c r="U7" s="30"/>
      <c r="V7" s="30"/>
      <c r="W7" s="37"/>
      <c r="X7" s="52" t="str">
        <f>IF(W7="","",_xlfn.TRANSLATE(W7,"","ja"))</f>
        <v/>
      </c>
      <c r="Y7" s="52" t="str">
        <f>IF(W7="","",_xlfn.TRANSLATE(W7,"","zh-Hans"))</f>
        <v/>
      </c>
    </row>
    <row r="8" spans="1:25" s="22" customFormat="1" ht="31.5" customHeight="1" x14ac:dyDescent="0.25">
      <c r="A8" s="26"/>
      <c r="B8" s="28"/>
      <c r="C8" s="27"/>
      <c r="D8" s="27"/>
      <c r="E8" s="45" t="str">
        <f>IF(D8="","",_xlfn.TRANSLATE(D8,"","ja"))</f>
        <v/>
      </c>
      <c r="F8" s="45" t="str">
        <f>IF(D8="","",_xlfn.TRANSLATE(D8,"","zh-Hans"))</f>
        <v/>
      </c>
      <c r="G8" s="27"/>
      <c r="H8" s="45" t="str">
        <f>IF(G8="","",_xlfn.TRANSLATE(G8,"","ja"))</f>
        <v/>
      </c>
      <c r="I8" s="45" t="str">
        <f>IF(G8="","",_xlfn.TRANSLATE(G8,"","zh-Hans"))</f>
        <v/>
      </c>
      <c r="J8" s="27"/>
      <c r="K8" s="45" t="str">
        <f>IF(J8="","",_xlfn.TRANSLATE(J8,"","ja"))</f>
        <v/>
      </c>
      <c r="L8" s="45" t="str">
        <f>IF(J8="","",_xlfn.TRANSLATE(J8,"","zh-Hans"))</f>
        <v/>
      </c>
      <c r="M8" s="27"/>
      <c r="N8" s="27"/>
      <c r="O8" s="27"/>
      <c r="P8" s="27"/>
      <c r="Q8" s="45" t="str">
        <f>IF(P8="","",_xlfn.TRANSLATE(P8,"","ja"))</f>
        <v/>
      </c>
      <c r="R8" s="45" t="str">
        <f>IF(P8="","",_xlfn.TRANSLATE(P8,"","zh-Hans"))</f>
        <v/>
      </c>
      <c r="S8" s="27"/>
      <c r="T8" s="28"/>
      <c r="U8" s="27"/>
      <c r="V8" s="27"/>
      <c r="W8" s="36"/>
      <c r="X8" s="53" t="str">
        <f>IF(W8="","",_xlfn.TRANSLATE(W8,"","ja"))</f>
        <v/>
      </c>
      <c r="Y8" s="53" t="str">
        <f>IF(W8="","",_xlfn.TRANSLATE(W8,"","zh-Hans"))</f>
        <v/>
      </c>
    </row>
    <row r="9" spans="1:25" s="22" customFormat="1" ht="15" customHeight="1" x14ac:dyDescent="0.25">
      <c r="A9" s="29"/>
      <c r="B9" s="31"/>
      <c r="C9" s="30"/>
      <c r="D9" s="30"/>
      <c r="E9" s="46" t="str">
        <f>IF(D9="","",_xlfn.TRANSLATE(D9,"","ja"))</f>
        <v/>
      </c>
      <c r="F9" s="46" t="str">
        <f>IF(D9="","",_xlfn.TRANSLATE(D9,"","zh-Hans"))</f>
        <v/>
      </c>
      <c r="G9" s="30"/>
      <c r="H9" s="46" t="str">
        <f>IF(G9="","",_xlfn.TRANSLATE(G9,"","ja"))</f>
        <v/>
      </c>
      <c r="I9" s="46" t="str">
        <f>IF(G9="","",_xlfn.TRANSLATE(G9,"","zh-Hans"))</f>
        <v/>
      </c>
      <c r="J9" s="30"/>
      <c r="K9" s="46" t="str">
        <f>IF(J9="","",_xlfn.TRANSLATE(J9,"","ja"))</f>
        <v/>
      </c>
      <c r="L9" s="46" t="str">
        <f>IF(J9="","",_xlfn.TRANSLATE(J9,"","zh-Hans"))</f>
        <v/>
      </c>
      <c r="M9" s="30"/>
      <c r="N9" s="30"/>
      <c r="O9" s="30"/>
      <c r="P9" s="30"/>
      <c r="Q9" s="46" t="str">
        <f>IF(P9="","",_xlfn.TRANSLATE(P9,"","ja"))</f>
        <v/>
      </c>
      <c r="R9" s="46" t="str">
        <f>IF(P9="","",_xlfn.TRANSLATE(P9,"","zh-Hans"))</f>
        <v/>
      </c>
      <c r="S9" s="30"/>
      <c r="T9" s="31"/>
      <c r="U9" s="30"/>
      <c r="V9" s="30"/>
      <c r="W9" s="37"/>
      <c r="X9" s="52" t="str">
        <f>IF(W9="","",_xlfn.TRANSLATE(W9,"","ja"))</f>
        <v/>
      </c>
      <c r="Y9" s="52" t="str">
        <f>IF(W9="","",_xlfn.TRANSLATE(W9,"","zh-Hans"))</f>
        <v/>
      </c>
    </row>
    <row r="10" spans="1:25" s="22" customFormat="1" ht="15" customHeight="1" x14ac:dyDescent="0.25">
      <c r="A10" s="26"/>
      <c r="B10" s="28"/>
      <c r="C10" s="27"/>
      <c r="D10" s="27"/>
      <c r="E10" s="45" t="str">
        <f>IF(D10="","",_xlfn.TRANSLATE(D10,"","ja"))</f>
        <v/>
      </c>
      <c r="F10" s="45" t="str">
        <f>IF(D10="","",_xlfn.TRANSLATE(D10,"","zh-Hans"))</f>
        <v/>
      </c>
      <c r="G10" s="27"/>
      <c r="H10" s="45" t="str">
        <f>IF(G10="","",_xlfn.TRANSLATE(G10,"","ja"))</f>
        <v/>
      </c>
      <c r="I10" s="45" t="str">
        <f>IF(G10="","",_xlfn.TRANSLATE(G10,"","zh-Hans"))</f>
        <v/>
      </c>
      <c r="J10" s="27"/>
      <c r="K10" s="45" t="str">
        <f>IF(J10="","",_xlfn.TRANSLATE(J10,"","ja"))</f>
        <v/>
      </c>
      <c r="L10" s="45" t="str">
        <f>IF(J10="","",_xlfn.TRANSLATE(J10,"","zh-Hans"))</f>
        <v/>
      </c>
      <c r="M10" s="27"/>
      <c r="N10" s="27"/>
      <c r="O10" s="27"/>
      <c r="P10" s="27"/>
      <c r="Q10" s="45" t="str">
        <f>IF(P10="","",_xlfn.TRANSLATE(P10,"","ja"))</f>
        <v/>
      </c>
      <c r="R10" s="45" t="str">
        <f>IF(P10="","",_xlfn.TRANSLATE(P10,"","zh-Hans"))</f>
        <v/>
      </c>
      <c r="S10" s="27"/>
      <c r="T10" s="28"/>
      <c r="U10" s="27"/>
      <c r="V10" s="27"/>
      <c r="W10" s="36"/>
      <c r="X10" s="53" t="str">
        <f>IF(W10="","",_xlfn.TRANSLATE(W10,"","ja"))</f>
        <v/>
      </c>
      <c r="Y10" s="53" t="str">
        <f>IF(W10="","",_xlfn.TRANSLATE(W10,"","zh-Hans"))</f>
        <v/>
      </c>
    </row>
    <row r="11" spans="1:25" s="22" customFormat="1" ht="15" customHeight="1" x14ac:dyDescent="0.25">
      <c r="A11" s="29"/>
      <c r="B11" s="31"/>
      <c r="C11" s="30"/>
      <c r="D11" s="30"/>
      <c r="E11" s="46" t="str">
        <f>IF(D11="","",_xlfn.TRANSLATE(D11,"","ja"))</f>
        <v/>
      </c>
      <c r="F11" s="46" t="str">
        <f>IF(D11="","",_xlfn.TRANSLATE(D11,"","zh-Hans"))</f>
        <v/>
      </c>
      <c r="G11" s="30"/>
      <c r="H11" s="46" t="str">
        <f>IF(G11="","",_xlfn.TRANSLATE(G11,"","ja"))</f>
        <v/>
      </c>
      <c r="I11" s="46" t="str">
        <f>IF(G11="","",_xlfn.TRANSLATE(G11,"","zh-Hans"))</f>
        <v/>
      </c>
      <c r="J11" s="30"/>
      <c r="K11" s="46" t="str">
        <f>IF(J11="","",_xlfn.TRANSLATE(J11,"","ja"))</f>
        <v/>
      </c>
      <c r="L11" s="46" t="str">
        <f>IF(J11="","",_xlfn.TRANSLATE(J11,"","zh-Hans"))</f>
        <v/>
      </c>
      <c r="M11" s="30"/>
      <c r="N11" s="30"/>
      <c r="O11" s="30"/>
      <c r="P11" s="30"/>
      <c r="Q11" s="46" t="str">
        <f>IF(P11="","",_xlfn.TRANSLATE(P11,"","ja"))</f>
        <v/>
      </c>
      <c r="R11" s="46" t="str">
        <f>IF(P11="","",_xlfn.TRANSLATE(P11,"","zh-Hans"))</f>
        <v/>
      </c>
      <c r="S11" s="30"/>
      <c r="T11" s="31"/>
      <c r="U11" s="30"/>
      <c r="V11" s="30"/>
      <c r="W11" s="37"/>
      <c r="X11" s="52" t="str">
        <f>IF(W11="","",_xlfn.TRANSLATE(W11,"","ja"))</f>
        <v/>
      </c>
      <c r="Y11" s="52" t="str">
        <f>IF(W11="","",_xlfn.TRANSLATE(W11,"","zh-Hans"))</f>
        <v/>
      </c>
    </row>
    <row r="12" spans="1:25" s="22" customFormat="1" ht="15" customHeight="1" x14ac:dyDescent="0.25">
      <c r="A12" s="26"/>
      <c r="B12" s="28"/>
      <c r="C12" s="27"/>
      <c r="D12" s="27"/>
      <c r="E12" s="45" t="str">
        <f>IF(D12="","",_xlfn.TRANSLATE(D12,"","ja"))</f>
        <v/>
      </c>
      <c r="F12" s="45" t="str">
        <f>IF(D12="","",_xlfn.TRANSLATE(D12,"","zh-Hans"))</f>
        <v/>
      </c>
      <c r="G12" s="27"/>
      <c r="H12" s="45" t="str">
        <f>IF(G12="","",_xlfn.TRANSLATE(G12,"","ja"))</f>
        <v/>
      </c>
      <c r="I12" s="45" t="str">
        <f>IF(G12="","",_xlfn.TRANSLATE(G12,"","zh-Hans"))</f>
        <v/>
      </c>
      <c r="J12" s="27"/>
      <c r="K12" s="45" t="str">
        <f>IF(J12="","",_xlfn.TRANSLATE(J12,"","ja"))</f>
        <v/>
      </c>
      <c r="L12" s="45" t="str">
        <f>IF(J12="","",_xlfn.TRANSLATE(J12,"","zh-Hans"))</f>
        <v/>
      </c>
      <c r="M12" s="27"/>
      <c r="N12" s="27"/>
      <c r="O12" s="27"/>
      <c r="P12" s="27"/>
      <c r="Q12" s="45" t="str">
        <f>IF(P12="","",_xlfn.TRANSLATE(P12,"","ja"))</f>
        <v/>
      </c>
      <c r="R12" s="45" t="str">
        <f>IF(P12="","",_xlfn.TRANSLATE(P12,"","zh-Hans"))</f>
        <v/>
      </c>
      <c r="S12" s="27"/>
      <c r="T12" s="28"/>
      <c r="U12" s="27"/>
      <c r="V12" s="27"/>
      <c r="W12" s="36"/>
      <c r="X12" s="53" t="str">
        <f>IF(W12="","",_xlfn.TRANSLATE(W12,"","ja"))</f>
        <v/>
      </c>
      <c r="Y12" s="53" t="str">
        <f>IF(W12="","",_xlfn.TRANSLATE(W12,"","zh-Hans"))</f>
        <v/>
      </c>
    </row>
    <row r="13" spans="1:25" s="22" customFormat="1" ht="15" customHeight="1" x14ac:dyDescent="0.25">
      <c r="A13" s="29"/>
      <c r="B13" s="31"/>
      <c r="C13" s="30"/>
      <c r="D13" s="30"/>
      <c r="E13" s="46" t="str">
        <f>IF(D13="","",_xlfn.TRANSLATE(D13,"","ja"))</f>
        <v/>
      </c>
      <c r="F13" s="46" t="str">
        <f>IF(D13="","",_xlfn.TRANSLATE(D13,"","zh-Hans"))</f>
        <v/>
      </c>
      <c r="G13" s="30"/>
      <c r="H13" s="46" t="str">
        <f>IF(G13="","",_xlfn.TRANSLATE(G13,"","ja"))</f>
        <v/>
      </c>
      <c r="I13" s="46" t="str">
        <f>IF(G13="","",_xlfn.TRANSLATE(G13,"","zh-Hans"))</f>
        <v/>
      </c>
      <c r="J13" s="30"/>
      <c r="K13" s="46" t="str">
        <f>IF(J13="","",_xlfn.TRANSLATE(J13,"","ja"))</f>
        <v/>
      </c>
      <c r="L13" s="46" t="str">
        <f>IF(J13="","",_xlfn.TRANSLATE(J13,"","zh-Hans"))</f>
        <v/>
      </c>
      <c r="M13" s="30"/>
      <c r="N13" s="30"/>
      <c r="O13" s="30"/>
      <c r="P13" s="30"/>
      <c r="Q13" s="46" t="str">
        <f>IF(P13="","",_xlfn.TRANSLATE(P13,"","ja"))</f>
        <v/>
      </c>
      <c r="R13" s="46" t="str">
        <f>IF(P13="","",_xlfn.TRANSLATE(P13,"","zh-Hans"))</f>
        <v/>
      </c>
      <c r="S13" s="30"/>
      <c r="T13" s="31"/>
      <c r="U13" s="30"/>
      <c r="V13" s="30"/>
      <c r="W13" s="37"/>
      <c r="X13" s="52" t="str">
        <f>IF(W13="","",_xlfn.TRANSLATE(W13,"","ja"))</f>
        <v/>
      </c>
      <c r="Y13" s="52" t="str">
        <f>IF(W13="","",_xlfn.TRANSLATE(W13,"","zh-Hans"))</f>
        <v/>
      </c>
    </row>
    <row r="14" spans="1:25" s="22" customFormat="1" ht="15" customHeight="1" x14ac:dyDescent="0.25">
      <c r="A14" s="26"/>
      <c r="B14" s="28"/>
      <c r="C14" s="27"/>
      <c r="D14" s="27"/>
      <c r="E14" s="45" t="str">
        <f>IF(D14="","",_xlfn.TRANSLATE(D14,"","ja"))</f>
        <v/>
      </c>
      <c r="F14" s="45" t="str">
        <f>IF(D14="","",_xlfn.TRANSLATE(D14,"","zh-Hans"))</f>
        <v/>
      </c>
      <c r="G14" s="27"/>
      <c r="H14" s="45" t="str">
        <f>IF(G14="","",_xlfn.TRANSLATE(G14,"","ja"))</f>
        <v/>
      </c>
      <c r="I14" s="45" t="str">
        <f>IF(G14="","",_xlfn.TRANSLATE(G14,"","zh-Hans"))</f>
        <v/>
      </c>
      <c r="J14" s="27"/>
      <c r="K14" s="45" t="str">
        <f>IF(J14="","",_xlfn.TRANSLATE(J14,"","ja"))</f>
        <v/>
      </c>
      <c r="L14" s="45" t="str">
        <f>IF(J14="","",_xlfn.TRANSLATE(J14,"","zh-Hans"))</f>
        <v/>
      </c>
      <c r="M14" s="27"/>
      <c r="N14" s="27"/>
      <c r="O14" s="27"/>
      <c r="P14" s="27"/>
      <c r="Q14" s="45" t="str">
        <f>IF(P14="","",_xlfn.TRANSLATE(P14,"","ja"))</f>
        <v/>
      </c>
      <c r="R14" s="45" t="str">
        <f>IF(P14="","",_xlfn.TRANSLATE(P14,"","zh-Hans"))</f>
        <v/>
      </c>
      <c r="S14" s="27"/>
      <c r="T14" s="28"/>
      <c r="U14" s="27"/>
      <c r="V14" s="27"/>
      <c r="W14" s="36"/>
      <c r="X14" s="53" t="str">
        <f>IF(W14="","",_xlfn.TRANSLATE(W14,"","ja"))</f>
        <v/>
      </c>
      <c r="Y14" s="53" t="str">
        <f>IF(W14="","",_xlfn.TRANSLATE(W14,"","zh-Hans"))</f>
        <v/>
      </c>
    </row>
    <row r="15" spans="1:25" s="22" customFormat="1" ht="30" customHeight="1" x14ac:dyDescent="0.25">
      <c r="A15" s="29"/>
      <c r="B15" s="31"/>
      <c r="C15" s="30"/>
      <c r="D15" s="30"/>
      <c r="E15" s="46" t="str">
        <f>IF(D15="","",_xlfn.TRANSLATE(D15,"","ja"))</f>
        <v/>
      </c>
      <c r="F15" s="46" t="str">
        <f>IF(D15="","",_xlfn.TRANSLATE(D15,"","zh-Hans"))</f>
        <v/>
      </c>
      <c r="G15" s="30"/>
      <c r="H15" s="46" t="str">
        <f>IF(G15="","",_xlfn.TRANSLATE(G15,"","ja"))</f>
        <v/>
      </c>
      <c r="I15" s="46" t="str">
        <f>IF(G15="","",_xlfn.TRANSLATE(G15,"","zh-Hans"))</f>
        <v/>
      </c>
      <c r="J15" s="30"/>
      <c r="K15" s="46" t="str">
        <f>IF(J15="","",_xlfn.TRANSLATE(J15,"","ja"))</f>
        <v/>
      </c>
      <c r="L15" s="46" t="str">
        <f>IF(J15="","",_xlfn.TRANSLATE(J15,"","zh-Hans"))</f>
        <v/>
      </c>
      <c r="M15" s="30"/>
      <c r="N15" s="30"/>
      <c r="O15" s="30"/>
      <c r="P15" s="30"/>
      <c r="Q15" s="46" t="str">
        <f>IF(P15="","",_xlfn.TRANSLATE(P15,"","ja"))</f>
        <v/>
      </c>
      <c r="R15" s="46" t="str">
        <f>IF(P15="","",_xlfn.TRANSLATE(P15,"","zh-Hans"))</f>
        <v/>
      </c>
      <c r="S15" s="30"/>
      <c r="T15" s="31"/>
      <c r="U15" s="30"/>
      <c r="V15" s="30"/>
      <c r="W15" s="37"/>
      <c r="X15" s="52" t="str">
        <f>IF(W15="","",_xlfn.TRANSLATE(W15,"","ja"))</f>
        <v/>
      </c>
      <c r="Y15" s="52" t="str">
        <f>IF(W15="","",_xlfn.TRANSLATE(W15,"","zh-Hans"))</f>
        <v/>
      </c>
    </row>
    <row r="16" spans="1:25" s="22" customFormat="1" ht="30" customHeight="1" x14ac:dyDescent="0.25">
      <c r="A16" s="26"/>
      <c r="B16" s="28"/>
      <c r="C16" s="27"/>
      <c r="D16" s="27"/>
      <c r="E16" s="45" t="str">
        <f>IF(D16="","",_xlfn.TRANSLATE(D16,"","ja"))</f>
        <v/>
      </c>
      <c r="F16" s="45" t="str">
        <f>IF(D16="","",_xlfn.TRANSLATE(D16,"","zh-Hans"))</f>
        <v/>
      </c>
      <c r="G16" s="27"/>
      <c r="H16" s="45" t="str">
        <f>IF(G16="","",_xlfn.TRANSLATE(G16,"","ja"))</f>
        <v/>
      </c>
      <c r="I16" s="45" t="str">
        <f>IF(G16="","",_xlfn.TRANSLATE(G16,"","zh-Hans"))</f>
        <v/>
      </c>
      <c r="J16" s="27"/>
      <c r="K16" s="45" t="str">
        <f>IF(J16="","",_xlfn.TRANSLATE(J16,"","ja"))</f>
        <v/>
      </c>
      <c r="L16" s="45" t="str">
        <f>IF(J16="","",_xlfn.TRANSLATE(J16,"","zh-Hans"))</f>
        <v/>
      </c>
      <c r="M16" s="27"/>
      <c r="N16" s="27"/>
      <c r="O16" s="27"/>
      <c r="P16" s="27"/>
      <c r="Q16" s="45" t="str">
        <f>IF(P16="","",_xlfn.TRANSLATE(P16,"","ja"))</f>
        <v/>
      </c>
      <c r="R16" s="45" t="str">
        <f>IF(P16="","",_xlfn.TRANSLATE(P16,"","zh-Hans"))</f>
        <v/>
      </c>
      <c r="S16" s="27"/>
      <c r="T16" s="28"/>
      <c r="U16" s="27"/>
      <c r="V16" s="27"/>
      <c r="W16" s="36"/>
      <c r="X16" s="53" t="str">
        <f>IF(W16="","",_xlfn.TRANSLATE(W16,"","ja"))</f>
        <v/>
      </c>
      <c r="Y16" s="53" t="str">
        <f>IF(W16="","",_xlfn.TRANSLATE(W16,"","zh-Hans"))</f>
        <v/>
      </c>
    </row>
    <row r="17" spans="1:25" s="22" customFormat="1" ht="30" customHeight="1" x14ac:dyDescent="0.25">
      <c r="A17" s="29"/>
      <c r="B17" s="31"/>
      <c r="C17" s="30"/>
      <c r="D17" s="30"/>
      <c r="E17" s="46" t="str">
        <f>IF(D17="","",_xlfn.TRANSLATE(D17,"","ja"))</f>
        <v/>
      </c>
      <c r="F17" s="46" t="str">
        <f>IF(D17="","",_xlfn.TRANSLATE(D17,"","zh-Hans"))</f>
        <v/>
      </c>
      <c r="G17" s="30"/>
      <c r="H17" s="46" t="str">
        <f>IF(G17="","",_xlfn.TRANSLATE(G17,"","ja"))</f>
        <v/>
      </c>
      <c r="I17" s="46" t="str">
        <f>IF(G17="","",_xlfn.TRANSLATE(G17,"","zh-Hans"))</f>
        <v/>
      </c>
      <c r="J17" s="30"/>
      <c r="K17" s="46" t="str">
        <f>IF(J17="","",_xlfn.TRANSLATE(J17,"","ja"))</f>
        <v/>
      </c>
      <c r="L17" s="46" t="str">
        <f>IF(J17="","",_xlfn.TRANSLATE(J17,"","zh-Hans"))</f>
        <v/>
      </c>
      <c r="M17" s="30"/>
      <c r="N17" s="30"/>
      <c r="O17" s="30"/>
      <c r="P17" s="30"/>
      <c r="Q17" s="46" t="str">
        <f>IF(P17="","",_xlfn.TRANSLATE(P17,"","ja"))</f>
        <v/>
      </c>
      <c r="R17" s="46" t="str">
        <f>IF(P17="","",_xlfn.TRANSLATE(P17,"","zh-Hans"))</f>
        <v/>
      </c>
      <c r="S17" s="30"/>
      <c r="T17" s="31"/>
      <c r="U17" s="30"/>
      <c r="V17" s="30"/>
      <c r="W17" s="37"/>
      <c r="X17" s="52" t="str">
        <f>IF(W17="","",_xlfn.TRANSLATE(W17,"","ja"))</f>
        <v/>
      </c>
      <c r="Y17" s="52" t="str">
        <f>IF(W17="","",_xlfn.TRANSLATE(W17,"","zh-Hans"))</f>
        <v/>
      </c>
    </row>
    <row r="18" spans="1:25" s="22" customFormat="1" ht="30" customHeight="1" x14ac:dyDescent="0.25">
      <c r="A18" s="26"/>
      <c r="B18" s="28"/>
      <c r="C18" s="27"/>
      <c r="D18" s="27"/>
      <c r="E18" s="45" t="str">
        <f>IF(D18="","",_xlfn.TRANSLATE(D18,"","ja"))</f>
        <v/>
      </c>
      <c r="F18" s="45" t="str">
        <f>IF(D18="","",_xlfn.TRANSLATE(D18,"","zh-Hans"))</f>
        <v/>
      </c>
      <c r="G18" s="27"/>
      <c r="H18" s="45" t="str">
        <f>IF(G18="","",_xlfn.TRANSLATE(G18,"","ja"))</f>
        <v/>
      </c>
      <c r="I18" s="45" t="str">
        <f>IF(G18="","",_xlfn.TRANSLATE(G18,"","zh-Hans"))</f>
        <v/>
      </c>
      <c r="J18" s="27"/>
      <c r="K18" s="45" t="str">
        <f>IF(J18="","",_xlfn.TRANSLATE(J18,"","ja"))</f>
        <v/>
      </c>
      <c r="L18" s="45" t="str">
        <f>IF(J18="","",_xlfn.TRANSLATE(J18,"","zh-Hans"))</f>
        <v/>
      </c>
      <c r="M18" s="27"/>
      <c r="N18" s="27"/>
      <c r="O18" s="27"/>
      <c r="P18" s="27"/>
      <c r="Q18" s="45" t="str">
        <f>IF(P18="","",_xlfn.TRANSLATE(P18,"","ja"))</f>
        <v/>
      </c>
      <c r="R18" s="45" t="str">
        <f>IF(P18="","",_xlfn.TRANSLATE(P18,"","zh-Hans"))</f>
        <v/>
      </c>
      <c r="S18" s="27"/>
      <c r="T18" s="28"/>
      <c r="U18" s="27"/>
      <c r="V18" s="27"/>
      <c r="W18" s="36"/>
      <c r="X18" s="53" t="str">
        <f>IF(W18="","",_xlfn.TRANSLATE(W18,"","ja"))</f>
        <v/>
      </c>
      <c r="Y18" s="53" t="str">
        <f>IF(W18="","",_xlfn.TRANSLATE(W18,"","zh-Hans"))</f>
        <v/>
      </c>
    </row>
    <row r="19" spans="1:25" s="22" customFormat="1" ht="30" customHeight="1" x14ac:dyDescent="0.25">
      <c r="A19" s="29"/>
      <c r="B19" s="31"/>
      <c r="C19" s="30"/>
      <c r="D19" s="30"/>
      <c r="E19" s="46" t="str">
        <f>IF(D19="","",_xlfn.TRANSLATE(D19,"","ja"))</f>
        <v/>
      </c>
      <c r="F19" s="46" t="str">
        <f>IF(D19="","",_xlfn.TRANSLATE(D19,"","zh-Hans"))</f>
        <v/>
      </c>
      <c r="G19" s="30"/>
      <c r="H19" s="46" t="str">
        <f>IF(G19="","",_xlfn.TRANSLATE(G19,"","ja"))</f>
        <v/>
      </c>
      <c r="I19" s="46" t="str">
        <f>IF(G19="","",_xlfn.TRANSLATE(G19,"","zh-Hans"))</f>
        <v/>
      </c>
      <c r="J19" s="30"/>
      <c r="K19" s="46" t="str">
        <f>IF(J19="","",_xlfn.TRANSLATE(J19,"","ja"))</f>
        <v/>
      </c>
      <c r="L19" s="46" t="str">
        <f>IF(J19="","",_xlfn.TRANSLATE(J19,"","zh-Hans"))</f>
        <v/>
      </c>
      <c r="M19" s="30"/>
      <c r="N19" s="30"/>
      <c r="O19" s="30"/>
      <c r="P19" s="30"/>
      <c r="Q19" s="46" t="str">
        <f>IF(P19="","",_xlfn.TRANSLATE(P19,"","ja"))</f>
        <v/>
      </c>
      <c r="R19" s="46" t="str">
        <f>IF(P19="","",_xlfn.TRANSLATE(P19,"","zh-Hans"))</f>
        <v/>
      </c>
      <c r="S19" s="30"/>
      <c r="T19" s="31"/>
      <c r="U19" s="30"/>
      <c r="V19" s="30"/>
      <c r="W19" s="37"/>
      <c r="X19" s="52" t="str">
        <f>IF(W19="","",_xlfn.TRANSLATE(W19,"","ja"))</f>
        <v/>
      </c>
      <c r="Y19" s="52" t="str">
        <f>IF(W19="","",_xlfn.TRANSLATE(W19,"","zh-Hans"))</f>
        <v/>
      </c>
    </row>
    <row r="20" spans="1:25" s="22" customFormat="1" x14ac:dyDescent="0.25">
      <c r="A20" s="26"/>
      <c r="B20" s="28"/>
      <c r="C20" s="27"/>
      <c r="D20" s="27"/>
      <c r="E20" s="45" t="str">
        <f>IF(D20="","",_xlfn.TRANSLATE(D20,"","ja"))</f>
        <v/>
      </c>
      <c r="F20" s="45" t="str">
        <f>IF(D20="","",_xlfn.TRANSLATE(D20,"","zh-Hans"))</f>
        <v/>
      </c>
      <c r="G20" s="27"/>
      <c r="H20" s="45" t="str">
        <f>IF(G20="","",_xlfn.TRANSLATE(G20,"","ja"))</f>
        <v/>
      </c>
      <c r="I20" s="45" t="str">
        <f>IF(G20="","",_xlfn.TRANSLATE(G20,"","zh-Hans"))</f>
        <v/>
      </c>
      <c r="J20" s="27"/>
      <c r="K20" s="45" t="str">
        <f>IF(J20="","",_xlfn.TRANSLATE(J20,"","ja"))</f>
        <v/>
      </c>
      <c r="L20" s="45" t="str">
        <f>IF(J20="","",_xlfn.TRANSLATE(J20,"","zh-Hans"))</f>
        <v/>
      </c>
      <c r="M20" s="27"/>
      <c r="N20" s="27"/>
      <c r="O20" s="27"/>
      <c r="P20" s="27"/>
      <c r="Q20" s="45" t="str">
        <f>IF(P20="","",_xlfn.TRANSLATE(P20,"","ja"))</f>
        <v/>
      </c>
      <c r="R20" s="45" t="str">
        <f>IF(P20="","",_xlfn.TRANSLATE(P20,"","zh-Hans"))</f>
        <v/>
      </c>
      <c r="S20" s="27"/>
      <c r="T20" s="28"/>
      <c r="U20" s="27"/>
      <c r="V20" s="27"/>
      <c r="W20" s="36"/>
      <c r="X20" s="53" t="str">
        <f>IF(W20="","",_xlfn.TRANSLATE(W20,"","ja"))</f>
        <v/>
      </c>
      <c r="Y20" s="53" t="str">
        <f>IF(W20="","",_xlfn.TRANSLATE(W20,"","zh-Hans"))</f>
        <v/>
      </c>
    </row>
    <row r="21" spans="1:25" s="22" customFormat="1" x14ac:dyDescent="0.25">
      <c r="A21" s="29"/>
      <c r="B21" s="31"/>
      <c r="C21" s="30"/>
      <c r="D21" s="30"/>
      <c r="E21" s="46" t="str">
        <f>IF(D21="","",_xlfn.TRANSLATE(D21,"","ja"))</f>
        <v/>
      </c>
      <c r="F21" s="46" t="str">
        <f>IF(D21="","",_xlfn.TRANSLATE(D21,"","zh-Hans"))</f>
        <v/>
      </c>
      <c r="G21" s="30"/>
      <c r="H21" s="46" t="str">
        <f>IF(G21="","",_xlfn.TRANSLATE(G21,"","ja"))</f>
        <v/>
      </c>
      <c r="I21" s="46" t="str">
        <f>IF(G21="","",_xlfn.TRANSLATE(G21,"","zh-Hans"))</f>
        <v/>
      </c>
      <c r="J21" s="30"/>
      <c r="K21" s="46" t="str">
        <f>IF(J21="","",_xlfn.TRANSLATE(J21,"","ja"))</f>
        <v/>
      </c>
      <c r="L21" s="46" t="str">
        <f>IF(J21="","",_xlfn.TRANSLATE(J21,"","zh-Hans"))</f>
        <v/>
      </c>
      <c r="M21" s="30"/>
      <c r="N21" s="30"/>
      <c r="O21" s="30"/>
      <c r="P21" s="30"/>
      <c r="Q21" s="46" t="str">
        <f>IF(P21="","",_xlfn.TRANSLATE(P21,"","ja"))</f>
        <v/>
      </c>
      <c r="R21" s="46" t="str">
        <f>IF(P21="","",_xlfn.TRANSLATE(P21,"","zh-Hans"))</f>
        <v/>
      </c>
      <c r="S21" s="30"/>
      <c r="T21" s="31"/>
      <c r="U21" s="30"/>
      <c r="V21" s="30"/>
      <c r="W21" s="37"/>
      <c r="X21" s="52" t="str">
        <f>IF(W21="","",_xlfn.TRANSLATE(W21,"","ja"))</f>
        <v/>
      </c>
      <c r="Y21" s="52" t="str">
        <f>IF(W21="","",_xlfn.TRANSLATE(W21,"","zh-Hans"))</f>
        <v/>
      </c>
    </row>
    <row r="22" spans="1:25" s="22" customFormat="1" x14ac:dyDescent="0.25">
      <c r="A22" s="26"/>
      <c r="B22" s="28"/>
      <c r="C22" s="27"/>
      <c r="D22" s="27"/>
      <c r="E22" s="45" t="str">
        <f>IF(D22="","",_xlfn.TRANSLATE(D22,"","ja"))</f>
        <v/>
      </c>
      <c r="F22" s="45" t="str">
        <f>IF(D22="","",_xlfn.TRANSLATE(D22,"","zh-Hans"))</f>
        <v/>
      </c>
      <c r="G22" s="27"/>
      <c r="H22" s="45" t="str">
        <f>IF(G22="","",_xlfn.TRANSLATE(G22,"","ja"))</f>
        <v/>
      </c>
      <c r="I22" s="45" t="str">
        <f>IF(G22="","",_xlfn.TRANSLATE(G22,"","zh-Hans"))</f>
        <v/>
      </c>
      <c r="J22" s="27"/>
      <c r="K22" s="45" t="str">
        <f>IF(J22="","",_xlfn.TRANSLATE(J22,"","ja"))</f>
        <v/>
      </c>
      <c r="L22" s="45" t="str">
        <f>IF(J22="","",_xlfn.TRANSLATE(J22,"","zh-Hans"))</f>
        <v/>
      </c>
      <c r="M22" s="27"/>
      <c r="N22" s="27"/>
      <c r="O22" s="27"/>
      <c r="P22" s="27"/>
      <c r="Q22" s="45" t="str">
        <f>IF(P22="","",_xlfn.TRANSLATE(P22,"","ja"))</f>
        <v/>
      </c>
      <c r="R22" s="45" t="str">
        <f>IF(P22="","",_xlfn.TRANSLATE(P22,"","zh-Hans"))</f>
        <v/>
      </c>
      <c r="S22" s="27"/>
      <c r="T22" s="28"/>
      <c r="U22" s="27"/>
      <c r="V22" s="27"/>
      <c r="W22" s="36"/>
      <c r="X22" s="53" t="str">
        <f>IF(W22="","",_xlfn.TRANSLATE(W22,"","ja"))</f>
        <v/>
      </c>
      <c r="Y22" s="53" t="str">
        <f>IF(W22="","",_xlfn.TRANSLATE(W22,"","zh-Hans"))</f>
        <v/>
      </c>
    </row>
    <row r="23" spans="1:25" s="22" customFormat="1" x14ac:dyDescent="0.25">
      <c r="A23" s="29"/>
      <c r="B23" s="31"/>
      <c r="C23" s="30"/>
      <c r="D23" s="30"/>
      <c r="E23" s="46" t="str">
        <f>IF(D23="","",_xlfn.TRANSLATE(D23,"","ja"))</f>
        <v/>
      </c>
      <c r="F23" s="46" t="str">
        <f>IF(D23="","",_xlfn.TRANSLATE(D23,"","zh-Hans"))</f>
        <v/>
      </c>
      <c r="G23" s="30"/>
      <c r="H23" s="46" t="str">
        <f>IF(G23="","",_xlfn.TRANSLATE(G23,"","ja"))</f>
        <v/>
      </c>
      <c r="I23" s="46" t="str">
        <f>IF(G23="","",_xlfn.TRANSLATE(G23,"","zh-Hans"))</f>
        <v/>
      </c>
      <c r="J23" s="30"/>
      <c r="K23" s="46" t="str">
        <f>IF(J23="","",_xlfn.TRANSLATE(J23,"","ja"))</f>
        <v/>
      </c>
      <c r="L23" s="46" t="str">
        <f>IF(J23="","",_xlfn.TRANSLATE(J23,"","zh-Hans"))</f>
        <v/>
      </c>
      <c r="M23" s="30"/>
      <c r="N23" s="30"/>
      <c r="O23" s="30"/>
      <c r="P23" s="30"/>
      <c r="Q23" s="46" t="str">
        <f>IF(P23="","",_xlfn.TRANSLATE(P23,"","ja"))</f>
        <v/>
      </c>
      <c r="R23" s="46" t="str">
        <f>IF(P23="","",_xlfn.TRANSLATE(P23,"","zh-Hans"))</f>
        <v/>
      </c>
      <c r="S23" s="30"/>
      <c r="T23" s="31"/>
      <c r="U23" s="30"/>
      <c r="V23" s="30"/>
      <c r="W23" s="37"/>
      <c r="X23" s="52" t="str">
        <f>IF(W23="","",_xlfn.TRANSLATE(W23,"","ja"))</f>
        <v/>
      </c>
      <c r="Y23" s="52" t="str">
        <f>IF(W23="","",_xlfn.TRANSLATE(W23,"","zh-Hans"))</f>
        <v/>
      </c>
    </row>
    <row r="24" spans="1:25" s="22" customFormat="1" x14ac:dyDescent="0.25">
      <c r="A24" s="26"/>
      <c r="B24" s="28"/>
      <c r="C24" s="27"/>
      <c r="D24" s="27"/>
      <c r="E24" s="45" t="str">
        <f>IF(D24="","",_xlfn.TRANSLATE(D24,"","ja"))</f>
        <v/>
      </c>
      <c r="F24" s="45" t="str">
        <f>IF(D24="","",_xlfn.TRANSLATE(D24,"","zh-Hans"))</f>
        <v/>
      </c>
      <c r="G24" s="27"/>
      <c r="H24" s="45" t="str">
        <f>IF(G24="","",_xlfn.TRANSLATE(G24,"","ja"))</f>
        <v/>
      </c>
      <c r="I24" s="45" t="str">
        <f>IF(G24="","",_xlfn.TRANSLATE(G24,"","zh-Hans"))</f>
        <v/>
      </c>
      <c r="J24" s="27"/>
      <c r="K24" s="45" t="str">
        <f>IF(J24="","",_xlfn.TRANSLATE(J24,"","ja"))</f>
        <v/>
      </c>
      <c r="L24" s="45" t="str">
        <f>IF(J24="","",_xlfn.TRANSLATE(J24,"","zh-Hans"))</f>
        <v/>
      </c>
      <c r="M24" s="27"/>
      <c r="N24" s="27"/>
      <c r="O24" s="27"/>
      <c r="P24" s="27"/>
      <c r="Q24" s="45" t="str">
        <f>IF(P24="","",_xlfn.TRANSLATE(P24,"","ja"))</f>
        <v/>
      </c>
      <c r="R24" s="45" t="str">
        <f>IF(P24="","",_xlfn.TRANSLATE(P24,"","zh-Hans"))</f>
        <v/>
      </c>
      <c r="S24" s="27"/>
      <c r="T24" s="28"/>
      <c r="U24" s="27"/>
      <c r="V24" s="27"/>
      <c r="W24" s="36"/>
      <c r="X24" s="53" t="str">
        <f>IF(W24="","",_xlfn.TRANSLATE(W24,"","ja"))</f>
        <v/>
      </c>
      <c r="Y24" s="53" t="str">
        <f>IF(W24="","",_xlfn.TRANSLATE(W24,"","zh-Hans"))</f>
        <v/>
      </c>
    </row>
    <row r="25" spans="1:25" s="22" customFormat="1" x14ac:dyDescent="0.25">
      <c r="A25" s="29"/>
      <c r="B25" s="31"/>
      <c r="C25" s="30"/>
      <c r="D25" s="30"/>
      <c r="E25" s="46" t="str">
        <f t="shared" ref="E6:E37" si="0">IF(D25="","",_xlfn.TRANSLATE(D25,"vi","ja"))</f>
        <v/>
      </c>
      <c r="F25" s="46" t="str">
        <f t="shared" ref="F6:F37" si="1">IF(D25="","",_xlfn.TRANSLATE(D25,"vi","zh-Hans"))</f>
        <v/>
      </c>
      <c r="G25" s="30"/>
      <c r="H25" s="46" t="str">
        <f t="shared" ref="H6:H37" si="2">IF(G25="","",_xlfn.TRANSLATE(G25,"vi","ja"))</f>
        <v/>
      </c>
      <c r="I25" s="46" t="str">
        <f t="shared" ref="I6:I37" si="3">IF(G25="","",_xlfn.TRANSLATE(G25,"vi","zh-Hans"))</f>
        <v/>
      </c>
      <c r="J25" s="30"/>
      <c r="K25" s="46" t="str">
        <f t="shared" ref="K6:K37" si="4">IF(J25="","",_xlfn.TRANSLATE(J25,"vi","ja"))</f>
        <v/>
      </c>
      <c r="L25" s="46" t="str">
        <f t="shared" ref="L6:L37" si="5">IF(J25="","",_xlfn.TRANSLATE(J25,"vi","zh-Hans"))</f>
        <v/>
      </c>
      <c r="M25" s="30"/>
      <c r="N25" s="30"/>
      <c r="O25" s="30"/>
      <c r="P25" s="30"/>
      <c r="Q25" s="46" t="str">
        <f t="shared" ref="Q6:Q37" si="6">IF(P25="","",_xlfn.TRANSLATE(P25,"vi","ja"))</f>
        <v/>
      </c>
      <c r="R25" s="46" t="str">
        <f t="shared" ref="R6:R37" si="7">IF(P25="","",_xlfn.TRANSLATE(P25,"vi","zh-Hans"))</f>
        <v/>
      </c>
      <c r="S25" s="30"/>
      <c r="T25" s="31"/>
      <c r="U25" s="30"/>
      <c r="V25" s="30"/>
      <c r="W25" s="37"/>
      <c r="X25" s="52" t="str">
        <f t="shared" ref="X6:X37" si="8">IF(W25="","",_xlfn.TRANSLATE(W25,"vi","ja"))</f>
        <v/>
      </c>
      <c r="Y25" s="52" t="str">
        <f t="shared" ref="Y6:Y37" si="9">IF(W25="","",_xlfn.TRANSLATE(W25,"vi","zh-Hans"))</f>
        <v/>
      </c>
    </row>
    <row r="26" spans="1:25" s="22" customFormat="1" x14ac:dyDescent="0.25">
      <c r="A26" s="26"/>
      <c r="B26" s="28"/>
      <c r="C26" s="27"/>
      <c r="D26" s="27"/>
      <c r="E26" s="45" t="str">
        <f t="shared" si="0"/>
        <v/>
      </c>
      <c r="F26" s="45" t="str">
        <f t="shared" si="1"/>
        <v/>
      </c>
      <c r="G26" s="27"/>
      <c r="H26" s="45" t="str">
        <f t="shared" si="2"/>
        <v/>
      </c>
      <c r="I26" s="45" t="str">
        <f t="shared" si="3"/>
        <v/>
      </c>
      <c r="J26" s="27"/>
      <c r="K26" s="45" t="str">
        <f t="shared" si="4"/>
        <v/>
      </c>
      <c r="L26" s="45" t="str">
        <f t="shared" si="5"/>
        <v/>
      </c>
      <c r="M26" s="27"/>
      <c r="N26" s="27"/>
      <c r="O26" s="27"/>
      <c r="P26" s="27"/>
      <c r="Q26" s="45" t="str">
        <f t="shared" si="6"/>
        <v/>
      </c>
      <c r="R26" s="45" t="str">
        <f t="shared" si="7"/>
        <v/>
      </c>
      <c r="S26" s="27"/>
      <c r="T26" s="28"/>
      <c r="U26" s="27"/>
      <c r="V26" s="27"/>
      <c r="W26" s="36"/>
      <c r="X26" s="53" t="str">
        <f t="shared" si="8"/>
        <v/>
      </c>
      <c r="Y26" s="53" t="str">
        <f t="shared" si="9"/>
        <v/>
      </c>
    </row>
    <row r="27" spans="1:25" s="22" customFormat="1" x14ac:dyDescent="0.25">
      <c r="A27" s="29"/>
      <c r="B27" s="31"/>
      <c r="C27" s="30"/>
      <c r="D27" s="30"/>
      <c r="E27" s="46" t="str">
        <f t="shared" si="0"/>
        <v/>
      </c>
      <c r="F27" s="46" t="str">
        <f t="shared" si="1"/>
        <v/>
      </c>
      <c r="G27" s="30"/>
      <c r="H27" s="46" t="str">
        <f t="shared" si="2"/>
        <v/>
      </c>
      <c r="I27" s="46" t="str">
        <f t="shared" si="3"/>
        <v/>
      </c>
      <c r="J27" s="30"/>
      <c r="K27" s="46" t="str">
        <f t="shared" si="4"/>
        <v/>
      </c>
      <c r="L27" s="46" t="str">
        <f t="shared" si="5"/>
        <v/>
      </c>
      <c r="M27" s="30"/>
      <c r="N27" s="30"/>
      <c r="O27" s="30"/>
      <c r="P27" s="30"/>
      <c r="Q27" s="46" t="str">
        <f t="shared" si="6"/>
        <v/>
      </c>
      <c r="R27" s="46" t="str">
        <f t="shared" si="7"/>
        <v/>
      </c>
      <c r="S27" s="30"/>
      <c r="T27" s="31"/>
      <c r="U27" s="30"/>
      <c r="V27" s="30"/>
      <c r="W27" s="37"/>
      <c r="X27" s="52" t="str">
        <f t="shared" si="8"/>
        <v/>
      </c>
      <c r="Y27" s="52" t="str">
        <f t="shared" si="9"/>
        <v/>
      </c>
    </row>
    <row r="28" spans="1:25" s="22" customFormat="1" x14ac:dyDescent="0.25">
      <c r="A28" s="26"/>
      <c r="B28" s="28"/>
      <c r="C28" s="27"/>
      <c r="D28" s="27"/>
      <c r="E28" s="45" t="str">
        <f t="shared" si="0"/>
        <v/>
      </c>
      <c r="F28" s="45" t="str">
        <f t="shared" si="1"/>
        <v/>
      </c>
      <c r="G28" s="27"/>
      <c r="H28" s="45" t="str">
        <f t="shared" si="2"/>
        <v/>
      </c>
      <c r="I28" s="45" t="str">
        <f t="shared" si="3"/>
        <v/>
      </c>
      <c r="J28" s="27"/>
      <c r="K28" s="45" t="str">
        <f t="shared" si="4"/>
        <v/>
      </c>
      <c r="L28" s="45" t="str">
        <f t="shared" si="5"/>
        <v/>
      </c>
      <c r="M28" s="27"/>
      <c r="N28" s="27"/>
      <c r="O28" s="27"/>
      <c r="P28" s="27"/>
      <c r="Q28" s="45" t="str">
        <f t="shared" si="6"/>
        <v/>
      </c>
      <c r="R28" s="45" t="str">
        <f t="shared" si="7"/>
        <v/>
      </c>
      <c r="S28" s="27"/>
      <c r="T28" s="28"/>
      <c r="U28" s="27"/>
      <c r="V28" s="27"/>
      <c r="W28" s="36"/>
      <c r="X28" s="53" t="str">
        <f t="shared" si="8"/>
        <v/>
      </c>
      <c r="Y28" s="53" t="str">
        <f t="shared" si="9"/>
        <v/>
      </c>
    </row>
    <row r="29" spans="1:25" s="22" customFormat="1" x14ac:dyDescent="0.25">
      <c r="A29" s="29"/>
      <c r="B29" s="31"/>
      <c r="C29" s="30"/>
      <c r="D29" s="30"/>
      <c r="E29" s="46" t="str">
        <f t="shared" si="0"/>
        <v/>
      </c>
      <c r="F29" s="46" t="str">
        <f t="shared" si="1"/>
        <v/>
      </c>
      <c r="G29" s="30"/>
      <c r="H29" s="46" t="str">
        <f t="shared" si="2"/>
        <v/>
      </c>
      <c r="I29" s="46" t="str">
        <f t="shared" si="3"/>
        <v/>
      </c>
      <c r="J29" s="30"/>
      <c r="K29" s="46" t="str">
        <f t="shared" si="4"/>
        <v/>
      </c>
      <c r="L29" s="46" t="str">
        <f t="shared" si="5"/>
        <v/>
      </c>
      <c r="M29" s="30"/>
      <c r="N29" s="30"/>
      <c r="O29" s="30"/>
      <c r="P29" s="30"/>
      <c r="Q29" s="46" t="str">
        <f t="shared" si="6"/>
        <v/>
      </c>
      <c r="R29" s="46" t="str">
        <f t="shared" si="7"/>
        <v/>
      </c>
      <c r="S29" s="30"/>
      <c r="T29" s="31"/>
      <c r="U29" s="30"/>
      <c r="V29" s="30"/>
      <c r="W29" s="37"/>
      <c r="X29" s="52" t="str">
        <f t="shared" si="8"/>
        <v/>
      </c>
      <c r="Y29" s="52" t="str">
        <f t="shared" si="9"/>
        <v/>
      </c>
    </row>
    <row r="30" spans="1:25" s="22" customFormat="1" x14ac:dyDescent="0.25">
      <c r="A30" s="26"/>
      <c r="B30" s="28"/>
      <c r="C30" s="27"/>
      <c r="D30" s="27"/>
      <c r="E30" s="45" t="str">
        <f t="shared" si="0"/>
        <v/>
      </c>
      <c r="F30" s="45" t="str">
        <f t="shared" si="1"/>
        <v/>
      </c>
      <c r="G30" s="27"/>
      <c r="H30" s="45" t="str">
        <f t="shared" si="2"/>
        <v/>
      </c>
      <c r="I30" s="45" t="str">
        <f t="shared" si="3"/>
        <v/>
      </c>
      <c r="J30" s="27"/>
      <c r="K30" s="45" t="str">
        <f t="shared" si="4"/>
        <v/>
      </c>
      <c r="L30" s="45" t="str">
        <f t="shared" si="5"/>
        <v/>
      </c>
      <c r="M30" s="27"/>
      <c r="N30" s="27"/>
      <c r="O30" s="27"/>
      <c r="P30" s="27"/>
      <c r="Q30" s="45" t="str">
        <f t="shared" si="6"/>
        <v/>
      </c>
      <c r="R30" s="45" t="str">
        <f t="shared" si="7"/>
        <v/>
      </c>
      <c r="S30" s="27"/>
      <c r="T30" s="28"/>
      <c r="U30" s="27"/>
      <c r="V30" s="27"/>
      <c r="W30" s="36"/>
      <c r="X30" s="53" t="str">
        <f t="shared" si="8"/>
        <v/>
      </c>
      <c r="Y30" s="53" t="str">
        <f t="shared" si="9"/>
        <v/>
      </c>
    </row>
    <row r="31" spans="1:25" s="22" customFormat="1" x14ac:dyDescent="0.25">
      <c r="A31" s="29"/>
      <c r="B31" s="31"/>
      <c r="C31" s="30"/>
      <c r="D31" s="30"/>
      <c r="E31" s="46" t="str">
        <f t="shared" si="0"/>
        <v/>
      </c>
      <c r="F31" s="46" t="str">
        <f t="shared" si="1"/>
        <v/>
      </c>
      <c r="G31" s="30"/>
      <c r="H31" s="46" t="str">
        <f t="shared" si="2"/>
        <v/>
      </c>
      <c r="I31" s="46" t="str">
        <f t="shared" si="3"/>
        <v/>
      </c>
      <c r="J31" s="30"/>
      <c r="K31" s="46" t="str">
        <f t="shared" si="4"/>
        <v/>
      </c>
      <c r="L31" s="46" t="str">
        <f t="shared" si="5"/>
        <v/>
      </c>
      <c r="M31" s="30"/>
      <c r="N31" s="30"/>
      <c r="O31" s="30"/>
      <c r="P31" s="30"/>
      <c r="Q31" s="46" t="str">
        <f t="shared" si="6"/>
        <v/>
      </c>
      <c r="R31" s="46" t="str">
        <f t="shared" si="7"/>
        <v/>
      </c>
      <c r="S31" s="30"/>
      <c r="T31" s="31"/>
      <c r="U31" s="30"/>
      <c r="V31" s="30"/>
      <c r="W31" s="37"/>
      <c r="X31" s="52" t="str">
        <f t="shared" si="8"/>
        <v/>
      </c>
      <c r="Y31" s="52" t="str">
        <f t="shared" si="9"/>
        <v/>
      </c>
    </row>
    <row r="32" spans="1:25" s="22" customFormat="1" x14ac:dyDescent="0.25">
      <c r="A32" s="26"/>
      <c r="B32" s="28"/>
      <c r="C32" s="27"/>
      <c r="D32" s="27"/>
      <c r="E32" s="45" t="str">
        <f t="shared" si="0"/>
        <v/>
      </c>
      <c r="F32" s="45" t="str">
        <f t="shared" si="1"/>
        <v/>
      </c>
      <c r="G32" s="27"/>
      <c r="H32" s="45" t="str">
        <f t="shared" si="2"/>
        <v/>
      </c>
      <c r="I32" s="45" t="str">
        <f t="shared" si="3"/>
        <v/>
      </c>
      <c r="J32" s="27"/>
      <c r="K32" s="45" t="str">
        <f t="shared" si="4"/>
        <v/>
      </c>
      <c r="L32" s="45" t="str">
        <f t="shared" si="5"/>
        <v/>
      </c>
      <c r="M32" s="27"/>
      <c r="N32" s="27"/>
      <c r="O32" s="27"/>
      <c r="P32" s="27"/>
      <c r="Q32" s="45" t="str">
        <f t="shared" si="6"/>
        <v/>
      </c>
      <c r="R32" s="45" t="str">
        <f t="shared" si="7"/>
        <v/>
      </c>
      <c r="S32" s="27"/>
      <c r="T32" s="28"/>
      <c r="U32" s="27"/>
      <c r="V32" s="27"/>
      <c r="W32" s="36"/>
      <c r="X32" s="53" t="str">
        <f t="shared" si="8"/>
        <v/>
      </c>
      <c r="Y32" s="53" t="str">
        <f t="shared" si="9"/>
        <v/>
      </c>
    </row>
    <row r="33" spans="1:25" s="22" customFormat="1" x14ac:dyDescent="0.25">
      <c r="A33" s="29"/>
      <c r="B33" s="31"/>
      <c r="C33" s="30"/>
      <c r="D33" s="30"/>
      <c r="E33" s="46" t="str">
        <f t="shared" si="0"/>
        <v/>
      </c>
      <c r="F33" s="46" t="str">
        <f t="shared" si="1"/>
        <v/>
      </c>
      <c r="G33" s="30"/>
      <c r="H33" s="46" t="str">
        <f t="shared" si="2"/>
        <v/>
      </c>
      <c r="I33" s="46" t="str">
        <f t="shared" si="3"/>
        <v/>
      </c>
      <c r="J33" s="30"/>
      <c r="K33" s="46" t="str">
        <f t="shared" si="4"/>
        <v/>
      </c>
      <c r="L33" s="46" t="str">
        <f t="shared" si="5"/>
        <v/>
      </c>
      <c r="M33" s="30"/>
      <c r="N33" s="30"/>
      <c r="O33" s="30"/>
      <c r="P33" s="30"/>
      <c r="Q33" s="46" t="str">
        <f t="shared" si="6"/>
        <v/>
      </c>
      <c r="R33" s="46" t="str">
        <f t="shared" si="7"/>
        <v/>
      </c>
      <c r="S33" s="30"/>
      <c r="T33" s="31"/>
      <c r="U33" s="30"/>
      <c r="V33" s="30"/>
      <c r="W33" s="37"/>
      <c r="X33" s="52" t="str">
        <f t="shared" si="8"/>
        <v/>
      </c>
      <c r="Y33" s="52" t="str">
        <f t="shared" si="9"/>
        <v/>
      </c>
    </row>
    <row r="34" spans="1:25" s="22" customFormat="1" x14ac:dyDescent="0.25">
      <c r="A34" s="26"/>
      <c r="B34" s="28"/>
      <c r="C34" s="27"/>
      <c r="D34" s="27"/>
      <c r="E34" s="45" t="str">
        <f t="shared" si="0"/>
        <v/>
      </c>
      <c r="F34" s="45" t="str">
        <f t="shared" si="1"/>
        <v/>
      </c>
      <c r="G34" s="27"/>
      <c r="H34" s="45" t="str">
        <f t="shared" si="2"/>
        <v/>
      </c>
      <c r="I34" s="45" t="str">
        <f t="shared" si="3"/>
        <v/>
      </c>
      <c r="J34" s="27"/>
      <c r="K34" s="45" t="str">
        <f t="shared" si="4"/>
        <v/>
      </c>
      <c r="L34" s="45" t="str">
        <f t="shared" si="5"/>
        <v/>
      </c>
      <c r="M34" s="27"/>
      <c r="N34" s="27"/>
      <c r="O34" s="27"/>
      <c r="P34" s="27"/>
      <c r="Q34" s="45" t="str">
        <f t="shared" si="6"/>
        <v/>
      </c>
      <c r="R34" s="45" t="str">
        <f t="shared" si="7"/>
        <v/>
      </c>
      <c r="S34" s="27"/>
      <c r="T34" s="28"/>
      <c r="U34" s="27"/>
      <c r="V34" s="27"/>
      <c r="W34" s="36"/>
      <c r="X34" s="53" t="str">
        <f t="shared" si="8"/>
        <v/>
      </c>
      <c r="Y34" s="53" t="str">
        <f t="shared" si="9"/>
        <v/>
      </c>
    </row>
    <row r="35" spans="1:25" s="22" customFormat="1" x14ac:dyDescent="0.25">
      <c r="A35" s="29"/>
      <c r="B35" s="31"/>
      <c r="C35" s="30"/>
      <c r="D35" s="30"/>
      <c r="E35" s="46" t="str">
        <f t="shared" si="0"/>
        <v/>
      </c>
      <c r="F35" s="46" t="str">
        <f t="shared" si="1"/>
        <v/>
      </c>
      <c r="G35" s="30"/>
      <c r="H35" s="46" t="str">
        <f t="shared" si="2"/>
        <v/>
      </c>
      <c r="I35" s="46" t="str">
        <f t="shared" si="3"/>
        <v/>
      </c>
      <c r="J35" s="30"/>
      <c r="K35" s="46" t="str">
        <f t="shared" si="4"/>
        <v/>
      </c>
      <c r="L35" s="46" t="str">
        <f t="shared" si="5"/>
        <v/>
      </c>
      <c r="M35" s="30"/>
      <c r="N35" s="30"/>
      <c r="O35" s="30"/>
      <c r="P35" s="30"/>
      <c r="Q35" s="46" t="str">
        <f t="shared" si="6"/>
        <v/>
      </c>
      <c r="R35" s="46" t="str">
        <f t="shared" si="7"/>
        <v/>
      </c>
      <c r="S35" s="30"/>
      <c r="T35" s="31"/>
      <c r="U35" s="30"/>
      <c r="V35" s="30"/>
      <c r="W35" s="37"/>
      <c r="X35" s="52" t="str">
        <f t="shared" si="8"/>
        <v/>
      </c>
      <c r="Y35" s="52" t="str">
        <f t="shared" si="9"/>
        <v/>
      </c>
    </row>
    <row r="36" spans="1:25" s="22" customFormat="1" x14ac:dyDescent="0.25">
      <c r="A36" s="26"/>
      <c r="B36" s="28"/>
      <c r="C36" s="27"/>
      <c r="D36" s="27"/>
      <c r="E36" s="45" t="str">
        <f t="shared" si="0"/>
        <v/>
      </c>
      <c r="F36" s="45" t="str">
        <f t="shared" si="1"/>
        <v/>
      </c>
      <c r="G36" s="27"/>
      <c r="H36" s="45" t="str">
        <f t="shared" si="2"/>
        <v/>
      </c>
      <c r="I36" s="45" t="str">
        <f t="shared" si="3"/>
        <v/>
      </c>
      <c r="J36" s="27"/>
      <c r="K36" s="45" t="str">
        <f t="shared" si="4"/>
        <v/>
      </c>
      <c r="L36" s="45" t="str">
        <f t="shared" si="5"/>
        <v/>
      </c>
      <c r="M36" s="27"/>
      <c r="N36" s="27"/>
      <c r="O36" s="27"/>
      <c r="P36" s="27"/>
      <c r="Q36" s="45" t="str">
        <f t="shared" si="6"/>
        <v/>
      </c>
      <c r="R36" s="45" t="str">
        <f t="shared" si="7"/>
        <v/>
      </c>
      <c r="S36" s="27"/>
      <c r="T36" s="28"/>
      <c r="U36" s="27"/>
      <c r="V36" s="27"/>
      <c r="W36" s="36"/>
      <c r="X36" s="53" t="str">
        <f t="shared" si="8"/>
        <v/>
      </c>
      <c r="Y36" s="53" t="str">
        <f t="shared" si="9"/>
        <v/>
      </c>
    </row>
    <row r="37" spans="1:25" s="22" customFormat="1" x14ac:dyDescent="0.25">
      <c r="A37" s="29"/>
      <c r="B37" s="31"/>
      <c r="C37" s="30"/>
      <c r="D37" s="30"/>
      <c r="E37" s="46" t="str">
        <f t="shared" si="0"/>
        <v/>
      </c>
      <c r="F37" s="46" t="str">
        <f t="shared" si="1"/>
        <v/>
      </c>
      <c r="G37" s="30"/>
      <c r="H37" s="46" t="str">
        <f t="shared" si="2"/>
        <v/>
      </c>
      <c r="I37" s="46" t="str">
        <f t="shared" si="3"/>
        <v/>
      </c>
      <c r="J37" s="30"/>
      <c r="K37" s="46" t="str">
        <f t="shared" si="4"/>
        <v/>
      </c>
      <c r="L37" s="46" t="str">
        <f t="shared" si="5"/>
        <v/>
      </c>
      <c r="M37" s="30"/>
      <c r="N37" s="30"/>
      <c r="O37" s="30"/>
      <c r="P37" s="30"/>
      <c r="Q37" s="46" t="str">
        <f t="shared" si="6"/>
        <v/>
      </c>
      <c r="R37" s="46" t="str">
        <f t="shared" si="7"/>
        <v/>
      </c>
      <c r="S37" s="30"/>
      <c r="T37" s="31"/>
      <c r="U37" s="30"/>
      <c r="V37" s="30"/>
      <c r="W37" s="37"/>
      <c r="X37" s="52" t="str">
        <f t="shared" si="8"/>
        <v/>
      </c>
      <c r="Y37" s="52" t="str">
        <f t="shared" si="9"/>
        <v/>
      </c>
    </row>
    <row r="38" spans="1:25" s="22" customFormat="1" x14ac:dyDescent="0.25">
      <c r="A38" s="26"/>
      <c r="B38" s="28"/>
      <c r="C38" s="27"/>
      <c r="D38" s="27"/>
      <c r="E38" s="45" t="str">
        <f t="shared" ref="E38:E69" si="10">IF(D38="","",_xlfn.TRANSLATE(D38,"vi","ja"))</f>
        <v/>
      </c>
      <c r="F38" s="45" t="str">
        <f t="shared" ref="F38:F69" si="11">IF(D38="","",_xlfn.TRANSLATE(D38,"vi","zh-Hans"))</f>
        <v/>
      </c>
      <c r="G38" s="27"/>
      <c r="H38" s="45" t="str">
        <f t="shared" ref="H38:H69" si="12">IF(G38="","",_xlfn.TRANSLATE(G38,"vi","ja"))</f>
        <v/>
      </c>
      <c r="I38" s="45" t="str">
        <f t="shared" ref="I38:I69" si="13">IF(G38="","",_xlfn.TRANSLATE(G38,"vi","zh-Hans"))</f>
        <v/>
      </c>
      <c r="J38" s="27"/>
      <c r="K38" s="45" t="str">
        <f t="shared" ref="K38:K69" si="14">IF(J38="","",_xlfn.TRANSLATE(J38,"vi","ja"))</f>
        <v/>
      </c>
      <c r="L38" s="45" t="str">
        <f t="shared" ref="L38:L69" si="15">IF(J38="","",_xlfn.TRANSLATE(J38,"vi","zh-Hans"))</f>
        <v/>
      </c>
      <c r="M38" s="27"/>
      <c r="N38" s="27"/>
      <c r="O38" s="27"/>
      <c r="P38" s="27"/>
      <c r="Q38" s="45" t="str">
        <f t="shared" ref="Q38:Q69" si="16">IF(P38="","",_xlfn.TRANSLATE(P38,"vi","ja"))</f>
        <v/>
      </c>
      <c r="R38" s="45" t="str">
        <f t="shared" ref="R38:R69" si="17">IF(P38="","",_xlfn.TRANSLATE(P38,"vi","zh-Hans"))</f>
        <v/>
      </c>
      <c r="S38" s="27"/>
      <c r="T38" s="28"/>
      <c r="U38" s="27"/>
      <c r="V38" s="27"/>
      <c r="W38" s="36"/>
      <c r="X38" s="53" t="str">
        <f t="shared" ref="X38:X69" si="18">IF(W38="","",_xlfn.TRANSLATE(W38,"vi","ja"))</f>
        <v/>
      </c>
      <c r="Y38" s="53" t="str">
        <f t="shared" ref="Y38:Y69" si="19">IF(W38="","",_xlfn.TRANSLATE(W38,"vi","zh-Hans"))</f>
        <v/>
      </c>
    </row>
    <row r="39" spans="1:25" s="22" customFormat="1" x14ac:dyDescent="0.25">
      <c r="A39" s="29"/>
      <c r="B39" s="31"/>
      <c r="C39" s="30"/>
      <c r="D39" s="30"/>
      <c r="E39" s="46" t="str">
        <f t="shared" si="10"/>
        <v/>
      </c>
      <c r="F39" s="46" t="str">
        <f t="shared" si="11"/>
        <v/>
      </c>
      <c r="G39" s="30"/>
      <c r="H39" s="46" t="str">
        <f t="shared" si="12"/>
        <v/>
      </c>
      <c r="I39" s="46" t="str">
        <f t="shared" si="13"/>
        <v/>
      </c>
      <c r="J39" s="30"/>
      <c r="K39" s="46" t="str">
        <f t="shared" si="14"/>
        <v/>
      </c>
      <c r="L39" s="46" t="str">
        <f t="shared" si="15"/>
        <v/>
      </c>
      <c r="M39" s="30"/>
      <c r="N39" s="30"/>
      <c r="O39" s="30"/>
      <c r="P39" s="30"/>
      <c r="Q39" s="46" t="str">
        <f t="shared" si="16"/>
        <v/>
      </c>
      <c r="R39" s="46" t="str">
        <f t="shared" si="17"/>
        <v/>
      </c>
      <c r="S39" s="30"/>
      <c r="T39" s="31"/>
      <c r="U39" s="30"/>
      <c r="V39" s="30"/>
      <c r="W39" s="37"/>
      <c r="X39" s="52" t="str">
        <f t="shared" si="18"/>
        <v/>
      </c>
      <c r="Y39" s="52" t="str">
        <f t="shared" si="19"/>
        <v/>
      </c>
    </row>
    <row r="40" spans="1:25" s="22" customFormat="1" x14ac:dyDescent="0.25">
      <c r="A40" s="26"/>
      <c r="B40" s="28"/>
      <c r="C40" s="27"/>
      <c r="D40" s="27"/>
      <c r="E40" s="45" t="str">
        <f t="shared" si="10"/>
        <v/>
      </c>
      <c r="F40" s="45" t="str">
        <f t="shared" si="11"/>
        <v/>
      </c>
      <c r="G40" s="27"/>
      <c r="H40" s="45" t="str">
        <f t="shared" si="12"/>
        <v/>
      </c>
      <c r="I40" s="45" t="str">
        <f t="shared" si="13"/>
        <v/>
      </c>
      <c r="J40" s="27"/>
      <c r="K40" s="45" t="str">
        <f t="shared" si="14"/>
        <v/>
      </c>
      <c r="L40" s="45" t="str">
        <f t="shared" si="15"/>
        <v/>
      </c>
      <c r="M40" s="27"/>
      <c r="N40" s="27"/>
      <c r="O40" s="27"/>
      <c r="P40" s="27"/>
      <c r="Q40" s="45" t="str">
        <f t="shared" si="16"/>
        <v/>
      </c>
      <c r="R40" s="45" t="str">
        <f t="shared" si="17"/>
        <v/>
      </c>
      <c r="S40" s="27"/>
      <c r="T40" s="28"/>
      <c r="U40" s="27"/>
      <c r="V40" s="27"/>
      <c r="W40" s="36"/>
      <c r="X40" s="53" t="str">
        <f t="shared" si="18"/>
        <v/>
      </c>
      <c r="Y40" s="53" t="str">
        <f t="shared" si="19"/>
        <v/>
      </c>
    </row>
    <row r="41" spans="1:25" s="22" customFormat="1" x14ac:dyDescent="0.25">
      <c r="A41" s="29"/>
      <c r="B41" s="31"/>
      <c r="C41" s="30"/>
      <c r="D41" s="30"/>
      <c r="E41" s="46" t="str">
        <f t="shared" si="10"/>
        <v/>
      </c>
      <c r="F41" s="46" t="str">
        <f t="shared" si="11"/>
        <v/>
      </c>
      <c r="G41" s="30"/>
      <c r="H41" s="46" t="str">
        <f t="shared" si="12"/>
        <v/>
      </c>
      <c r="I41" s="46" t="str">
        <f t="shared" si="13"/>
        <v/>
      </c>
      <c r="J41" s="30"/>
      <c r="K41" s="46" t="str">
        <f t="shared" si="14"/>
        <v/>
      </c>
      <c r="L41" s="46" t="str">
        <f t="shared" si="15"/>
        <v/>
      </c>
      <c r="M41" s="30"/>
      <c r="N41" s="30"/>
      <c r="O41" s="30"/>
      <c r="P41" s="30"/>
      <c r="Q41" s="46" t="str">
        <f t="shared" si="16"/>
        <v/>
      </c>
      <c r="R41" s="46" t="str">
        <f t="shared" si="17"/>
        <v/>
      </c>
      <c r="S41" s="30"/>
      <c r="T41" s="31"/>
      <c r="U41" s="30"/>
      <c r="V41" s="30"/>
      <c r="W41" s="37"/>
      <c r="X41" s="52" t="str">
        <f t="shared" si="18"/>
        <v/>
      </c>
      <c r="Y41" s="52" t="str">
        <f t="shared" si="19"/>
        <v/>
      </c>
    </row>
    <row r="42" spans="1:25" s="22" customFormat="1" x14ac:dyDescent="0.25">
      <c r="A42" s="26"/>
      <c r="B42" s="28"/>
      <c r="C42" s="27"/>
      <c r="D42" s="27"/>
      <c r="E42" s="45" t="str">
        <f t="shared" si="10"/>
        <v/>
      </c>
      <c r="F42" s="45" t="str">
        <f t="shared" si="11"/>
        <v/>
      </c>
      <c r="G42" s="27"/>
      <c r="H42" s="45" t="str">
        <f t="shared" si="12"/>
        <v/>
      </c>
      <c r="I42" s="45" t="str">
        <f t="shared" si="13"/>
        <v/>
      </c>
      <c r="J42" s="27"/>
      <c r="K42" s="45" t="str">
        <f t="shared" si="14"/>
        <v/>
      </c>
      <c r="L42" s="45" t="str">
        <f t="shared" si="15"/>
        <v/>
      </c>
      <c r="M42" s="27"/>
      <c r="N42" s="27"/>
      <c r="O42" s="27"/>
      <c r="P42" s="27"/>
      <c r="Q42" s="45" t="str">
        <f t="shared" si="16"/>
        <v/>
      </c>
      <c r="R42" s="45" t="str">
        <f t="shared" si="17"/>
        <v/>
      </c>
      <c r="S42" s="27"/>
      <c r="T42" s="28"/>
      <c r="U42" s="27"/>
      <c r="V42" s="27"/>
      <c r="W42" s="36"/>
      <c r="X42" s="53" t="str">
        <f t="shared" si="18"/>
        <v/>
      </c>
      <c r="Y42" s="53" t="str">
        <f t="shared" si="19"/>
        <v/>
      </c>
    </row>
    <row r="43" spans="1:25" s="22" customFormat="1" x14ac:dyDescent="0.25">
      <c r="A43" s="29"/>
      <c r="B43" s="31"/>
      <c r="C43" s="30"/>
      <c r="D43" s="30"/>
      <c r="E43" s="46" t="str">
        <f t="shared" si="10"/>
        <v/>
      </c>
      <c r="F43" s="46" t="str">
        <f t="shared" si="11"/>
        <v/>
      </c>
      <c r="G43" s="30"/>
      <c r="H43" s="46" t="str">
        <f t="shared" si="12"/>
        <v/>
      </c>
      <c r="I43" s="46" t="str">
        <f t="shared" si="13"/>
        <v/>
      </c>
      <c r="J43" s="30"/>
      <c r="K43" s="46" t="str">
        <f t="shared" si="14"/>
        <v/>
      </c>
      <c r="L43" s="46" t="str">
        <f t="shared" si="15"/>
        <v/>
      </c>
      <c r="M43" s="30"/>
      <c r="N43" s="30"/>
      <c r="O43" s="30"/>
      <c r="P43" s="30"/>
      <c r="Q43" s="46" t="str">
        <f t="shared" si="16"/>
        <v/>
      </c>
      <c r="R43" s="46" t="str">
        <f t="shared" si="17"/>
        <v/>
      </c>
      <c r="S43" s="30"/>
      <c r="T43" s="31"/>
      <c r="U43" s="30"/>
      <c r="V43" s="30"/>
      <c r="W43" s="37"/>
      <c r="X43" s="52" t="str">
        <f t="shared" si="18"/>
        <v/>
      </c>
      <c r="Y43" s="52" t="str">
        <f t="shared" si="19"/>
        <v/>
      </c>
    </row>
    <row r="44" spans="1:25" s="22" customFormat="1" x14ac:dyDescent="0.25">
      <c r="A44" s="26"/>
      <c r="B44" s="28"/>
      <c r="C44" s="27"/>
      <c r="D44" s="27"/>
      <c r="E44" s="45" t="str">
        <f t="shared" si="10"/>
        <v/>
      </c>
      <c r="F44" s="45" t="str">
        <f t="shared" si="11"/>
        <v/>
      </c>
      <c r="G44" s="27"/>
      <c r="H44" s="45" t="str">
        <f t="shared" si="12"/>
        <v/>
      </c>
      <c r="I44" s="45" t="str">
        <f t="shared" si="13"/>
        <v/>
      </c>
      <c r="J44" s="27"/>
      <c r="K44" s="45" t="str">
        <f t="shared" si="14"/>
        <v/>
      </c>
      <c r="L44" s="45" t="str">
        <f t="shared" si="15"/>
        <v/>
      </c>
      <c r="M44" s="27"/>
      <c r="N44" s="27"/>
      <c r="O44" s="27"/>
      <c r="P44" s="27"/>
      <c r="Q44" s="45" t="str">
        <f t="shared" si="16"/>
        <v/>
      </c>
      <c r="R44" s="45" t="str">
        <f t="shared" si="17"/>
        <v/>
      </c>
      <c r="S44" s="27"/>
      <c r="T44" s="28"/>
      <c r="U44" s="27"/>
      <c r="V44" s="27"/>
      <c r="W44" s="36"/>
      <c r="X44" s="53" t="str">
        <f t="shared" si="18"/>
        <v/>
      </c>
      <c r="Y44" s="53" t="str">
        <f t="shared" si="19"/>
        <v/>
      </c>
    </row>
    <row r="45" spans="1:25" s="22" customFormat="1" x14ac:dyDescent="0.25">
      <c r="A45" s="29"/>
      <c r="B45" s="31"/>
      <c r="C45" s="30"/>
      <c r="D45" s="30"/>
      <c r="E45" s="46" t="str">
        <f t="shared" si="10"/>
        <v/>
      </c>
      <c r="F45" s="46" t="str">
        <f t="shared" si="11"/>
        <v/>
      </c>
      <c r="G45" s="30"/>
      <c r="H45" s="46" t="str">
        <f t="shared" si="12"/>
        <v/>
      </c>
      <c r="I45" s="46" t="str">
        <f t="shared" si="13"/>
        <v/>
      </c>
      <c r="J45" s="30"/>
      <c r="K45" s="46" t="str">
        <f t="shared" si="14"/>
        <v/>
      </c>
      <c r="L45" s="46" t="str">
        <f t="shared" si="15"/>
        <v/>
      </c>
      <c r="M45" s="30"/>
      <c r="N45" s="30"/>
      <c r="O45" s="30"/>
      <c r="P45" s="30"/>
      <c r="Q45" s="46" t="str">
        <f t="shared" si="16"/>
        <v/>
      </c>
      <c r="R45" s="46" t="str">
        <f t="shared" si="17"/>
        <v/>
      </c>
      <c r="S45" s="30"/>
      <c r="T45" s="31"/>
      <c r="U45" s="30"/>
      <c r="V45" s="30"/>
      <c r="W45" s="37"/>
      <c r="X45" s="52" t="str">
        <f t="shared" si="18"/>
        <v/>
      </c>
      <c r="Y45" s="52" t="str">
        <f t="shared" si="19"/>
        <v/>
      </c>
    </row>
    <row r="46" spans="1:25" s="22" customFormat="1" x14ac:dyDescent="0.25">
      <c r="A46" s="26"/>
      <c r="B46" s="28"/>
      <c r="C46" s="27"/>
      <c r="D46" s="27"/>
      <c r="E46" s="45" t="str">
        <f t="shared" si="10"/>
        <v/>
      </c>
      <c r="F46" s="45" t="str">
        <f t="shared" si="11"/>
        <v/>
      </c>
      <c r="G46" s="27"/>
      <c r="H46" s="45" t="str">
        <f t="shared" si="12"/>
        <v/>
      </c>
      <c r="I46" s="45" t="str">
        <f t="shared" si="13"/>
        <v/>
      </c>
      <c r="J46" s="27"/>
      <c r="K46" s="45" t="str">
        <f t="shared" si="14"/>
        <v/>
      </c>
      <c r="L46" s="45" t="str">
        <f t="shared" si="15"/>
        <v/>
      </c>
      <c r="M46" s="27"/>
      <c r="N46" s="27"/>
      <c r="O46" s="27"/>
      <c r="P46" s="27"/>
      <c r="Q46" s="45" t="str">
        <f t="shared" si="16"/>
        <v/>
      </c>
      <c r="R46" s="45" t="str">
        <f t="shared" si="17"/>
        <v/>
      </c>
      <c r="S46" s="27"/>
      <c r="T46" s="28"/>
      <c r="U46" s="27"/>
      <c r="V46" s="27"/>
      <c r="W46" s="36"/>
      <c r="X46" s="53" t="str">
        <f t="shared" si="18"/>
        <v/>
      </c>
      <c r="Y46" s="53" t="str">
        <f t="shared" si="19"/>
        <v/>
      </c>
    </row>
    <row r="47" spans="1:25" s="22" customFormat="1" x14ac:dyDescent="0.25">
      <c r="A47" s="29"/>
      <c r="B47" s="31"/>
      <c r="C47" s="30"/>
      <c r="D47" s="30"/>
      <c r="E47" s="46" t="str">
        <f t="shared" si="10"/>
        <v/>
      </c>
      <c r="F47" s="46" t="str">
        <f t="shared" si="11"/>
        <v/>
      </c>
      <c r="G47" s="30"/>
      <c r="H47" s="46" t="str">
        <f t="shared" si="12"/>
        <v/>
      </c>
      <c r="I47" s="46" t="str">
        <f t="shared" si="13"/>
        <v/>
      </c>
      <c r="J47" s="30"/>
      <c r="K47" s="46" t="str">
        <f t="shared" si="14"/>
        <v/>
      </c>
      <c r="L47" s="46" t="str">
        <f t="shared" si="15"/>
        <v/>
      </c>
      <c r="M47" s="30"/>
      <c r="N47" s="30"/>
      <c r="O47" s="30"/>
      <c r="P47" s="30"/>
      <c r="Q47" s="46" t="str">
        <f t="shared" si="16"/>
        <v/>
      </c>
      <c r="R47" s="46" t="str">
        <f t="shared" si="17"/>
        <v/>
      </c>
      <c r="S47" s="30"/>
      <c r="T47" s="31"/>
      <c r="U47" s="30"/>
      <c r="V47" s="30"/>
      <c r="W47" s="37"/>
      <c r="X47" s="52" t="str">
        <f t="shared" si="18"/>
        <v/>
      </c>
      <c r="Y47" s="52" t="str">
        <f t="shared" si="19"/>
        <v/>
      </c>
    </row>
    <row r="48" spans="1:25" s="22" customFormat="1" x14ac:dyDescent="0.25">
      <c r="A48" s="26"/>
      <c r="B48" s="28"/>
      <c r="C48" s="27"/>
      <c r="D48" s="27"/>
      <c r="E48" s="45" t="str">
        <f t="shared" si="10"/>
        <v/>
      </c>
      <c r="F48" s="45" t="str">
        <f t="shared" si="11"/>
        <v/>
      </c>
      <c r="G48" s="27"/>
      <c r="H48" s="45" t="str">
        <f t="shared" si="12"/>
        <v/>
      </c>
      <c r="I48" s="45" t="str">
        <f t="shared" si="13"/>
        <v/>
      </c>
      <c r="J48" s="27"/>
      <c r="K48" s="45" t="str">
        <f t="shared" si="14"/>
        <v/>
      </c>
      <c r="L48" s="45" t="str">
        <f t="shared" si="15"/>
        <v/>
      </c>
      <c r="M48" s="27"/>
      <c r="N48" s="27"/>
      <c r="O48" s="27"/>
      <c r="P48" s="27"/>
      <c r="Q48" s="45" t="str">
        <f t="shared" si="16"/>
        <v/>
      </c>
      <c r="R48" s="45" t="str">
        <f t="shared" si="17"/>
        <v/>
      </c>
      <c r="S48" s="27"/>
      <c r="T48" s="28"/>
      <c r="U48" s="27"/>
      <c r="V48" s="27"/>
      <c r="W48" s="36"/>
      <c r="X48" s="53" t="str">
        <f t="shared" si="18"/>
        <v/>
      </c>
      <c r="Y48" s="53" t="str">
        <f t="shared" si="19"/>
        <v/>
      </c>
    </row>
    <row r="49" spans="1:25" s="22" customFormat="1" x14ac:dyDescent="0.25">
      <c r="A49" s="29"/>
      <c r="B49" s="31"/>
      <c r="C49" s="30"/>
      <c r="D49" s="30"/>
      <c r="E49" s="46" t="str">
        <f t="shared" si="10"/>
        <v/>
      </c>
      <c r="F49" s="46" t="str">
        <f t="shared" si="11"/>
        <v/>
      </c>
      <c r="G49" s="30"/>
      <c r="H49" s="46" t="str">
        <f t="shared" si="12"/>
        <v/>
      </c>
      <c r="I49" s="46" t="str">
        <f t="shared" si="13"/>
        <v/>
      </c>
      <c r="J49" s="30"/>
      <c r="K49" s="46" t="str">
        <f t="shared" si="14"/>
        <v/>
      </c>
      <c r="L49" s="46" t="str">
        <f t="shared" si="15"/>
        <v/>
      </c>
      <c r="M49" s="30"/>
      <c r="N49" s="30"/>
      <c r="O49" s="30"/>
      <c r="P49" s="30"/>
      <c r="Q49" s="46" t="str">
        <f t="shared" si="16"/>
        <v/>
      </c>
      <c r="R49" s="46" t="str">
        <f t="shared" si="17"/>
        <v/>
      </c>
      <c r="S49" s="30"/>
      <c r="T49" s="31"/>
      <c r="U49" s="30"/>
      <c r="V49" s="30"/>
      <c r="W49" s="37"/>
      <c r="X49" s="52" t="str">
        <f t="shared" si="18"/>
        <v/>
      </c>
      <c r="Y49" s="52" t="str">
        <f t="shared" si="19"/>
        <v/>
      </c>
    </row>
    <row r="50" spans="1:25" s="22" customFormat="1" x14ac:dyDescent="0.25">
      <c r="A50" s="26"/>
      <c r="B50" s="28"/>
      <c r="C50" s="27"/>
      <c r="D50" s="27"/>
      <c r="E50" s="45" t="str">
        <f t="shared" si="10"/>
        <v/>
      </c>
      <c r="F50" s="45" t="str">
        <f t="shared" si="11"/>
        <v/>
      </c>
      <c r="G50" s="27"/>
      <c r="H50" s="45" t="str">
        <f t="shared" si="12"/>
        <v/>
      </c>
      <c r="I50" s="45" t="str">
        <f t="shared" si="13"/>
        <v/>
      </c>
      <c r="J50" s="27"/>
      <c r="K50" s="45" t="str">
        <f t="shared" si="14"/>
        <v/>
      </c>
      <c r="L50" s="45" t="str">
        <f t="shared" si="15"/>
        <v/>
      </c>
      <c r="M50" s="27"/>
      <c r="N50" s="27"/>
      <c r="O50" s="27"/>
      <c r="P50" s="27"/>
      <c r="Q50" s="45" t="str">
        <f t="shared" si="16"/>
        <v/>
      </c>
      <c r="R50" s="45" t="str">
        <f t="shared" si="17"/>
        <v/>
      </c>
      <c r="S50" s="27"/>
      <c r="T50" s="28"/>
      <c r="U50" s="27"/>
      <c r="V50" s="27"/>
      <c r="W50" s="36"/>
      <c r="X50" s="53" t="str">
        <f t="shared" si="18"/>
        <v/>
      </c>
      <c r="Y50" s="53" t="str">
        <f t="shared" si="19"/>
        <v/>
      </c>
    </row>
    <row r="51" spans="1:25" s="22" customFormat="1" x14ac:dyDescent="0.25">
      <c r="A51" s="29"/>
      <c r="B51" s="31"/>
      <c r="C51" s="30"/>
      <c r="D51" s="30"/>
      <c r="E51" s="46" t="str">
        <f t="shared" si="10"/>
        <v/>
      </c>
      <c r="F51" s="46" t="str">
        <f t="shared" si="11"/>
        <v/>
      </c>
      <c r="G51" s="30"/>
      <c r="H51" s="46" t="str">
        <f t="shared" si="12"/>
        <v/>
      </c>
      <c r="I51" s="46" t="str">
        <f t="shared" si="13"/>
        <v/>
      </c>
      <c r="J51" s="30"/>
      <c r="K51" s="46" t="str">
        <f t="shared" si="14"/>
        <v/>
      </c>
      <c r="L51" s="46" t="str">
        <f t="shared" si="15"/>
        <v/>
      </c>
      <c r="M51" s="30"/>
      <c r="N51" s="30"/>
      <c r="O51" s="30"/>
      <c r="P51" s="30"/>
      <c r="Q51" s="46" t="str">
        <f t="shared" si="16"/>
        <v/>
      </c>
      <c r="R51" s="46" t="str">
        <f t="shared" si="17"/>
        <v/>
      </c>
      <c r="S51" s="30"/>
      <c r="T51" s="31"/>
      <c r="U51" s="30"/>
      <c r="V51" s="30"/>
      <c r="W51" s="37"/>
      <c r="X51" s="52" t="str">
        <f t="shared" si="18"/>
        <v/>
      </c>
      <c r="Y51" s="52" t="str">
        <f t="shared" si="19"/>
        <v/>
      </c>
    </row>
    <row r="52" spans="1:25" s="22" customFormat="1" x14ac:dyDescent="0.25">
      <c r="A52" s="26"/>
      <c r="B52" s="28"/>
      <c r="C52" s="27"/>
      <c r="D52" s="27"/>
      <c r="E52" s="45" t="str">
        <f t="shared" si="10"/>
        <v/>
      </c>
      <c r="F52" s="45" t="str">
        <f t="shared" si="11"/>
        <v/>
      </c>
      <c r="G52" s="27"/>
      <c r="H52" s="45" t="str">
        <f t="shared" si="12"/>
        <v/>
      </c>
      <c r="I52" s="45" t="str">
        <f t="shared" si="13"/>
        <v/>
      </c>
      <c r="J52" s="27"/>
      <c r="K52" s="45" t="str">
        <f t="shared" si="14"/>
        <v/>
      </c>
      <c r="L52" s="45" t="str">
        <f t="shared" si="15"/>
        <v/>
      </c>
      <c r="M52" s="27"/>
      <c r="N52" s="27"/>
      <c r="O52" s="27"/>
      <c r="P52" s="27"/>
      <c r="Q52" s="45" t="str">
        <f t="shared" si="16"/>
        <v/>
      </c>
      <c r="R52" s="45" t="str">
        <f t="shared" si="17"/>
        <v/>
      </c>
      <c r="S52" s="27"/>
      <c r="T52" s="28"/>
      <c r="U52" s="27"/>
      <c r="V52" s="27"/>
      <c r="W52" s="36"/>
      <c r="X52" s="53" t="str">
        <f t="shared" si="18"/>
        <v/>
      </c>
      <c r="Y52" s="53" t="str">
        <f t="shared" si="19"/>
        <v/>
      </c>
    </row>
    <row r="53" spans="1:25" s="22" customFormat="1" x14ac:dyDescent="0.25">
      <c r="A53" s="29"/>
      <c r="B53" s="31"/>
      <c r="C53" s="30"/>
      <c r="D53" s="30"/>
      <c r="E53" s="46" t="str">
        <f t="shared" si="10"/>
        <v/>
      </c>
      <c r="F53" s="46" t="str">
        <f t="shared" si="11"/>
        <v/>
      </c>
      <c r="G53" s="30"/>
      <c r="H53" s="46" t="str">
        <f t="shared" si="12"/>
        <v/>
      </c>
      <c r="I53" s="46" t="str">
        <f t="shared" si="13"/>
        <v/>
      </c>
      <c r="J53" s="30"/>
      <c r="K53" s="46" t="str">
        <f t="shared" si="14"/>
        <v/>
      </c>
      <c r="L53" s="46" t="str">
        <f t="shared" si="15"/>
        <v/>
      </c>
      <c r="M53" s="30"/>
      <c r="N53" s="30"/>
      <c r="O53" s="30"/>
      <c r="P53" s="30"/>
      <c r="Q53" s="46" t="str">
        <f t="shared" si="16"/>
        <v/>
      </c>
      <c r="R53" s="46" t="str">
        <f t="shared" si="17"/>
        <v/>
      </c>
      <c r="S53" s="30"/>
      <c r="T53" s="31"/>
      <c r="U53" s="30"/>
      <c r="V53" s="30"/>
      <c r="W53" s="37"/>
      <c r="X53" s="52" t="str">
        <f t="shared" si="18"/>
        <v/>
      </c>
      <c r="Y53" s="52" t="str">
        <f t="shared" si="19"/>
        <v/>
      </c>
    </row>
    <row r="54" spans="1:25" s="22" customFormat="1" x14ac:dyDescent="0.25">
      <c r="A54" s="26"/>
      <c r="B54" s="28"/>
      <c r="C54" s="27"/>
      <c r="D54" s="27"/>
      <c r="E54" s="45" t="str">
        <f t="shared" si="10"/>
        <v/>
      </c>
      <c r="F54" s="45" t="str">
        <f t="shared" si="11"/>
        <v/>
      </c>
      <c r="G54" s="27"/>
      <c r="H54" s="45" t="str">
        <f t="shared" si="12"/>
        <v/>
      </c>
      <c r="I54" s="45" t="str">
        <f t="shared" si="13"/>
        <v/>
      </c>
      <c r="J54" s="27"/>
      <c r="K54" s="45" t="str">
        <f t="shared" si="14"/>
        <v/>
      </c>
      <c r="L54" s="45" t="str">
        <f t="shared" si="15"/>
        <v/>
      </c>
      <c r="M54" s="27"/>
      <c r="N54" s="27"/>
      <c r="O54" s="27"/>
      <c r="P54" s="27"/>
      <c r="Q54" s="45" t="str">
        <f t="shared" si="16"/>
        <v/>
      </c>
      <c r="R54" s="45" t="str">
        <f t="shared" si="17"/>
        <v/>
      </c>
      <c r="S54" s="27"/>
      <c r="T54" s="28"/>
      <c r="U54" s="27"/>
      <c r="V54" s="27"/>
      <c r="W54" s="36"/>
      <c r="X54" s="53" t="str">
        <f t="shared" si="18"/>
        <v/>
      </c>
      <c r="Y54" s="53" t="str">
        <f t="shared" si="19"/>
        <v/>
      </c>
    </row>
    <row r="55" spans="1:25" s="22" customFormat="1" x14ac:dyDescent="0.25">
      <c r="A55" s="29"/>
      <c r="B55" s="31"/>
      <c r="C55" s="30"/>
      <c r="D55" s="30"/>
      <c r="E55" s="46" t="str">
        <f t="shared" si="10"/>
        <v/>
      </c>
      <c r="F55" s="46" t="str">
        <f t="shared" si="11"/>
        <v/>
      </c>
      <c r="G55" s="30"/>
      <c r="H55" s="46" t="str">
        <f t="shared" si="12"/>
        <v/>
      </c>
      <c r="I55" s="46" t="str">
        <f t="shared" si="13"/>
        <v/>
      </c>
      <c r="J55" s="30"/>
      <c r="K55" s="46" t="str">
        <f t="shared" si="14"/>
        <v/>
      </c>
      <c r="L55" s="46" t="str">
        <f t="shared" si="15"/>
        <v/>
      </c>
      <c r="M55" s="30"/>
      <c r="N55" s="30"/>
      <c r="O55" s="30"/>
      <c r="P55" s="30"/>
      <c r="Q55" s="46" t="str">
        <f t="shared" si="16"/>
        <v/>
      </c>
      <c r="R55" s="46" t="str">
        <f t="shared" si="17"/>
        <v/>
      </c>
      <c r="S55" s="30"/>
      <c r="T55" s="31"/>
      <c r="U55" s="30"/>
      <c r="V55" s="30"/>
      <c r="W55" s="37"/>
      <c r="X55" s="52" t="str">
        <f t="shared" si="18"/>
        <v/>
      </c>
      <c r="Y55" s="52" t="str">
        <f t="shared" si="19"/>
        <v/>
      </c>
    </row>
    <row r="56" spans="1:25" s="22" customFormat="1" x14ac:dyDescent="0.25">
      <c r="A56" s="26"/>
      <c r="B56" s="28"/>
      <c r="C56" s="27"/>
      <c r="D56" s="27"/>
      <c r="E56" s="45" t="str">
        <f t="shared" si="10"/>
        <v/>
      </c>
      <c r="F56" s="45" t="str">
        <f t="shared" si="11"/>
        <v/>
      </c>
      <c r="G56" s="27"/>
      <c r="H56" s="45" t="str">
        <f t="shared" si="12"/>
        <v/>
      </c>
      <c r="I56" s="45" t="str">
        <f t="shared" si="13"/>
        <v/>
      </c>
      <c r="J56" s="27"/>
      <c r="K56" s="45" t="str">
        <f t="shared" si="14"/>
        <v/>
      </c>
      <c r="L56" s="45" t="str">
        <f t="shared" si="15"/>
        <v/>
      </c>
      <c r="M56" s="27"/>
      <c r="N56" s="27"/>
      <c r="O56" s="27"/>
      <c r="P56" s="27"/>
      <c r="Q56" s="45" t="str">
        <f t="shared" si="16"/>
        <v/>
      </c>
      <c r="R56" s="45" t="str">
        <f t="shared" si="17"/>
        <v/>
      </c>
      <c r="S56" s="27"/>
      <c r="T56" s="28"/>
      <c r="U56" s="27"/>
      <c r="V56" s="27"/>
      <c r="W56" s="36"/>
      <c r="X56" s="53" t="str">
        <f t="shared" si="18"/>
        <v/>
      </c>
      <c r="Y56" s="53" t="str">
        <f t="shared" si="19"/>
        <v/>
      </c>
    </row>
    <row r="57" spans="1:25" s="22" customFormat="1" x14ac:dyDescent="0.25">
      <c r="A57" s="29"/>
      <c r="B57" s="31"/>
      <c r="C57" s="30"/>
      <c r="D57" s="30"/>
      <c r="E57" s="46" t="str">
        <f t="shared" si="10"/>
        <v/>
      </c>
      <c r="F57" s="46" t="str">
        <f t="shared" si="11"/>
        <v/>
      </c>
      <c r="G57" s="30"/>
      <c r="H57" s="46" t="str">
        <f t="shared" si="12"/>
        <v/>
      </c>
      <c r="I57" s="46" t="str">
        <f t="shared" si="13"/>
        <v/>
      </c>
      <c r="J57" s="30"/>
      <c r="K57" s="46" t="str">
        <f t="shared" si="14"/>
        <v/>
      </c>
      <c r="L57" s="46" t="str">
        <f t="shared" si="15"/>
        <v/>
      </c>
      <c r="M57" s="30"/>
      <c r="N57" s="30"/>
      <c r="O57" s="30"/>
      <c r="P57" s="30"/>
      <c r="Q57" s="46" t="str">
        <f t="shared" si="16"/>
        <v/>
      </c>
      <c r="R57" s="46" t="str">
        <f t="shared" si="17"/>
        <v/>
      </c>
      <c r="S57" s="30"/>
      <c r="T57" s="31"/>
      <c r="U57" s="30"/>
      <c r="V57" s="30"/>
      <c r="W57" s="37"/>
      <c r="X57" s="52" t="str">
        <f t="shared" si="18"/>
        <v/>
      </c>
      <c r="Y57" s="52" t="str">
        <f t="shared" si="19"/>
        <v/>
      </c>
    </row>
    <row r="58" spans="1:25" s="22" customFormat="1" x14ac:dyDescent="0.25">
      <c r="A58" s="26"/>
      <c r="B58" s="28"/>
      <c r="C58" s="27"/>
      <c r="D58" s="27"/>
      <c r="E58" s="45" t="str">
        <f t="shared" si="10"/>
        <v/>
      </c>
      <c r="F58" s="45" t="str">
        <f t="shared" si="11"/>
        <v/>
      </c>
      <c r="G58" s="27"/>
      <c r="H58" s="45" t="str">
        <f t="shared" si="12"/>
        <v/>
      </c>
      <c r="I58" s="45" t="str">
        <f t="shared" si="13"/>
        <v/>
      </c>
      <c r="J58" s="27"/>
      <c r="K58" s="45" t="str">
        <f t="shared" si="14"/>
        <v/>
      </c>
      <c r="L58" s="45" t="str">
        <f t="shared" si="15"/>
        <v/>
      </c>
      <c r="M58" s="27"/>
      <c r="N58" s="27"/>
      <c r="O58" s="27"/>
      <c r="P58" s="27"/>
      <c r="Q58" s="45" t="str">
        <f t="shared" si="16"/>
        <v/>
      </c>
      <c r="R58" s="45" t="str">
        <f t="shared" si="17"/>
        <v/>
      </c>
      <c r="S58" s="27"/>
      <c r="T58" s="28"/>
      <c r="U58" s="27"/>
      <c r="V58" s="27"/>
      <c r="W58" s="36"/>
      <c r="X58" s="53" t="str">
        <f t="shared" si="18"/>
        <v/>
      </c>
      <c r="Y58" s="53" t="str">
        <f t="shared" si="19"/>
        <v/>
      </c>
    </row>
    <row r="59" spans="1:25" s="22" customFormat="1" x14ac:dyDescent="0.25">
      <c r="A59" s="29"/>
      <c r="B59" s="31"/>
      <c r="C59" s="30"/>
      <c r="D59" s="30"/>
      <c r="E59" s="46" t="str">
        <f t="shared" si="10"/>
        <v/>
      </c>
      <c r="F59" s="46" t="str">
        <f t="shared" si="11"/>
        <v/>
      </c>
      <c r="G59" s="30"/>
      <c r="H59" s="46" t="str">
        <f t="shared" si="12"/>
        <v/>
      </c>
      <c r="I59" s="46" t="str">
        <f t="shared" si="13"/>
        <v/>
      </c>
      <c r="J59" s="30"/>
      <c r="K59" s="46" t="str">
        <f t="shared" si="14"/>
        <v/>
      </c>
      <c r="L59" s="46" t="str">
        <f t="shared" si="15"/>
        <v/>
      </c>
      <c r="M59" s="30"/>
      <c r="N59" s="30"/>
      <c r="O59" s="30"/>
      <c r="P59" s="30"/>
      <c r="Q59" s="46" t="str">
        <f t="shared" si="16"/>
        <v/>
      </c>
      <c r="R59" s="46" t="str">
        <f t="shared" si="17"/>
        <v/>
      </c>
      <c r="S59" s="30"/>
      <c r="T59" s="31"/>
      <c r="U59" s="30"/>
      <c r="V59" s="30"/>
      <c r="W59" s="37"/>
      <c r="X59" s="52" t="str">
        <f t="shared" si="18"/>
        <v/>
      </c>
      <c r="Y59" s="52" t="str">
        <f t="shared" si="19"/>
        <v/>
      </c>
    </row>
    <row r="60" spans="1:25" s="22" customFormat="1" x14ac:dyDescent="0.25">
      <c r="A60" s="26"/>
      <c r="B60" s="28"/>
      <c r="C60" s="27"/>
      <c r="D60" s="27"/>
      <c r="E60" s="45" t="str">
        <f t="shared" si="10"/>
        <v/>
      </c>
      <c r="F60" s="45" t="str">
        <f t="shared" si="11"/>
        <v/>
      </c>
      <c r="G60" s="27"/>
      <c r="H60" s="45" t="str">
        <f t="shared" si="12"/>
        <v/>
      </c>
      <c r="I60" s="45" t="str">
        <f t="shared" si="13"/>
        <v/>
      </c>
      <c r="J60" s="27"/>
      <c r="K60" s="45" t="str">
        <f t="shared" si="14"/>
        <v/>
      </c>
      <c r="L60" s="45" t="str">
        <f t="shared" si="15"/>
        <v/>
      </c>
      <c r="M60" s="27"/>
      <c r="N60" s="27"/>
      <c r="O60" s="27"/>
      <c r="P60" s="27"/>
      <c r="Q60" s="45" t="str">
        <f t="shared" si="16"/>
        <v/>
      </c>
      <c r="R60" s="45" t="str">
        <f t="shared" si="17"/>
        <v/>
      </c>
      <c r="S60" s="27"/>
      <c r="T60" s="28"/>
      <c r="U60" s="27"/>
      <c r="V60" s="27"/>
      <c r="W60" s="36"/>
      <c r="X60" s="53" t="str">
        <f t="shared" si="18"/>
        <v/>
      </c>
      <c r="Y60" s="53" t="str">
        <f t="shared" si="19"/>
        <v/>
      </c>
    </row>
    <row r="61" spans="1:25" s="22" customFormat="1" x14ac:dyDescent="0.25">
      <c r="A61" s="29"/>
      <c r="B61" s="31"/>
      <c r="C61" s="30"/>
      <c r="D61" s="30"/>
      <c r="E61" s="46" t="str">
        <f t="shared" si="10"/>
        <v/>
      </c>
      <c r="F61" s="46" t="str">
        <f t="shared" si="11"/>
        <v/>
      </c>
      <c r="G61" s="30"/>
      <c r="H61" s="46" t="str">
        <f t="shared" si="12"/>
        <v/>
      </c>
      <c r="I61" s="46" t="str">
        <f t="shared" si="13"/>
        <v/>
      </c>
      <c r="J61" s="30"/>
      <c r="K61" s="46" t="str">
        <f t="shared" si="14"/>
        <v/>
      </c>
      <c r="L61" s="46" t="str">
        <f t="shared" si="15"/>
        <v/>
      </c>
      <c r="M61" s="30"/>
      <c r="N61" s="30"/>
      <c r="O61" s="30"/>
      <c r="P61" s="30"/>
      <c r="Q61" s="46" t="str">
        <f t="shared" si="16"/>
        <v/>
      </c>
      <c r="R61" s="46" t="str">
        <f t="shared" si="17"/>
        <v/>
      </c>
      <c r="S61" s="30"/>
      <c r="T61" s="31"/>
      <c r="U61" s="30"/>
      <c r="V61" s="30"/>
      <c r="W61" s="37"/>
      <c r="X61" s="52" t="str">
        <f t="shared" si="18"/>
        <v/>
      </c>
      <c r="Y61" s="52" t="str">
        <f t="shared" si="19"/>
        <v/>
      </c>
    </row>
    <row r="62" spans="1:25" s="22" customFormat="1" x14ac:dyDescent="0.25">
      <c r="A62" s="26"/>
      <c r="B62" s="28"/>
      <c r="C62" s="27"/>
      <c r="D62" s="27"/>
      <c r="E62" s="45" t="str">
        <f t="shared" si="10"/>
        <v/>
      </c>
      <c r="F62" s="45" t="str">
        <f t="shared" si="11"/>
        <v/>
      </c>
      <c r="G62" s="27"/>
      <c r="H62" s="45" t="str">
        <f t="shared" si="12"/>
        <v/>
      </c>
      <c r="I62" s="45" t="str">
        <f t="shared" si="13"/>
        <v/>
      </c>
      <c r="J62" s="27"/>
      <c r="K62" s="45" t="str">
        <f t="shared" si="14"/>
        <v/>
      </c>
      <c r="L62" s="45" t="str">
        <f t="shared" si="15"/>
        <v/>
      </c>
      <c r="M62" s="27"/>
      <c r="N62" s="27"/>
      <c r="O62" s="27"/>
      <c r="P62" s="27"/>
      <c r="Q62" s="45" t="str">
        <f t="shared" si="16"/>
        <v/>
      </c>
      <c r="R62" s="45" t="str">
        <f t="shared" si="17"/>
        <v/>
      </c>
      <c r="S62" s="27"/>
      <c r="T62" s="28"/>
      <c r="U62" s="27"/>
      <c r="V62" s="27"/>
      <c r="W62" s="36"/>
      <c r="X62" s="53" t="str">
        <f t="shared" si="18"/>
        <v/>
      </c>
      <c r="Y62" s="53" t="str">
        <f t="shared" si="19"/>
        <v/>
      </c>
    </row>
    <row r="63" spans="1:25" s="22" customFormat="1" x14ac:dyDescent="0.25">
      <c r="A63" s="29"/>
      <c r="B63" s="31"/>
      <c r="C63" s="30"/>
      <c r="D63" s="30"/>
      <c r="E63" s="46" t="str">
        <f t="shared" si="10"/>
        <v/>
      </c>
      <c r="F63" s="46" t="str">
        <f t="shared" si="11"/>
        <v/>
      </c>
      <c r="G63" s="30"/>
      <c r="H63" s="46" t="str">
        <f t="shared" si="12"/>
        <v/>
      </c>
      <c r="I63" s="46" t="str">
        <f t="shared" si="13"/>
        <v/>
      </c>
      <c r="J63" s="30"/>
      <c r="K63" s="46" t="str">
        <f t="shared" si="14"/>
        <v/>
      </c>
      <c r="L63" s="46" t="str">
        <f t="shared" si="15"/>
        <v/>
      </c>
      <c r="M63" s="30"/>
      <c r="N63" s="30"/>
      <c r="O63" s="30"/>
      <c r="P63" s="30"/>
      <c r="Q63" s="46" t="str">
        <f t="shared" si="16"/>
        <v/>
      </c>
      <c r="R63" s="46" t="str">
        <f t="shared" si="17"/>
        <v/>
      </c>
      <c r="S63" s="30"/>
      <c r="T63" s="31"/>
      <c r="U63" s="30"/>
      <c r="V63" s="30"/>
      <c r="W63" s="37"/>
      <c r="X63" s="52" t="str">
        <f t="shared" si="18"/>
        <v/>
      </c>
      <c r="Y63" s="52" t="str">
        <f t="shared" si="19"/>
        <v/>
      </c>
    </row>
    <row r="64" spans="1:25" s="22" customFormat="1" x14ac:dyDescent="0.25">
      <c r="A64" s="26"/>
      <c r="B64" s="28"/>
      <c r="C64" s="27"/>
      <c r="D64" s="27"/>
      <c r="E64" s="45" t="str">
        <f t="shared" si="10"/>
        <v/>
      </c>
      <c r="F64" s="45" t="str">
        <f t="shared" si="11"/>
        <v/>
      </c>
      <c r="G64" s="27"/>
      <c r="H64" s="45" t="str">
        <f t="shared" si="12"/>
        <v/>
      </c>
      <c r="I64" s="45" t="str">
        <f t="shared" si="13"/>
        <v/>
      </c>
      <c r="J64" s="27"/>
      <c r="K64" s="45" t="str">
        <f t="shared" si="14"/>
        <v/>
      </c>
      <c r="L64" s="45" t="str">
        <f t="shared" si="15"/>
        <v/>
      </c>
      <c r="M64" s="27"/>
      <c r="N64" s="27"/>
      <c r="O64" s="27"/>
      <c r="P64" s="27"/>
      <c r="Q64" s="45" t="str">
        <f t="shared" si="16"/>
        <v/>
      </c>
      <c r="R64" s="45" t="str">
        <f t="shared" si="17"/>
        <v/>
      </c>
      <c r="S64" s="27"/>
      <c r="T64" s="28"/>
      <c r="U64" s="27"/>
      <c r="V64" s="27"/>
      <c r="W64" s="36"/>
      <c r="X64" s="53" t="str">
        <f t="shared" si="18"/>
        <v/>
      </c>
      <c r="Y64" s="53" t="str">
        <f t="shared" si="19"/>
        <v/>
      </c>
    </row>
    <row r="65" spans="1:25" s="22" customFormat="1" x14ac:dyDescent="0.25">
      <c r="A65" s="29"/>
      <c r="B65" s="31"/>
      <c r="C65" s="30"/>
      <c r="D65" s="30"/>
      <c r="E65" s="46" t="str">
        <f t="shared" si="10"/>
        <v/>
      </c>
      <c r="F65" s="46" t="str">
        <f t="shared" si="11"/>
        <v/>
      </c>
      <c r="G65" s="30"/>
      <c r="H65" s="46" t="str">
        <f t="shared" si="12"/>
        <v/>
      </c>
      <c r="I65" s="46" t="str">
        <f t="shared" si="13"/>
        <v/>
      </c>
      <c r="J65" s="30"/>
      <c r="K65" s="46" t="str">
        <f t="shared" si="14"/>
        <v/>
      </c>
      <c r="L65" s="46" t="str">
        <f t="shared" si="15"/>
        <v/>
      </c>
      <c r="M65" s="30"/>
      <c r="N65" s="30"/>
      <c r="O65" s="30"/>
      <c r="P65" s="30"/>
      <c r="Q65" s="46" t="str">
        <f t="shared" si="16"/>
        <v/>
      </c>
      <c r="R65" s="46" t="str">
        <f t="shared" si="17"/>
        <v/>
      </c>
      <c r="S65" s="30"/>
      <c r="T65" s="31"/>
      <c r="U65" s="30"/>
      <c r="V65" s="30"/>
      <c r="W65" s="37"/>
      <c r="X65" s="52" t="str">
        <f t="shared" si="18"/>
        <v/>
      </c>
      <c r="Y65" s="52" t="str">
        <f t="shared" si="19"/>
        <v/>
      </c>
    </row>
    <row r="66" spans="1:25" s="22" customFormat="1" x14ac:dyDescent="0.25">
      <c r="A66" s="26"/>
      <c r="B66" s="28"/>
      <c r="C66" s="27"/>
      <c r="D66" s="27"/>
      <c r="E66" s="45" t="str">
        <f t="shared" si="10"/>
        <v/>
      </c>
      <c r="F66" s="45" t="str">
        <f t="shared" si="11"/>
        <v/>
      </c>
      <c r="G66" s="27"/>
      <c r="H66" s="45" t="str">
        <f t="shared" si="12"/>
        <v/>
      </c>
      <c r="I66" s="45" t="str">
        <f t="shared" si="13"/>
        <v/>
      </c>
      <c r="J66" s="27"/>
      <c r="K66" s="45" t="str">
        <f t="shared" si="14"/>
        <v/>
      </c>
      <c r="L66" s="45" t="str">
        <f t="shared" si="15"/>
        <v/>
      </c>
      <c r="M66" s="27"/>
      <c r="N66" s="27"/>
      <c r="O66" s="27"/>
      <c r="P66" s="27"/>
      <c r="Q66" s="45" t="str">
        <f t="shared" si="16"/>
        <v/>
      </c>
      <c r="R66" s="45" t="str">
        <f t="shared" si="17"/>
        <v/>
      </c>
      <c r="S66" s="27"/>
      <c r="T66" s="28"/>
      <c r="U66" s="27"/>
      <c r="V66" s="27"/>
      <c r="W66" s="36"/>
      <c r="X66" s="53" t="str">
        <f t="shared" si="18"/>
        <v/>
      </c>
      <c r="Y66" s="53" t="str">
        <f t="shared" si="19"/>
        <v/>
      </c>
    </row>
    <row r="67" spans="1:25" s="22" customFormat="1" x14ac:dyDescent="0.25">
      <c r="A67" s="29"/>
      <c r="B67" s="31"/>
      <c r="C67" s="30"/>
      <c r="D67" s="30"/>
      <c r="E67" s="46" t="str">
        <f t="shared" si="10"/>
        <v/>
      </c>
      <c r="F67" s="46" t="str">
        <f t="shared" si="11"/>
        <v/>
      </c>
      <c r="G67" s="30"/>
      <c r="H67" s="46" t="str">
        <f t="shared" si="12"/>
        <v/>
      </c>
      <c r="I67" s="46" t="str">
        <f t="shared" si="13"/>
        <v/>
      </c>
      <c r="J67" s="30"/>
      <c r="K67" s="46" t="str">
        <f t="shared" si="14"/>
        <v/>
      </c>
      <c r="L67" s="46" t="str">
        <f t="shared" si="15"/>
        <v/>
      </c>
      <c r="M67" s="30"/>
      <c r="N67" s="30"/>
      <c r="O67" s="30"/>
      <c r="P67" s="30"/>
      <c r="Q67" s="46" t="str">
        <f t="shared" si="16"/>
        <v/>
      </c>
      <c r="R67" s="46" t="str">
        <f t="shared" si="17"/>
        <v/>
      </c>
      <c r="S67" s="30"/>
      <c r="T67" s="31"/>
      <c r="U67" s="30"/>
      <c r="V67" s="30"/>
      <c r="W67" s="37"/>
      <c r="X67" s="52" t="str">
        <f t="shared" si="18"/>
        <v/>
      </c>
      <c r="Y67" s="52" t="str">
        <f t="shared" si="19"/>
        <v/>
      </c>
    </row>
    <row r="68" spans="1:25" s="22" customFormat="1" x14ac:dyDescent="0.25">
      <c r="A68" s="26"/>
      <c r="B68" s="28"/>
      <c r="C68" s="27"/>
      <c r="D68" s="27"/>
      <c r="E68" s="45" t="str">
        <f t="shared" si="10"/>
        <v/>
      </c>
      <c r="F68" s="45" t="str">
        <f t="shared" si="11"/>
        <v/>
      </c>
      <c r="G68" s="27"/>
      <c r="H68" s="45" t="str">
        <f t="shared" si="12"/>
        <v/>
      </c>
      <c r="I68" s="45" t="str">
        <f t="shared" si="13"/>
        <v/>
      </c>
      <c r="J68" s="27"/>
      <c r="K68" s="45" t="str">
        <f t="shared" si="14"/>
        <v/>
      </c>
      <c r="L68" s="45" t="str">
        <f t="shared" si="15"/>
        <v/>
      </c>
      <c r="M68" s="27"/>
      <c r="N68" s="27"/>
      <c r="O68" s="27"/>
      <c r="P68" s="27"/>
      <c r="Q68" s="45" t="str">
        <f t="shared" si="16"/>
        <v/>
      </c>
      <c r="R68" s="45" t="str">
        <f t="shared" si="17"/>
        <v/>
      </c>
      <c r="S68" s="27"/>
      <c r="T68" s="28"/>
      <c r="U68" s="27"/>
      <c r="V68" s="27"/>
      <c r="W68" s="36"/>
      <c r="X68" s="53" t="str">
        <f t="shared" si="18"/>
        <v/>
      </c>
      <c r="Y68" s="53" t="str">
        <f t="shared" si="19"/>
        <v/>
      </c>
    </row>
    <row r="69" spans="1:25" s="22" customFormat="1" x14ac:dyDescent="0.25">
      <c r="A69" s="29"/>
      <c r="B69" s="31"/>
      <c r="C69" s="30"/>
      <c r="D69" s="30"/>
      <c r="E69" s="46" t="str">
        <f t="shared" si="10"/>
        <v/>
      </c>
      <c r="F69" s="46" t="str">
        <f t="shared" si="11"/>
        <v/>
      </c>
      <c r="G69" s="30"/>
      <c r="H69" s="46" t="str">
        <f t="shared" si="12"/>
        <v/>
      </c>
      <c r="I69" s="46" t="str">
        <f t="shared" si="13"/>
        <v/>
      </c>
      <c r="J69" s="30"/>
      <c r="K69" s="46" t="str">
        <f t="shared" si="14"/>
        <v/>
      </c>
      <c r="L69" s="46" t="str">
        <f t="shared" si="15"/>
        <v/>
      </c>
      <c r="M69" s="30"/>
      <c r="N69" s="30"/>
      <c r="O69" s="30"/>
      <c r="P69" s="30"/>
      <c r="Q69" s="46" t="str">
        <f t="shared" si="16"/>
        <v/>
      </c>
      <c r="R69" s="46" t="str">
        <f t="shared" si="17"/>
        <v/>
      </c>
      <c r="S69" s="30"/>
      <c r="T69" s="31"/>
      <c r="U69" s="30"/>
      <c r="V69" s="30"/>
      <c r="W69" s="37"/>
      <c r="X69" s="52" t="str">
        <f t="shared" si="18"/>
        <v/>
      </c>
      <c r="Y69" s="52" t="str">
        <f t="shared" si="19"/>
        <v/>
      </c>
    </row>
    <row r="70" spans="1:25" s="22" customFormat="1" x14ac:dyDescent="0.25">
      <c r="A70" s="26"/>
      <c r="B70" s="28"/>
      <c r="C70" s="27"/>
      <c r="D70" s="27"/>
      <c r="E70" s="45" t="str">
        <f t="shared" ref="E70:E101" si="20">IF(D70="","",_xlfn.TRANSLATE(D70,"vi","ja"))</f>
        <v/>
      </c>
      <c r="F70" s="45" t="str">
        <f t="shared" ref="F70:F101" si="21">IF(D70="","",_xlfn.TRANSLATE(D70,"vi","zh-Hans"))</f>
        <v/>
      </c>
      <c r="G70" s="27"/>
      <c r="H70" s="45" t="str">
        <f t="shared" ref="H70:H101" si="22">IF(G70="","",_xlfn.TRANSLATE(G70,"vi","ja"))</f>
        <v/>
      </c>
      <c r="I70" s="45" t="str">
        <f t="shared" ref="I70:I101" si="23">IF(G70="","",_xlfn.TRANSLATE(G70,"vi","zh-Hans"))</f>
        <v/>
      </c>
      <c r="J70" s="27"/>
      <c r="K70" s="45" t="str">
        <f t="shared" ref="K70:K101" si="24">IF(J70="","",_xlfn.TRANSLATE(J70,"vi","ja"))</f>
        <v/>
      </c>
      <c r="L70" s="45" t="str">
        <f t="shared" ref="L70:L101" si="25">IF(J70="","",_xlfn.TRANSLATE(J70,"vi","zh-Hans"))</f>
        <v/>
      </c>
      <c r="M70" s="27"/>
      <c r="N70" s="27"/>
      <c r="O70" s="27"/>
      <c r="P70" s="27"/>
      <c r="Q70" s="45" t="str">
        <f t="shared" ref="Q70:Q101" si="26">IF(P70="","",_xlfn.TRANSLATE(P70,"vi","ja"))</f>
        <v/>
      </c>
      <c r="R70" s="45" t="str">
        <f t="shared" ref="R70:R101" si="27">IF(P70="","",_xlfn.TRANSLATE(P70,"vi","zh-Hans"))</f>
        <v/>
      </c>
      <c r="S70" s="27"/>
      <c r="T70" s="28"/>
      <c r="U70" s="27"/>
      <c r="V70" s="27"/>
      <c r="W70" s="36"/>
      <c r="X70" s="53" t="str">
        <f t="shared" ref="X70:X101" si="28">IF(W70="","",_xlfn.TRANSLATE(W70,"vi","ja"))</f>
        <v/>
      </c>
      <c r="Y70" s="53" t="str">
        <f t="shared" ref="Y70:Y101" si="29">IF(W70="","",_xlfn.TRANSLATE(W70,"vi","zh-Hans"))</f>
        <v/>
      </c>
    </row>
    <row r="71" spans="1:25" s="22" customFormat="1" x14ac:dyDescent="0.25">
      <c r="A71" s="29"/>
      <c r="B71" s="31"/>
      <c r="C71" s="30"/>
      <c r="D71" s="30"/>
      <c r="E71" s="46" t="str">
        <f t="shared" si="20"/>
        <v/>
      </c>
      <c r="F71" s="46" t="str">
        <f t="shared" si="21"/>
        <v/>
      </c>
      <c r="G71" s="30"/>
      <c r="H71" s="46" t="str">
        <f t="shared" si="22"/>
        <v/>
      </c>
      <c r="I71" s="46" t="str">
        <f t="shared" si="23"/>
        <v/>
      </c>
      <c r="J71" s="30"/>
      <c r="K71" s="46" t="str">
        <f t="shared" si="24"/>
        <v/>
      </c>
      <c r="L71" s="46" t="str">
        <f t="shared" si="25"/>
        <v/>
      </c>
      <c r="M71" s="30"/>
      <c r="N71" s="30"/>
      <c r="O71" s="30"/>
      <c r="P71" s="30"/>
      <c r="Q71" s="46" t="str">
        <f t="shared" si="26"/>
        <v/>
      </c>
      <c r="R71" s="46" t="str">
        <f t="shared" si="27"/>
        <v/>
      </c>
      <c r="S71" s="30"/>
      <c r="T71" s="31"/>
      <c r="U71" s="30"/>
      <c r="V71" s="30"/>
      <c r="W71" s="37"/>
      <c r="X71" s="52" t="str">
        <f t="shared" si="28"/>
        <v/>
      </c>
      <c r="Y71" s="52" t="str">
        <f t="shared" si="29"/>
        <v/>
      </c>
    </row>
    <row r="72" spans="1:25" s="22" customFormat="1" x14ac:dyDescent="0.25">
      <c r="A72" s="26"/>
      <c r="B72" s="28"/>
      <c r="C72" s="27"/>
      <c r="D72" s="27"/>
      <c r="E72" s="45" t="str">
        <f t="shared" si="20"/>
        <v/>
      </c>
      <c r="F72" s="45" t="str">
        <f t="shared" si="21"/>
        <v/>
      </c>
      <c r="G72" s="27"/>
      <c r="H72" s="45" t="str">
        <f t="shared" si="22"/>
        <v/>
      </c>
      <c r="I72" s="45" t="str">
        <f t="shared" si="23"/>
        <v/>
      </c>
      <c r="J72" s="27"/>
      <c r="K72" s="45" t="str">
        <f t="shared" si="24"/>
        <v/>
      </c>
      <c r="L72" s="45" t="str">
        <f t="shared" si="25"/>
        <v/>
      </c>
      <c r="M72" s="27"/>
      <c r="N72" s="27"/>
      <c r="O72" s="27"/>
      <c r="P72" s="27"/>
      <c r="Q72" s="45" t="str">
        <f t="shared" si="26"/>
        <v/>
      </c>
      <c r="R72" s="45" t="str">
        <f t="shared" si="27"/>
        <v/>
      </c>
      <c r="S72" s="27"/>
      <c r="T72" s="28"/>
      <c r="U72" s="27"/>
      <c r="V72" s="27"/>
      <c r="W72" s="36"/>
      <c r="X72" s="53" t="str">
        <f t="shared" si="28"/>
        <v/>
      </c>
      <c r="Y72" s="53" t="str">
        <f t="shared" si="29"/>
        <v/>
      </c>
    </row>
    <row r="73" spans="1:25" s="22" customFormat="1" x14ac:dyDescent="0.25">
      <c r="A73" s="29"/>
      <c r="B73" s="31"/>
      <c r="C73" s="30"/>
      <c r="D73" s="30"/>
      <c r="E73" s="46" t="str">
        <f t="shared" si="20"/>
        <v/>
      </c>
      <c r="F73" s="46" t="str">
        <f t="shared" si="21"/>
        <v/>
      </c>
      <c r="G73" s="30"/>
      <c r="H73" s="46" t="str">
        <f t="shared" si="22"/>
        <v/>
      </c>
      <c r="I73" s="46" t="str">
        <f t="shared" si="23"/>
        <v/>
      </c>
      <c r="J73" s="30"/>
      <c r="K73" s="46" t="str">
        <f t="shared" si="24"/>
        <v/>
      </c>
      <c r="L73" s="46" t="str">
        <f t="shared" si="25"/>
        <v/>
      </c>
      <c r="M73" s="30"/>
      <c r="N73" s="30"/>
      <c r="O73" s="30"/>
      <c r="P73" s="30"/>
      <c r="Q73" s="46" t="str">
        <f t="shared" si="26"/>
        <v/>
      </c>
      <c r="R73" s="46" t="str">
        <f t="shared" si="27"/>
        <v/>
      </c>
      <c r="S73" s="30"/>
      <c r="T73" s="31"/>
      <c r="U73" s="30"/>
      <c r="V73" s="30"/>
      <c r="W73" s="37"/>
      <c r="X73" s="52" t="str">
        <f t="shared" si="28"/>
        <v/>
      </c>
      <c r="Y73" s="52" t="str">
        <f t="shared" si="29"/>
        <v/>
      </c>
    </row>
    <row r="74" spans="1:25" s="22" customFormat="1" x14ac:dyDescent="0.25">
      <c r="A74" s="26"/>
      <c r="B74" s="28"/>
      <c r="C74" s="27"/>
      <c r="D74" s="27"/>
      <c r="E74" s="45" t="str">
        <f t="shared" si="20"/>
        <v/>
      </c>
      <c r="F74" s="45" t="str">
        <f t="shared" si="21"/>
        <v/>
      </c>
      <c r="G74" s="27"/>
      <c r="H74" s="45" t="str">
        <f t="shared" si="22"/>
        <v/>
      </c>
      <c r="I74" s="45" t="str">
        <f t="shared" si="23"/>
        <v/>
      </c>
      <c r="J74" s="27"/>
      <c r="K74" s="45" t="str">
        <f t="shared" si="24"/>
        <v/>
      </c>
      <c r="L74" s="45" t="str">
        <f t="shared" si="25"/>
        <v/>
      </c>
      <c r="M74" s="27"/>
      <c r="N74" s="27"/>
      <c r="O74" s="27"/>
      <c r="P74" s="27"/>
      <c r="Q74" s="45" t="str">
        <f t="shared" si="26"/>
        <v/>
      </c>
      <c r="R74" s="45" t="str">
        <f t="shared" si="27"/>
        <v/>
      </c>
      <c r="S74" s="27"/>
      <c r="T74" s="28"/>
      <c r="U74" s="27"/>
      <c r="V74" s="27"/>
      <c r="W74" s="36"/>
      <c r="X74" s="53" t="str">
        <f t="shared" si="28"/>
        <v/>
      </c>
      <c r="Y74" s="53" t="str">
        <f t="shared" si="29"/>
        <v/>
      </c>
    </row>
    <row r="75" spans="1:25" s="22" customFormat="1" x14ac:dyDescent="0.25">
      <c r="A75" s="29"/>
      <c r="B75" s="31"/>
      <c r="C75" s="30"/>
      <c r="D75" s="30"/>
      <c r="E75" s="46" t="str">
        <f t="shared" si="20"/>
        <v/>
      </c>
      <c r="F75" s="46" t="str">
        <f t="shared" si="21"/>
        <v/>
      </c>
      <c r="G75" s="30"/>
      <c r="H75" s="46" t="str">
        <f t="shared" si="22"/>
        <v/>
      </c>
      <c r="I75" s="46" t="str">
        <f t="shared" si="23"/>
        <v/>
      </c>
      <c r="J75" s="30"/>
      <c r="K75" s="46" t="str">
        <f t="shared" si="24"/>
        <v/>
      </c>
      <c r="L75" s="46" t="str">
        <f t="shared" si="25"/>
        <v/>
      </c>
      <c r="M75" s="30"/>
      <c r="N75" s="30"/>
      <c r="O75" s="30"/>
      <c r="P75" s="30"/>
      <c r="Q75" s="46" t="str">
        <f t="shared" si="26"/>
        <v/>
      </c>
      <c r="R75" s="46" t="str">
        <f t="shared" si="27"/>
        <v/>
      </c>
      <c r="S75" s="30"/>
      <c r="T75" s="31"/>
      <c r="U75" s="30"/>
      <c r="V75" s="30"/>
      <c r="W75" s="37"/>
      <c r="X75" s="52" t="str">
        <f t="shared" si="28"/>
        <v/>
      </c>
      <c r="Y75" s="52" t="str">
        <f t="shared" si="29"/>
        <v/>
      </c>
    </row>
    <row r="76" spans="1:25" s="22" customFormat="1" x14ac:dyDescent="0.25">
      <c r="A76" s="26"/>
      <c r="B76" s="28"/>
      <c r="C76" s="27"/>
      <c r="D76" s="27"/>
      <c r="E76" s="45" t="str">
        <f t="shared" si="20"/>
        <v/>
      </c>
      <c r="F76" s="45" t="str">
        <f t="shared" si="21"/>
        <v/>
      </c>
      <c r="G76" s="27"/>
      <c r="H76" s="45" t="str">
        <f t="shared" si="22"/>
        <v/>
      </c>
      <c r="I76" s="45" t="str">
        <f t="shared" si="23"/>
        <v/>
      </c>
      <c r="J76" s="27"/>
      <c r="K76" s="45" t="str">
        <f t="shared" si="24"/>
        <v/>
      </c>
      <c r="L76" s="45" t="str">
        <f t="shared" si="25"/>
        <v/>
      </c>
      <c r="M76" s="27"/>
      <c r="N76" s="27"/>
      <c r="O76" s="27"/>
      <c r="P76" s="27"/>
      <c r="Q76" s="45" t="str">
        <f t="shared" si="26"/>
        <v/>
      </c>
      <c r="R76" s="45" t="str">
        <f t="shared" si="27"/>
        <v/>
      </c>
      <c r="S76" s="27"/>
      <c r="T76" s="28"/>
      <c r="U76" s="27"/>
      <c r="V76" s="27"/>
      <c r="W76" s="36"/>
      <c r="X76" s="53" t="str">
        <f t="shared" si="28"/>
        <v/>
      </c>
      <c r="Y76" s="53" t="str">
        <f t="shared" si="29"/>
        <v/>
      </c>
    </row>
    <row r="77" spans="1:25" s="22" customFormat="1" x14ac:dyDescent="0.25">
      <c r="A77" s="29"/>
      <c r="B77" s="31"/>
      <c r="C77" s="30"/>
      <c r="D77" s="30"/>
      <c r="E77" s="46" t="str">
        <f t="shared" si="20"/>
        <v/>
      </c>
      <c r="F77" s="46" t="str">
        <f t="shared" si="21"/>
        <v/>
      </c>
      <c r="G77" s="30"/>
      <c r="H77" s="46" t="str">
        <f t="shared" si="22"/>
        <v/>
      </c>
      <c r="I77" s="46" t="str">
        <f t="shared" si="23"/>
        <v/>
      </c>
      <c r="J77" s="30"/>
      <c r="K77" s="46" t="str">
        <f t="shared" si="24"/>
        <v/>
      </c>
      <c r="L77" s="46" t="str">
        <f t="shared" si="25"/>
        <v/>
      </c>
      <c r="M77" s="30"/>
      <c r="N77" s="30"/>
      <c r="O77" s="30"/>
      <c r="P77" s="30"/>
      <c r="Q77" s="46" t="str">
        <f t="shared" si="26"/>
        <v/>
      </c>
      <c r="R77" s="46" t="str">
        <f t="shared" si="27"/>
        <v/>
      </c>
      <c r="S77" s="30"/>
      <c r="T77" s="31"/>
      <c r="U77" s="30"/>
      <c r="V77" s="30"/>
      <c r="W77" s="37"/>
      <c r="X77" s="52" t="str">
        <f t="shared" si="28"/>
        <v/>
      </c>
      <c r="Y77" s="52" t="str">
        <f t="shared" si="29"/>
        <v/>
      </c>
    </row>
    <row r="78" spans="1:25" s="22" customFormat="1" x14ac:dyDescent="0.25">
      <c r="A78" s="26"/>
      <c r="B78" s="28"/>
      <c r="C78" s="27"/>
      <c r="D78" s="27"/>
      <c r="E78" s="45" t="str">
        <f t="shared" si="20"/>
        <v/>
      </c>
      <c r="F78" s="45" t="str">
        <f t="shared" si="21"/>
        <v/>
      </c>
      <c r="G78" s="27"/>
      <c r="H78" s="45" t="str">
        <f t="shared" si="22"/>
        <v/>
      </c>
      <c r="I78" s="45" t="str">
        <f t="shared" si="23"/>
        <v/>
      </c>
      <c r="J78" s="27"/>
      <c r="K78" s="45" t="str">
        <f t="shared" si="24"/>
        <v/>
      </c>
      <c r="L78" s="45" t="str">
        <f t="shared" si="25"/>
        <v/>
      </c>
      <c r="M78" s="27"/>
      <c r="N78" s="27"/>
      <c r="O78" s="27"/>
      <c r="P78" s="27"/>
      <c r="Q78" s="45" t="str">
        <f t="shared" si="26"/>
        <v/>
      </c>
      <c r="R78" s="45" t="str">
        <f t="shared" si="27"/>
        <v/>
      </c>
      <c r="S78" s="27"/>
      <c r="T78" s="28"/>
      <c r="U78" s="27"/>
      <c r="V78" s="27"/>
      <c r="W78" s="36"/>
      <c r="X78" s="53" t="str">
        <f t="shared" si="28"/>
        <v/>
      </c>
      <c r="Y78" s="53" t="str">
        <f t="shared" si="29"/>
        <v/>
      </c>
    </row>
    <row r="79" spans="1:25" s="22" customFormat="1" x14ac:dyDescent="0.25">
      <c r="A79" s="29"/>
      <c r="B79" s="31"/>
      <c r="C79" s="30"/>
      <c r="D79" s="30"/>
      <c r="E79" s="46" t="str">
        <f t="shared" si="20"/>
        <v/>
      </c>
      <c r="F79" s="46" t="str">
        <f t="shared" si="21"/>
        <v/>
      </c>
      <c r="G79" s="30"/>
      <c r="H79" s="46" t="str">
        <f t="shared" si="22"/>
        <v/>
      </c>
      <c r="I79" s="46" t="str">
        <f t="shared" si="23"/>
        <v/>
      </c>
      <c r="J79" s="30"/>
      <c r="K79" s="46" t="str">
        <f t="shared" si="24"/>
        <v/>
      </c>
      <c r="L79" s="46" t="str">
        <f t="shared" si="25"/>
        <v/>
      </c>
      <c r="M79" s="30"/>
      <c r="N79" s="30"/>
      <c r="O79" s="30"/>
      <c r="P79" s="30"/>
      <c r="Q79" s="46" t="str">
        <f t="shared" si="26"/>
        <v/>
      </c>
      <c r="R79" s="46" t="str">
        <f t="shared" si="27"/>
        <v/>
      </c>
      <c r="S79" s="30"/>
      <c r="T79" s="31"/>
      <c r="U79" s="30"/>
      <c r="V79" s="30"/>
      <c r="W79" s="37"/>
      <c r="X79" s="52" t="str">
        <f t="shared" si="28"/>
        <v/>
      </c>
      <c r="Y79" s="52" t="str">
        <f t="shared" si="29"/>
        <v/>
      </c>
    </row>
    <row r="80" spans="1:25" s="22" customFormat="1" x14ac:dyDescent="0.25">
      <c r="A80" s="26"/>
      <c r="B80" s="28"/>
      <c r="C80" s="27"/>
      <c r="D80" s="27"/>
      <c r="E80" s="45" t="str">
        <f t="shared" si="20"/>
        <v/>
      </c>
      <c r="F80" s="45" t="str">
        <f t="shared" si="21"/>
        <v/>
      </c>
      <c r="G80" s="27"/>
      <c r="H80" s="45" t="str">
        <f t="shared" si="22"/>
        <v/>
      </c>
      <c r="I80" s="45" t="str">
        <f t="shared" si="23"/>
        <v/>
      </c>
      <c r="J80" s="27"/>
      <c r="K80" s="45" t="str">
        <f t="shared" si="24"/>
        <v/>
      </c>
      <c r="L80" s="45" t="str">
        <f t="shared" si="25"/>
        <v/>
      </c>
      <c r="M80" s="27"/>
      <c r="N80" s="27"/>
      <c r="O80" s="27"/>
      <c r="P80" s="27"/>
      <c r="Q80" s="45" t="str">
        <f t="shared" si="26"/>
        <v/>
      </c>
      <c r="R80" s="45" t="str">
        <f t="shared" si="27"/>
        <v/>
      </c>
      <c r="S80" s="27"/>
      <c r="T80" s="28"/>
      <c r="U80" s="27"/>
      <c r="V80" s="27"/>
      <c r="W80" s="36"/>
      <c r="X80" s="53" t="str">
        <f t="shared" si="28"/>
        <v/>
      </c>
      <c r="Y80" s="53" t="str">
        <f t="shared" si="29"/>
        <v/>
      </c>
    </row>
    <row r="81" spans="1:25" s="22" customFormat="1" x14ac:dyDescent="0.25">
      <c r="A81" s="29"/>
      <c r="B81" s="31"/>
      <c r="C81" s="30"/>
      <c r="D81" s="30"/>
      <c r="E81" s="46" t="str">
        <f t="shared" si="20"/>
        <v/>
      </c>
      <c r="F81" s="46" t="str">
        <f t="shared" si="21"/>
        <v/>
      </c>
      <c r="G81" s="30"/>
      <c r="H81" s="46" t="str">
        <f t="shared" si="22"/>
        <v/>
      </c>
      <c r="I81" s="46" t="str">
        <f t="shared" si="23"/>
        <v/>
      </c>
      <c r="J81" s="30"/>
      <c r="K81" s="46" t="str">
        <f t="shared" si="24"/>
        <v/>
      </c>
      <c r="L81" s="46" t="str">
        <f t="shared" si="25"/>
        <v/>
      </c>
      <c r="M81" s="30"/>
      <c r="N81" s="30"/>
      <c r="O81" s="30"/>
      <c r="P81" s="30"/>
      <c r="Q81" s="46" t="str">
        <f t="shared" si="26"/>
        <v/>
      </c>
      <c r="R81" s="46" t="str">
        <f t="shared" si="27"/>
        <v/>
      </c>
      <c r="S81" s="30"/>
      <c r="T81" s="31"/>
      <c r="U81" s="30"/>
      <c r="V81" s="30"/>
      <c r="W81" s="37"/>
      <c r="X81" s="52" t="str">
        <f t="shared" si="28"/>
        <v/>
      </c>
      <c r="Y81" s="52" t="str">
        <f t="shared" si="29"/>
        <v/>
      </c>
    </row>
    <row r="82" spans="1:25" s="22" customFormat="1" x14ac:dyDescent="0.25">
      <c r="A82" s="26"/>
      <c r="B82" s="28"/>
      <c r="C82" s="27"/>
      <c r="D82" s="27"/>
      <c r="E82" s="45" t="str">
        <f t="shared" si="20"/>
        <v/>
      </c>
      <c r="F82" s="45" t="str">
        <f t="shared" si="21"/>
        <v/>
      </c>
      <c r="G82" s="27"/>
      <c r="H82" s="45" t="str">
        <f t="shared" si="22"/>
        <v/>
      </c>
      <c r="I82" s="45" t="str">
        <f t="shared" si="23"/>
        <v/>
      </c>
      <c r="J82" s="27"/>
      <c r="K82" s="45" t="str">
        <f t="shared" si="24"/>
        <v/>
      </c>
      <c r="L82" s="45" t="str">
        <f t="shared" si="25"/>
        <v/>
      </c>
      <c r="M82" s="27"/>
      <c r="N82" s="27"/>
      <c r="O82" s="27"/>
      <c r="P82" s="27"/>
      <c r="Q82" s="45" t="str">
        <f t="shared" si="26"/>
        <v/>
      </c>
      <c r="R82" s="45" t="str">
        <f t="shared" si="27"/>
        <v/>
      </c>
      <c r="S82" s="27"/>
      <c r="T82" s="28"/>
      <c r="U82" s="27"/>
      <c r="V82" s="27"/>
      <c r="W82" s="36"/>
      <c r="X82" s="53" t="str">
        <f t="shared" si="28"/>
        <v/>
      </c>
      <c r="Y82" s="53" t="str">
        <f t="shared" si="29"/>
        <v/>
      </c>
    </row>
    <row r="83" spans="1:25" s="22" customFormat="1" x14ac:dyDescent="0.25">
      <c r="A83" s="29"/>
      <c r="B83" s="31"/>
      <c r="C83" s="30"/>
      <c r="D83" s="30"/>
      <c r="E83" s="46" t="str">
        <f t="shared" si="20"/>
        <v/>
      </c>
      <c r="F83" s="46" t="str">
        <f t="shared" si="21"/>
        <v/>
      </c>
      <c r="G83" s="30"/>
      <c r="H83" s="46" t="str">
        <f t="shared" si="22"/>
        <v/>
      </c>
      <c r="I83" s="46" t="str">
        <f t="shared" si="23"/>
        <v/>
      </c>
      <c r="J83" s="30"/>
      <c r="K83" s="46" t="str">
        <f t="shared" si="24"/>
        <v/>
      </c>
      <c r="L83" s="46" t="str">
        <f t="shared" si="25"/>
        <v/>
      </c>
      <c r="M83" s="30"/>
      <c r="N83" s="30"/>
      <c r="O83" s="30"/>
      <c r="P83" s="30"/>
      <c r="Q83" s="46" t="str">
        <f t="shared" si="26"/>
        <v/>
      </c>
      <c r="R83" s="46" t="str">
        <f t="shared" si="27"/>
        <v/>
      </c>
      <c r="S83" s="30"/>
      <c r="T83" s="31"/>
      <c r="U83" s="30"/>
      <c r="V83" s="30"/>
      <c r="W83" s="37"/>
      <c r="X83" s="52" t="str">
        <f t="shared" si="28"/>
        <v/>
      </c>
      <c r="Y83" s="52" t="str">
        <f t="shared" si="29"/>
        <v/>
      </c>
    </row>
    <row r="84" spans="1:25" s="22" customFormat="1" x14ac:dyDescent="0.25">
      <c r="A84" s="26"/>
      <c r="B84" s="28"/>
      <c r="C84" s="27"/>
      <c r="D84" s="27"/>
      <c r="E84" s="45" t="str">
        <f t="shared" si="20"/>
        <v/>
      </c>
      <c r="F84" s="45" t="str">
        <f t="shared" si="21"/>
        <v/>
      </c>
      <c r="G84" s="27"/>
      <c r="H84" s="45" t="str">
        <f t="shared" si="22"/>
        <v/>
      </c>
      <c r="I84" s="45" t="str">
        <f t="shared" si="23"/>
        <v/>
      </c>
      <c r="J84" s="27"/>
      <c r="K84" s="45" t="str">
        <f t="shared" si="24"/>
        <v/>
      </c>
      <c r="L84" s="45" t="str">
        <f t="shared" si="25"/>
        <v/>
      </c>
      <c r="M84" s="27"/>
      <c r="N84" s="27"/>
      <c r="O84" s="27"/>
      <c r="P84" s="27"/>
      <c r="Q84" s="45" t="str">
        <f t="shared" si="26"/>
        <v/>
      </c>
      <c r="R84" s="45" t="str">
        <f t="shared" si="27"/>
        <v/>
      </c>
      <c r="S84" s="27"/>
      <c r="T84" s="28"/>
      <c r="U84" s="27"/>
      <c r="V84" s="27"/>
      <c r="W84" s="36"/>
      <c r="X84" s="53" t="str">
        <f t="shared" si="28"/>
        <v/>
      </c>
      <c r="Y84" s="53" t="str">
        <f t="shared" si="29"/>
        <v/>
      </c>
    </row>
    <row r="85" spans="1:25" s="22" customFormat="1" x14ac:dyDescent="0.25">
      <c r="A85" s="29"/>
      <c r="B85" s="31"/>
      <c r="C85" s="30"/>
      <c r="D85" s="30"/>
      <c r="E85" s="46" t="str">
        <f t="shared" si="20"/>
        <v/>
      </c>
      <c r="F85" s="46" t="str">
        <f t="shared" si="21"/>
        <v/>
      </c>
      <c r="G85" s="30"/>
      <c r="H85" s="46" t="str">
        <f t="shared" si="22"/>
        <v/>
      </c>
      <c r="I85" s="46" t="str">
        <f t="shared" si="23"/>
        <v/>
      </c>
      <c r="J85" s="30"/>
      <c r="K85" s="46" t="str">
        <f t="shared" si="24"/>
        <v/>
      </c>
      <c r="L85" s="46" t="str">
        <f t="shared" si="25"/>
        <v/>
      </c>
      <c r="M85" s="30"/>
      <c r="N85" s="30"/>
      <c r="O85" s="30"/>
      <c r="P85" s="30"/>
      <c r="Q85" s="46" t="str">
        <f t="shared" si="26"/>
        <v/>
      </c>
      <c r="R85" s="46" t="str">
        <f t="shared" si="27"/>
        <v/>
      </c>
      <c r="S85" s="30"/>
      <c r="T85" s="31"/>
      <c r="U85" s="30"/>
      <c r="V85" s="30"/>
      <c r="W85" s="37"/>
      <c r="X85" s="52" t="str">
        <f t="shared" si="28"/>
        <v/>
      </c>
      <c r="Y85" s="52" t="str">
        <f t="shared" si="29"/>
        <v/>
      </c>
    </row>
    <row r="86" spans="1:25" s="22" customFormat="1" x14ac:dyDescent="0.25">
      <c r="A86" s="26"/>
      <c r="B86" s="28"/>
      <c r="C86" s="27"/>
      <c r="D86" s="27"/>
      <c r="E86" s="45" t="str">
        <f t="shared" si="20"/>
        <v/>
      </c>
      <c r="F86" s="45" t="str">
        <f t="shared" si="21"/>
        <v/>
      </c>
      <c r="G86" s="27"/>
      <c r="H86" s="45" t="str">
        <f t="shared" si="22"/>
        <v/>
      </c>
      <c r="I86" s="45" t="str">
        <f t="shared" si="23"/>
        <v/>
      </c>
      <c r="J86" s="27"/>
      <c r="K86" s="45" t="str">
        <f t="shared" si="24"/>
        <v/>
      </c>
      <c r="L86" s="45" t="str">
        <f t="shared" si="25"/>
        <v/>
      </c>
      <c r="M86" s="27"/>
      <c r="N86" s="27"/>
      <c r="O86" s="27"/>
      <c r="P86" s="27"/>
      <c r="Q86" s="45" t="str">
        <f t="shared" si="26"/>
        <v/>
      </c>
      <c r="R86" s="45" t="str">
        <f t="shared" si="27"/>
        <v/>
      </c>
      <c r="S86" s="27"/>
      <c r="T86" s="28"/>
      <c r="U86" s="27"/>
      <c r="V86" s="27"/>
      <c r="W86" s="36"/>
      <c r="X86" s="53" t="str">
        <f t="shared" si="28"/>
        <v/>
      </c>
      <c r="Y86" s="53" t="str">
        <f t="shared" si="29"/>
        <v/>
      </c>
    </row>
    <row r="87" spans="1:25" s="22" customFormat="1" x14ac:dyDescent="0.25">
      <c r="A87" s="29"/>
      <c r="B87" s="31"/>
      <c r="C87" s="30"/>
      <c r="D87" s="30"/>
      <c r="E87" s="46" t="str">
        <f t="shared" si="20"/>
        <v/>
      </c>
      <c r="F87" s="46" t="str">
        <f t="shared" si="21"/>
        <v/>
      </c>
      <c r="G87" s="30"/>
      <c r="H87" s="46" t="str">
        <f t="shared" si="22"/>
        <v/>
      </c>
      <c r="I87" s="46" t="str">
        <f t="shared" si="23"/>
        <v/>
      </c>
      <c r="J87" s="30"/>
      <c r="K87" s="46" t="str">
        <f t="shared" si="24"/>
        <v/>
      </c>
      <c r="L87" s="46" t="str">
        <f t="shared" si="25"/>
        <v/>
      </c>
      <c r="M87" s="30"/>
      <c r="N87" s="30"/>
      <c r="O87" s="30"/>
      <c r="P87" s="30"/>
      <c r="Q87" s="46" t="str">
        <f t="shared" si="26"/>
        <v/>
      </c>
      <c r="R87" s="46" t="str">
        <f t="shared" si="27"/>
        <v/>
      </c>
      <c r="S87" s="30"/>
      <c r="T87" s="31"/>
      <c r="U87" s="30"/>
      <c r="V87" s="30"/>
      <c r="W87" s="37"/>
      <c r="X87" s="52" t="str">
        <f t="shared" si="28"/>
        <v/>
      </c>
      <c r="Y87" s="52" t="str">
        <f t="shared" si="29"/>
        <v/>
      </c>
    </row>
    <row r="88" spans="1:25" s="22" customFormat="1" x14ac:dyDescent="0.25">
      <c r="A88" s="26"/>
      <c r="B88" s="28"/>
      <c r="C88" s="27"/>
      <c r="D88" s="27"/>
      <c r="E88" s="45" t="str">
        <f t="shared" si="20"/>
        <v/>
      </c>
      <c r="F88" s="45" t="str">
        <f t="shared" si="21"/>
        <v/>
      </c>
      <c r="G88" s="27"/>
      <c r="H88" s="45" t="str">
        <f t="shared" si="22"/>
        <v/>
      </c>
      <c r="I88" s="45" t="str">
        <f t="shared" si="23"/>
        <v/>
      </c>
      <c r="J88" s="27"/>
      <c r="K88" s="45" t="str">
        <f t="shared" si="24"/>
        <v/>
      </c>
      <c r="L88" s="45" t="str">
        <f t="shared" si="25"/>
        <v/>
      </c>
      <c r="M88" s="27"/>
      <c r="N88" s="27"/>
      <c r="O88" s="27"/>
      <c r="P88" s="27"/>
      <c r="Q88" s="45" t="str">
        <f t="shared" si="26"/>
        <v/>
      </c>
      <c r="R88" s="45" t="str">
        <f t="shared" si="27"/>
        <v/>
      </c>
      <c r="S88" s="27"/>
      <c r="T88" s="28"/>
      <c r="U88" s="27"/>
      <c r="V88" s="27"/>
      <c r="W88" s="36"/>
      <c r="X88" s="53" t="str">
        <f t="shared" si="28"/>
        <v/>
      </c>
      <c r="Y88" s="53" t="str">
        <f t="shared" si="29"/>
        <v/>
      </c>
    </row>
    <row r="89" spans="1:25" s="22" customFormat="1" x14ac:dyDescent="0.25">
      <c r="A89" s="29"/>
      <c r="B89" s="31"/>
      <c r="C89" s="30"/>
      <c r="D89" s="30"/>
      <c r="E89" s="46" t="str">
        <f t="shared" si="20"/>
        <v/>
      </c>
      <c r="F89" s="46" t="str">
        <f t="shared" si="21"/>
        <v/>
      </c>
      <c r="G89" s="30"/>
      <c r="H89" s="46" t="str">
        <f t="shared" si="22"/>
        <v/>
      </c>
      <c r="I89" s="46" t="str">
        <f t="shared" si="23"/>
        <v/>
      </c>
      <c r="J89" s="30"/>
      <c r="K89" s="46" t="str">
        <f t="shared" si="24"/>
        <v/>
      </c>
      <c r="L89" s="46" t="str">
        <f t="shared" si="25"/>
        <v/>
      </c>
      <c r="M89" s="30"/>
      <c r="N89" s="30"/>
      <c r="O89" s="30"/>
      <c r="P89" s="30"/>
      <c r="Q89" s="46" t="str">
        <f t="shared" si="26"/>
        <v/>
      </c>
      <c r="R89" s="46" t="str">
        <f t="shared" si="27"/>
        <v/>
      </c>
      <c r="S89" s="30"/>
      <c r="T89" s="31"/>
      <c r="U89" s="30"/>
      <c r="V89" s="30"/>
      <c r="W89" s="37"/>
      <c r="X89" s="52" t="str">
        <f t="shared" si="28"/>
        <v/>
      </c>
      <c r="Y89" s="52" t="str">
        <f t="shared" si="29"/>
        <v/>
      </c>
    </row>
    <row r="90" spans="1:25" s="22" customFormat="1" x14ac:dyDescent="0.25">
      <c r="A90" s="26"/>
      <c r="B90" s="28"/>
      <c r="C90" s="27"/>
      <c r="D90" s="27"/>
      <c r="E90" s="45" t="str">
        <f t="shared" si="20"/>
        <v/>
      </c>
      <c r="F90" s="45" t="str">
        <f t="shared" si="21"/>
        <v/>
      </c>
      <c r="G90" s="27"/>
      <c r="H90" s="45" t="str">
        <f t="shared" si="22"/>
        <v/>
      </c>
      <c r="I90" s="45" t="str">
        <f t="shared" si="23"/>
        <v/>
      </c>
      <c r="J90" s="27"/>
      <c r="K90" s="45" t="str">
        <f t="shared" si="24"/>
        <v/>
      </c>
      <c r="L90" s="45" t="str">
        <f t="shared" si="25"/>
        <v/>
      </c>
      <c r="M90" s="27"/>
      <c r="N90" s="27"/>
      <c r="O90" s="27"/>
      <c r="P90" s="27"/>
      <c r="Q90" s="45" t="str">
        <f t="shared" si="26"/>
        <v/>
      </c>
      <c r="R90" s="45" t="str">
        <f t="shared" si="27"/>
        <v/>
      </c>
      <c r="S90" s="27"/>
      <c r="T90" s="28"/>
      <c r="U90" s="27"/>
      <c r="V90" s="27"/>
      <c r="W90" s="36"/>
      <c r="X90" s="53" t="str">
        <f t="shared" si="28"/>
        <v/>
      </c>
      <c r="Y90" s="53" t="str">
        <f t="shared" si="29"/>
        <v/>
      </c>
    </row>
    <row r="91" spans="1:25" s="22" customFormat="1" x14ac:dyDescent="0.25">
      <c r="A91" s="29"/>
      <c r="B91" s="31"/>
      <c r="C91" s="30"/>
      <c r="D91" s="30"/>
      <c r="E91" s="46" t="str">
        <f t="shared" si="20"/>
        <v/>
      </c>
      <c r="F91" s="46" t="str">
        <f t="shared" si="21"/>
        <v/>
      </c>
      <c r="G91" s="30"/>
      <c r="H91" s="46" t="str">
        <f t="shared" si="22"/>
        <v/>
      </c>
      <c r="I91" s="46" t="str">
        <f t="shared" si="23"/>
        <v/>
      </c>
      <c r="J91" s="30"/>
      <c r="K91" s="46" t="str">
        <f t="shared" si="24"/>
        <v/>
      </c>
      <c r="L91" s="46" t="str">
        <f t="shared" si="25"/>
        <v/>
      </c>
      <c r="M91" s="30"/>
      <c r="N91" s="30"/>
      <c r="O91" s="30"/>
      <c r="P91" s="30"/>
      <c r="Q91" s="46" t="str">
        <f t="shared" si="26"/>
        <v/>
      </c>
      <c r="R91" s="46" t="str">
        <f t="shared" si="27"/>
        <v/>
      </c>
      <c r="S91" s="30"/>
      <c r="T91" s="31"/>
      <c r="U91" s="30"/>
      <c r="V91" s="30"/>
      <c r="W91" s="37"/>
      <c r="X91" s="52" t="str">
        <f t="shared" si="28"/>
        <v/>
      </c>
      <c r="Y91" s="52" t="str">
        <f t="shared" si="29"/>
        <v/>
      </c>
    </row>
    <row r="92" spans="1:25" s="22" customFormat="1" x14ac:dyDescent="0.25">
      <c r="A92" s="26"/>
      <c r="B92" s="28"/>
      <c r="C92" s="27"/>
      <c r="D92" s="27"/>
      <c r="E92" s="45" t="str">
        <f t="shared" si="20"/>
        <v/>
      </c>
      <c r="F92" s="45" t="str">
        <f t="shared" si="21"/>
        <v/>
      </c>
      <c r="G92" s="27"/>
      <c r="H92" s="45" t="str">
        <f t="shared" si="22"/>
        <v/>
      </c>
      <c r="I92" s="45" t="str">
        <f t="shared" si="23"/>
        <v/>
      </c>
      <c r="J92" s="27"/>
      <c r="K92" s="45" t="str">
        <f t="shared" si="24"/>
        <v/>
      </c>
      <c r="L92" s="45" t="str">
        <f t="shared" si="25"/>
        <v/>
      </c>
      <c r="M92" s="27"/>
      <c r="N92" s="27"/>
      <c r="O92" s="27"/>
      <c r="P92" s="27"/>
      <c r="Q92" s="45" t="str">
        <f t="shared" si="26"/>
        <v/>
      </c>
      <c r="R92" s="45" t="str">
        <f t="shared" si="27"/>
        <v/>
      </c>
      <c r="S92" s="27"/>
      <c r="T92" s="28"/>
      <c r="U92" s="27"/>
      <c r="V92" s="27"/>
      <c r="W92" s="36"/>
      <c r="X92" s="53" t="str">
        <f t="shared" si="28"/>
        <v/>
      </c>
      <c r="Y92" s="53" t="str">
        <f t="shared" si="29"/>
        <v/>
      </c>
    </row>
    <row r="93" spans="1:25" s="22" customFormat="1" x14ac:dyDescent="0.25">
      <c r="A93" s="29"/>
      <c r="B93" s="31"/>
      <c r="C93" s="30"/>
      <c r="D93" s="30"/>
      <c r="E93" s="46" t="str">
        <f t="shared" si="20"/>
        <v/>
      </c>
      <c r="F93" s="46" t="str">
        <f t="shared" si="21"/>
        <v/>
      </c>
      <c r="G93" s="30"/>
      <c r="H93" s="46" t="str">
        <f t="shared" si="22"/>
        <v/>
      </c>
      <c r="I93" s="46" t="str">
        <f t="shared" si="23"/>
        <v/>
      </c>
      <c r="J93" s="30"/>
      <c r="K93" s="46" t="str">
        <f t="shared" si="24"/>
        <v/>
      </c>
      <c r="L93" s="46" t="str">
        <f t="shared" si="25"/>
        <v/>
      </c>
      <c r="M93" s="30"/>
      <c r="N93" s="30"/>
      <c r="O93" s="30"/>
      <c r="P93" s="30"/>
      <c r="Q93" s="46" t="str">
        <f t="shared" si="26"/>
        <v/>
      </c>
      <c r="R93" s="46" t="str">
        <f t="shared" si="27"/>
        <v/>
      </c>
      <c r="S93" s="30"/>
      <c r="T93" s="31"/>
      <c r="U93" s="30"/>
      <c r="V93" s="30"/>
      <c r="W93" s="37"/>
      <c r="X93" s="52" t="str">
        <f t="shared" si="28"/>
        <v/>
      </c>
      <c r="Y93" s="52" t="str">
        <f t="shared" si="29"/>
        <v/>
      </c>
    </row>
    <row r="94" spans="1:25" s="22" customFormat="1" x14ac:dyDescent="0.25">
      <c r="A94" s="26"/>
      <c r="B94" s="28"/>
      <c r="C94" s="27"/>
      <c r="D94" s="27"/>
      <c r="E94" s="45" t="str">
        <f t="shared" si="20"/>
        <v/>
      </c>
      <c r="F94" s="45" t="str">
        <f t="shared" si="21"/>
        <v/>
      </c>
      <c r="G94" s="27"/>
      <c r="H94" s="45" t="str">
        <f t="shared" si="22"/>
        <v/>
      </c>
      <c r="I94" s="45" t="str">
        <f t="shared" si="23"/>
        <v/>
      </c>
      <c r="J94" s="27"/>
      <c r="K94" s="45" t="str">
        <f t="shared" si="24"/>
        <v/>
      </c>
      <c r="L94" s="45" t="str">
        <f t="shared" si="25"/>
        <v/>
      </c>
      <c r="M94" s="27"/>
      <c r="N94" s="27"/>
      <c r="O94" s="27"/>
      <c r="P94" s="27"/>
      <c r="Q94" s="45" t="str">
        <f t="shared" si="26"/>
        <v/>
      </c>
      <c r="R94" s="45" t="str">
        <f t="shared" si="27"/>
        <v/>
      </c>
      <c r="S94" s="27"/>
      <c r="T94" s="28"/>
      <c r="U94" s="27"/>
      <c r="V94" s="27"/>
      <c r="W94" s="36"/>
      <c r="X94" s="53" t="str">
        <f t="shared" si="28"/>
        <v/>
      </c>
      <c r="Y94" s="53" t="str">
        <f t="shared" si="29"/>
        <v/>
      </c>
    </row>
    <row r="95" spans="1:25" s="22" customFormat="1" x14ac:dyDescent="0.25">
      <c r="A95" s="29"/>
      <c r="B95" s="31"/>
      <c r="C95" s="30"/>
      <c r="D95" s="30"/>
      <c r="E95" s="46" t="str">
        <f t="shared" si="20"/>
        <v/>
      </c>
      <c r="F95" s="46" t="str">
        <f t="shared" si="21"/>
        <v/>
      </c>
      <c r="G95" s="30"/>
      <c r="H95" s="46" t="str">
        <f t="shared" si="22"/>
        <v/>
      </c>
      <c r="I95" s="46" t="str">
        <f t="shared" si="23"/>
        <v/>
      </c>
      <c r="J95" s="30"/>
      <c r="K95" s="46" t="str">
        <f t="shared" si="24"/>
        <v/>
      </c>
      <c r="L95" s="46" t="str">
        <f t="shared" si="25"/>
        <v/>
      </c>
      <c r="M95" s="30"/>
      <c r="N95" s="30"/>
      <c r="O95" s="30"/>
      <c r="P95" s="30"/>
      <c r="Q95" s="46" t="str">
        <f t="shared" si="26"/>
        <v/>
      </c>
      <c r="R95" s="46" t="str">
        <f t="shared" si="27"/>
        <v/>
      </c>
      <c r="S95" s="30"/>
      <c r="T95" s="31"/>
      <c r="U95" s="30"/>
      <c r="V95" s="30"/>
      <c r="W95" s="37"/>
      <c r="X95" s="52" t="str">
        <f t="shared" si="28"/>
        <v/>
      </c>
      <c r="Y95" s="52" t="str">
        <f t="shared" si="29"/>
        <v/>
      </c>
    </row>
    <row r="96" spans="1:25" s="22" customFormat="1" x14ac:dyDescent="0.25">
      <c r="A96" s="26"/>
      <c r="B96" s="28"/>
      <c r="C96" s="27"/>
      <c r="D96" s="27"/>
      <c r="E96" s="45" t="str">
        <f t="shared" si="20"/>
        <v/>
      </c>
      <c r="F96" s="45" t="str">
        <f t="shared" si="21"/>
        <v/>
      </c>
      <c r="G96" s="27"/>
      <c r="H96" s="45" t="str">
        <f t="shared" si="22"/>
        <v/>
      </c>
      <c r="I96" s="45" t="str">
        <f t="shared" si="23"/>
        <v/>
      </c>
      <c r="J96" s="27"/>
      <c r="K96" s="45" t="str">
        <f t="shared" si="24"/>
        <v/>
      </c>
      <c r="L96" s="45" t="str">
        <f t="shared" si="25"/>
        <v/>
      </c>
      <c r="M96" s="27"/>
      <c r="N96" s="27"/>
      <c r="O96" s="27"/>
      <c r="P96" s="27"/>
      <c r="Q96" s="45" t="str">
        <f t="shared" si="26"/>
        <v/>
      </c>
      <c r="R96" s="45" t="str">
        <f t="shared" si="27"/>
        <v/>
      </c>
      <c r="S96" s="27"/>
      <c r="T96" s="28"/>
      <c r="U96" s="27"/>
      <c r="V96" s="27"/>
      <c r="W96" s="36"/>
      <c r="X96" s="53" t="str">
        <f t="shared" si="28"/>
        <v/>
      </c>
      <c r="Y96" s="53" t="str">
        <f t="shared" si="29"/>
        <v/>
      </c>
    </row>
    <row r="97" spans="1:25" s="22" customFormat="1" x14ac:dyDescent="0.25">
      <c r="A97" s="29"/>
      <c r="B97" s="31"/>
      <c r="C97" s="30"/>
      <c r="D97" s="30"/>
      <c r="E97" s="46" t="str">
        <f t="shared" si="20"/>
        <v/>
      </c>
      <c r="F97" s="46" t="str">
        <f t="shared" si="21"/>
        <v/>
      </c>
      <c r="G97" s="30"/>
      <c r="H97" s="46" t="str">
        <f t="shared" si="22"/>
        <v/>
      </c>
      <c r="I97" s="46" t="str">
        <f t="shared" si="23"/>
        <v/>
      </c>
      <c r="J97" s="30"/>
      <c r="K97" s="46" t="str">
        <f t="shared" si="24"/>
        <v/>
      </c>
      <c r="L97" s="46" t="str">
        <f t="shared" si="25"/>
        <v/>
      </c>
      <c r="M97" s="30"/>
      <c r="N97" s="30"/>
      <c r="O97" s="30"/>
      <c r="P97" s="30"/>
      <c r="Q97" s="46" t="str">
        <f t="shared" si="26"/>
        <v/>
      </c>
      <c r="R97" s="46" t="str">
        <f t="shared" si="27"/>
        <v/>
      </c>
      <c r="S97" s="30"/>
      <c r="T97" s="31"/>
      <c r="U97" s="30"/>
      <c r="V97" s="30"/>
      <c r="W97" s="37"/>
      <c r="X97" s="52" t="str">
        <f t="shared" si="28"/>
        <v/>
      </c>
      <c r="Y97" s="52" t="str">
        <f t="shared" si="29"/>
        <v/>
      </c>
    </row>
    <row r="98" spans="1:25" s="22" customFormat="1" x14ac:dyDescent="0.25">
      <c r="A98" s="26"/>
      <c r="B98" s="28"/>
      <c r="C98" s="27"/>
      <c r="D98" s="27"/>
      <c r="E98" s="45" t="str">
        <f t="shared" si="20"/>
        <v/>
      </c>
      <c r="F98" s="45" t="str">
        <f t="shared" si="21"/>
        <v/>
      </c>
      <c r="G98" s="27"/>
      <c r="H98" s="45" t="str">
        <f t="shared" si="22"/>
        <v/>
      </c>
      <c r="I98" s="45" t="str">
        <f t="shared" si="23"/>
        <v/>
      </c>
      <c r="J98" s="27"/>
      <c r="K98" s="45" t="str">
        <f t="shared" si="24"/>
        <v/>
      </c>
      <c r="L98" s="45" t="str">
        <f t="shared" si="25"/>
        <v/>
      </c>
      <c r="M98" s="27"/>
      <c r="N98" s="27"/>
      <c r="O98" s="27"/>
      <c r="P98" s="27"/>
      <c r="Q98" s="45" t="str">
        <f t="shared" si="26"/>
        <v/>
      </c>
      <c r="R98" s="45" t="str">
        <f t="shared" si="27"/>
        <v/>
      </c>
      <c r="S98" s="27"/>
      <c r="T98" s="28"/>
      <c r="U98" s="27"/>
      <c r="V98" s="27"/>
      <c r="W98" s="36"/>
      <c r="X98" s="53" t="str">
        <f t="shared" si="28"/>
        <v/>
      </c>
      <c r="Y98" s="53" t="str">
        <f t="shared" si="29"/>
        <v/>
      </c>
    </row>
    <row r="99" spans="1:25" s="22" customFormat="1" x14ac:dyDescent="0.25">
      <c r="A99" s="29"/>
      <c r="B99" s="31"/>
      <c r="C99" s="30"/>
      <c r="D99" s="30"/>
      <c r="E99" s="46" t="str">
        <f t="shared" si="20"/>
        <v/>
      </c>
      <c r="F99" s="46" t="str">
        <f t="shared" si="21"/>
        <v/>
      </c>
      <c r="G99" s="30"/>
      <c r="H99" s="46" t="str">
        <f t="shared" si="22"/>
        <v/>
      </c>
      <c r="I99" s="46" t="str">
        <f t="shared" si="23"/>
        <v/>
      </c>
      <c r="J99" s="30"/>
      <c r="K99" s="46" t="str">
        <f t="shared" si="24"/>
        <v/>
      </c>
      <c r="L99" s="46" t="str">
        <f t="shared" si="25"/>
        <v/>
      </c>
      <c r="M99" s="30"/>
      <c r="N99" s="30"/>
      <c r="O99" s="30"/>
      <c r="P99" s="30"/>
      <c r="Q99" s="46" t="str">
        <f t="shared" si="26"/>
        <v/>
      </c>
      <c r="R99" s="46" t="str">
        <f t="shared" si="27"/>
        <v/>
      </c>
      <c r="S99" s="30"/>
      <c r="T99" s="31"/>
      <c r="U99" s="30"/>
      <c r="V99" s="30"/>
      <c r="W99" s="37"/>
      <c r="X99" s="52" t="str">
        <f t="shared" si="28"/>
        <v/>
      </c>
      <c r="Y99" s="52" t="str">
        <f t="shared" si="29"/>
        <v/>
      </c>
    </row>
    <row r="100" spans="1:25" s="22" customFormat="1" x14ac:dyDescent="0.25">
      <c r="A100" s="26"/>
      <c r="B100" s="28"/>
      <c r="C100" s="27"/>
      <c r="D100" s="27"/>
      <c r="E100" s="45" t="str">
        <f t="shared" si="20"/>
        <v/>
      </c>
      <c r="F100" s="45" t="str">
        <f t="shared" si="21"/>
        <v/>
      </c>
      <c r="G100" s="27"/>
      <c r="H100" s="45" t="str">
        <f t="shared" si="22"/>
        <v/>
      </c>
      <c r="I100" s="45" t="str">
        <f t="shared" si="23"/>
        <v/>
      </c>
      <c r="J100" s="27"/>
      <c r="K100" s="45" t="str">
        <f t="shared" si="24"/>
        <v/>
      </c>
      <c r="L100" s="45" t="str">
        <f t="shared" si="25"/>
        <v/>
      </c>
      <c r="M100" s="27"/>
      <c r="N100" s="27"/>
      <c r="O100" s="27"/>
      <c r="P100" s="27"/>
      <c r="Q100" s="45" t="str">
        <f t="shared" si="26"/>
        <v/>
      </c>
      <c r="R100" s="45" t="str">
        <f t="shared" si="27"/>
        <v/>
      </c>
      <c r="S100" s="27"/>
      <c r="T100" s="28"/>
      <c r="U100" s="27"/>
      <c r="V100" s="27"/>
      <c r="W100" s="36"/>
      <c r="X100" s="53" t="str">
        <f t="shared" si="28"/>
        <v/>
      </c>
      <c r="Y100" s="53" t="str">
        <f t="shared" si="29"/>
        <v/>
      </c>
    </row>
    <row r="101" spans="1:25" s="22" customFormat="1" x14ac:dyDescent="0.25">
      <c r="A101" s="29"/>
      <c r="B101" s="31"/>
      <c r="C101" s="30"/>
      <c r="D101" s="30"/>
      <c r="E101" s="46" t="str">
        <f t="shared" si="20"/>
        <v/>
      </c>
      <c r="F101" s="46" t="str">
        <f t="shared" si="21"/>
        <v/>
      </c>
      <c r="G101" s="30"/>
      <c r="H101" s="46" t="str">
        <f t="shared" si="22"/>
        <v/>
      </c>
      <c r="I101" s="46" t="str">
        <f t="shared" si="23"/>
        <v/>
      </c>
      <c r="J101" s="30"/>
      <c r="K101" s="46" t="str">
        <f t="shared" si="24"/>
        <v/>
      </c>
      <c r="L101" s="46" t="str">
        <f t="shared" si="25"/>
        <v/>
      </c>
      <c r="M101" s="30"/>
      <c r="N101" s="30"/>
      <c r="O101" s="30"/>
      <c r="P101" s="30"/>
      <c r="Q101" s="46" t="str">
        <f t="shared" si="26"/>
        <v/>
      </c>
      <c r="R101" s="46" t="str">
        <f t="shared" si="27"/>
        <v/>
      </c>
      <c r="S101" s="30"/>
      <c r="T101" s="31"/>
      <c r="U101" s="30"/>
      <c r="V101" s="30"/>
      <c r="W101" s="37"/>
      <c r="X101" s="52" t="str">
        <f t="shared" si="28"/>
        <v/>
      </c>
      <c r="Y101" s="52" t="str">
        <f t="shared" si="29"/>
        <v/>
      </c>
    </row>
    <row r="102" spans="1:25" s="22" customFormat="1" x14ac:dyDescent="0.25">
      <c r="A102" s="26"/>
      <c r="B102" s="28"/>
      <c r="C102" s="27"/>
      <c r="D102" s="27"/>
      <c r="E102" s="45" t="str">
        <f t="shared" ref="E102:E133" si="30">IF(D102="","",_xlfn.TRANSLATE(D102,"vi","ja"))</f>
        <v/>
      </c>
      <c r="F102" s="45" t="str">
        <f t="shared" ref="F102:F133" si="31">IF(D102="","",_xlfn.TRANSLATE(D102,"vi","zh-Hans"))</f>
        <v/>
      </c>
      <c r="G102" s="27"/>
      <c r="H102" s="45" t="str">
        <f t="shared" ref="H102:H133" si="32">IF(G102="","",_xlfn.TRANSLATE(G102,"vi","ja"))</f>
        <v/>
      </c>
      <c r="I102" s="45" t="str">
        <f t="shared" ref="I102:I133" si="33">IF(G102="","",_xlfn.TRANSLATE(G102,"vi","zh-Hans"))</f>
        <v/>
      </c>
      <c r="J102" s="27"/>
      <c r="K102" s="45" t="str">
        <f t="shared" ref="K102:K133" si="34">IF(J102="","",_xlfn.TRANSLATE(J102,"vi","ja"))</f>
        <v/>
      </c>
      <c r="L102" s="45" t="str">
        <f t="shared" ref="L102:L133" si="35">IF(J102="","",_xlfn.TRANSLATE(J102,"vi","zh-Hans"))</f>
        <v/>
      </c>
      <c r="M102" s="27"/>
      <c r="N102" s="27"/>
      <c r="O102" s="27"/>
      <c r="P102" s="27"/>
      <c r="Q102" s="45" t="str">
        <f t="shared" ref="Q102:Q133" si="36">IF(P102="","",_xlfn.TRANSLATE(P102,"vi","ja"))</f>
        <v/>
      </c>
      <c r="R102" s="45" t="str">
        <f t="shared" ref="R102:R133" si="37">IF(P102="","",_xlfn.TRANSLATE(P102,"vi","zh-Hans"))</f>
        <v/>
      </c>
      <c r="S102" s="27"/>
      <c r="T102" s="28"/>
      <c r="U102" s="27"/>
      <c r="V102" s="27"/>
      <c r="W102" s="36"/>
      <c r="X102" s="53" t="str">
        <f t="shared" ref="X102:X133" si="38">IF(W102="","",_xlfn.TRANSLATE(W102,"vi","ja"))</f>
        <v/>
      </c>
      <c r="Y102" s="53" t="str">
        <f t="shared" ref="Y102:Y133" si="39">IF(W102="","",_xlfn.TRANSLATE(W102,"vi","zh-Hans"))</f>
        <v/>
      </c>
    </row>
    <row r="103" spans="1:25" s="22" customFormat="1" x14ac:dyDescent="0.25">
      <c r="A103" s="29"/>
      <c r="B103" s="31"/>
      <c r="C103" s="30"/>
      <c r="D103" s="30"/>
      <c r="E103" s="46" t="str">
        <f t="shared" si="30"/>
        <v/>
      </c>
      <c r="F103" s="46" t="str">
        <f t="shared" si="31"/>
        <v/>
      </c>
      <c r="G103" s="30"/>
      <c r="H103" s="46" t="str">
        <f t="shared" si="32"/>
        <v/>
      </c>
      <c r="I103" s="46" t="str">
        <f t="shared" si="33"/>
        <v/>
      </c>
      <c r="J103" s="30"/>
      <c r="K103" s="46" t="str">
        <f t="shared" si="34"/>
        <v/>
      </c>
      <c r="L103" s="46" t="str">
        <f t="shared" si="35"/>
        <v/>
      </c>
      <c r="M103" s="30"/>
      <c r="N103" s="30"/>
      <c r="O103" s="30"/>
      <c r="P103" s="30"/>
      <c r="Q103" s="46" t="str">
        <f t="shared" si="36"/>
        <v/>
      </c>
      <c r="R103" s="46" t="str">
        <f t="shared" si="37"/>
        <v/>
      </c>
      <c r="S103" s="30"/>
      <c r="T103" s="31"/>
      <c r="U103" s="30"/>
      <c r="V103" s="30"/>
      <c r="W103" s="37"/>
      <c r="X103" s="52" t="str">
        <f t="shared" si="38"/>
        <v/>
      </c>
      <c r="Y103" s="52" t="str">
        <f t="shared" si="39"/>
        <v/>
      </c>
    </row>
    <row r="104" spans="1:25" s="22" customFormat="1" x14ac:dyDescent="0.25">
      <c r="A104" s="26"/>
      <c r="B104" s="28"/>
      <c r="C104" s="27"/>
      <c r="D104" s="27"/>
      <c r="E104" s="45" t="str">
        <f t="shared" si="30"/>
        <v/>
      </c>
      <c r="F104" s="45" t="str">
        <f t="shared" si="31"/>
        <v/>
      </c>
      <c r="G104" s="27"/>
      <c r="H104" s="45" t="str">
        <f t="shared" si="32"/>
        <v/>
      </c>
      <c r="I104" s="45" t="str">
        <f t="shared" si="33"/>
        <v/>
      </c>
      <c r="J104" s="27"/>
      <c r="K104" s="45" t="str">
        <f t="shared" si="34"/>
        <v/>
      </c>
      <c r="L104" s="45" t="str">
        <f t="shared" si="35"/>
        <v/>
      </c>
      <c r="M104" s="27"/>
      <c r="N104" s="27"/>
      <c r="O104" s="27"/>
      <c r="P104" s="27"/>
      <c r="Q104" s="45" t="str">
        <f t="shared" si="36"/>
        <v/>
      </c>
      <c r="R104" s="45" t="str">
        <f t="shared" si="37"/>
        <v/>
      </c>
      <c r="S104" s="27"/>
      <c r="T104" s="28"/>
      <c r="U104" s="27"/>
      <c r="V104" s="27"/>
      <c r="W104" s="36"/>
      <c r="X104" s="53" t="str">
        <f t="shared" si="38"/>
        <v/>
      </c>
      <c r="Y104" s="53" t="str">
        <f t="shared" si="39"/>
        <v/>
      </c>
    </row>
    <row r="105" spans="1:25" s="22" customFormat="1" x14ac:dyDescent="0.25">
      <c r="A105" s="29"/>
      <c r="B105" s="31"/>
      <c r="C105" s="30"/>
      <c r="D105" s="30"/>
      <c r="E105" s="46" t="str">
        <f t="shared" si="30"/>
        <v/>
      </c>
      <c r="F105" s="46" t="str">
        <f t="shared" si="31"/>
        <v/>
      </c>
      <c r="G105" s="30"/>
      <c r="H105" s="46" t="str">
        <f t="shared" si="32"/>
        <v/>
      </c>
      <c r="I105" s="46" t="str">
        <f t="shared" si="33"/>
        <v/>
      </c>
      <c r="J105" s="30"/>
      <c r="K105" s="46" t="str">
        <f t="shared" si="34"/>
        <v/>
      </c>
      <c r="L105" s="46" t="str">
        <f t="shared" si="35"/>
        <v/>
      </c>
      <c r="M105" s="30"/>
      <c r="N105" s="30"/>
      <c r="O105" s="30"/>
      <c r="P105" s="30"/>
      <c r="Q105" s="46" t="str">
        <f t="shared" si="36"/>
        <v/>
      </c>
      <c r="R105" s="46" t="str">
        <f t="shared" si="37"/>
        <v/>
      </c>
      <c r="S105" s="30"/>
      <c r="T105" s="31"/>
      <c r="U105" s="30"/>
      <c r="V105" s="30"/>
      <c r="W105" s="37"/>
      <c r="X105" s="52" t="str">
        <f t="shared" si="38"/>
        <v/>
      </c>
      <c r="Y105" s="52" t="str">
        <f t="shared" si="39"/>
        <v/>
      </c>
    </row>
    <row r="106" spans="1:25" s="22" customFormat="1" x14ac:dyDescent="0.25">
      <c r="A106" s="26"/>
      <c r="B106" s="28"/>
      <c r="C106" s="27"/>
      <c r="D106" s="27"/>
      <c r="E106" s="45" t="str">
        <f t="shared" si="30"/>
        <v/>
      </c>
      <c r="F106" s="45" t="str">
        <f t="shared" si="31"/>
        <v/>
      </c>
      <c r="G106" s="27"/>
      <c r="H106" s="45" t="str">
        <f t="shared" si="32"/>
        <v/>
      </c>
      <c r="I106" s="45" t="str">
        <f t="shared" si="33"/>
        <v/>
      </c>
      <c r="J106" s="27"/>
      <c r="K106" s="45" t="str">
        <f t="shared" si="34"/>
        <v/>
      </c>
      <c r="L106" s="45" t="str">
        <f t="shared" si="35"/>
        <v/>
      </c>
      <c r="M106" s="27"/>
      <c r="N106" s="27"/>
      <c r="O106" s="27"/>
      <c r="P106" s="27"/>
      <c r="Q106" s="45" t="str">
        <f t="shared" si="36"/>
        <v/>
      </c>
      <c r="R106" s="45" t="str">
        <f t="shared" si="37"/>
        <v/>
      </c>
      <c r="S106" s="27"/>
      <c r="T106" s="28"/>
      <c r="U106" s="27"/>
      <c r="V106" s="27"/>
      <c r="W106" s="36"/>
      <c r="X106" s="53" t="str">
        <f t="shared" si="38"/>
        <v/>
      </c>
      <c r="Y106" s="53" t="str">
        <f t="shared" si="39"/>
        <v/>
      </c>
    </row>
    <row r="107" spans="1:25" s="22" customFormat="1" x14ac:dyDescent="0.25">
      <c r="A107" s="29"/>
      <c r="B107" s="31"/>
      <c r="C107" s="30"/>
      <c r="D107" s="30"/>
      <c r="E107" s="46" t="str">
        <f t="shared" si="30"/>
        <v/>
      </c>
      <c r="F107" s="46" t="str">
        <f t="shared" si="31"/>
        <v/>
      </c>
      <c r="G107" s="30"/>
      <c r="H107" s="46" t="str">
        <f t="shared" si="32"/>
        <v/>
      </c>
      <c r="I107" s="46" t="str">
        <f t="shared" si="33"/>
        <v/>
      </c>
      <c r="J107" s="30"/>
      <c r="K107" s="46" t="str">
        <f t="shared" si="34"/>
        <v/>
      </c>
      <c r="L107" s="46" t="str">
        <f t="shared" si="35"/>
        <v/>
      </c>
      <c r="M107" s="30"/>
      <c r="N107" s="30"/>
      <c r="O107" s="30"/>
      <c r="P107" s="30"/>
      <c r="Q107" s="46" t="str">
        <f t="shared" si="36"/>
        <v/>
      </c>
      <c r="R107" s="46" t="str">
        <f t="shared" si="37"/>
        <v/>
      </c>
      <c r="S107" s="30"/>
      <c r="T107" s="31"/>
      <c r="U107" s="30"/>
      <c r="V107" s="30"/>
      <c r="W107" s="37"/>
      <c r="X107" s="52" t="str">
        <f t="shared" si="38"/>
        <v/>
      </c>
      <c r="Y107" s="52" t="str">
        <f t="shared" si="39"/>
        <v/>
      </c>
    </row>
    <row r="108" spans="1:25" s="22" customFormat="1" x14ac:dyDescent="0.25">
      <c r="A108" s="26"/>
      <c r="B108" s="28"/>
      <c r="C108" s="27"/>
      <c r="D108" s="27"/>
      <c r="E108" s="45" t="str">
        <f t="shared" si="30"/>
        <v/>
      </c>
      <c r="F108" s="45" t="str">
        <f t="shared" si="31"/>
        <v/>
      </c>
      <c r="G108" s="27"/>
      <c r="H108" s="45" t="str">
        <f t="shared" si="32"/>
        <v/>
      </c>
      <c r="I108" s="45" t="str">
        <f t="shared" si="33"/>
        <v/>
      </c>
      <c r="J108" s="27"/>
      <c r="K108" s="45" t="str">
        <f t="shared" si="34"/>
        <v/>
      </c>
      <c r="L108" s="45" t="str">
        <f t="shared" si="35"/>
        <v/>
      </c>
      <c r="M108" s="27"/>
      <c r="N108" s="27"/>
      <c r="O108" s="27"/>
      <c r="P108" s="27"/>
      <c r="Q108" s="45" t="str">
        <f t="shared" si="36"/>
        <v/>
      </c>
      <c r="R108" s="45" t="str">
        <f t="shared" si="37"/>
        <v/>
      </c>
      <c r="S108" s="27"/>
      <c r="T108" s="28"/>
      <c r="U108" s="27"/>
      <c r="V108" s="27"/>
      <c r="W108" s="36"/>
      <c r="X108" s="53" t="str">
        <f t="shared" si="38"/>
        <v/>
      </c>
      <c r="Y108" s="53" t="str">
        <f t="shared" si="39"/>
        <v/>
      </c>
    </row>
    <row r="109" spans="1:25" s="22" customFormat="1" x14ac:dyDescent="0.25">
      <c r="A109" s="29"/>
      <c r="B109" s="31"/>
      <c r="C109" s="30"/>
      <c r="D109" s="30"/>
      <c r="E109" s="46" t="str">
        <f t="shared" si="30"/>
        <v/>
      </c>
      <c r="F109" s="46" t="str">
        <f t="shared" si="31"/>
        <v/>
      </c>
      <c r="G109" s="30"/>
      <c r="H109" s="46" t="str">
        <f t="shared" si="32"/>
        <v/>
      </c>
      <c r="I109" s="46" t="str">
        <f t="shared" si="33"/>
        <v/>
      </c>
      <c r="J109" s="30"/>
      <c r="K109" s="46" t="str">
        <f t="shared" si="34"/>
        <v/>
      </c>
      <c r="L109" s="46" t="str">
        <f t="shared" si="35"/>
        <v/>
      </c>
      <c r="M109" s="30"/>
      <c r="N109" s="30"/>
      <c r="O109" s="30"/>
      <c r="P109" s="30"/>
      <c r="Q109" s="46" t="str">
        <f t="shared" si="36"/>
        <v/>
      </c>
      <c r="R109" s="46" t="str">
        <f t="shared" si="37"/>
        <v/>
      </c>
      <c r="S109" s="30"/>
      <c r="T109" s="31"/>
      <c r="U109" s="30"/>
      <c r="V109" s="30"/>
      <c r="W109" s="37"/>
      <c r="X109" s="52" t="str">
        <f t="shared" si="38"/>
        <v/>
      </c>
      <c r="Y109" s="52" t="str">
        <f t="shared" si="39"/>
        <v/>
      </c>
    </row>
    <row r="110" spans="1:25" s="22" customFormat="1" x14ac:dyDescent="0.25">
      <c r="A110" s="26"/>
      <c r="B110" s="28"/>
      <c r="C110" s="27"/>
      <c r="D110" s="27"/>
      <c r="E110" s="45" t="str">
        <f t="shared" si="30"/>
        <v/>
      </c>
      <c r="F110" s="45" t="str">
        <f t="shared" si="31"/>
        <v/>
      </c>
      <c r="G110" s="27"/>
      <c r="H110" s="45" t="str">
        <f t="shared" si="32"/>
        <v/>
      </c>
      <c r="I110" s="45" t="str">
        <f t="shared" si="33"/>
        <v/>
      </c>
      <c r="J110" s="27"/>
      <c r="K110" s="45" t="str">
        <f t="shared" si="34"/>
        <v/>
      </c>
      <c r="L110" s="45" t="str">
        <f t="shared" si="35"/>
        <v/>
      </c>
      <c r="M110" s="27"/>
      <c r="N110" s="27"/>
      <c r="O110" s="27"/>
      <c r="P110" s="27"/>
      <c r="Q110" s="45" t="str">
        <f t="shared" si="36"/>
        <v/>
      </c>
      <c r="R110" s="45" t="str">
        <f t="shared" si="37"/>
        <v/>
      </c>
      <c r="S110" s="27"/>
      <c r="T110" s="28"/>
      <c r="U110" s="27"/>
      <c r="V110" s="27"/>
      <c r="W110" s="36"/>
      <c r="X110" s="53" t="str">
        <f t="shared" si="38"/>
        <v/>
      </c>
      <c r="Y110" s="53" t="str">
        <f t="shared" si="39"/>
        <v/>
      </c>
    </row>
    <row r="111" spans="1:25" s="22" customFormat="1" x14ac:dyDescent="0.25">
      <c r="A111" s="29"/>
      <c r="B111" s="31"/>
      <c r="C111" s="30"/>
      <c r="D111" s="30"/>
      <c r="E111" s="46" t="str">
        <f t="shared" si="30"/>
        <v/>
      </c>
      <c r="F111" s="46" t="str">
        <f t="shared" si="31"/>
        <v/>
      </c>
      <c r="G111" s="30"/>
      <c r="H111" s="46" t="str">
        <f t="shared" si="32"/>
        <v/>
      </c>
      <c r="I111" s="46" t="str">
        <f t="shared" si="33"/>
        <v/>
      </c>
      <c r="J111" s="30"/>
      <c r="K111" s="46" t="str">
        <f t="shared" si="34"/>
        <v/>
      </c>
      <c r="L111" s="46" t="str">
        <f t="shared" si="35"/>
        <v/>
      </c>
      <c r="M111" s="30"/>
      <c r="N111" s="30"/>
      <c r="O111" s="30"/>
      <c r="P111" s="30"/>
      <c r="Q111" s="46" t="str">
        <f t="shared" si="36"/>
        <v/>
      </c>
      <c r="R111" s="46" t="str">
        <f t="shared" si="37"/>
        <v/>
      </c>
      <c r="S111" s="30"/>
      <c r="T111" s="31"/>
      <c r="U111" s="30"/>
      <c r="V111" s="30"/>
      <c r="W111" s="37"/>
      <c r="X111" s="52" t="str">
        <f t="shared" si="38"/>
        <v/>
      </c>
      <c r="Y111" s="52" t="str">
        <f t="shared" si="39"/>
        <v/>
      </c>
    </row>
    <row r="112" spans="1:25" s="22" customFormat="1" x14ac:dyDescent="0.25">
      <c r="A112" s="26"/>
      <c r="B112" s="28"/>
      <c r="C112" s="27"/>
      <c r="D112" s="27"/>
      <c r="E112" s="45" t="str">
        <f t="shared" si="30"/>
        <v/>
      </c>
      <c r="F112" s="45" t="str">
        <f t="shared" si="31"/>
        <v/>
      </c>
      <c r="G112" s="27"/>
      <c r="H112" s="45" t="str">
        <f t="shared" si="32"/>
        <v/>
      </c>
      <c r="I112" s="45" t="str">
        <f t="shared" si="33"/>
        <v/>
      </c>
      <c r="J112" s="27"/>
      <c r="K112" s="45" t="str">
        <f t="shared" si="34"/>
        <v/>
      </c>
      <c r="L112" s="45" t="str">
        <f t="shared" si="35"/>
        <v/>
      </c>
      <c r="M112" s="27"/>
      <c r="N112" s="27"/>
      <c r="O112" s="27"/>
      <c r="P112" s="27"/>
      <c r="Q112" s="45" t="str">
        <f t="shared" si="36"/>
        <v/>
      </c>
      <c r="R112" s="45" t="str">
        <f t="shared" si="37"/>
        <v/>
      </c>
      <c r="S112" s="27"/>
      <c r="T112" s="28"/>
      <c r="U112" s="27"/>
      <c r="V112" s="27"/>
      <c r="W112" s="36"/>
      <c r="X112" s="53" t="str">
        <f t="shared" si="38"/>
        <v/>
      </c>
      <c r="Y112" s="53" t="str">
        <f t="shared" si="39"/>
        <v/>
      </c>
    </row>
    <row r="113" spans="1:25" s="22" customFormat="1" x14ac:dyDescent="0.25">
      <c r="A113" s="29"/>
      <c r="B113" s="31"/>
      <c r="C113" s="30"/>
      <c r="D113" s="30"/>
      <c r="E113" s="46" t="str">
        <f t="shared" si="30"/>
        <v/>
      </c>
      <c r="F113" s="46" t="str">
        <f t="shared" si="31"/>
        <v/>
      </c>
      <c r="G113" s="30"/>
      <c r="H113" s="46" t="str">
        <f t="shared" si="32"/>
        <v/>
      </c>
      <c r="I113" s="46" t="str">
        <f t="shared" si="33"/>
        <v/>
      </c>
      <c r="J113" s="30"/>
      <c r="K113" s="46" t="str">
        <f t="shared" si="34"/>
        <v/>
      </c>
      <c r="L113" s="46" t="str">
        <f t="shared" si="35"/>
        <v/>
      </c>
      <c r="M113" s="30"/>
      <c r="N113" s="30"/>
      <c r="O113" s="30"/>
      <c r="P113" s="30"/>
      <c r="Q113" s="46" t="str">
        <f t="shared" si="36"/>
        <v/>
      </c>
      <c r="R113" s="46" t="str">
        <f t="shared" si="37"/>
        <v/>
      </c>
      <c r="S113" s="30"/>
      <c r="T113" s="31"/>
      <c r="U113" s="30"/>
      <c r="V113" s="30"/>
      <c r="W113" s="37"/>
      <c r="X113" s="52" t="str">
        <f t="shared" si="38"/>
        <v/>
      </c>
      <c r="Y113" s="52" t="str">
        <f t="shared" si="39"/>
        <v/>
      </c>
    </row>
    <row r="114" spans="1:25" s="22" customFormat="1" x14ac:dyDescent="0.25">
      <c r="A114" s="26"/>
      <c r="B114" s="28"/>
      <c r="C114" s="27"/>
      <c r="D114" s="27"/>
      <c r="E114" s="45" t="str">
        <f t="shared" si="30"/>
        <v/>
      </c>
      <c r="F114" s="45" t="str">
        <f t="shared" si="31"/>
        <v/>
      </c>
      <c r="G114" s="27"/>
      <c r="H114" s="45" t="str">
        <f t="shared" si="32"/>
        <v/>
      </c>
      <c r="I114" s="45" t="str">
        <f t="shared" si="33"/>
        <v/>
      </c>
      <c r="J114" s="27"/>
      <c r="K114" s="45" t="str">
        <f t="shared" si="34"/>
        <v/>
      </c>
      <c r="L114" s="45" t="str">
        <f t="shared" si="35"/>
        <v/>
      </c>
      <c r="M114" s="27"/>
      <c r="N114" s="27"/>
      <c r="O114" s="27"/>
      <c r="P114" s="27"/>
      <c r="Q114" s="45" t="str">
        <f t="shared" si="36"/>
        <v/>
      </c>
      <c r="R114" s="45" t="str">
        <f t="shared" si="37"/>
        <v/>
      </c>
      <c r="S114" s="27"/>
      <c r="T114" s="28"/>
      <c r="U114" s="27"/>
      <c r="V114" s="27"/>
      <c r="W114" s="36"/>
      <c r="X114" s="53" t="str">
        <f t="shared" si="38"/>
        <v/>
      </c>
      <c r="Y114" s="53" t="str">
        <f t="shared" si="39"/>
        <v/>
      </c>
    </row>
    <row r="115" spans="1:25" s="22" customFormat="1" x14ac:dyDescent="0.25">
      <c r="A115" s="29"/>
      <c r="B115" s="31"/>
      <c r="C115" s="30"/>
      <c r="D115" s="30"/>
      <c r="E115" s="46" t="str">
        <f t="shared" si="30"/>
        <v/>
      </c>
      <c r="F115" s="46" t="str">
        <f t="shared" si="31"/>
        <v/>
      </c>
      <c r="G115" s="30"/>
      <c r="H115" s="46" t="str">
        <f t="shared" si="32"/>
        <v/>
      </c>
      <c r="I115" s="46" t="str">
        <f t="shared" si="33"/>
        <v/>
      </c>
      <c r="J115" s="30"/>
      <c r="K115" s="46" t="str">
        <f t="shared" si="34"/>
        <v/>
      </c>
      <c r="L115" s="46" t="str">
        <f t="shared" si="35"/>
        <v/>
      </c>
      <c r="M115" s="30"/>
      <c r="N115" s="30"/>
      <c r="O115" s="30"/>
      <c r="P115" s="30"/>
      <c r="Q115" s="46" t="str">
        <f t="shared" si="36"/>
        <v/>
      </c>
      <c r="R115" s="46" t="str">
        <f t="shared" si="37"/>
        <v/>
      </c>
      <c r="S115" s="30"/>
      <c r="T115" s="31"/>
      <c r="U115" s="30"/>
      <c r="V115" s="30"/>
      <c r="W115" s="37"/>
      <c r="X115" s="52" t="str">
        <f t="shared" si="38"/>
        <v/>
      </c>
      <c r="Y115" s="52" t="str">
        <f t="shared" si="39"/>
        <v/>
      </c>
    </row>
    <row r="116" spans="1:25" s="22" customFormat="1" x14ac:dyDescent="0.25">
      <c r="A116" s="26"/>
      <c r="B116" s="28"/>
      <c r="C116" s="27"/>
      <c r="D116" s="27"/>
      <c r="E116" s="45" t="str">
        <f t="shared" si="30"/>
        <v/>
      </c>
      <c r="F116" s="45" t="str">
        <f t="shared" si="31"/>
        <v/>
      </c>
      <c r="G116" s="27"/>
      <c r="H116" s="45" t="str">
        <f t="shared" si="32"/>
        <v/>
      </c>
      <c r="I116" s="45" t="str">
        <f t="shared" si="33"/>
        <v/>
      </c>
      <c r="J116" s="27"/>
      <c r="K116" s="45" t="str">
        <f t="shared" si="34"/>
        <v/>
      </c>
      <c r="L116" s="45" t="str">
        <f t="shared" si="35"/>
        <v/>
      </c>
      <c r="M116" s="27"/>
      <c r="N116" s="27"/>
      <c r="O116" s="27"/>
      <c r="P116" s="27"/>
      <c r="Q116" s="45" t="str">
        <f t="shared" si="36"/>
        <v/>
      </c>
      <c r="R116" s="45" t="str">
        <f t="shared" si="37"/>
        <v/>
      </c>
      <c r="S116" s="27"/>
      <c r="T116" s="28"/>
      <c r="U116" s="27"/>
      <c r="V116" s="27"/>
      <c r="W116" s="36"/>
      <c r="X116" s="53" t="str">
        <f t="shared" si="38"/>
        <v/>
      </c>
      <c r="Y116" s="53" t="str">
        <f t="shared" si="39"/>
        <v/>
      </c>
    </row>
    <row r="117" spans="1:25" s="22" customFormat="1" x14ac:dyDescent="0.25">
      <c r="A117" s="29"/>
      <c r="B117" s="31"/>
      <c r="C117" s="30"/>
      <c r="D117" s="30"/>
      <c r="E117" s="46" t="str">
        <f t="shared" si="30"/>
        <v/>
      </c>
      <c r="F117" s="46" t="str">
        <f t="shared" si="31"/>
        <v/>
      </c>
      <c r="G117" s="30"/>
      <c r="H117" s="46" t="str">
        <f t="shared" si="32"/>
        <v/>
      </c>
      <c r="I117" s="46" t="str">
        <f t="shared" si="33"/>
        <v/>
      </c>
      <c r="J117" s="30"/>
      <c r="K117" s="46" t="str">
        <f t="shared" si="34"/>
        <v/>
      </c>
      <c r="L117" s="46" t="str">
        <f t="shared" si="35"/>
        <v/>
      </c>
      <c r="M117" s="30"/>
      <c r="N117" s="30"/>
      <c r="O117" s="30"/>
      <c r="P117" s="30"/>
      <c r="Q117" s="46" t="str">
        <f t="shared" si="36"/>
        <v/>
      </c>
      <c r="R117" s="46" t="str">
        <f t="shared" si="37"/>
        <v/>
      </c>
      <c r="S117" s="30"/>
      <c r="T117" s="31"/>
      <c r="U117" s="30"/>
      <c r="V117" s="30"/>
      <c r="W117" s="37"/>
      <c r="X117" s="52" t="str">
        <f t="shared" si="38"/>
        <v/>
      </c>
      <c r="Y117" s="52" t="str">
        <f t="shared" si="39"/>
        <v/>
      </c>
    </row>
    <row r="118" spans="1:25" s="22" customFormat="1" x14ac:dyDescent="0.25">
      <c r="A118" s="26"/>
      <c r="B118" s="28"/>
      <c r="C118" s="27"/>
      <c r="D118" s="27"/>
      <c r="E118" s="45" t="str">
        <f t="shared" si="30"/>
        <v/>
      </c>
      <c r="F118" s="45" t="str">
        <f t="shared" si="31"/>
        <v/>
      </c>
      <c r="G118" s="27"/>
      <c r="H118" s="45" t="str">
        <f t="shared" si="32"/>
        <v/>
      </c>
      <c r="I118" s="45" t="str">
        <f t="shared" si="33"/>
        <v/>
      </c>
      <c r="J118" s="27"/>
      <c r="K118" s="45" t="str">
        <f t="shared" si="34"/>
        <v/>
      </c>
      <c r="L118" s="45" t="str">
        <f t="shared" si="35"/>
        <v/>
      </c>
      <c r="M118" s="27"/>
      <c r="N118" s="27"/>
      <c r="O118" s="27"/>
      <c r="P118" s="27"/>
      <c r="Q118" s="45" t="str">
        <f t="shared" si="36"/>
        <v/>
      </c>
      <c r="R118" s="45" t="str">
        <f t="shared" si="37"/>
        <v/>
      </c>
      <c r="S118" s="27"/>
      <c r="T118" s="28"/>
      <c r="U118" s="27"/>
      <c r="V118" s="27"/>
      <c r="W118" s="36"/>
      <c r="X118" s="53" t="str">
        <f t="shared" si="38"/>
        <v/>
      </c>
      <c r="Y118" s="53" t="str">
        <f t="shared" si="39"/>
        <v/>
      </c>
    </row>
    <row r="119" spans="1:25" s="22" customFormat="1" x14ac:dyDescent="0.25">
      <c r="A119" s="29"/>
      <c r="B119" s="31"/>
      <c r="C119" s="30"/>
      <c r="D119" s="30"/>
      <c r="E119" s="46" t="str">
        <f t="shared" si="30"/>
        <v/>
      </c>
      <c r="F119" s="46" t="str">
        <f t="shared" si="31"/>
        <v/>
      </c>
      <c r="G119" s="30"/>
      <c r="H119" s="46" t="str">
        <f t="shared" si="32"/>
        <v/>
      </c>
      <c r="I119" s="46" t="str">
        <f t="shared" si="33"/>
        <v/>
      </c>
      <c r="J119" s="30"/>
      <c r="K119" s="46" t="str">
        <f t="shared" si="34"/>
        <v/>
      </c>
      <c r="L119" s="46" t="str">
        <f t="shared" si="35"/>
        <v/>
      </c>
      <c r="M119" s="30"/>
      <c r="N119" s="30"/>
      <c r="O119" s="30"/>
      <c r="P119" s="30"/>
      <c r="Q119" s="46" t="str">
        <f t="shared" si="36"/>
        <v/>
      </c>
      <c r="R119" s="46" t="str">
        <f t="shared" si="37"/>
        <v/>
      </c>
      <c r="S119" s="30"/>
      <c r="T119" s="31"/>
      <c r="U119" s="30"/>
      <c r="V119" s="30"/>
      <c r="W119" s="37"/>
      <c r="X119" s="52" t="str">
        <f t="shared" si="38"/>
        <v/>
      </c>
      <c r="Y119" s="52" t="str">
        <f t="shared" si="39"/>
        <v/>
      </c>
    </row>
    <row r="120" spans="1:25" s="22" customFormat="1" x14ac:dyDescent="0.25">
      <c r="A120" s="26"/>
      <c r="B120" s="28"/>
      <c r="C120" s="27"/>
      <c r="D120" s="27"/>
      <c r="E120" s="45" t="str">
        <f t="shared" si="30"/>
        <v/>
      </c>
      <c r="F120" s="45" t="str">
        <f t="shared" si="31"/>
        <v/>
      </c>
      <c r="G120" s="27"/>
      <c r="H120" s="45" t="str">
        <f t="shared" si="32"/>
        <v/>
      </c>
      <c r="I120" s="45" t="str">
        <f t="shared" si="33"/>
        <v/>
      </c>
      <c r="J120" s="27"/>
      <c r="K120" s="45" t="str">
        <f t="shared" si="34"/>
        <v/>
      </c>
      <c r="L120" s="45" t="str">
        <f t="shared" si="35"/>
        <v/>
      </c>
      <c r="M120" s="27"/>
      <c r="N120" s="27"/>
      <c r="O120" s="27"/>
      <c r="P120" s="27"/>
      <c r="Q120" s="45" t="str">
        <f t="shared" si="36"/>
        <v/>
      </c>
      <c r="R120" s="45" t="str">
        <f t="shared" si="37"/>
        <v/>
      </c>
      <c r="S120" s="27"/>
      <c r="T120" s="28"/>
      <c r="U120" s="27"/>
      <c r="V120" s="27"/>
      <c r="W120" s="36"/>
      <c r="X120" s="53" t="str">
        <f t="shared" si="38"/>
        <v/>
      </c>
      <c r="Y120" s="53" t="str">
        <f t="shared" si="39"/>
        <v/>
      </c>
    </row>
    <row r="121" spans="1:25" s="22" customFormat="1" x14ac:dyDescent="0.25">
      <c r="A121" s="29"/>
      <c r="B121" s="31"/>
      <c r="C121" s="30"/>
      <c r="D121" s="30"/>
      <c r="E121" s="46" t="str">
        <f t="shared" si="30"/>
        <v/>
      </c>
      <c r="F121" s="46" t="str">
        <f t="shared" si="31"/>
        <v/>
      </c>
      <c r="G121" s="30"/>
      <c r="H121" s="46" t="str">
        <f t="shared" si="32"/>
        <v/>
      </c>
      <c r="I121" s="46" t="str">
        <f t="shared" si="33"/>
        <v/>
      </c>
      <c r="J121" s="30"/>
      <c r="K121" s="46" t="str">
        <f t="shared" si="34"/>
        <v/>
      </c>
      <c r="L121" s="46" t="str">
        <f t="shared" si="35"/>
        <v/>
      </c>
      <c r="M121" s="30"/>
      <c r="N121" s="30"/>
      <c r="O121" s="30"/>
      <c r="P121" s="30"/>
      <c r="Q121" s="46" t="str">
        <f t="shared" si="36"/>
        <v/>
      </c>
      <c r="R121" s="46" t="str">
        <f t="shared" si="37"/>
        <v/>
      </c>
      <c r="S121" s="30"/>
      <c r="T121" s="31"/>
      <c r="U121" s="30"/>
      <c r="V121" s="30"/>
      <c r="W121" s="37"/>
      <c r="X121" s="52" t="str">
        <f t="shared" si="38"/>
        <v/>
      </c>
      <c r="Y121" s="52" t="str">
        <f t="shared" si="39"/>
        <v/>
      </c>
    </row>
    <row r="122" spans="1:25" s="22" customFormat="1" x14ac:dyDescent="0.25">
      <c r="A122" s="26"/>
      <c r="B122" s="28"/>
      <c r="C122" s="27"/>
      <c r="D122" s="27"/>
      <c r="E122" s="45" t="str">
        <f t="shared" si="30"/>
        <v/>
      </c>
      <c r="F122" s="45" t="str">
        <f t="shared" si="31"/>
        <v/>
      </c>
      <c r="G122" s="27"/>
      <c r="H122" s="45" t="str">
        <f t="shared" si="32"/>
        <v/>
      </c>
      <c r="I122" s="45" t="str">
        <f t="shared" si="33"/>
        <v/>
      </c>
      <c r="J122" s="27"/>
      <c r="K122" s="45" t="str">
        <f t="shared" si="34"/>
        <v/>
      </c>
      <c r="L122" s="45" t="str">
        <f t="shared" si="35"/>
        <v/>
      </c>
      <c r="M122" s="27"/>
      <c r="N122" s="27"/>
      <c r="O122" s="27"/>
      <c r="P122" s="27"/>
      <c r="Q122" s="45" t="str">
        <f t="shared" si="36"/>
        <v/>
      </c>
      <c r="R122" s="45" t="str">
        <f t="shared" si="37"/>
        <v/>
      </c>
      <c r="S122" s="27"/>
      <c r="T122" s="28"/>
      <c r="U122" s="27"/>
      <c r="V122" s="27"/>
      <c r="W122" s="36"/>
      <c r="X122" s="53" t="str">
        <f t="shared" si="38"/>
        <v/>
      </c>
      <c r="Y122" s="53" t="str">
        <f t="shared" si="39"/>
        <v/>
      </c>
    </row>
    <row r="123" spans="1:25" s="22" customFormat="1" x14ac:dyDescent="0.25">
      <c r="A123" s="29"/>
      <c r="B123" s="31"/>
      <c r="C123" s="30"/>
      <c r="D123" s="30"/>
      <c r="E123" s="46" t="str">
        <f t="shared" si="30"/>
        <v/>
      </c>
      <c r="F123" s="46" t="str">
        <f t="shared" si="31"/>
        <v/>
      </c>
      <c r="G123" s="30"/>
      <c r="H123" s="46" t="str">
        <f t="shared" si="32"/>
        <v/>
      </c>
      <c r="I123" s="46" t="str">
        <f t="shared" si="33"/>
        <v/>
      </c>
      <c r="J123" s="30"/>
      <c r="K123" s="46" t="str">
        <f t="shared" si="34"/>
        <v/>
      </c>
      <c r="L123" s="46" t="str">
        <f t="shared" si="35"/>
        <v/>
      </c>
      <c r="M123" s="30"/>
      <c r="N123" s="30"/>
      <c r="O123" s="30"/>
      <c r="P123" s="30"/>
      <c r="Q123" s="46" t="str">
        <f t="shared" si="36"/>
        <v/>
      </c>
      <c r="R123" s="46" t="str">
        <f t="shared" si="37"/>
        <v/>
      </c>
      <c r="S123" s="30"/>
      <c r="T123" s="31"/>
      <c r="U123" s="30"/>
      <c r="V123" s="30"/>
      <c r="W123" s="37"/>
      <c r="X123" s="52" t="str">
        <f t="shared" si="38"/>
        <v/>
      </c>
      <c r="Y123" s="52" t="str">
        <f t="shared" si="39"/>
        <v/>
      </c>
    </row>
    <row r="124" spans="1:25" s="22" customFormat="1" x14ac:dyDescent="0.25">
      <c r="A124" s="26"/>
      <c r="B124" s="28"/>
      <c r="C124" s="27"/>
      <c r="D124" s="27"/>
      <c r="E124" s="45" t="str">
        <f t="shared" si="30"/>
        <v/>
      </c>
      <c r="F124" s="45" t="str">
        <f t="shared" si="31"/>
        <v/>
      </c>
      <c r="G124" s="27"/>
      <c r="H124" s="45" t="str">
        <f t="shared" si="32"/>
        <v/>
      </c>
      <c r="I124" s="45" t="str">
        <f t="shared" si="33"/>
        <v/>
      </c>
      <c r="J124" s="27"/>
      <c r="K124" s="45" t="str">
        <f t="shared" si="34"/>
        <v/>
      </c>
      <c r="L124" s="45" t="str">
        <f t="shared" si="35"/>
        <v/>
      </c>
      <c r="M124" s="27"/>
      <c r="N124" s="27"/>
      <c r="O124" s="27"/>
      <c r="P124" s="27"/>
      <c r="Q124" s="45" t="str">
        <f t="shared" si="36"/>
        <v/>
      </c>
      <c r="R124" s="45" t="str">
        <f t="shared" si="37"/>
        <v/>
      </c>
      <c r="S124" s="27"/>
      <c r="T124" s="28"/>
      <c r="U124" s="27"/>
      <c r="V124" s="27"/>
      <c r="W124" s="36"/>
      <c r="X124" s="53" t="str">
        <f t="shared" si="38"/>
        <v/>
      </c>
      <c r="Y124" s="53" t="str">
        <f t="shared" si="39"/>
        <v/>
      </c>
    </row>
    <row r="125" spans="1:25" s="22" customFormat="1" x14ac:dyDescent="0.25">
      <c r="A125" s="29"/>
      <c r="B125" s="31"/>
      <c r="C125" s="30"/>
      <c r="D125" s="30"/>
      <c r="E125" s="46" t="str">
        <f t="shared" si="30"/>
        <v/>
      </c>
      <c r="F125" s="46" t="str">
        <f t="shared" si="31"/>
        <v/>
      </c>
      <c r="G125" s="30"/>
      <c r="H125" s="46" t="str">
        <f t="shared" si="32"/>
        <v/>
      </c>
      <c r="I125" s="46" t="str">
        <f t="shared" si="33"/>
        <v/>
      </c>
      <c r="J125" s="30"/>
      <c r="K125" s="46" t="str">
        <f t="shared" si="34"/>
        <v/>
      </c>
      <c r="L125" s="46" t="str">
        <f t="shared" si="35"/>
        <v/>
      </c>
      <c r="M125" s="30"/>
      <c r="N125" s="30"/>
      <c r="O125" s="30"/>
      <c r="P125" s="30"/>
      <c r="Q125" s="46" t="str">
        <f t="shared" si="36"/>
        <v/>
      </c>
      <c r="R125" s="46" t="str">
        <f t="shared" si="37"/>
        <v/>
      </c>
      <c r="S125" s="30"/>
      <c r="T125" s="31"/>
      <c r="U125" s="30"/>
      <c r="V125" s="30"/>
      <c r="W125" s="37"/>
      <c r="X125" s="52" t="str">
        <f t="shared" si="38"/>
        <v/>
      </c>
      <c r="Y125" s="52" t="str">
        <f t="shared" si="39"/>
        <v/>
      </c>
    </row>
    <row r="126" spans="1:25" s="22" customFormat="1" x14ac:dyDescent="0.25">
      <c r="A126" s="26"/>
      <c r="B126" s="28"/>
      <c r="C126" s="27"/>
      <c r="D126" s="27"/>
      <c r="E126" s="45" t="str">
        <f t="shared" si="30"/>
        <v/>
      </c>
      <c r="F126" s="45" t="str">
        <f t="shared" si="31"/>
        <v/>
      </c>
      <c r="G126" s="27"/>
      <c r="H126" s="45" t="str">
        <f t="shared" si="32"/>
        <v/>
      </c>
      <c r="I126" s="45" t="str">
        <f t="shared" si="33"/>
        <v/>
      </c>
      <c r="J126" s="27"/>
      <c r="K126" s="45" t="str">
        <f t="shared" si="34"/>
        <v/>
      </c>
      <c r="L126" s="45" t="str">
        <f t="shared" si="35"/>
        <v/>
      </c>
      <c r="M126" s="27"/>
      <c r="N126" s="27"/>
      <c r="O126" s="27"/>
      <c r="P126" s="27"/>
      <c r="Q126" s="45" t="str">
        <f t="shared" si="36"/>
        <v/>
      </c>
      <c r="R126" s="45" t="str">
        <f t="shared" si="37"/>
        <v/>
      </c>
      <c r="S126" s="27"/>
      <c r="T126" s="28"/>
      <c r="U126" s="27"/>
      <c r="V126" s="27"/>
      <c r="W126" s="36"/>
      <c r="X126" s="53" t="str">
        <f t="shared" si="38"/>
        <v/>
      </c>
      <c r="Y126" s="53" t="str">
        <f t="shared" si="39"/>
        <v/>
      </c>
    </row>
    <row r="127" spans="1:25" s="22" customFormat="1" x14ac:dyDescent="0.25">
      <c r="A127" s="29"/>
      <c r="B127" s="31"/>
      <c r="C127" s="30"/>
      <c r="D127" s="30"/>
      <c r="E127" s="46" t="str">
        <f t="shared" si="30"/>
        <v/>
      </c>
      <c r="F127" s="46" t="str">
        <f t="shared" si="31"/>
        <v/>
      </c>
      <c r="G127" s="30"/>
      <c r="H127" s="46" t="str">
        <f t="shared" si="32"/>
        <v/>
      </c>
      <c r="I127" s="46" t="str">
        <f t="shared" si="33"/>
        <v/>
      </c>
      <c r="J127" s="30"/>
      <c r="K127" s="46" t="str">
        <f t="shared" si="34"/>
        <v/>
      </c>
      <c r="L127" s="46" t="str">
        <f t="shared" si="35"/>
        <v/>
      </c>
      <c r="M127" s="30"/>
      <c r="N127" s="30"/>
      <c r="O127" s="30"/>
      <c r="P127" s="30"/>
      <c r="Q127" s="46" t="str">
        <f t="shared" si="36"/>
        <v/>
      </c>
      <c r="R127" s="46" t="str">
        <f t="shared" si="37"/>
        <v/>
      </c>
      <c r="S127" s="30"/>
      <c r="T127" s="31"/>
      <c r="U127" s="30"/>
      <c r="V127" s="30"/>
      <c r="W127" s="37"/>
      <c r="X127" s="52" t="str">
        <f t="shared" si="38"/>
        <v/>
      </c>
      <c r="Y127" s="52" t="str">
        <f t="shared" si="39"/>
        <v/>
      </c>
    </row>
    <row r="128" spans="1:25" s="22" customFormat="1" x14ac:dyDescent="0.25">
      <c r="A128" s="26"/>
      <c r="B128" s="28"/>
      <c r="C128" s="27"/>
      <c r="D128" s="27"/>
      <c r="E128" s="45" t="str">
        <f t="shared" si="30"/>
        <v/>
      </c>
      <c r="F128" s="45" t="str">
        <f t="shared" si="31"/>
        <v/>
      </c>
      <c r="G128" s="27"/>
      <c r="H128" s="45" t="str">
        <f t="shared" si="32"/>
        <v/>
      </c>
      <c r="I128" s="45" t="str">
        <f t="shared" si="33"/>
        <v/>
      </c>
      <c r="J128" s="27"/>
      <c r="K128" s="45" t="str">
        <f t="shared" si="34"/>
        <v/>
      </c>
      <c r="L128" s="45" t="str">
        <f t="shared" si="35"/>
        <v/>
      </c>
      <c r="M128" s="27"/>
      <c r="N128" s="27"/>
      <c r="O128" s="27"/>
      <c r="P128" s="27"/>
      <c r="Q128" s="45" t="str">
        <f t="shared" si="36"/>
        <v/>
      </c>
      <c r="R128" s="45" t="str">
        <f t="shared" si="37"/>
        <v/>
      </c>
      <c r="S128" s="27"/>
      <c r="T128" s="28"/>
      <c r="U128" s="27"/>
      <c r="V128" s="27"/>
      <c r="W128" s="36"/>
      <c r="X128" s="53" t="str">
        <f t="shared" si="38"/>
        <v/>
      </c>
      <c r="Y128" s="53" t="str">
        <f t="shared" si="39"/>
        <v/>
      </c>
    </row>
    <row r="129" spans="1:25" s="22" customFormat="1" x14ac:dyDescent="0.25">
      <c r="A129" s="29"/>
      <c r="B129" s="31"/>
      <c r="C129" s="30"/>
      <c r="D129" s="30"/>
      <c r="E129" s="46" t="str">
        <f t="shared" si="30"/>
        <v/>
      </c>
      <c r="F129" s="46" t="str">
        <f t="shared" si="31"/>
        <v/>
      </c>
      <c r="G129" s="30"/>
      <c r="H129" s="46" t="str">
        <f t="shared" si="32"/>
        <v/>
      </c>
      <c r="I129" s="46" t="str">
        <f t="shared" si="33"/>
        <v/>
      </c>
      <c r="J129" s="30"/>
      <c r="K129" s="46" t="str">
        <f t="shared" si="34"/>
        <v/>
      </c>
      <c r="L129" s="46" t="str">
        <f t="shared" si="35"/>
        <v/>
      </c>
      <c r="M129" s="30"/>
      <c r="N129" s="30"/>
      <c r="O129" s="30"/>
      <c r="P129" s="30"/>
      <c r="Q129" s="46" t="str">
        <f t="shared" si="36"/>
        <v/>
      </c>
      <c r="R129" s="46" t="str">
        <f t="shared" si="37"/>
        <v/>
      </c>
      <c r="S129" s="30"/>
      <c r="T129" s="31"/>
      <c r="U129" s="30"/>
      <c r="V129" s="30"/>
      <c r="W129" s="37"/>
      <c r="X129" s="52" t="str">
        <f t="shared" si="38"/>
        <v/>
      </c>
      <c r="Y129" s="52" t="str">
        <f t="shared" si="39"/>
        <v/>
      </c>
    </row>
    <row r="130" spans="1:25" s="22" customFormat="1" x14ac:dyDescent="0.25">
      <c r="A130" s="26"/>
      <c r="B130" s="28"/>
      <c r="C130" s="27"/>
      <c r="D130" s="27"/>
      <c r="E130" s="45" t="str">
        <f t="shared" si="30"/>
        <v/>
      </c>
      <c r="F130" s="45" t="str">
        <f t="shared" si="31"/>
        <v/>
      </c>
      <c r="G130" s="27"/>
      <c r="H130" s="45" t="str">
        <f t="shared" si="32"/>
        <v/>
      </c>
      <c r="I130" s="45" t="str">
        <f t="shared" si="33"/>
        <v/>
      </c>
      <c r="J130" s="27"/>
      <c r="K130" s="45" t="str">
        <f t="shared" si="34"/>
        <v/>
      </c>
      <c r="L130" s="45" t="str">
        <f t="shared" si="35"/>
        <v/>
      </c>
      <c r="M130" s="27"/>
      <c r="N130" s="27"/>
      <c r="O130" s="27"/>
      <c r="P130" s="27"/>
      <c r="Q130" s="45" t="str">
        <f t="shared" si="36"/>
        <v/>
      </c>
      <c r="R130" s="45" t="str">
        <f t="shared" si="37"/>
        <v/>
      </c>
      <c r="S130" s="27"/>
      <c r="T130" s="28"/>
      <c r="U130" s="27"/>
      <c r="V130" s="27"/>
      <c r="W130" s="36"/>
      <c r="X130" s="53" t="str">
        <f t="shared" si="38"/>
        <v/>
      </c>
      <c r="Y130" s="53" t="str">
        <f t="shared" si="39"/>
        <v/>
      </c>
    </row>
    <row r="131" spans="1:25" s="22" customFormat="1" x14ac:dyDescent="0.25">
      <c r="A131" s="29"/>
      <c r="B131" s="31"/>
      <c r="C131" s="30"/>
      <c r="D131" s="30"/>
      <c r="E131" s="46" t="str">
        <f t="shared" si="30"/>
        <v/>
      </c>
      <c r="F131" s="46" t="str">
        <f t="shared" si="31"/>
        <v/>
      </c>
      <c r="G131" s="30"/>
      <c r="H131" s="46" t="str">
        <f t="shared" si="32"/>
        <v/>
      </c>
      <c r="I131" s="46" t="str">
        <f t="shared" si="33"/>
        <v/>
      </c>
      <c r="J131" s="30"/>
      <c r="K131" s="46" t="str">
        <f t="shared" si="34"/>
        <v/>
      </c>
      <c r="L131" s="46" t="str">
        <f t="shared" si="35"/>
        <v/>
      </c>
      <c r="M131" s="30"/>
      <c r="N131" s="30"/>
      <c r="O131" s="30"/>
      <c r="P131" s="30"/>
      <c r="Q131" s="46" t="str">
        <f t="shared" si="36"/>
        <v/>
      </c>
      <c r="R131" s="46" t="str">
        <f t="shared" si="37"/>
        <v/>
      </c>
      <c r="S131" s="30"/>
      <c r="T131" s="31"/>
      <c r="U131" s="30"/>
      <c r="V131" s="30"/>
      <c r="W131" s="37"/>
      <c r="X131" s="52" t="str">
        <f t="shared" si="38"/>
        <v/>
      </c>
      <c r="Y131" s="52" t="str">
        <f t="shared" si="39"/>
        <v/>
      </c>
    </row>
    <row r="132" spans="1:25" s="22" customFormat="1" x14ac:dyDescent="0.25">
      <c r="A132" s="26"/>
      <c r="B132" s="28"/>
      <c r="C132" s="27"/>
      <c r="D132" s="27"/>
      <c r="E132" s="45" t="str">
        <f t="shared" si="30"/>
        <v/>
      </c>
      <c r="F132" s="45" t="str">
        <f t="shared" si="31"/>
        <v/>
      </c>
      <c r="G132" s="27"/>
      <c r="H132" s="45" t="str">
        <f t="shared" si="32"/>
        <v/>
      </c>
      <c r="I132" s="45" t="str">
        <f t="shared" si="33"/>
        <v/>
      </c>
      <c r="J132" s="27"/>
      <c r="K132" s="45" t="str">
        <f t="shared" si="34"/>
        <v/>
      </c>
      <c r="L132" s="45" t="str">
        <f t="shared" si="35"/>
        <v/>
      </c>
      <c r="M132" s="27"/>
      <c r="N132" s="27"/>
      <c r="O132" s="27"/>
      <c r="P132" s="27"/>
      <c r="Q132" s="45" t="str">
        <f t="shared" si="36"/>
        <v/>
      </c>
      <c r="R132" s="45" t="str">
        <f t="shared" si="37"/>
        <v/>
      </c>
      <c r="S132" s="27"/>
      <c r="T132" s="28"/>
      <c r="U132" s="27"/>
      <c r="V132" s="27"/>
      <c r="W132" s="36"/>
      <c r="X132" s="53" t="str">
        <f t="shared" si="38"/>
        <v/>
      </c>
      <c r="Y132" s="53" t="str">
        <f t="shared" si="39"/>
        <v/>
      </c>
    </row>
    <row r="133" spans="1:25" s="22" customFormat="1" x14ac:dyDescent="0.25">
      <c r="A133" s="29"/>
      <c r="B133" s="31"/>
      <c r="C133" s="30"/>
      <c r="D133" s="30"/>
      <c r="E133" s="46" t="str">
        <f t="shared" si="30"/>
        <v/>
      </c>
      <c r="F133" s="46" t="str">
        <f t="shared" si="31"/>
        <v/>
      </c>
      <c r="G133" s="30"/>
      <c r="H133" s="46" t="str">
        <f t="shared" si="32"/>
        <v/>
      </c>
      <c r="I133" s="46" t="str">
        <f t="shared" si="33"/>
        <v/>
      </c>
      <c r="J133" s="30"/>
      <c r="K133" s="46" t="str">
        <f t="shared" si="34"/>
        <v/>
      </c>
      <c r="L133" s="46" t="str">
        <f t="shared" si="35"/>
        <v/>
      </c>
      <c r="M133" s="30"/>
      <c r="N133" s="30"/>
      <c r="O133" s="30"/>
      <c r="P133" s="30"/>
      <c r="Q133" s="46" t="str">
        <f t="shared" si="36"/>
        <v/>
      </c>
      <c r="R133" s="46" t="str">
        <f t="shared" si="37"/>
        <v/>
      </c>
      <c r="S133" s="30"/>
      <c r="T133" s="31"/>
      <c r="U133" s="30"/>
      <c r="V133" s="30"/>
      <c r="W133" s="37"/>
      <c r="X133" s="52" t="str">
        <f t="shared" si="38"/>
        <v/>
      </c>
      <c r="Y133" s="52" t="str">
        <f t="shared" si="39"/>
        <v/>
      </c>
    </row>
    <row r="134" spans="1:25" s="22" customFormat="1" x14ac:dyDescent="0.25">
      <c r="A134" s="26"/>
      <c r="B134" s="28"/>
      <c r="C134" s="27"/>
      <c r="D134" s="27"/>
      <c r="E134" s="45" t="str">
        <f t="shared" ref="E134:E165" si="40">IF(D134="","",_xlfn.TRANSLATE(D134,"vi","ja"))</f>
        <v/>
      </c>
      <c r="F134" s="45" t="str">
        <f t="shared" ref="F134:F165" si="41">IF(D134="","",_xlfn.TRANSLATE(D134,"vi","zh-Hans"))</f>
        <v/>
      </c>
      <c r="G134" s="27"/>
      <c r="H134" s="45" t="str">
        <f t="shared" ref="H134:H165" si="42">IF(G134="","",_xlfn.TRANSLATE(G134,"vi","ja"))</f>
        <v/>
      </c>
      <c r="I134" s="45" t="str">
        <f t="shared" ref="I134:I165" si="43">IF(G134="","",_xlfn.TRANSLATE(G134,"vi","zh-Hans"))</f>
        <v/>
      </c>
      <c r="J134" s="27"/>
      <c r="K134" s="45" t="str">
        <f t="shared" ref="K134:K165" si="44">IF(J134="","",_xlfn.TRANSLATE(J134,"vi","ja"))</f>
        <v/>
      </c>
      <c r="L134" s="45" t="str">
        <f t="shared" ref="L134:L165" si="45">IF(J134="","",_xlfn.TRANSLATE(J134,"vi","zh-Hans"))</f>
        <v/>
      </c>
      <c r="M134" s="27"/>
      <c r="N134" s="27"/>
      <c r="O134" s="27"/>
      <c r="P134" s="27"/>
      <c r="Q134" s="45" t="str">
        <f t="shared" ref="Q134:Q165" si="46">IF(P134="","",_xlfn.TRANSLATE(P134,"vi","ja"))</f>
        <v/>
      </c>
      <c r="R134" s="45" t="str">
        <f t="shared" ref="R134:R165" si="47">IF(P134="","",_xlfn.TRANSLATE(P134,"vi","zh-Hans"))</f>
        <v/>
      </c>
      <c r="S134" s="27"/>
      <c r="T134" s="28"/>
      <c r="U134" s="27"/>
      <c r="V134" s="27"/>
      <c r="W134" s="36"/>
      <c r="X134" s="53" t="str">
        <f t="shared" ref="X134:X165" si="48">IF(W134="","",_xlfn.TRANSLATE(W134,"vi","ja"))</f>
        <v/>
      </c>
      <c r="Y134" s="53" t="str">
        <f t="shared" ref="Y134:Y165" si="49">IF(W134="","",_xlfn.TRANSLATE(W134,"vi","zh-Hans"))</f>
        <v/>
      </c>
    </row>
    <row r="135" spans="1:25" s="22" customFormat="1" x14ac:dyDescent="0.25">
      <c r="A135" s="29"/>
      <c r="B135" s="31"/>
      <c r="C135" s="30"/>
      <c r="D135" s="30"/>
      <c r="E135" s="46" t="str">
        <f t="shared" si="40"/>
        <v/>
      </c>
      <c r="F135" s="46" t="str">
        <f t="shared" si="41"/>
        <v/>
      </c>
      <c r="G135" s="30"/>
      <c r="H135" s="46" t="str">
        <f t="shared" si="42"/>
        <v/>
      </c>
      <c r="I135" s="46" t="str">
        <f t="shared" si="43"/>
        <v/>
      </c>
      <c r="J135" s="30"/>
      <c r="K135" s="46" t="str">
        <f t="shared" si="44"/>
        <v/>
      </c>
      <c r="L135" s="46" t="str">
        <f t="shared" si="45"/>
        <v/>
      </c>
      <c r="M135" s="30"/>
      <c r="N135" s="30"/>
      <c r="O135" s="30"/>
      <c r="P135" s="30"/>
      <c r="Q135" s="46" t="str">
        <f t="shared" si="46"/>
        <v/>
      </c>
      <c r="R135" s="46" t="str">
        <f t="shared" si="47"/>
        <v/>
      </c>
      <c r="S135" s="30"/>
      <c r="T135" s="31"/>
      <c r="U135" s="30"/>
      <c r="V135" s="30"/>
      <c r="W135" s="37"/>
      <c r="X135" s="52" t="str">
        <f t="shared" si="48"/>
        <v/>
      </c>
      <c r="Y135" s="52" t="str">
        <f t="shared" si="49"/>
        <v/>
      </c>
    </row>
    <row r="136" spans="1:25" s="22" customFormat="1" x14ac:dyDescent="0.25">
      <c r="A136" s="26"/>
      <c r="B136" s="28"/>
      <c r="C136" s="27"/>
      <c r="D136" s="27"/>
      <c r="E136" s="45" t="str">
        <f t="shared" si="40"/>
        <v/>
      </c>
      <c r="F136" s="45" t="str">
        <f t="shared" si="41"/>
        <v/>
      </c>
      <c r="G136" s="27"/>
      <c r="H136" s="45" t="str">
        <f t="shared" si="42"/>
        <v/>
      </c>
      <c r="I136" s="45" t="str">
        <f t="shared" si="43"/>
        <v/>
      </c>
      <c r="J136" s="27"/>
      <c r="K136" s="45" t="str">
        <f t="shared" si="44"/>
        <v/>
      </c>
      <c r="L136" s="45" t="str">
        <f t="shared" si="45"/>
        <v/>
      </c>
      <c r="M136" s="27"/>
      <c r="N136" s="27"/>
      <c r="O136" s="27"/>
      <c r="P136" s="27"/>
      <c r="Q136" s="45" t="str">
        <f t="shared" si="46"/>
        <v/>
      </c>
      <c r="R136" s="45" t="str">
        <f t="shared" si="47"/>
        <v/>
      </c>
      <c r="S136" s="27"/>
      <c r="T136" s="28"/>
      <c r="U136" s="27"/>
      <c r="V136" s="27"/>
      <c r="W136" s="36"/>
      <c r="X136" s="53" t="str">
        <f t="shared" si="48"/>
        <v/>
      </c>
      <c r="Y136" s="53" t="str">
        <f t="shared" si="49"/>
        <v/>
      </c>
    </row>
    <row r="137" spans="1:25" s="22" customFormat="1" x14ac:dyDescent="0.25">
      <c r="A137" s="29"/>
      <c r="B137" s="31"/>
      <c r="C137" s="30"/>
      <c r="D137" s="30"/>
      <c r="E137" s="46" t="str">
        <f t="shared" si="40"/>
        <v/>
      </c>
      <c r="F137" s="46" t="str">
        <f t="shared" si="41"/>
        <v/>
      </c>
      <c r="G137" s="30"/>
      <c r="H137" s="46" t="str">
        <f t="shared" si="42"/>
        <v/>
      </c>
      <c r="I137" s="46" t="str">
        <f t="shared" si="43"/>
        <v/>
      </c>
      <c r="J137" s="30"/>
      <c r="K137" s="46" t="str">
        <f t="shared" si="44"/>
        <v/>
      </c>
      <c r="L137" s="46" t="str">
        <f t="shared" si="45"/>
        <v/>
      </c>
      <c r="M137" s="30"/>
      <c r="N137" s="30"/>
      <c r="O137" s="30"/>
      <c r="P137" s="30"/>
      <c r="Q137" s="46" t="str">
        <f t="shared" si="46"/>
        <v/>
      </c>
      <c r="R137" s="46" t="str">
        <f t="shared" si="47"/>
        <v/>
      </c>
      <c r="S137" s="30"/>
      <c r="T137" s="31"/>
      <c r="U137" s="30"/>
      <c r="V137" s="30"/>
      <c r="W137" s="37"/>
      <c r="X137" s="52" t="str">
        <f t="shared" si="48"/>
        <v/>
      </c>
      <c r="Y137" s="52" t="str">
        <f t="shared" si="49"/>
        <v/>
      </c>
    </row>
    <row r="138" spans="1:25" s="22" customFormat="1" x14ac:dyDescent="0.25">
      <c r="A138" s="26"/>
      <c r="B138" s="28"/>
      <c r="C138" s="27"/>
      <c r="D138" s="27"/>
      <c r="E138" s="45" t="str">
        <f t="shared" si="40"/>
        <v/>
      </c>
      <c r="F138" s="45" t="str">
        <f t="shared" si="41"/>
        <v/>
      </c>
      <c r="G138" s="27"/>
      <c r="H138" s="45" t="str">
        <f t="shared" si="42"/>
        <v/>
      </c>
      <c r="I138" s="45" t="str">
        <f t="shared" si="43"/>
        <v/>
      </c>
      <c r="J138" s="27"/>
      <c r="K138" s="45" t="str">
        <f t="shared" si="44"/>
        <v/>
      </c>
      <c r="L138" s="45" t="str">
        <f t="shared" si="45"/>
        <v/>
      </c>
      <c r="M138" s="27"/>
      <c r="N138" s="27"/>
      <c r="O138" s="27"/>
      <c r="P138" s="27"/>
      <c r="Q138" s="45" t="str">
        <f t="shared" si="46"/>
        <v/>
      </c>
      <c r="R138" s="45" t="str">
        <f t="shared" si="47"/>
        <v/>
      </c>
      <c r="S138" s="27"/>
      <c r="T138" s="28"/>
      <c r="U138" s="27"/>
      <c r="V138" s="27"/>
      <c r="W138" s="36"/>
      <c r="X138" s="53" t="str">
        <f t="shared" si="48"/>
        <v/>
      </c>
      <c r="Y138" s="53" t="str">
        <f t="shared" si="49"/>
        <v/>
      </c>
    </row>
    <row r="139" spans="1:25" s="22" customFormat="1" x14ac:dyDescent="0.25">
      <c r="A139" s="29"/>
      <c r="B139" s="31"/>
      <c r="C139" s="30"/>
      <c r="D139" s="30"/>
      <c r="E139" s="46" t="str">
        <f t="shared" si="40"/>
        <v/>
      </c>
      <c r="F139" s="46" t="str">
        <f t="shared" si="41"/>
        <v/>
      </c>
      <c r="G139" s="30"/>
      <c r="H139" s="46" t="str">
        <f t="shared" si="42"/>
        <v/>
      </c>
      <c r="I139" s="46" t="str">
        <f t="shared" si="43"/>
        <v/>
      </c>
      <c r="J139" s="30"/>
      <c r="K139" s="46" t="str">
        <f t="shared" si="44"/>
        <v/>
      </c>
      <c r="L139" s="46" t="str">
        <f t="shared" si="45"/>
        <v/>
      </c>
      <c r="M139" s="30"/>
      <c r="N139" s="30"/>
      <c r="O139" s="30"/>
      <c r="P139" s="30"/>
      <c r="Q139" s="46" t="str">
        <f t="shared" si="46"/>
        <v/>
      </c>
      <c r="R139" s="46" t="str">
        <f t="shared" si="47"/>
        <v/>
      </c>
      <c r="S139" s="30"/>
      <c r="T139" s="31"/>
      <c r="U139" s="30"/>
      <c r="V139" s="30"/>
      <c r="W139" s="37"/>
      <c r="X139" s="52" t="str">
        <f t="shared" si="48"/>
        <v/>
      </c>
      <c r="Y139" s="52" t="str">
        <f t="shared" si="49"/>
        <v/>
      </c>
    </row>
    <row r="140" spans="1:25" s="22" customFormat="1" x14ac:dyDescent="0.25">
      <c r="A140" s="26"/>
      <c r="B140" s="28"/>
      <c r="C140" s="27"/>
      <c r="D140" s="27"/>
      <c r="E140" s="45" t="str">
        <f t="shared" si="40"/>
        <v/>
      </c>
      <c r="F140" s="45" t="str">
        <f t="shared" si="41"/>
        <v/>
      </c>
      <c r="G140" s="27"/>
      <c r="H140" s="45" t="str">
        <f t="shared" si="42"/>
        <v/>
      </c>
      <c r="I140" s="45" t="str">
        <f t="shared" si="43"/>
        <v/>
      </c>
      <c r="J140" s="27"/>
      <c r="K140" s="45" t="str">
        <f t="shared" si="44"/>
        <v/>
      </c>
      <c r="L140" s="45" t="str">
        <f t="shared" si="45"/>
        <v/>
      </c>
      <c r="M140" s="27"/>
      <c r="N140" s="27"/>
      <c r="O140" s="27"/>
      <c r="P140" s="27"/>
      <c r="Q140" s="45" t="str">
        <f t="shared" si="46"/>
        <v/>
      </c>
      <c r="R140" s="45" t="str">
        <f t="shared" si="47"/>
        <v/>
      </c>
      <c r="S140" s="27"/>
      <c r="T140" s="28"/>
      <c r="U140" s="27"/>
      <c r="V140" s="27"/>
      <c r="W140" s="36"/>
      <c r="X140" s="53" t="str">
        <f t="shared" si="48"/>
        <v/>
      </c>
      <c r="Y140" s="53" t="str">
        <f t="shared" si="49"/>
        <v/>
      </c>
    </row>
    <row r="141" spans="1:25" s="22" customFormat="1" x14ac:dyDescent="0.25">
      <c r="A141" s="29"/>
      <c r="B141" s="31"/>
      <c r="C141" s="30"/>
      <c r="D141" s="30"/>
      <c r="E141" s="46" t="str">
        <f t="shared" si="40"/>
        <v/>
      </c>
      <c r="F141" s="46" t="str">
        <f t="shared" si="41"/>
        <v/>
      </c>
      <c r="G141" s="30"/>
      <c r="H141" s="46" t="str">
        <f t="shared" si="42"/>
        <v/>
      </c>
      <c r="I141" s="46" t="str">
        <f t="shared" si="43"/>
        <v/>
      </c>
      <c r="J141" s="30"/>
      <c r="K141" s="46" t="str">
        <f t="shared" si="44"/>
        <v/>
      </c>
      <c r="L141" s="46" t="str">
        <f t="shared" si="45"/>
        <v/>
      </c>
      <c r="M141" s="30"/>
      <c r="N141" s="30"/>
      <c r="O141" s="30"/>
      <c r="P141" s="30"/>
      <c r="Q141" s="46" t="str">
        <f t="shared" si="46"/>
        <v/>
      </c>
      <c r="R141" s="46" t="str">
        <f t="shared" si="47"/>
        <v/>
      </c>
      <c r="S141" s="30"/>
      <c r="T141" s="31"/>
      <c r="U141" s="30"/>
      <c r="V141" s="30"/>
      <c r="W141" s="37"/>
      <c r="X141" s="52" t="str">
        <f t="shared" si="48"/>
        <v/>
      </c>
      <c r="Y141" s="52" t="str">
        <f t="shared" si="49"/>
        <v/>
      </c>
    </row>
    <row r="142" spans="1:25" s="22" customFormat="1" x14ac:dyDescent="0.25">
      <c r="A142" s="26"/>
      <c r="B142" s="28"/>
      <c r="C142" s="27"/>
      <c r="D142" s="27"/>
      <c r="E142" s="45" t="str">
        <f t="shared" si="40"/>
        <v/>
      </c>
      <c r="F142" s="45" t="str">
        <f t="shared" si="41"/>
        <v/>
      </c>
      <c r="G142" s="27"/>
      <c r="H142" s="45" t="str">
        <f t="shared" si="42"/>
        <v/>
      </c>
      <c r="I142" s="45" t="str">
        <f t="shared" si="43"/>
        <v/>
      </c>
      <c r="J142" s="27"/>
      <c r="K142" s="45" t="str">
        <f t="shared" si="44"/>
        <v/>
      </c>
      <c r="L142" s="45" t="str">
        <f t="shared" si="45"/>
        <v/>
      </c>
      <c r="M142" s="27"/>
      <c r="N142" s="27"/>
      <c r="O142" s="27"/>
      <c r="P142" s="27"/>
      <c r="Q142" s="45" t="str">
        <f t="shared" si="46"/>
        <v/>
      </c>
      <c r="R142" s="45" t="str">
        <f t="shared" si="47"/>
        <v/>
      </c>
      <c r="S142" s="27"/>
      <c r="T142" s="28"/>
      <c r="U142" s="27"/>
      <c r="V142" s="27"/>
      <c r="W142" s="36"/>
      <c r="X142" s="53" t="str">
        <f t="shared" si="48"/>
        <v/>
      </c>
      <c r="Y142" s="53" t="str">
        <f t="shared" si="49"/>
        <v/>
      </c>
    </row>
    <row r="143" spans="1:25" s="22" customFormat="1" x14ac:dyDescent="0.25">
      <c r="A143" s="29"/>
      <c r="B143" s="31"/>
      <c r="C143" s="30"/>
      <c r="D143" s="30"/>
      <c r="E143" s="46" t="str">
        <f t="shared" si="40"/>
        <v/>
      </c>
      <c r="F143" s="46" t="str">
        <f t="shared" si="41"/>
        <v/>
      </c>
      <c r="G143" s="30"/>
      <c r="H143" s="46" t="str">
        <f t="shared" si="42"/>
        <v/>
      </c>
      <c r="I143" s="46" t="str">
        <f t="shared" si="43"/>
        <v/>
      </c>
      <c r="J143" s="30"/>
      <c r="K143" s="46" t="str">
        <f t="shared" si="44"/>
        <v/>
      </c>
      <c r="L143" s="46" t="str">
        <f t="shared" si="45"/>
        <v/>
      </c>
      <c r="M143" s="30"/>
      <c r="N143" s="30"/>
      <c r="O143" s="30"/>
      <c r="P143" s="30"/>
      <c r="Q143" s="46" t="str">
        <f t="shared" si="46"/>
        <v/>
      </c>
      <c r="R143" s="46" t="str">
        <f t="shared" si="47"/>
        <v/>
      </c>
      <c r="S143" s="30"/>
      <c r="T143" s="31"/>
      <c r="U143" s="30"/>
      <c r="V143" s="30"/>
      <c r="W143" s="37"/>
      <c r="X143" s="52" t="str">
        <f t="shared" si="48"/>
        <v/>
      </c>
      <c r="Y143" s="52" t="str">
        <f t="shared" si="49"/>
        <v/>
      </c>
    </row>
    <row r="144" spans="1:25" s="22" customFormat="1" x14ac:dyDescent="0.25">
      <c r="A144" s="26"/>
      <c r="B144" s="28"/>
      <c r="C144" s="27"/>
      <c r="D144" s="27"/>
      <c r="E144" s="45" t="str">
        <f t="shared" si="40"/>
        <v/>
      </c>
      <c r="F144" s="45" t="str">
        <f t="shared" si="41"/>
        <v/>
      </c>
      <c r="G144" s="27"/>
      <c r="H144" s="45" t="str">
        <f t="shared" si="42"/>
        <v/>
      </c>
      <c r="I144" s="45" t="str">
        <f t="shared" si="43"/>
        <v/>
      </c>
      <c r="J144" s="27"/>
      <c r="K144" s="45" t="str">
        <f t="shared" si="44"/>
        <v/>
      </c>
      <c r="L144" s="45" t="str">
        <f t="shared" si="45"/>
        <v/>
      </c>
      <c r="M144" s="27"/>
      <c r="N144" s="27"/>
      <c r="O144" s="27"/>
      <c r="P144" s="27"/>
      <c r="Q144" s="45" t="str">
        <f t="shared" si="46"/>
        <v/>
      </c>
      <c r="R144" s="45" t="str">
        <f t="shared" si="47"/>
        <v/>
      </c>
      <c r="S144" s="27"/>
      <c r="T144" s="28"/>
      <c r="U144" s="27"/>
      <c r="V144" s="27"/>
      <c r="W144" s="36"/>
      <c r="X144" s="53" t="str">
        <f t="shared" si="48"/>
        <v/>
      </c>
      <c r="Y144" s="53" t="str">
        <f t="shared" si="49"/>
        <v/>
      </c>
    </row>
    <row r="145" spans="1:25" s="22" customFormat="1" x14ac:dyDescent="0.25">
      <c r="A145" s="29"/>
      <c r="B145" s="31"/>
      <c r="C145" s="30"/>
      <c r="D145" s="30"/>
      <c r="E145" s="46" t="str">
        <f t="shared" si="40"/>
        <v/>
      </c>
      <c r="F145" s="46" t="str">
        <f t="shared" si="41"/>
        <v/>
      </c>
      <c r="G145" s="30"/>
      <c r="H145" s="46" t="str">
        <f t="shared" si="42"/>
        <v/>
      </c>
      <c r="I145" s="46" t="str">
        <f t="shared" si="43"/>
        <v/>
      </c>
      <c r="J145" s="30"/>
      <c r="K145" s="46" t="str">
        <f t="shared" si="44"/>
        <v/>
      </c>
      <c r="L145" s="46" t="str">
        <f t="shared" si="45"/>
        <v/>
      </c>
      <c r="M145" s="30"/>
      <c r="N145" s="30"/>
      <c r="O145" s="30"/>
      <c r="P145" s="30"/>
      <c r="Q145" s="46" t="str">
        <f t="shared" si="46"/>
        <v/>
      </c>
      <c r="R145" s="46" t="str">
        <f t="shared" si="47"/>
        <v/>
      </c>
      <c r="S145" s="30"/>
      <c r="T145" s="31"/>
      <c r="U145" s="30"/>
      <c r="V145" s="30"/>
      <c r="W145" s="37"/>
      <c r="X145" s="52" t="str">
        <f t="shared" si="48"/>
        <v/>
      </c>
      <c r="Y145" s="52" t="str">
        <f t="shared" si="49"/>
        <v/>
      </c>
    </row>
    <row r="146" spans="1:25" s="22" customFormat="1" x14ac:dyDescent="0.25">
      <c r="A146" s="26"/>
      <c r="B146" s="28"/>
      <c r="C146" s="27"/>
      <c r="D146" s="27"/>
      <c r="E146" s="45" t="str">
        <f t="shared" si="40"/>
        <v/>
      </c>
      <c r="F146" s="45" t="str">
        <f t="shared" si="41"/>
        <v/>
      </c>
      <c r="G146" s="27"/>
      <c r="H146" s="45" t="str">
        <f t="shared" si="42"/>
        <v/>
      </c>
      <c r="I146" s="45" t="str">
        <f t="shared" si="43"/>
        <v/>
      </c>
      <c r="J146" s="27"/>
      <c r="K146" s="45" t="str">
        <f t="shared" si="44"/>
        <v/>
      </c>
      <c r="L146" s="45" t="str">
        <f t="shared" si="45"/>
        <v/>
      </c>
      <c r="M146" s="27"/>
      <c r="N146" s="27"/>
      <c r="O146" s="27"/>
      <c r="P146" s="27"/>
      <c r="Q146" s="45" t="str">
        <f t="shared" si="46"/>
        <v/>
      </c>
      <c r="R146" s="45" t="str">
        <f t="shared" si="47"/>
        <v/>
      </c>
      <c r="S146" s="27"/>
      <c r="T146" s="28"/>
      <c r="U146" s="27"/>
      <c r="V146" s="27"/>
      <c r="W146" s="36"/>
      <c r="X146" s="53" t="str">
        <f t="shared" si="48"/>
        <v/>
      </c>
      <c r="Y146" s="53" t="str">
        <f t="shared" si="49"/>
        <v/>
      </c>
    </row>
    <row r="147" spans="1:25" s="22" customFormat="1" x14ac:dyDescent="0.25">
      <c r="A147" s="29"/>
      <c r="B147" s="31"/>
      <c r="C147" s="30"/>
      <c r="D147" s="30"/>
      <c r="E147" s="46" t="str">
        <f t="shared" si="40"/>
        <v/>
      </c>
      <c r="F147" s="46" t="str">
        <f t="shared" si="41"/>
        <v/>
      </c>
      <c r="G147" s="30"/>
      <c r="H147" s="46" t="str">
        <f t="shared" si="42"/>
        <v/>
      </c>
      <c r="I147" s="46" t="str">
        <f t="shared" si="43"/>
        <v/>
      </c>
      <c r="J147" s="30"/>
      <c r="K147" s="46" t="str">
        <f t="shared" si="44"/>
        <v/>
      </c>
      <c r="L147" s="46" t="str">
        <f t="shared" si="45"/>
        <v/>
      </c>
      <c r="M147" s="30"/>
      <c r="N147" s="30"/>
      <c r="O147" s="30"/>
      <c r="P147" s="30"/>
      <c r="Q147" s="46" t="str">
        <f t="shared" si="46"/>
        <v/>
      </c>
      <c r="R147" s="46" t="str">
        <f t="shared" si="47"/>
        <v/>
      </c>
      <c r="S147" s="30"/>
      <c r="T147" s="31"/>
      <c r="U147" s="30"/>
      <c r="V147" s="30"/>
      <c r="W147" s="37"/>
      <c r="X147" s="52" t="str">
        <f t="shared" si="48"/>
        <v/>
      </c>
      <c r="Y147" s="52" t="str">
        <f t="shared" si="49"/>
        <v/>
      </c>
    </row>
    <row r="148" spans="1:25" s="22" customFormat="1" x14ac:dyDescent="0.25">
      <c r="A148" s="26"/>
      <c r="B148" s="28"/>
      <c r="C148" s="27"/>
      <c r="D148" s="27"/>
      <c r="E148" s="45" t="str">
        <f t="shared" si="40"/>
        <v/>
      </c>
      <c r="F148" s="45" t="str">
        <f t="shared" si="41"/>
        <v/>
      </c>
      <c r="G148" s="27"/>
      <c r="H148" s="45" t="str">
        <f t="shared" si="42"/>
        <v/>
      </c>
      <c r="I148" s="45" t="str">
        <f t="shared" si="43"/>
        <v/>
      </c>
      <c r="J148" s="27"/>
      <c r="K148" s="45" t="str">
        <f t="shared" si="44"/>
        <v/>
      </c>
      <c r="L148" s="45" t="str">
        <f t="shared" si="45"/>
        <v/>
      </c>
      <c r="M148" s="27"/>
      <c r="N148" s="27"/>
      <c r="O148" s="27"/>
      <c r="P148" s="27"/>
      <c r="Q148" s="45" t="str">
        <f t="shared" si="46"/>
        <v/>
      </c>
      <c r="R148" s="45" t="str">
        <f t="shared" si="47"/>
        <v/>
      </c>
      <c r="S148" s="27"/>
      <c r="T148" s="28"/>
      <c r="U148" s="27"/>
      <c r="V148" s="27"/>
      <c r="W148" s="36"/>
      <c r="X148" s="53" t="str">
        <f t="shared" si="48"/>
        <v/>
      </c>
      <c r="Y148" s="53" t="str">
        <f t="shared" si="49"/>
        <v/>
      </c>
    </row>
    <row r="149" spans="1:25" s="22" customFormat="1" x14ac:dyDescent="0.25">
      <c r="A149" s="29"/>
      <c r="B149" s="31"/>
      <c r="C149" s="30"/>
      <c r="D149" s="30"/>
      <c r="E149" s="46" t="str">
        <f t="shared" si="40"/>
        <v/>
      </c>
      <c r="F149" s="46" t="str">
        <f t="shared" si="41"/>
        <v/>
      </c>
      <c r="G149" s="30"/>
      <c r="H149" s="46" t="str">
        <f t="shared" si="42"/>
        <v/>
      </c>
      <c r="I149" s="46" t="str">
        <f t="shared" si="43"/>
        <v/>
      </c>
      <c r="J149" s="30"/>
      <c r="K149" s="46" t="str">
        <f t="shared" si="44"/>
        <v/>
      </c>
      <c r="L149" s="46" t="str">
        <f t="shared" si="45"/>
        <v/>
      </c>
      <c r="M149" s="30"/>
      <c r="N149" s="30"/>
      <c r="O149" s="30"/>
      <c r="P149" s="30"/>
      <c r="Q149" s="46" t="str">
        <f t="shared" si="46"/>
        <v/>
      </c>
      <c r="R149" s="46" t="str">
        <f t="shared" si="47"/>
        <v/>
      </c>
      <c r="S149" s="30"/>
      <c r="T149" s="31"/>
      <c r="U149" s="30"/>
      <c r="V149" s="30"/>
      <c r="W149" s="37"/>
      <c r="X149" s="52" t="str">
        <f t="shared" si="48"/>
        <v/>
      </c>
      <c r="Y149" s="52" t="str">
        <f t="shared" si="49"/>
        <v/>
      </c>
    </row>
    <row r="150" spans="1:25" s="22" customFormat="1" x14ac:dyDescent="0.25">
      <c r="A150" s="26"/>
      <c r="B150" s="28"/>
      <c r="C150" s="27"/>
      <c r="D150" s="27"/>
      <c r="E150" s="45" t="str">
        <f t="shared" si="40"/>
        <v/>
      </c>
      <c r="F150" s="45" t="str">
        <f t="shared" si="41"/>
        <v/>
      </c>
      <c r="G150" s="27"/>
      <c r="H150" s="45" t="str">
        <f t="shared" si="42"/>
        <v/>
      </c>
      <c r="I150" s="45" t="str">
        <f t="shared" si="43"/>
        <v/>
      </c>
      <c r="J150" s="27"/>
      <c r="K150" s="45" t="str">
        <f t="shared" si="44"/>
        <v/>
      </c>
      <c r="L150" s="45" t="str">
        <f t="shared" si="45"/>
        <v/>
      </c>
      <c r="M150" s="27"/>
      <c r="N150" s="27"/>
      <c r="O150" s="27"/>
      <c r="P150" s="27"/>
      <c r="Q150" s="45" t="str">
        <f t="shared" si="46"/>
        <v/>
      </c>
      <c r="R150" s="45" t="str">
        <f t="shared" si="47"/>
        <v/>
      </c>
      <c r="S150" s="27"/>
      <c r="T150" s="28"/>
      <c r="U150" s="27"/>
      <c r="V150" s="27"/>
      <c r="W150" s="36"/>
      <c r="X150" s="53" t="str">
        <f t="shared" si="48"/>
        <v/>
      </c>
      <c r="Y150" s="53" t="str">
        <f t="shared" si="49"/>
        <v/>
      </c>
    </row>
    <row r="151" spans="1:25" s="22" customFormat="1" x14ac:dyDescent="0.25">
      <c r="A151" s="29"/>
      <c r="B151" s="31"/>
      <c r="C151" s="30"/>
      <c r="D151" s="30"/>
      <c r="E151" s="46" t="str">
        <f t="shared" si="40"/>
        <v/>
      </c>
      <c r="F151" s="46" t="str">
        <f t="shared" si="41"/>
        <v/>
      </c>
      <c r="G151" s="30"/>
      <c r="H151" s="46" t="str">
        <f t="shared" si="42"/>
        <v/>
      </c>
      <c r="I151" s="46" t="str">
        <f t="shared" si="43"/>
        <v/>
      </c>
      <c r="J151" s="30"/>
      <c r="K151" s="46" t="str">
        <f t="shared" si="44"/>
        <v/>
      </c>
      <c r="L151" s="46" t="str">
        <f t="shared" si="45"/>
        <v/>
      </c>
      <c r="M151" s="30"/>
      <c r="N151" s="30"/>
      <c r="O151" s="30"/>
      <c r="P151" s="30"/>
      <c r="Q151" s="46" t="str">
        <f t="shared" si="46"/>
        <v/>
      </c>
      <c r="R151" s="46" t="str">
        <f t="shared" si="47"/>
        <v/>
      </c>
      <c r="S151" s="30"/>
      <c r="T151" s="31"/>
      <c r="U151" s="30"/>
      <c r="V151" s="30"/>
      <c r="W151" s="37"/>
      <c r="X151" s="52" t="str">
        <f t="shared" si="48"/>
        <v/>
      </c>
      <c r="Y151" s="52" t="str">
        <f t="shared" si="49"/>
        <v/>
      </c>
    </row>
    <row r="152" spans="1:25" s="22" customFormat="1" x14ac:dyDescent="0.25">
      <c r="A152" s="26"/>
      <c r="B152" s="28"/>
      <c r="C152" s="27"/>
      <c r="D152" s="27"/>
      <c r="E152" s="45" t="str">
        <f t="shared" si="40"/>
        <v/>
      </c>
      <c r="F152" s="45" t="str">
        <f t="shared" si="41"/>
        <v/>
      </c>
      <c r="G152" s="27"/>
      <c r="H152" s="45" t="str">
        <f t="shared" si="42"/>
        <v/>
      </c>
      <c r="I152" s="45" t="str">
        <f t="shared" si="43"/>
        <v/>
      </c>
      <c r="J152" s="27"/>
      <c r="K152" s="45" t="str">
        <f t="shared" si="44"/>
        <v/>
      </c>
      <c r="L152" s="45" t="str">
        <f t="shared" si="45"/>
        <v/>
      </c>
      <c r="M152" s="27"/>
      <c r="N152" s="27"/>
      <c r="O152" s="27"/>
      <c r="P152" s="27"/>
      <c r="Q152" s="45" t="str">
        <f t="shared" si="46"/>
        <v/>
      </c>
      <c r="R152" s="45" t="str">
        <f t="shared" si="47"/>
        <v/>
      </c>
      <c r="S152" s="27"/>
      <c r="T152" s="28"/>
      <c r="U152" s="27"/>
      <c r="V152" s="27"/>
      <c r="W152" s="36"/>
      <c r="X152" s="53" t="str">
        <f t="shared" si="48"/>
        <v/>
      </c>
      <c r="Y152" s="53" t="str">
        <f t="shared" si="49"/>
        <v/>
      </c>
    </row>
    <row r="153" spans="1:25" s="22" customFormat="1" x14ac:dyDescent="0.25">
      <c r="A153" s="29"/>
      <c r="B153" s="31"/>
      <c r="C153" s="30"/>
      <c r="D153" s="30"/>
      <c r="E153" s="46" t="str">
        <f t="shared" si="40"/>
        <v/>
      </c>
      <c r="F153" s="46" t="str">
        <f t="shared" si="41"/>
        <v/>
      </c>
      <c r="G153" s="30"/>
      <c r="H153" s="46" t="str">
        <f t="shared" si="42"/>
        <v/>
      </c>
      <c r="I153" s="46" t="str">
        <f t="shared" si="43"/>
        <v/>
      </c>
      <c r="J153" s="30"/>
      <c r="K153" s="46" t="str">
        <f t="shared" si="44"/>
        <v/>
      </c>
      <c r="L153" s="46" t="str">
        <f t="shared" si="45"/>
        <v/>
      </c>
      <c r="M153" s="30"/>
      <c r="N153" s="30"/>
      <c r="O153" s="30"/>
      <c r="P153" s="30"/>
      <c r="Q153" s="46" t="str">
        <f t="shared" si="46"/>
        <v/>
      </c>
      <c r="R153" s="46" t="str">
        <f t="shared" si="47"/>
        <v/>
      </c>
      <c r="S153" s="30"/>
      <c r="T153" s="31"/>
      <c r="U153" s="30"/>
      <c r="V153" s="30"/>
      <c r="W153" s="37"/>
      <c r="X153" s="52" t="str">
        <f t="shared" si="48"/>
        <v/>
      </c>
      <c r="Y153" s="52" t="str">
        <f t="shared" si="49"/>
        <v/>
      </c>
    </row>
    <row r="154" spans="1:25" s="22" customFormat="1" x14ac:dyDescent="0.25">
      <c r="A154" s="26"/>
      <c r="B154" s="28"/>
      <c r="C154" s="27"/>
      <c r="D154" s="27"/>
      <c r="E154" s="45" t="str">
        <f t="shared" si="40"/>
        <v/>
      </c>
      <c r="F154" s="45" t="str">
        <f t="shared" si="41"/>
        <v/>
      </c>
      <c r="G154" s="27"/>
      <c r="H154" s="45" t="str">
        <f t="shared" si="42"/>
        <v/>
      </c>
      <c r="I154" s="45" t="str">
        <f t="shared" si="43"/>
        <v/>
      </c>
      <c r="J154" s="27"/>
      <c r="K154" s="45" t="str">
        <f t="shared" si="44"/>
        <v/>
      </c>
      <c r="L154" s="45" t="str">
        <f t="shared" si="45"/>
        <v/>
      </c>
      <c r="M154" s="27"/>
      <c r="N154" s="27"/>
      <c r="O154" s="27"/>
      <c r="P154" s="27"/>
      <c r="Q154" s="45" t="str">
        <f t="shared" si="46"/>
        <v/>
      </c>
      <c r="R154" s="45" t="str">
        <f t="shared" si="47"/>
        <v/>
      </c>
      <c r="S154" s="27"/>
      <c r="T154" s="28"/>
      <c r="U154" s="27"/>
      <c r="V154" s="27"/>
      <c r="W154" s="36"/>
      <c r="X154" s="53" t="str">
        <f t="shared" si="48"/>
        <v/>
      </c>
      <c r="Y154" s="53" t="str">
        <f t="shared" si="49"/>
        <v/>
      </c>
    </row>
    <row r="155" spans="1:25" s="22" customFormat="1" x14ac:dyDescent="0.25">
      <c r="A155" s="29"/>
      <c r="B155" s="31"/>
      <c r="C155" s="30"/>
      <c r="D155" s="30"/>
      <c r="E155" s="46" t="str">
        <f t="shared" si="40"/>
        <v/>
      </c>
      <c r="F155" s="46" t="str">
        <f t="shared" si="41"/>
        <v/>
      </c>
      <c r="G155" s="30"/>
      <c r="H155" s="46" t="str">
        <f t="shared" si="42"/>
        <v/>
      </c>
      <c r="I155" s="46" t="str">
        <f t="shared" si="43"/>
        <v/>
      </c>
      <c r="J155" s="30"/>
      <c r="K155" s="46" t="str">
        <f t="shared" si="44"/>
        <v/>
      </c>
      <c r="L155" s="46" t="str">
        <f t="shared" si="45"/>
        <v/>
      </c>
      <c r="M155" s="30"/>
      <c r="N155" s="30"/>
      <c r="O155" s="30"/>
      <c r="P155" s="30"/>
      <c r="Q155" s="46" t="str">
        <f t="shared" si="46"/>
        <v/>
      </c>
      <c r="R155" s="46" t="str">
        <f t="shared" si="47"/>
        <v/>
      </c>
      <c r="S155" s="30"/>
      <c r="T155" s="31"/>
      <c r="U155" s="30"/>
      <c r="V155" s="30"/>
      <c r="W155" s="37"/>
      <c r="X155" s="52" t="str">
        <f t="shared" si="48"/>
        <v/>
      </c>
      <c r="Y155" s="52" t="str">
        <f t="shared" si="49"/>
        <v/>
      </c>
    </row>
    <row r="156" spans="1:25" s="22" customFormat="1" x14ac:dyDescent="0.25">
      <c r="A156" s="26"/>
      <c r="B156" s="28"/>
      <c r="C156" s="27"/>
      <c r="D156" s="27"/>
      <c r="E156" s="45" t="str">
        <f t="shared" si="40"/>
        <v/>
      </c>
      <c r="F156" s="45" t="str">
        <f t="shared" si="41"/>
        <v/>
      </c>
      <c r="G156" s="27"/>
      <c r="H156" s="45" t="str">
        <f t="shared" si="42"/>
        <v/>
      </c>
      <c r="I156" s="45" t="str">
        <f t="shared" si="43"/>
        <v/>
      </c>
      <c r="J156" s="27"/>
      <c r="K156" s="45" t="str">
        <f t="shared" si="44"/>
        <v/>
      </c>
      <c r="L156" s="45" t="str">
        <f t="shared" si="45"/>
        <v/>
      </c>
      <c r="M156" s="27"/>
      <c r="N156" s="27"/>
      <c r="O156" s="27"/>
      <c r="P156" s="27"/>
      <c r="Q156" s="45" t="str">
        <f t="shared" si="46"/>
        <v/>
      </c>
      <c r="R156" s="45" t="str">
        <f t="shared" si="47"/>
        <v/>
      </c>
      <c r="S156" s="27"/>
      <c r="T156" s="28"/>
      <c r="U156" s="27"/>
      <c r="V156" s="27"/>
      <c r="W156" s="36"/>
      <c r="X156" s="53" t="str">
        <f t="shared" si="48"/>
        <v/>
      </c>
      <c r="Y156" s="53" t="str">
        <f t="shared" si="49"/>
        <v/>
      </c>
    </row>
    <row r="157" spans="1:25" s="22" customFormat="1" x14ac:dyDescent="0.25">
      <c r="A157" s="29"/>
      <c r="B157" s="31"/>
      <c r="C157" s="30"/>
      <c r="D157" s="30"/>
      <c r="E157" s="46" t="str">
        <f t="shared" si="40"/>
        <v/>
      </c>
      <c r="F157" s="46" t="str">
        <f t="shared" si="41"/>
        <v/>
      </c>
      <c r="G157" s="30"/>
      <c r="H157" s="46" t="str">
        <f t="shared" si="42"/>
        <v/>
      </c>
      <c r="I157" s="46" t="str">
        <f t="shared" si="43"/>
        <v/>
      </c>
      <c r="J157" s="30"/>
      <c r="K157" s="46" t="str">
        <f t="shared" si="44"/>
        <v/>
      </c>
      <c r="L157" s="46" t="str">
        <f t="shared" si="45"/>
        <v/>
      </c>
      <c r="M157" s="30"/>
      <c r="N157" s="30"/>
      <c r="O157" s="30"/>
      <c r="P157" s="30"/>
      <c r="Q157" s="46" t="str">
        <f t="shared" si="46"/>
        <v/>
      </c>
      <c r="R157" s="46" t="str">
        <f t="shared" si="47"/>
        <v/>
      </c>
      <c r="S157" s="30"/>
      <c r="T157" s="31"/>
      <c r="U157" s="30"/>
      <c r="V157" s="30"/>
      <c r="W157" s="37"/>
      <c r="X157" s="52" t="str">
        <f t="shared" si="48"/>
        <v/>
      </c>
      <c r="Y157" s="52" t="str">
        <f t="shared" si="49"/>
        <v/>
      </c>
    </row>
    <row r="158" spans="1:25" s="22" customFormat="1" x14ac:dyDescent="0.25">
      <c r="A158" s="26"/>
      <c r="B158" s="28"/>
      <c r="C158" s="27"/>
      <c r="D158" s="27"/>
      <c r="E158" s="45" t="str">
        <f t="shared" si="40"/>
        <v/>
      </c>
      <c r="F158" s="45" t="str">
        <f t="shared" si="41"/>
        <v/>
      </c>
      <c r="G158" s="27"/>
      <c r="H158" s="45" t="str">
        <f t="shared" si="42"/>
        <v/>
      </c>
      <c r="I158" s="45" t="str">
        <f t="shared" si="43"/>
        <v/>
      </c>
      <c r="J158" s="27"/>
      <c r="K158" s="45" t="str">
        <f t="shared" si="44"/>
        <v/>
      </c>
      <c r="L158" s="45" t="str">
        <f t="shared" si="45"/>
        <v/>
      </c>
      <c r="M158" s="27"/>
      <c r="N158" s="27"/>
      <c r="O158" s="27"/>
      <c r="P158" s="27"/>
      <c r="Q158" s="45" t="str">
        <f t="shared" si="46"/>
        <v/>
      </c>
      <c r="R158" s="45" t="str">
        <f t="shared" si="47"/>
        <v/>
      </c>
      <c r="S158" s="27"/>
      <c r="T158" s="28"/>
      <c r="U158" s="27"/>
      <c r="V158" s="27"/>
      <c r="W158" s="36"/>
      <c r="X158" s="53" t="str">
        <f t="shared" si="48"/>
        <v/>
      </c>
      <c r="Y158" s="53" t="str">
        <f t="shared" si="49"/>
        <v/>
      </c>
    </row>
    <row r="159" spans="1:25" s="22" customFormat="1" x14ac:dyDescent="0.25">
      <c r="A159" s="29"/>
      <c r="B159" s="31"/>
      <c r="C159" s="30"/>
      <c r="D159" s="30"/>
      <c r="E159" s="46" t="str">
        <f t="shared" si="40"/>
        <v/>
      </c>
      <c r="F159" s="46" t="str">
        <f t="shared" si="41"/>
        <v/>
      </c>
      <c r="G159" s="30"/>
      <c r="H159" s="46" t="str">
        <f t="shared" si="42"/>
        <v/>
      </c>
      <c r="I159" s="46" t="str">
        <f t="shared" si="43"/>
        <v/>
      </c>
      <c r="J159" s="30"/>
      <c r="K159" s="46" t="str">
        <f t="shared" si="44"/>
        <v/>
      </c>
      <c r="L159" s="46" t="str">
        <f t="shared" si="45"/>
        <v/>
      </c>
      <c r="M159" s="30"/>
      <c r="N159" s="30"/>
      <c r="O159" s="30"/>
      <c r="P159" s="30"/>
      <c r="Q159" s="46" t="str">
        <f t="shared" si="46"/>
        <v/>
      </c>
      <c r="R159" s="46" t="str">
        <f t="shared" si="47"/>
        <v/>
      </c>
      <c r="S159" s="30"/>
      <c r="T159" s="31"/>
      <c r="U159" s="30"/>
      <c r="V159" s="30"/>
      <c r="W159" s="37"/>
      <c r="X159" s="52" t="str">
        <f t="shared" si="48"/>
        <v/>
      </c>
      <c r="Y159" s="52" t="str">
        <f t="shared" si="49"/>
        <v/>
      </c>
    </row>
    <row r="160" spans="1:25" s="22" customFormat="1" x14ac:dyDescent="0.25">
      <c r="A160" s="26"/>
      <c r="B160" s="28"/>
      <c r="C160" s="27"/>
      <c r="D160" s="27"/>
      <c r="E160" s="45" t="str">
        <f t="shared" si="40"/>
        <v/>
      </c>
      <c r="F160" s="45" t="str">
        <f t="shared" si="41"/>
        <v/>
      </c>
      <c r="G160" s="27"/>
      <c r="H160" s="45" t="str">
        <f t="shared" si="42"/>
        <v/>
      </c>
      <c r="I160" s="45" t="str">
        <f t="shared" si="43"/>
        <v/>
      </c>
      <c r="J160" s="27"/>
      <c r="K160" s="45" t="str">
        <f t="shared" si="44"/>
        <v/>
      </c>
      <c r="L160" s="45" t="str">
        <f t="shared" si="45"/>
        <v/>
      </c>
      <c r="M160" s="27"/>
      <c r="N160" s="27"/>
      <c r="O160" s="27"/>
      <c r="P160" s="27"/>
      <c r="Q160" s="45" t="str">
        <f t="shared" si="46"/>
        <v/>
      </c>
      <c r="R160" s="45" t="str">
        <f t="shared" si="47"/>
        <v/>
      </c>
      <c r="S160" s="27"/>
      <c r="T160" s="28"/>
      <c r="U160" s="27"/>
      <c r="V160" s="27"/>
      <c r="W160" s="36"/>
      <c r="X160" s="53" t="str">
        <f t="shared" si="48"/>
        <v/>
      </c>
      <c r="Y160" s="53" t="str">
        <f t="shared" si="49"/>
        <v/>
      </c>
    </row>
    <row r="161" spans="1:25" s="22" customFormat="1" x14ac:dyDescent="0.25">
      <c r="A161" s="29"/>
      <c r="B161" s="31"/>
      <c r="C161" s="30"/>
      <c r="D161" s="30"/>
      <c r="E161" s="46" t="str">
        <f t="shared" si="40"/>
        <v/>
      </c>
      <c r="F161" s="46" t="str">
        <f t="shared" si="41"/>
        <v/>
      </c>
      <c r="G161" s="30"/>
      <c r="H161" s="46" t="str">
        <f t="shared" si="42"/>
        <v/>
      </c>
      <c r="I161" s="46" t="str">
        <f t="shared" si="43"/>
        <v/>
      </c>
      <c r="J161" s="30"/>
      <c r="K161" s="46" t="str">
        <f t="shared" si="44"/>
        <v/>
      </c>
      <c r="L161" s="46" t="str">
        <f t="shared" si="45"/>
        <v/>
      </c>
      <c r="M161" s="30"/>
      <c r="N161" s="30"/>
      <c r="O161" s="30"/>
      <c r="P161" s="30"/>
      <c r="Q161" s="46" t="str">
        <f t="shared" si="46"/>
        <v/>
      </c>
      <c r="R161" s="46" t="str">
        <f t="shared" si="47"/>
        <v/>
      </c>
      <c r="S161" s="30"/>
      <c r="T161" s="31"/>
      <c r="U161" s="30"/>
      <c r="V161" s="30"/>
      <c r="W161" s="37"/>
      <c r="X161" s="52" t="str">
        <f t="shared" si="48"/>
        <v/>
      </c>
      <c r="Y161" s="52" t="str">
        <f t="shared" si="49"/>
        <v/>
      </c>
    </row>
    <row r="162" spans="1:25" s="22" customFormat="1" x14ac:dyDescent="0.25">
      <c r="A162" s="26"/>
      <c r="B162" s="28"/>
      <c r="C162" s="27"/>
      <c r="D162" s="27"/>
      <c r="E162" s="45" t="str">
        <f t="shared" si="40"/>
        <v/>
      </c>
      <c r="F162" s="45" t="str">
        <f t="shared" si="41"/>
        <v/>
      </c>
      <c r="G162" s="27"/>
      <c r="H162" s="45" t="str">
        <f t="shared" si="42"/>
        <v/>
      </c>
      <c r="I162" s="45" t="str">
        <f t="shared" si="43"/>
        <v/>
      </c>
      <c r="J162" s="27"/>
      <c r="K162" s="45" t="str">
        <f t="shared" si="44"/>
        <v/>
      </c>
      <c r="L162" s="45" t="str">
        <f t="shared" si="45"/>
        <v/>
      </c>
      <c r="M162" s="27"/>
      <c r="N162" s="27"/>
      <c r="O162" s="27"/>
      <c r="P162" s="27"/>
      <c r="Q162" s="45" t="str">
        <f t="shared" si="46"/>
        <v/>
      </c>
      <c r="R162" s="45" t="str">
        <f t="shared" si="47"/>
        <v/>
      </c>
      <c r="S162" s="27"/>
      <c r="T162" s="28"/>
      <c r="U162" s="27"/>
      <c r="V162" s="27"/>
      <c r="W162" s="36"/>
      <c r="X162" s="53" t="str">
        <f t="shared" si="48"/>
        <v/>
      </c>
      <c r="Y162" s="53" t="str">
        <f t="shared" si="49"/>
        <v/>
      </c>
    </row>
    <row r="163" spans="1:25" s="22" customFormat="1" x14ac:dyDescent="0.25">
      <c r="A163" s="29"/>
      <c r="B163" s="31"/>
      <c r="C163" s="30"/>
      <c r="D163" s="30"/>
      <c r="E163" s="46" t="str">
        <f t="shared" si="40"/>
        <v/>
      </c>
      <c r="F163" s="46" t="str">
        <f t="shared" si="41"/>
        <v/>
      </c>
      <c r="G163" s="30"/>
      <c r="H163" s="46" t="str">
        <f t="shared" si="42"/>
        <v/>
      </c>
      <c r="I163" s="46" t="str">
        <f t="shared" si="43"/>
        <v/>
      </c>
      <c r="J163" s="30"/>
      <c r="K163" s="46" t="str">
        <f t="shared" si="44"/>
        <v/>
      </c>
      <c r="L163" s="46" t="str">
        <f t="shared" si="45"/>
        <v/>
      </c>
      <c r="M163" s="30"/>
      <c r="N163" s="30"/>
      <c r="O163" s="30"/>
      <c r="P163" s="30"/>
      <c r="Q163" s="46" t="str">
        <f t="shared" si="46"/>
        <v/>
      </c>
      <c r="R163" s="46" t="str">
        <f t="shared" si="47"/>
        <v/>
      </c>
      <c r="S163" s="30"/>
      <c r="T163" s="31"/>
      <c r="U163" s="30"/>
      <c r="V163" s="30"/>
      <c r="W163" s="37"/>
      <c r="X163" s="52" t="str">
        <f t="shared" si="48"/>
        <v/>
      </c>
      <c r="Y163" s="52" t="str">
        <f t="shared" si="49"/>
        <v/>
      </c>
    </row>
    <row r="164" spans="1:25" s="22" customFormat="1" x14ac:dyDescent="0.25">
      <c r="A164" s="26"/>
      <c r="B164" s="28"/>
      <c r="C164" s="27"/>
      <c r="D164" s="27"/>
      <c r="E164" s="45" t="str">
        <f t="shared" si="40"/>
        <v/>
      </c>
      <c r="F164" s="45" t="str">
        <f t="shared" si="41"/>
        <v/>
      </c>
      <c r="G164" s="27"/>
      <c r="H164" s="45" t="str">
        <f t="shared" si="42"/>
        <v/>
      </c>
      <c r="I164" s="45" t="str">
        <f t="shared" si="43"/>
        <v/>
      </c>
      <c r="J164" s="27"/>
      <c r="K164" s="45" t="str">
        <f t="shared" si="44"/>
        <v/>
      </c>
      <c r="L164" s="45" t="str">
        <f t="shared" si="45"/>
        <v/>
      </c>
      <c r="M164" s="27"/>
      <c r="N164" s="27"/>
      <c r="O164" s="27"/>
      <c r="P164" s="27"/>
      <c r="Q164" s="45" t="str">
        <f t="shared" si="46"/>
        <v/>
      </c>
      <c r="R164" s="45" t="str">
        <f t="shared" si="47"/>
        <v/>
      </c>
      <c r="S164" s="27"/>
      <c r="T164" s="28"/>
      <c r="U164" s="27"/>
      <c r="V164" s="27"/>
      <c r="W164" s="36"/>
      <c r="X164" s="53" t="str">
        <f t="shared" si="48"/>
        <v/>
      </c>
      <c r="Y164" s="53" t="str">
        <f t="shared" si="49"/>
        <v/>
      </c>
    </row>
    <row r="165" spans="1:25" s="22" customFormat="1" x14ac:dyDescent="0.25">
      <c r="A165" s="29"/>
      <c r="B165" s="31"/>
      <c r="C165" s="30"/>
      <c r="D165" s="30"/>
      <c r="E165" s="46" t="str">
        <f t="shared" si="40"/>
        <v/>
      </c>
      <c r="F165" s="46" t="str">
        <f t="shared" si="41"/>
        <v/>
      </c>
      <c r="G165" s="30"/>
      <c r="H165" s="46" t="str">
        <f t="shared" si="42"/>
        <v/>
      </c>
      <c r="I165" s="46" t="str">
        <f t="shared" si="43"/>
        <v/>
      </c>
      <c r="J165" s="30"/>
      <c r="K165" s="46" t="str">
        <f t="shared" si="44"/>
        <v/>
      </c>
      <c r="L165" s="46" t="str">
        <f t="shared" si="45"/>
        <v/>
      </c>
      <c r="M165" s="30"/>
      <c r="N165" s="30"/>
      <c r="O165" s="30"/>
      <c r="P165" s="30"/>
      <c r="Q165" s="46" t="str">
        <f t="shared" si="46"/>
        <v/>
      </c>
      <c r="R165" s="46" t="str">
        <f t="shared" si="47"/>
        <v/>
      </c>
      <c r="S165" s="30"/>
      <c r="T165" s="31"/>
      <c r="U165" s="30"/>
      <c r="V165" s="30"/>
      <c r="W165" s="37"/>
      <c r="X165" s="52" t="str">
        <f t="shared" si="48"/>
        <v/>
      </c>
      <c r="Y165" s="52" t="str">
        <f t="shared" si="49"/>
        <v/>
      </c>
    </row>
    <row r="166" spans="1:25" s="22" customFormat="1" x14ac:dyDescent="0.25">
      <c r="A166" s="26"/>
      <c r="B166" s="28"/>
      <c r="C166" s="27"/>
      <c r="D166" s="27"/>
      <c r="E166" s="45" t="str">
        <f t="shared" ref="E166:E197" si="50">IF(D166="","",_xlfn.TRANSLATE(D166,"vi","ja"))</f>
        <v/>
      </c>
      <c r="F166" s="45" t="str">
        <f t="shared" ref="F166:F197" si="51">IF(D166="","",_xlfn.TRANSLATE(D166,"vi","zh-Hans"))</f>
        <v/>
      </c>
      <c r="G166" s="27"/>
      <c r="H166" s="45" t="str">
        <f t="shared" ref="H166:H197" si="52">IF(G166="","",_xlfn.TRANSLATE(G166,"vi","ja"))</f>
        <v/>
      </c>
      <c r="I166" s="45" t="str">
        <f t="shared" ref="I166:I197" si="53">IF(G166="","",_xlfn.TRANSLATE(G166,"vi","zh-Hans"))</f>
        <v/>
      </c>
      <c r="J166" s="27"/>
      <c r="K166" s="45" t="str">
        <f t="shared" ref="K166:K197" si="54">IF(J166="","",_xlfn.TRANSLATE(J166,"vi","ja"))</f>
        <v/>
      </c>
      <c r="L166" s="45" t="str">
        <f t="shared" ref="L166:L197" si="55">IF(J166="","",_xlfn.TRANSLATE(J166,"vi","zh-Hans"))</f>
        <v/>
      </c>
      <c r="M166" s="27"/>
      <c r="N166" s="27"/>
      <c r="O166" s="27"/>
      <c r="P166" s="27"/>
      <c r="Q166" s="45" t="str">
        <f t="shared" ref="Q166:Q197" si="56">IF(P166="","",_xlfn.TRANSLATE(P166,"vi","ja"))</f>
        <v/>
      </c>
      <c r="R166" s="45" t="str">
        <f t="shared" ref="R166:R197" si="57">IF(P166="","",_xlfn.TRANSLATE(P166,"vi","zh-Hans"))</f>
        <v/>
      </c>
      <c r="S166" s="27"/>
      <c r="T166" s="28"/>
      <c r="U166" s="27"/>
      <c r="V166" s="27"/>
      <c r="W166" s="36"/>
      <c r="X166" s="53" t="str">
        <f t="shared" ref="X166:X197" si="58">IF(W166="","",_xlfn.TRANSLATE(W166,"vi","ja"))</f>
        <v/>
      </c>
      <c r="Y166" s="53" t="str">
        <f t="shared" ref="Y166:Y197" si="59">IF(W166="","",_xlfn.TRANSLATE(W166,"vi","zh-Hans"))</f>
        <v/>
      </c>
    </row>
    <row r="167" spans="1:25" s="22" customFormat="1" x14ac:dyDescent="0.25">
      <c r="A167" s="29"/>
      <c r="B167" s="31"/>
      <c r="C167" s="30"/>
      <c r="D167" s="30"/>
      <c r="E167" s="46" t="str">
        <f t="shared" si="50"/>
        <v/>
      </c>
      <c r="F167" s="46" t="str">
        <f t="shared" si="51"/>
        <v/>
      </c>
      <c r="G167" s="30"/>
      <c r="H167" s="46" t="str">
        <f t="shared" si="52"/>
        <v/>
      </c>
      <c r="I167" s="46" t="str">
        <f t="shared" si="53"/>
        <v/>
      </c>
      <c r="J167" s="30"/>
      <c r="K167" s="46" t="str">
        <f t="shared" si="54"/>
        <v/>
      </c>
      <c r="L167" s="46" t="str">
        <f t="shared" si="55"/>
        <v/>
      </c>
      <c r="M167" s="30"/>
      <c r="N167" s="30"/>
      <c r="O167" s="30"/>
      <c r="P167" s="30"/>
      <c r="Q167" s="46" t="str">
        <f t="shared" si="56"/>
        <v/>
      </c>
      <c r="R167" s="46" t="str">
        <f t="shared" si="57"/>
        <v/>
      </c>
      <c r="S167" s="30"/>
      <c r="T167" s="31"/>
      <c r="U167" s="30"/>
      <c r="V167" s="30"/>
      <c r="W167" s="37"/>
      <c r="X167" s="52" t="str">
        <f t="shared" si="58"/>
        <v/>
      </c>
      <c r="Y167" s="52" t="str">
        <f t="shared" si="59"/>
        <v/>
      </c>
    </row>
    <row r="168" spans="1:25" s="22" customFormat="1" x14ac:dyDescent="0.25">
      <c r="A168" s="26"/>
      <c r="B168" s="28"/>
      <c r="C168" s="27"/>
      <c r="D168" s="27"/>
      <c r="E168" s="45" t="str">
        <f t="shared" si="50"/>
        <v/>
      </c>
      <c r="F168" s="45" t="str">
        <f t="shared" si="51"/>
        <v/>
      </c>
      <c r="G168" s="27"/>
      <c r="H168" s="45" t="str">
        <f t="shared" si="52"/>
        <v/>
      </c>
      <c r="I168" s="45" t="str">
        <f t="shared" si="53"/>
        <v/>
      </c>
      <c r="J168" s="27"/>
      <c r="K168" s="45" t="str">
        <f t="shared" si="54"/>
        <v/>
      </c>
      <c r="L168" s="45" t="str">
        <f t="shared" si="55"/>
        <v/>
      </c>
      <c r="M168" s="27"/>
      <c r="N168" s="27"/>
      <c r="O168" s="27"/>
      <c r="P168" s="27"/>
      <c r="Q168" s="45" t="str">
        <f t="shared" si="56"/>
        <v/>
      </c>
      <c r="R168" s="45" t="str">
        <f t="shared" si="57"/>
        <v/>
      </c>
      <c r="S168" s="27"/>
      <c r="T168" s="28"/>
      <c r="U168" s="27"/>
      <c r="V168" s="27"/>
      <c r="W168" s="36"/>
      <c r="X168" s="53" t="str">
        <f t="shared" si="58"/>
        <v/>
      </c>
      <c r="Y168" s="53" t="str">
        <f t="shared" si="59"/>
        <v/>
      </c>
    </row>
    <row r="169" spans="1:25" s="22" customFormat="1" x14ac:dyDescent="0.25">
      <c r="A169" s="29"/>
      <c r="B169" s="31"/>
      <c r="C169" s="30"/>
      <c r="D169" s="30"/>
      <c r="E169" s="46" t="str">
        <f t="shared" si="50"/>
        <v/>
      </c>
      <c r="F169" s="46" t="str">
        <f t="shared" si="51"/>
        <v/>
      </c>
      <c r="G169" s="30"/>
      <c r="H169" s="46" t="str">
        <f t="shared" si="52"/>
        <v/>
      </c>
      <c r="I169" s="46" t="str">
        <f t="shared" si="53"/>
        <v/>
      </c>
      <c r="J169" s="30"/>
      <c r="K169" s="46" t="str">
        <f t="shared" si="54"/>
        <v/>
      </c>
      <c r="L169" s="46" t="str">
        <f t="shared" si="55"/>
        <v/>
      </c>
      <c r="M169" s="30"/>
      <c r="N169" s="30"/>
      <c r="O169" s="30"/>
      <c r="P169" s="30"/>
      <c r="Q169" s="46" t="str">
        <f t="shared" si="56"/>
        <v/>
      </c>
      <c r="R169" s="46" t="str">
        <f t="shared" si="57"/>
        <v/>
      </c>
      <c r="S169" s="30"/>
      <c r="T169" s="31"/>
      <c r="U169" s="30"/>
      <c r="V169" s="30"/>
      <c r="W169" s="37"/>
      <c r="X169" s="52" t="str">
        <f t="shared" si="58"/>
        <v/>
      </c>
      <c r="Y169" s="52" t="str">
        <f t="shared" si="59"/>
        <v/>
      </c>
    </row>
    <row r="170" spans="1:25" s="22" customFormat="1" x14ac:dyDescent="0.25">
      <c r="A170" s="26"/>
      <c r="B170" s="28"/>
      <c r="C170" s="27"/>
      <c r="D170" s="27"/>
      <c r="E170" s="45" t="str">
        <f t="shared" si="50"/>
        <v/>
      </c>
      <c r="F170" s="45" t="str">
        <f t="shared" si="51"/>
        <v/>
      </c>
      <c r="G170" s="27"/>
      <c r="H170" s="45" t="str">
        <f t="shared" si="52"/>
        <v/>
      </c>
      <c r="I170" s="45" t="str">
        <f t="shared" si="53"/>
        <v/>
      </c>
      <c r="J170" s="27"/>
      <c r="K170" s="45" t="str">
        <f t="shared" si="54"/>
        <v/>
      </c>
      <c r="L170" s="45" t="str">
        <f t="shared" si="55"/>
        <v/>
      </c>
      <c r="M170" s="27"/>
      <c r="N170" s="27"/>
      <c r="O170" s="27"/>
      <c r="P170" s="27"/>
      <c r="Q170" s="45" t="str">
        <f t="shared" si="56"/>
        <v/>
      </c>
      <c r="R170" s="45" t="str">
        <f t="shared" si="57"/>
        <v/>
      </c>
      <c r="S170" s="27"/>
      <c r="T170" s="28"/>
      <c r="U170" s="27"/>
      <c r="V170" s="27"/>
      <c r="W170" s="36"/>
      <c r="X170" s="53" t="str">
        <f t="shared" si="58"/>
        <v/>
      </c>
      <c r="Y170" s="53" t="str">
        <f t="shared" si="59"/>
        <v/>
      </c>
    </row>
    <row r="171" spans="1:25" s="22" customFormat="1" x14ac:dyDescent="0.25">
      <c r="A171" s="29"/>
      <c r="B171" s="31"/>
      <c r="C171" s="30"/>
      <c r="D171" s="30"/>
      <c r="E171" s="46" t="str">
        <f t="shared" si="50"/>
        <v/>
      </c>
      <c r="F171" s="46" t="str">
        <f t="shared" si="51"/>
        <v/>
      </c>
      <c r="G171" s="30"/>
      <c r="H171" s="46" t="str">
        <f t="shared" si="52"/>
        <v/>
      </c>
      <c r="I171" s="46" t="str">
        <f t="shared" si="53"/>
        <v/>
      </c>
      <c r="J171" s="30"/>
      <c r="K171" s="46" t="str">
        <f t="shared" si="54"/>
        <v/>
      </c>
      <c r="L171" s="46" t="str">
        <f t="shared" si="55"/>
        <v/>
      </c>
      <c r="M171" s="30"/>
      <c r="N171" s="30"/>
      <c r="O171" s="30"/>
      <c r="P171" s="30"/>
      <c r="Q171" s="46" t="str">
        <f t="shared" si="56"/>
        <v/>
      </c>
      <c r="R171" s="46" t="str">
        <f t="shared" si="57"/>
        <v/>
      </c>
      <c r="S171" s="30"/>
      <c r="T171" s="31"/>
      <c r="U171" s="30"/>
      <c r="V171" s="30"/>
      <c r="W171" s="37"/>
      <c r="X171" s="52" t="str">
        <f t="shared" si="58"/>
        <v/>
      </c>
      <c r="Y171" s="52" t="str">
        <f t="shared" si="59"/>
        <v/>
      </c>
    </row>
    <row r="172" spans="1:25" s="22" customFormat="1" x14ac:dyDescent="0.25">
      <c r="A172" s="26"/>
      <c r="B172" s="28"/>
      <c r="C172" s="27"/>
      <c r="D172" s="27"/>
      <c r="E172" s="45" t="str">
        <f t="shared" si="50"/>
        <v/>
      </c>
      <c r="F172" s="45" t="str">
        <f t="shared" si="51"/>
        <v/>
      </c>
      <c r="G172" s="27"/>
      <c r="H172" s="45" t="str">
        <f t="shared" si="52"/>
        <v/>
      </c>
      <c r="I172" s="45" t="str">
        <f t="shared" si="53"/>
        <v/>
      </c>
      <c r="J172" s="27"/>
      <c r="K172" s="45" t="str">
        <f t="shared" si="54"/>
        <v/>
      </c>
      <c r="L172" s="45" t="str">
        <f t="shared" si="55"/>
        <v/>
      </c>
      <c r="M172" s="27"/>
      <c r="N172" s="27"/>
      <c r="O172" s="27"/>
      <c r="P172" s="27"/>
      <c r="Q172" s="45" t="str">
        <f t="shared" si="56"/>
        <v/>
      </c>
      <c r="R172" s="45" t="str">
        <f t="shared" si="57"/>
        <v/>
      </c>
      <c r="S172" s="27"/>
      <c r="T172" s="28"/>
      <c r="U172" s="27"/>
      <c r="V172" s="27"/>
      <c r="W172" s="36"/>
      <c r="X172" s="53" t="str">
        <f t="shared" si="58"/>
        <v/>
      </c>
      <c r="Y172" s="53" t="str">
        <f t="shared" si="59"/>
        <v/>
      </c>
    </row>
    <row r="173" spans="1:25" s="22" customFormat="1" x14ac:dyDescent="0.25">
      <c r="A173" s="29"/>
      <c r="B173" s="31"/>
      <c r="C173" s="30"/>
      <c r="D173" s="30"/>
      <c r="E173" s="46" t="str">
        <f t="shared" si="50"/>
        <v/>
      </c>
      <c r="F173" s="46" t="str">
        <f t="shared" si="51"/>
        <v/>
      </c>
      <c r="G173" s="30"/>
      <c r="H173" s="46" t="str">
        <f t="shared" si="52"/>
        <v/>
      </c>
      <c r="I173" s="46" t="str">
        <f t="shared" si="53"/>
        <v/>
      </c>
      <c r="J173" s="30"/>
      <c r="K173" s="46" t="str">
        <f t="shared" si="54"/>
        <v/>
      </c>
      <c r="L173" s="46" t="str">
        <f t="shared" si="55"/>
        <v/>
      </c>
      <c r="M173" s="30"/>
      <c r="N173" s="30"/>
      <c r="O173" s="30"/>
      <c r="P173" s="30"/>
      <c r="Q173" s="46" t="str">
        <f t="shared" si="56"/>
        <v/>
      </c>
      <c r="R173" s="46" t="str">
        <f t="shared" si="57"/>
        <v/>
      </c>
      <c r="S173" s="30"/>
      <c r="T173" s="31"/>
      <c r="U173" s="30"/>
      <c r="V173" s="30"/>
      <c r="W173" s="37"/>
      <c r="X173" s="52" t="str">
        <f t="shared" si="58"/>
        <v/>
      </c>
      <c r="Y173" s="52" t="str">
        <f t="shared" si="59"/>
        <v/>
      </c>
    </row>
    <row r="174" spans="1:25" s="22" customFormat="1" x14ac:dyDescent="0.25">
      <c r="A174" s="26"/>
      <c r="B174" s="28"/>
      <c r="C174" s="27"/>
      <c r="D174" s="27"/>
      <c r="E174" s="45" t="str">
        <f t="shared" si="50"/>
        <v/>
      </c>
      <c r="F174" s="45" t="str">
        <f t="shared" si="51"/>
        <v/>
      </c>
      <c r="G174" s="27"/>
      <c r="H174" s="45" t="str">
        <f t="shared" si="52"/>
        <v/>
      </c>
      <c r="I174" s="45" t="str">
        <f t="shared" si="53"/>
        <v/>
      </c>
      <c r="J174" s="27"/>
      <c r="K174" s="45" t="str">
        <f t="shared" si="54"/>
        <v/>
      </c>
      <c r="L174" s="45" t="str">
        <f t="shared" si="55"/>
        <v/>
      </c>
      <c r="M174" s="27"/>
      <c r="N174" s="27"/>
      <c r="O174" s="27"/>
      <c r="P174" s="27"/>
      <c r="Q174" s="45" t="str">
        <f t="shared" si="56"/>
        <v/>
      </c>
      <c r="R174" s="45" t="str">
        <f t="shared" si="57"/>
        <v/>
      </c>
      <c r="S174" s="27"/>
      <c r="T174" s="28"/>
      <c r="U174" s="27"/>
      <c r="V174" s="27"/>
      <c r="W174" s="36"/>
      <c r="X174" s="53" t="str">
        <f t="shared" si="58"/>
        <v/>
      </c>
      <c r="Y174" s="53" t="str">
        <f t="shared" si="59"/>
        <v/>
      </c>
    </row>
    <row r="175" spans="1:25" s="22" customFormat="1" x14ac:dyDescent="0.25">
      <c r="A175" s="29"/>
      <c r="B175" s="31"/>
      <c r="C175" s="30"/>
      <c r="D175" s="30"/>
      <c r="E175" s="46" t="str">
        <f t="shared" si="50"/>
        <v/>
      </c>
      <c r="F175" s="46" t="str">
        <f t="shared" si="51"/>
        <v/>
      </c>
      <c r="G175" s="30"/>
      <c r="H175" s="46" t="str">
        <f t="shared" si="52"/>
        <v/>
      </c>
      <c r="I175" s="46" t="str">
        <f t="shared" si="53"/>
        <v/>
      </c>
      <c r="J175" s="30"/>
      <c r="K175" s="46" t="str">
        <f t="shared" si="54"/>
        <v/>
      </c>
      <c r="L175" s="46" t="str">
        <f t="shared" si="55"/>
        <v/>
      </c>
      <c r="M175" s="30"/>
      <c r="N175" s="30"/>
      <c r="O175" s="30"/>
      <c r="P175" s="30"/>
      <c r="Q175" s="46" t="str">
        <f t="shared" si="56"/>
        <v/>
      </c>
      <c r="R175" s="46" t="str">
        <f t="shared" si="57"/>
        <v/>
      </c>
      <c r="S175" s="30"/>
      <c r="T175" s="31"/>
      <c r="U175" s="30"/>
      <c r="V175" s="30"/>
      <c r="W175" s="37"/>
      <c r="X175" s="52" t="str">
        <f t="shared" si="58"/>
        <v/>
      </c>
      <c r="Y175" s="52" t="str">
        <f t="shared" si="59"/>
        <v/>
      </c>
    </row>
    <row r="176" spans="1:25" s="22" customFormat="1" x14ac:dyDescent="0.25">
      <c r="A176" s="26"/>
      <c r="B176" s="28"/>
      <c r="C176" s="27"/>
      <c r="D176" s="27"/>
      <c r="E176" s="45" t="str">
        <f t="shared" si="50"/>
        <v/>
      </c>
      <c r="F176" s="45" t="str">
        <f t="shared" si="51"/>
        <v/>
      </c>
      <c r="G176" s="27"/>
      <c r="H176" s="45" t="str">
        <f t="shared" si="52"/>
        <v/>
      </c>
      <c r="I176" s="45" t="str">
        <f t="shared" si="53"/>
        <v/>
      </c>
      <c r="J176" s="27"/>
      <c r="K176" s="45" t="str">
        <f t="shared" si="54"/>
        <v/>
      </c>
      <c r="L176" s="45" t="str">
        <f t="shared" si="55"/>
        <v/>
      </c>
      <c r="M176" s="27"/>
      <c r="N176" s="27"/>
      <c r="O176" s="27"/>
      <c r="P176" s="27"/>
      <c r="Q176" s="45" t="str">
        <f t="shared" si="56"/>
        <v/>
      </c>
      <c r="R176" s="45" t="str">
        <f t="shared" si="57"/>
        <v/>
      </c>
      <c r="S176" s="27"/>
      <c r="T176" s="28"/>
      <c r="U176" s="27"/>
      <c r="V176" s="27"/>
      <c r="W176" s="36"/>
      <c r="X176" s="53" t="str">
        <f t="shared" si="58"/>
        <v/>
      </c>
      <c r="Y176" s="53" t="str">
        <f t="shared" si="59"/>
        <v/>
      </c>
    </row>
    <row r="177" spans="1:25" s="22" customFormat="1" x14ac:dyDescent="0.25">
      <c r="A177" s="29"/>
      <c r="B177" s="31"/>
      <c r="C177" s="30"/>
      <c r="D177" s="30"/>
      <c r="E177" s="46" t="str">
        <f t="shared" si="50"/>
        <v/>
      </c>
      <c r="F177" s="46" t="str">
        <f t="shared" si="51"/>
        <v/>
      </c>
      <c r="G177" s="30"/>
      <c r="H177" s="46" t="str">
        <f t="shared" si="52"/>
        <v/>
      </c>
      <c r="I177" s="46" t="str">
        <f t="shared" si="53"/>
        <v/>
      </c>
      <c r="J177" s="30"/>
      <c r="K177" s="46" t="str">
        <f t="shared" si="54"/>
        <v/>
      </c>
      <c r="L177" s="46" t="str">
        <f t="shared" si="55"/>
        <v/>
      </c>
      <c r="M177" s="30"/>
      <c r="N177" s="30"/>
      <c r="O177" s="30"/>
      <c r="P177" s="30"/>
      <c r="Q177" s="46" t="str">
        <f t="shared" si="56"/>
        <v/>
      </c>
      <c r="R177" s="46" t="str">
        <f t="shared" si="57"/>
        <v/>
      </c>
      <c r="S177" s="30"/>
      <c r="T177" s="31"/>
      <c r="U177" s="30"/>
      <c r="V177" s="30"/>
      <c r="W177" s="37"/>
      <c r="X177" s="52" t="str">
        <f t="shared" si="58"/>
        <v/>
      </c>
      <c r="Y177" s="52" t="str">
        <f t="shared" si="59"/>
        <v/>
      </c>
    </row>
    <row r="178" spans="1:25" s="22" customFormat="1" x14ac:dyDescent="0.25">
      <c r="A178" s="26"/>
      <c r="B178" s="28"/>
      <c r="C178" s="27"/>
      <c r="D178" s="27"/>
      <c r="E178" s="45" t="str">
        <f t="shared" si="50"/>
        <v/>
      </c>
      <c r="F178" s="45" t="str">
        <f t="shared" si="51"/>
        <v/>
      </c>
      <c r="G178" s="27"/>
      <c r="H178" s="45" t="str">
        <f t="shared" si="52"/>
        <v/>
      </c>
      <c r="I178" s="45" t="str">
        <f t="shared" si="53"/>
        <v/>
      </c>
      <c r="J178" s="27"/>
      <c r="K178" s="45" t="str">
        <f t="shared" si="54"/>
        <v/>
      </c>
      <c r="L178" s="45" t="str">
        <f t="shared" si="55"/>
        <v/>
      </c>
      <c r="M178" s="27"/>
      <c r="N178" s="27"/>
      <c r="O178" s="27"/>
      <c r="P178" s="27"/>
      <c r="Q178" s="45" t="str">
        <f t="shared" si="56"/>
        <v/>
      </c>
      <c r="R178" s="45" t="str">
        <f t="shared" si="57"/>
        <v/>
      </c>
      <c r="S178" s="27"/>
      <c r="T178" s="28"/>
      <c r="U178" s="27"/>
      <c r="V178" s="27"/>
      <c r="W178" s="36"/>
      <c r="X178" s="53" t="str">
        <f t="shared" si="58"/>
        <v/>
      </c>
      <c r="Y178" s="53" t="str">
        <f t="shared" si="59"/>
        <v/>
      </c>
    </row>
    <row r="179" spans="1:25" s="22" customFormat="1" x14ac:dyDescent="0.25">
      <c r="A179" s="29"/>
      <c r="B179" s="31"/>
      <c r="C179" s="30"/>
      <c r="D179" s="30"/>
      <c r="E179" s="46" t="str">
        <f t="shared" si="50"/>
        <v/>
      </c>
      <c r="F179" s="46" t="str">
        <f t="shared" si="51"/>
        <v/>
      </c>
      <c r="G179" s="30"/>
      <c r="H179" s="46" t="str">
        <f t="shared" si="52"/>
        <v/>
      </c>
      <c r="I179" s="46" t="str">
        <f t="shared" si="53"/>
        <v/>
      </c>
      <c r="J179" s="30"/>
      <c r="K179" s="46" t="str">
        <f t="shared" si="54"/>
        <v/>
      </c>
      <c r="L179" s="46" t="str">
        <f t="shared" si="55"/>
        <v/>
      </c>
      <c r="M179" s="30"/>
      <c r="N179" s="30"/>
      <c r="O179" s="30"/>
      <c r="P179" s="30"/>
      <c r="Q179" s="46" t="str">
        <f t="shared" si="56"/>
        <v/>
      </c>
      <c r="R179" s="46" t="str">
        <f t="shared" si="57"/>
        <v/>
      </c>
      <c r="S179" s="30"/>
      <c r="T179" s="31"/>
      <c r="U179" s="30"/>
      <c r="V179" s="30"/>
      <c r="W179" s="37"/>
      <c r="X179" s="52" t="str">
        <f t="shared" si="58"/>
        <v/>
      </c>
      <c r="Y179" s="52" t="str">
        <f t="shared" si="59"/>
        <v/>
      </c>
    </row>
    <row r="180" spans="1:25" s="22" customFormat="1" x14ac:dyDescent="0.25">
      <c r="A180" s="26"/>
      <c r="B180" s="28"/>
      <c r="C180" s="27"/>
      <c r="D180" s="27"/>
      <c r="E180" s="45" t="str">
        <f t="shared" si="50"/>
        <v/>
      </c>
      <c r="F180" s="45" t="str">
        <f t="shared" si="51"/>
        <v/>
      </c>
      <c r="G180" s="27"/>
      <c r="H180" s="45" t="str">
        <f t="shared" si="52"/>
        <v/>
      </c>
      <c r="I180" s="45" t="str">
        <f t="shared" si="53"/>
        <v/>
      </c>
      <c r="J180" s="27"/>
      <c r="K180" s="45" t="str">
        <f t="shared" si="54"/>
        <v/>
      </c>
      <c r="L180" s="45" t="str">
        <f t="shared" si="55"/>
        <v/>
      </c>
      <c r="M180" s="27"/>
      <c r="N180" s="27"/>
      <c r="O180" s="27"/>
      <c r="P180" s="27"/>
      <c r="Q180" s="45" t="str">
        <f t="shared" si="56"/>
        <v/>
      </c>
      <c r="R180" s="45" t="str">
        <f t="shared" si="57"/>
        <v/>
      </c>
      <c r="S180" s="27"/>
      <c r="T180" s="28"/>
      <c r="U180" s="27"/>
      <c r="V180" s="27"/>
      <c r="W180" s="36"/>
      <c r="X180" s="53" t="str">
        <f t="shared" si="58"/>
        <v/>
      </c>
      <c r="Y180" s="53" t="str">
        <f t="shared" si="59"/>
        <v/>
      </c>
    </row>
    <row r="181" spans="1:25" s="22" customFormat="1" x14ac:dyDescent="0.25">
      <c r="A181" s="29"/>
      <c r="B181" s="31"/>
      <c r="C181" s="30"/>
      <c r="D181" s="30"/>
      <c r="E181" s="46" t="str">
        <f t="shared" si="50"/>
        <v/>
      </c>
      <c r="F181" s="46" t="str">
        <f t="shared" si="51"/>
        <v/>
      </c>
      <c r="G181" s="30"/>
      <c r="H181" s="46" t="str">
        <f t="shared" si="52"/>
        <v/>
      </c>
      <c r="I181" s="46" t="str">
        <f t="shared" si="53"/>
        <v/>
      </c>
      <c r="J181" s="30"/>
      <c r="K181" s="46" t="str">
        <f t="shared" si="54"/>
        <v/>
      </c>
      <c r="L181" s="46" t="str">
        <f t="shared" si="55"/>
        <v/>
      </c>
      <c r="M181" s="30"/>
      <c r="N181" s="30"/>
      <c r="O181" s="30"/>
      <c r="P181" s="30"/>
      <c r="Q181" s="46" t="str">
        <f t="shared" si="56"/>
        <v/>
      </c>
      <c r="R181" s="46" t="str">
        <f t="shared" si="57"/>
        <v/>
      </c>
      <c r="S181" s="30"/>
      <c r="T181" s="31"/>
      <c r="U181" s="30"/>
      <c r="V181" s="30"/>
      <c r="W181" s="37"/>
      <c r="X181" s="52" t="str">
        <f t="shared" si="58"/>
        <v/>
      </c>
      <c r="Y181" s="52" t="str">
        <f t="shared" si="59"/>
        <v/>
      </c>
    </row>
    <row r="182" spans="1:25" s="22" customFormat="1" x14ac:dyDescent="0.25">
      <c r="A182" s="26"/>
      <c r="B182" s="28"/>
      <c r="C182" s="27"/>
      <c r="D182" s="27"/>
      <c r="E182" s="45" t="str">
        <f t="shared" si="50"/>
        <v/>
      </c>
      <c r="F182" s="45" t="str">
        <f t="shared" si="51"/>
        <v/>
      </c>
      <c r="G182" s="27"/>
      <c r="H182" s="45" t="str">
        <f t="shared" si="52"/>
        <v/>
      </c>
      <c r="I182" s="45" t="str">
        <f t="shared" si="53"/>
        <v/>
      </c>
      <c r="J182" s="27"/>
      <c r="K182" s="45" t="str">
        <f t="shared" si="54"/>
        <v/>
      </c>
      <c r="L182" s="45" t="str">
        <f t="shared" si="55"/>
        <v/>
      </c>
      <c r="M182" s="27"/>
      <c r="N182" s="27"/>
      <c r="O182" s="27"/>
      <c r="P182" s="27"/>
      <c r="Q182" s="45" t="str">
        <f t="shared" si="56"/>
        <v/>
      </c>
      <c r="R182" s="45" t="str">
        <f t="shared" si="57"/>
        <v/>
      </c>
      <c r="S182" s="27"/>
      <c r="T182" s="28"/>
      <c r="U182" s="27"/>
      <c r="V182" s="27"/>
      <c r="W182" s="36"/>
      <c r="X182" s="53" t="str">
        <f t="shared" si="58"/>
        <v/>
      </c>
      <c r="Y182" s="53" t="str">
        <f t="shared" si="59"/>
        <v/>
      </c>
    </row>
    <row r="183" spans="1:25" s="22" customFormat="1" x14ac:dyDescent="0.25">
      <c r="A183" s="29"/>
      <c r="B183" s="31"/>
      <c r="C183" s="30"/>
      <c r="D183" s="30"/>
      <c r="E183" s="46" t="str">
        <f t="shared" si="50"/>
        <v/>
      </c>
      <c r="F183" s="46" t="str">
        <f t="shared" si="51"/>
        <v/>
      </c>
      <c r="G183" s="30"/>
      <c r="H183" s="46" t="str">
        <f t="shared" si="52"/>
        <v/>
      </c>
      <c r="I183" s="46" t="str">
        <f t="shared" si="53"/>
        <v/>
      </c>
      <c r="J183" s="30"/>
      <c r="K183" s="46" t="str">
        <f t="shared" si="54"/>
        <v/>
      </c>
      <c r="L183" s="46" t="str">
        <f t="shared" si="55"/>
        <v/>
      </c>
      <c r="M183" s="30"/>
      <c r="N183" s="30"/>
      <c r="O183" s="30"/>
      <c r="P183" s="30"/>
      <c r="Q183" s="46" t="str">
        <f t="shared" si="56"/>
        <v/>
      </c>
      <c r="R183" s="46" t="str">
        <f t="shared" si="57"/>
        <v/>
      </c>
      <c r="S183" s="30"/>
      <c r="T183" s="31"/>
      <c r="U183" s="30"/>
      <c r="V183" s="30"/>
      <c r="W183" s="37"/>
      <c r="X183" s="52" t="str">
        <f t="shared" si="58"/>
        <v/>
      </c>
      <c r="Y183" s="52" t="str">
        <f t="shared" si="59"/>
        <v/>
      </c>
    </row>
    <row r="184" spans="1:25" s="22" customFormat="1" x14ac:dyDescent="0.25">
      <c r="A184" s="26"/>
      <c r="B184" s="28"/>
      <c r="C184" s="27"/>
      <c r="D184" s="27"/>
      <c r="E184" s="45" t="str">
        <f t="shared" si="50"/>
        <v/>
      </c>
      <c r="F184" s="45" t="str">
        <f t="shared" si="51"/>
        <v/>
      </c>
      <c r="G184" s="27"/>
      <c r="H184" s="45" t="str">
        <f t="shared" si="52"/>
        <v/>
      </c>
      <c r="I184" s="45" t="str">
        <f t="shared" si="53"/>
        <v/>
      </c>
      <c r="J184" s="27"/>
      <c r="K184" s="45" t="str">
        <f t="shared" si="54"/>
        <v/>
      </c>
      <c r="L184" s="45" t="str">
        <f t="shared" si="55"/>
        <v/>
      </c>
      <c r="M184" s="27"/>
      <c r="N184" s="27"/>
      <c r="O184" s="27"/>
      <c r="P184" s="27"/>
      <c r="Q184" s="45" t="str">
        <f t="shared" si="56"/>
        <v/>
      </c>
      <c r="R184" s="45" t="str">
        <f t="shared" si="57"/>
        <v/>
      </c>
      <c r="S184" s="27"/>
      <c r="T184" s="28"/>
      <c r="U184" s="27"/>
      <c r="V184" s="27"/>
      <c r="W184" s="36"/>
      <c r="X184" s="53" t="str">
        <f t="shared" si="58"/>
        <v/>
      </c>
      <c r="Y184" s="53" t="str">
        <f t="shared" si="59"/>
        <v/>
      </c>
    </row>
    <row r="185" spans="1:25" s="22" customFormat="1" x14ac:dyDescent="0.25">
      <c r="A185" s="29"/>
      <c r="B185" s="31"/>
      <c r="C185" s="30"/>
      <c r="D185" s="30"/>
      <c r="E185" s="46" t="str">
        <f t="shared" si="50"/>
        <v/>
      </c>
      <c r="F185" s="46" t="str">
        <f t="shared" si="51"/>
        <v/>
      </c>
      <c r="G185" s="30"/>
      <c r="H185" s="46" t="str">
        <f t="shared" si="52"/>
        <v/>
      </c>
      <c r="I185" s="46" t="str">
        <f t="shared" si="53"/>
        <v/>
      </c>
      <c r="J185" s="30"/>
      <c r="K185" s="46" t="str">
        <f t="shared" si="54"/>
        <v/>
      </c>
      <c r="L185" s="46" t="str">
        <f t="shared" si="55"/>
        <v/>
      </c>
      <c r="M185" s="30"/>
      <c r="N185" s="30"/>
      <c r="O185" s="30"/>
      <c r="P185" s="30"/>
      <c r="Q185" s="46" t="str">
        <f t="shared" si="56"/>
        <v/>
      </c>
      <c r="R185" s="46" t="str">
        <f t="shared" si="57"/>
        <v/>
      </c>
      <c r="S185" s="30"/>
      <c r="T185" s="31"/>
      <c r="U185" s="30"/>
      <c r="V185" s="30"/>
      <c r="W185" s="37"/>
      <c r="X185" s="52" t="str">
        <f t="shared" si="58"/>
        <v/>
      </c>
      <c r="Y185" s="52" t="str">
        <f t="shared" si="59"/>
        <v/>
      </c>
    </row>
    <row r="186" spans="1:25" s="22" customFormat="1" x14ac:dyDescent="0.25">
      <c r="A186" s="26"/>
      <c r="B186" s="28"/>
      <c r="C186" s="27"/>
      <c r="D186" s="27"/>
      <c r="E186" s="45" t="str">
        <f t="shared" si="50"/>
        <v/>
      </c>
      <c r="F186" s="45" t="str">
        <f t="shared" si="51"/>
        <v/>
      </c>
      <c r="G186" s="27"/>
      <c r="H186" s="45" t="str">
        <f t="shared" si="52"/>
        <v/>
      </c>
      <c r="I186" s="45" t="str">
        <f t="shared" si="53"/>
        <v/>
      </c>
      <c r="J186" s="27"/>
      <c r="K186" s="45" t="str">
        <f t="shared" si="54"/>
        <v/>
      </c>
      <c r="L186" s="45" t="str">
        <f t="shared" si="55"/>
        <v/>
      </c>
      <c r="M186" s="27"/>
      <c r="N186" s="27"/>
      <c r="O186" s="27"/>
      <c r="P186" s="27"/>
      <c r="Q186" s="45" t="str">
        <f t="shared" si="56"/>
        <v/>
      </c>
      <c r="R186" s="45" t="str">
        <f t="shared" si="57"/>
        <v/>
      </c>
      <c r="S186" s="27"/>
      <c r="T186" s="28"/>
      <c r="U186" s="27"/>
      <c r="V186" s="27"/>
      <c r="W186" s="36"/>
      <c r="X186" s="53" t="str">
        <f t="shared" si="58"/>
        <v/>
      </c>
      <c r="Y186" s="53" t="str">
        <f t="shared" si="59"/>
        <v/>
      </c>
    </row>
    <row r="187" spans="1:25" s="22" customFormat="1" x14ac:dyDescent="0.25">
      <c r="A187" s="29"/>
      <c r="B187" s="31"/>
      <c r="C187" s="30"/>
      <c r="D187" s="30"/>
      <c r="E187" s="46" t="str">
        <f t="shared" si="50"/>
        <v/>
      </c>
      <c r="F187" s="46" t="str">
        <f t="shared" si="51"/>
        <v/>
      </c>
      <c r="G187" s="30"/>
      <c r="H187" s="46" t="str">
        <f t="shared" si="52"/>
        <v/>
      </c>
      <c r="I187" s="46" t="str">
        <f t="shared" si="53"/>
        <v/>
      </c>
      <c r="J187" s="30"/>
      <c r="K187" s="46" t="str">
        <f t="shared" si="54"/>
        <v/>
      </c>
      <c r="L187" s="46" t="str">
        <f t="shared" si="55"/>
        <v/>
      </c>
      <c r="M187" s="30"/>
      <c r="N187" s="30"/>
      <c r="O187" s="30"/>
      <c r="P187" s="30"/>
      <c r="Q187" s="46" t="str">
        <f t="shared" si="56"/>
        <v/>
      </c>
      <c r="R187" s="46" t="str">
        <f t="shared" si="57"/>
        <v/>
      </c>
      <c r="S187" s="30"/>
      <c r="T187" s="31"/>
      <c r="U187" s="30"/>
      <c r="V187" s="30"/>
      <c r="W187" s="37"/>
      <c r="X187" s="52" t="str">
        <f t="shared" si="58"/>
        <v/>
      </c>
      <c r="Y187" s="52" t="str">
        <f t="shared" si="59"/>
        <v/>
      </c>
    </row>
    <row r="188" spans="1:25" s="22" customFormat="1" x14ac:dyDescent="0.25">
      <c r="A188" s="26"/>
      <c r="B188" s="28"/>
      <c r="C188" s="27"/>
      <c r="D188" s="27"/>
      <c r="E188" s="45" t="str">
        <f t="shared" si="50"/>
        <v/>
      </c>
      <c r="F188" s="45" t="str">
        <f t="shared" si="51"/>
        <v/>
      </c>
      <c r="G188" s="27"/>
      <c r="H188" s="45" t="str">
        <f t="shared" si="52"/>
        <v/>
      </c>
      <c r="I188" s="45" t="str">
        <f t="shared" si="53"/>
        <v/>
      </c>
      <c r="J188" s="27"/>
      <c r="K188" s="45" t="str">
        <f t="shared" si="54"/>
        <v/>
      </c>
      <c r="L188" s="45" t="str">
        <f t="shared" si="55"/>
        <v/>
      </c>
      <c r="M188" s="27"/>
      <c r="N188" s="27"/>
      <c r="O188" s="27"/>
      <c r="P188" s="27"/>
      <c r="Q188" s="45" t="str">
        <f t="shared" si="56"/>
        <v/>
      </c>
      <c r="R188" s="45" t="str">
        <f t="shared" si="57"/>
        <v/>
      </c>
      <c r="S188" s="27"/>
      <c r="T188" s="28"/>
      <c r="U188" s="27"/>
      <c r="V188" s="27"/>
      <c r="W188" s="36"/>
      <c r="X188" s="53" t="str">
        <f t="shared" si="58"/>
        <v/>
      </c>
      <c r="Y188" s="53" t="str">
        <f t="shared" si="59"/>
        <v/>
      </c>
    </row>
    <row r="189" spans="1:25" s="22" customFormat="1" x14ac:dyDescent="0.25">
      <c r="A189" s="29"/>
      <c r="B189" s="31"/>
      <c r="C189" s="30"/>
      <c r="D189" s="30"/>
      <c r="E189" s="46" t="str">
        <f t="shared" si="50"/>
        <v/>
      </c>
      <c r="F189" s="46" t="str">
        <f t="shared" si="51"/>
        <v/>
      </c>
      <c r="G189" s="30"/>
      <c r="H189" s="46" t="str">
        <f t="shared" si="52"/>
        <v/>
      </c>
      <c r="I189" s="46" t="str">
        <f t="shared" si="53"/>
        <v/>
      </c>
      <c r="J189" s="30"/>
      <c r="K189" s="46" t="str">
        <f t="shared" si="54"/>
        <v/>
      </c>
      <c r="L189" s="46" t="str">
        <f t="shared" si="55"/>
        <v/>
      </c>
      <c r="M189" s="30"/>
      <c r="N189" s="30"/>
      <c r="O189" s="30"/>
      <c r="P189" s="30"/>
      <c r="Q189" s="46" t="str">
        <f t="shared" si="56"/>
        <v/>
      </c>
      <c r="R189" s="46" t="str">
        <f t="shared" si="57"/>
        <v/>
      </c>
      <c r="S189" s="30"/>
      <c r="T189" s="31"/>
      <c r="U189" s="30"/>
      <c r="V189" s="30"/>
      <c r="W189" s="37"/>
      <c r="X189" s="52" t="str">
        <f t="shared" si="58"/>
        <v/>
      </c>
      <c r="Y189" s="52" t="str">
        <f t="shared" si="59"/>
        <v/>
      </c>
    </row>
    <row r="190" spans="1:25" s="22" customFormat="1" x14ac:dyDescent="0.25">
      <c r="A190" s="26"/>
      <c r="B190" s="28"/>
      <c r="C190" s="27"/>
      <c r="D190" s="27"/>
      <c r="E190" s="45" t="str">
        <f t="shared" si="50"/>
        <v/>
      </c>
      <c r="F190" s="45" t="str">
        <f t="shared" si="51"/>
        <v/>
      </c>
      <c r="G190" s="27"/>
      <c r="H190" s="45" t="str">
        <f t="shared" si="52"/>
        <v/>
      </c>
      <c r="I190" s="45" t="str">
        <f t="shared" si="53"/>
        <v/>
      </c>
      <c r="J190" s="27"/>
      <c r="K190" s="45" t="str">
        <f t="shared" si="54"/>
        <v/>
      </c>
      <c r="L190" s="45" t="str">
        <f t="shared" si="55"/>
        <v/>
      </c>
      <c r="M190" s="27"/>
      <c r="N190" s="27"/>
      <c r="O190" s="27"/>
      <c r="P190" s="27"/>
      <c r="Q190" s="45" t="str">
        <f t="shared" si="56"/>
        <v/>
      </c>
      <c r="R190" s="45" t="str">
        <f t="shared" si="57"/>
        <v/>
      </c>
      <c r="S190" s="27"/>
      <c r="T190" s="28"/>
      <c r="U190" s="27"/>
      <c r="V190" s="27"/>
      <c r="W190" s="36"/>
      <c r="X190" s="53" t="str">
        <f t="shared" si="58"/>
        <v/>
      </c>
      <c r="Y190" s="53" t="str">
        <f t="shared" si="59"/>
        <v/>
      </c>
    </row>
    <row r="191" spans="1:25" s="22" customFormat="1" x14ac:dyDescent="0.25">
      <c r="A191" s="29"/>
      <c r="B191" s="31"/>
      <c r="C191" s="30"/>
      <c r="D191" s="30"/>
      <c r="E191" s="46" t="str">
        <f t="shared" si="50"/>
        <v/>
      </c>
      <c r="F191" s="46" t="str">
        <f t="shared" si="51"/>
        <v/>
      </c>
      <c r="G191" s="30"/>
      <c r="H191" s="46" t="str">
        <f t="shared" si="52"/>
        <v/>
      </c>
      <c r="I191" s="46" t="str">
        <f t="shared" si="53"/>
        <v/>
      </c>
      <c r="J191" s="30"/>
      <c r="K191" s="46" t="str">
        <f t="shared" si="54"/>
        <v/>
      </c>
      <c r="L191" s="46" t="str">
        <f t="shared" si="55"/>
        <v/>
      </c>
      <c r="M191" s="30"/>
      <c r="N191" s="30"/>
      <c r="O191" s="30"/>
      <c r="P191" s="30"/>
      <c r="Q191" s="46" t="str">
        <f t="shared" si="56"/>
        <v/>
      </c>
      <c r="R191" s="46" t="str">
        <f t="shared" si="57"/>
        <v/>
      </c>
      <c r="S191" s="30"/>
      <c r="T191" s="31"/>
      <c r="U191" s="30"/>
      <c r="V191" s="30"/>
      <c r="W191" s="37"/>
      <c r="X191" s="52" t="str">
        <f t="shared" si="58"/>
        <v/>
      </c>
      <c r="Y191" s="52" t="str">
        <f t="shared" si="59"/>
        <v/>
      </c>
    </row>
    <row r="192" spans="1:25" s="22" customFormat="1" x14ac:dyDescent="0.25">
      <c r="A192" s="26"/>
      <c r="B192" s="28"/>
      <c r="C192" s="27"/>
      <c r="D192" s="27"/>
      <c r="E192" s="45" t="str">
        <f t="shared" si="50"/>
        <v/>
      </c>
      <c r="F192" s="45" t="str">
        <f t="shared" si="51"/>
        <v/>
      </c>
      <c r="G192" s="27"/>
      <c r="H192" s="45" t="str">
        <f t="shared" si="52"/>
        <v/>
      </c>
      <c r="I192" s="45" t="str">
        <f t="shared" si="53"/>
        <v/>
      </c>
      <c r="J192" s="27"/>
      <c r="K192" s="45" t="str">
        <f t="shared" si="54"/>
        <v/>
      </c>
      <c r="L192" s="45" t="str">
        <f t="shared" si="55"/>
        <v/>
      </c>
      <c r="M192" s="27"/>
      <c r="N192" s="27"/>
      <c r="O192" s="27"/>
      <c r="P192" s="27"/>
      <c r="Q192" s="45" t="str">
        <f t="shared" si="56"/>
        <v/>
      </c>
      <c r="R192" s="45" t="str">
        <f t="shared" si="57"/>
        <v/>
      </c>
      <c r="S192" s="27"/>
      <c r="T192" s="28"/>
      <c r="U192" s="27"/>
      <c r="V192" s="27"/>
      <c r="W192" s="36"/>
      <c r="X192" s="53" t="str">
        <f t="shared" si="58"/>
        <v/>
      </c>
      <c r="Y192" s="53" t="str">
        <f t="shared" si="59"/>
        <v/>
      </c>
    </row>
    <row r="193" spans="1:25" s="22" customFormat="1" x14ac:dyDescent="0.25">
      <c r="A193" s="29"/>
      <c r="B193" s="31"/>
      <c r="C193" s="30"/>
      <c r="D193" s="30"/>
      <c r="E193" s="46" t="str">
        <f t="shared" si="50"/>
        <v/>
      </c>
      <c r="F193" s="46" t="str">
        <f t="shared" si="51"/>
        <v/>
      </c>
      <c r="G193" s="30"/>
      <c r="H193" s="46" t="str">
        <f t="shared" si="52"/>
        <v/>
      </c>
      <c r="I193" s="46" t="str">
        <f t="shared" si="53"/>
        <v/>
      </c>
      <c r="J193" s="30"/>
      <c r="K193" s="46" t="str">
        <f t="shared" si="54"/>
        <v/>
      </c>
      <c r="L193" s="46" t="str">
        <f t="shared" si="55"/>
        <v/>
      </c>
      <c r="M193" s="30"/>
      <c r="N193" s="30"/>
      <c r="O193" s="30"/>
      <c r="P193" s="30"/>
      <c r="Q193" s="46" t="str">
        <f t="shared" si="56"/>
        <v/>
      </c>
      <c r="R193" s="46" t="str">
        <f t="shared" si="57"/>
        <v/>
      </c>
      <c r="S193" s="30"/>
      <c r="T193" s="31"/>
      <c r="U193" s="30"/>
      <c r="V193" s="30"/>
      <c r="W193" s="37"/>
      <c r="X193" s="52" t="str">
        <f t="shared" si="58"/>
        <v/>
      </c>
      <c r="Y193" s="52" t="str">
        <f t="shared" si="59"/>
        <v/>
      </c>
    </row>
    <row r="194" spans="1:25" s="22" customFormat="1" x14ac:dyDescent="0.25">
      <c r="A194" s="26"/>
      <c r="B194" s="28"/>
      <c r="C194" s="27"/>
      <c r="D194" s="27"/>
      <c r="E194" s="45" t="str">
        <f t="shared" si="50"/>
        <v/>
      </c>
      <c r="F194" s="45" t="str">
        <f t="shared" si="51"/>
        <v/>
      </c>
      <c r="G194" s="27"/>
      <c r="H194" s="45" t="str">
        <f t="shared" si="52"/>
        <v/>
      </c>
      <c r="I194" s="45" t="str">
        <f t="shared" si="53"/>
        <v/>
      </c>
      <c r="J194" s="27"/>
      <c r="K194" s="45" t="str">
        <f t="shared" si="54"/>
        <v/>
      </c>
      <c r="L194" s="45" t="str">
        <f t="shared" si="55"/>
        <v/>
      </c>
      <c r="M194" s="27"/>
      <c r="N194" s="27"/>
      <c r="O194" s="27"/>
      <c r="P194" s="27"/>
      <c r="Q194" s="45" t="str">
        <f t="shared" si="56"/>
        <v/>
      </c>
      <c r="R194" s="45" t="str">
        <f t="shared" si="57"/>
        <v/>
      </c>
      <c r="S194" s="27"/>
      <c r="T194" s="28"/>
      <c r="U194" s="27"/>
      <c r="V194" s="27"/>
      <c r="W194" s="36"/>
      <c r="X194" s="53" t="str">
        <f t="shared" si="58"/>
        <v/>
      </c>
      <c r="Y194" s="53" t="str">
        <f t="shared" si="59"/>
        <v/>
      </c>
    </row>
    <row r="195" spans="1:25" s="22" customFormat="1" x14ac:dyDescent="0.25">
      <c r="A195" s="29"/>
      <c r="B195" s="31"/>
      <c r="C195" s="30"/>
      <c r="D195" s="30"/>
      <c r="E195" s="46" t="str">
        <f t="shared" si="50"/>
        <v/>
      </c>
      <c r="F195" s="46" t="str">
        <f t="shared" si="51"/>
        <v/>
      </c>
      <c r="G195" s="30"/>
      <c r="H195" s="46" t="str">
        <f t="shared" si="52"/>
        <v/>
      </c>
      <c r="I195" s="46" t="str">
        <f t="shared" si="53"/>
        <v/>
      </c>
      <c r="J195" s="30"/>
      <c r="K195" s="46" t="str">
        <f t="shared" si="54"/>
        <v/>
      </c>
      <c r="L195" s="46" t="str">
        <f t="shared" si="55"/>
        <v/>
      </c>
      <c r="M195" s="30"/>
      <c r="N195" s="30"/>
      <c r="O195" s="30"/>
      <c r="P195" s="30"/>
      <c r="Q195" s="46" t="str">
        <f t="shared" si="56"/>
        <v/>
      </c>
      <c r="R195" s="46" t="str">
        <f t="shared" si="57"/>
        <v/>
      </c>
      <c r="S195" s="30"/>
      <c r="T195" s="31"/>
      <c r="U195" s="30"/>
      <c r="V195" s="30"/>
      <c r="W195" s="37"/>
      <c r="X195" s="52" t="str">
        <f t="shared" si="58"/>
        <v/>
      </c>
      <c r="Y195" s="52" t="str">
        <f t="shared" si="59"/>
        <v/>
      </c>
    </row>
    <row r="196" spans="1:25" s="22" customFormat="1" x14ac:dyDescent="0.25">
      <c r="A196" s="26"/>
      <c r="B196" s="28"/>
      <c r="C196" s="27"/>
      <c r="D196" s="27"/>
      <c r="E196" s="45" t="str">
        <f t="shared" si="50"/>
        <v/>
      </c>
      <c r="F196" s="45" t="str">
        <f t="shared" si="51"/>
        <v/>
      </c>
      <c r="G196" s="27"/>
      <c r="H196" s="45" t="str">
        <f t="shared" si="52"/>
        <v/>
      </c>
      <c r="I196" s="45" t="str">
        <f t="shared" si="53"/>
        <v/>
      </c>
      <c r="J196" s="27"/>
      <c r="K196" s="45" t="str">
        <f t="shared" si="54"/>
        <v/>
      </c>
      <c r="L196" s="45" t="str">
        <f t="shared" si="55"/>
        <v/>
      </c>
      <c r="M196" s="27"/>
      <c r="N196" s="27"/>
      <c r="O196" s="27"/>
      <c r="P196" s="27"/>
      <c r="Q196" s="45" t="str">
        <f t="shared" si="56"/>
        <v/>
      </c>
      <c r="R196" s="45" t="str">
        <f t="shared" si="57"/>
        <v/>
      </c>
      <c r="S196" s="27"/>
      <c r="T196" s="28"/>
      <c r="U196" s="27"/>
      <c r="V196" s="27"/>
      <c r="W196" s="36"/>
      <c r="X196" s="53" t="str">
        <f t="shared" si="58"/>
        <v/>
      </c>
      <c r="Y196" s="53" t="str">
        <f t="shared" si="59"/>
        <v/>
      </c>
    </row>
    <row r="197" spans="1:25" s="22" customFormat="1" x14ac:dyDescent="0.25">
      <c r="A197" s="29"/>
      <c r="B197" s="31"/>
      <c r="C197" s="30"/>
      <c r="D197" s="30"/>
      <c r="E197" s="46" t="str">
        <f t="shared" si="50"/>
        <v/>
      </c>
      <c r="F197" s="46" t="str">
        <f t="shared" si="51"/>
        <v/>
      </c>
      <c r="G197" s="30"/>
      <c r="H197" s="46" t="str">
        <f t="shared" si="52"/>
        <v/>
      </c>
      <c r="I197" s="46" t="str">
        <f t="shared" si="53"/>
        <v/>
      </c>
      <c r="J197" s="30"/>
      <c r="K197" s="46" t="str">
        <f t="shared" si="54"/>
        <v/>
      </c>
      <c r="L197" s="46" t="str">
        <f t="shared" si="55"/>
        <v/>
      </c>
      <c r="M197" s="30"/>
      <c r="N197" s="30"/>
      <c r="O197" s="30"/>
      <c r="P197" s="30"/>
      <c r="Q197" s="46" t="str">
        <f t="shared" si="56"/>
        <v/>
      </c>
      <c r="R197" s="46" t="str">
        <f t="shared" si="57"/>
        <v/>
      </c>
      <c r="S197" s="30"/>
      <c r="T197" s="31"/>
      <c r="U197" s="30"/>
      <c r="V197" s="30"/>
      <c r="W197" s="37"/>
      <c r="X197" s="52" t="str">
        <f t="shared" si="58"/>
        <v/>
      </c>
      <c r="Y197" s="52" t="str">
        <f t="shared" si="59"/>
        <v/>
      </c>
    </row>
    <row r="198" spans="1:25" s="22" customFormat="1" x14ac:dyDescent="0.25">
      <c r="A198" s="26"/>
      <c r="B198" s="28"/>
      <c r="C198" s="27"/>
      <c r="D198" s="27"/>
      <c r="E198" s="45" t="str">
        <f t="shared" ref="E198:E204" si="60">IF(D198="","",_xlfn.TRANSLATE(D198,"vi","ja"))</f>
        <v/>
      </c>
      <c r="F198" s="45" t="str">
        <f t="shared" ref="F198:F204" si="61">IF(D198="","",_xlfn.TRANSLATE(D198,"vi","zh-Hans"))</f>
        <v/>
      </c>
      <c r="G198" s="27"/>
      <c r="H198" s="45" t="str">
        <f t="shared" ref="H198:H204" si="62">IF(G198="","",_xlfn.TRANSLATE(G198,"vi","ja"))</f>
        <v/>
      </c>
      <c r="I198" s="45" t="str">
        <f t="shared" ref="I198:I204" si="63">IF(G198="","",_xlfn.TRANSLATE(G198,"vi","zh-Hans"))</f>
        <v/>
      </c>
      <c r="J198" s="27"/>
      <c r="K198" s="45" t="str">
        <f t="shared" ref="K198:K204" si="64">IF(J198="","",_xlfn.TRANSLATE(J198,"vi","ja"))</f>
        <v/>
      </c>
      <c r="L198" s="45" t="str">
        <f t="shared" ref="L198:L204" si="65">IF(J198="","",_xlfn.TRANSLATE(J198,"vi","zh-Hans"))</f>
        <v/>
      </c>
      <c r="M198" s="27"/>
      <c r="N198" s="27"/>
      <c r="O198" s="27"/>
      <c r="P198" s="27"/>
      <c r="Q198" s="45" t="str">
        <f t="shared" ref="Q198:Q204" si="66">IF(P198="","",_xlfn.TRANSLATE(P198,"vi","ja"))</f>
        <v/>
      </c>
      <c r="R198" s="45" t="str">
        <f t="shared" ref="R198:R204" si="67">IF(P198="","",_xlfn.TRANSLATE(P198,"vi","zh-Hans"))</f>
        <v/>
      </c>
      <c r="S198" s="27"/>
      <c r="T198" s="28"/>
      <c r="U198" s="27"/>
      <c r="V198" s="27"/>
      <c r="W198" s="36"/>
      <c r="X198" s="53" t="str">
        <f t="shared" ref="X198:X204" si="68">IF(W198="","",_xlfn.TRANSLATE(W198,"vi","ja"))</f>
        <v/>
      </c>
      <c r="Y198" s="53" t="str">
        <f t="shared" ref="Y198:Y204" si="69">IF(W198="","",_xlfn.TRANSLATE(W198,"vi","zh-Hans"))</f>
        <v/>
      </c>
    </row>
    <row r="199" spans="1:25" s="22" customFormat="1" x14ac:dyDescent="0.25">
      <c r="A199" s="29"/>
      <c r="B199" s="31"/>
      <c r="C199" s="30"/>
      <c r="D199" s="30"/>
      <c r="E199" s="46" t="str">
        <f t="shared" si="60"/>
        <v/>
      </c>
      <c r="F199" s="46" t="str">
        <f t="shared" si="61"/>
        <v/>
      </c>
      <c r="G199" s="30"/>
      <c r="H199" s="46" t="str">
        <f t="shared" si="62"/>
        <v/>
      </c>
      <c r="I199" s="46" t="str">
        <f t="shared" si="63"/>
        <v/>
      </c>
      <c r="J199" s="30"/>
      <c r="K199" s="46" t="str">
        <f t="shared" si="64"/>
        <v/>
      </c>
      <c r="L199" s="46" t="str">
        <f t="shared" si="65"/>
        <v/>
      </c>
      <c r="M199" s="30"/>
      <c r="N199" s="30"/>
      <c r="O199" s="30"/>
      <c r="P199" s="30"/>
      <c r="Q199" s="46" t="str">
        <f t="shared" si="66"/>
        <v/>
      </c>
      <c r="R199" s="46" t="str">
        <f t="shared" si="67"/>
        <v/>
      </c>
      <c r="S199" s="30"/>
      <c r="T199" s="31"/>
      <c r="U199" s="30"/>
      <c r="V199" s="30"/>
      <c r="W199" s="37"/>
      <c r="X199" s="52" t="str">
        <f t="shared" si="68"/>
        <v/>
      </c>
      <c r="Y199" s="52" t="str">
        <f t="shared" si="69"/>
        <v/>
      </c>
    </row>
    <row r="200" spans="1:25" s="22" customFormat="1" x14ac:dyDescent="0.25">
      <c r="A200" s="26"/>
      <c r="B200" s="28"/>
      <c r="C200" s="27"/>
      <c r="D200" s="27"/>
      <c r="E200" s="45" t="str">
        <f t="shared" si="60"/>
        <v/>
      </c>
      <c r="F200" s="45" t="str">
        <f t="shared" si="61"/>
        <v/>
      </c>
      <c r="G200" s="27"/>
      <c r="H200" s="45" t="str">
        <f t="shared" si="62"/>
        <v/>
      </c>
      <c r="I200" s="45" t="str">
        <f t="shared" si="63"/>
        <v/>
      </c>
      <c r="J200" s="27"/>
      <c r="K200" s="45" t="str">
        <f t="shared" si="64"/>
        <v/>
      </c>
      <c r="L200" s="45" t="str">
        <f t="shared" si="65"/>
        <v/>
      </c>
      <c r="M200" s="27"/>
      <c r="N200" s="27"/>
      <c r="O200" s="27"/>
      <c r="P200" s="27"/>
      <c r="Q200" s="45" t="str">
        <f t="shared" si="66"/>
        <v/>
      </c>
      <c r="R200" s="45" t="str">
        <f t="shared" si="67"/>
        <v/>
      </c>
      <c r="S200" s="27"/>
      <c r="T200" s="28"/>
      <c r="U200" s="27"/>
      <c r="V200" s="27"/>
      <c r="W200" s="36"/>
      <c r="X200" s="53" t="str">
        <f t="shared" si="68"/>
        <v/>
      </c>
      <c r="Y200" s="53" t="str">
        <f t="shared" si="69"/>
        <v/>
      </c>
    </row>
    <row r="201" spans="1:25" s="22" customFormat="1" x14ac:dyDescent="0.25">
      <c r="A201" s="29"/>
      <c r="B201" s="31"/>
      <c r="C201" s="30"/>
      <c r="D201" s="30"/>
      <c r="E201" s="46" t="str">
        <f t="shared" si="60"/>
        <v/>
      </c>
      <c r="F201" s="46" t="str">
        <f t="shared" si="61"/>
        <v/>
      </c>
      <c r="G201" s="30"/>
      <c r="H201" s="46" t="str">
        <f t="shared" si="62"/>
        <v/>
      </c>
      <c r="I201" s="46" t="str">
        <f t="shared" si="63"/>
        <v/>
      </c>
      <c r="J201" s="30"/>
      <c r="K201" s="46" t="str">
        <f t="shared" si="64"/>
        <v/>
      </c>
      <c r="L201" s="46" t="str">
        <f t="shared" si="65"/>
        <v/>
      </c>
      <c r="M201" s="30"/>
      <c r="N201" s="30"/>
      <c r="O201" s="30"/>
      <c r="P201" s="30"/>
      <c r="Q201" s="46" t="str">
        <f t="shared" si="66"/>
        <v/>
      </c>
      <c r="R201" s="46" t="str">
        <f t="shared" si="67"/>
        <v/>
      </c>
      <c r="S201" s="30"/>
      <c r="T201" s="31"/>
      <c r="U201" s="30"/>
      <c r="V201" s="30"/>
      <c r="W201" s="37"/>
      <c r="X201" s="52" t="str">
        <f t="shared" si="68"/>
        <v/>
      </c>
      <c r="Y201" s="52" t="str">
        <f t="shared" si="69"/>
        <v/>
      </c>
    </row>
    <row r="202" spans="1:25" s="22" customFormat="1" x14ac:dyDescent="0.25">
      <c r="A202" s="26"/>
      <c r="B202" s="28"/>
      <c r="C202" s="27"/>
      <c r="D202" s="27"/>
      <c r="E202" s="45" t="str">
        <f t="shared" si="60"/>
        <v/>
      </c>
      <c r="F202" s="45" t="str">
        <f t="shared" si="61"/>
        <v/>
      </c>
      <c r="G202" s="27"/>
      <c r="H202" s="45" t="str">
        <f t="shared" si="62"/>
        <v/>
      </c>
      <c r="I202" s="45" t="str">
        <f t="shared" si="63"/>
        <v/>
      </c>
      <c r="J202" s="27"/>
      <c r="K202" s="45" t="str">
        <f t="shared" si="64"/>
        <v/>
      </c>
      <c r="L202" s="45" t="str">
        <f t="shared" si="65"/>
        <v/>
      </c>
      <c r="M202" s="27"/>
      <c r="N202" s="27"/>
      <c r="O202" s="27"/>
      <c r="P202" s="27"/>
      <c r="Q202" s="45" t="str">
        <f t="shared" si="66"/>
        <v/>
      </c>
      <c r="R202" s="45" t="str">
        <f t="shared" si="67"/>
        <v/>
      </c>
      <c r="S202" s="27"/>
      <c r="T202" s="28"/>
      <c r="U202" s="27"/>
      <c r="V202" s="27"/>
      <c r="W202" s="36"/>
      <c r="X202" s="53" t="str">
        <f t="shared" si="68"/>
        <v/>
      </c>
      <c r="Y202" s="53" t="str">
        <f t="shared" si="69"/>
        <v/>
      </c>
    </row>
    <row r="203" spans="1:25" s="22" customFormat="1" x14ac:dyDescent="0.25">
      <c r="A203" s="29"/>
      <c r="B203" s="31"/>
      <c r="C203" s="30"/>
      <c r="D203" s="30"/>
      <c r="E203" s="46" t="str">
        <f t="shared" si="60"/>
        <v/>
      </c>
      <c r="F203" s="46" t="str">
        <f t="shared" si="61"/>
        <v/>
      </c>
      <c r="G203" s="30"/>
      <c r="H203" s="46" t="str">
        <f t="shared" si="62"/>
        <v/>
      </c>
      <c r="I203" s="46" t="str">
        <f t="shared" si="63"/>
        <v/>
      </c>
      <c r="J203" s="30"/>
      <c r="K203" s="46" t="str">
        <f t="shared" si="64"/>
        <v/>
      </c>
      <c r="L203" s="46" t="str">
        <f t="shared" si="65"/>
        <v/>
      </c>
      <c r="M203" s="30"/>
      <c r="N203" s="30"/>
      <c r="O203" s="30"/>
      <c r="P203" s="30"/>
      <c r="Q203" s="46" t="str">
        <f t="shared" si="66"/>
        <v/>
      </c>
      <c r="R203" s="46" t="str">
        <f t="shared" si="67"/>
        <v/>
      </c>
      <c r="S203" s="30"/>
      <c r="T203" s="31"/>
      <c r="U203" s="30"/>
      <c r="V203" s="30"/>
      <c r="W203" s="37"/>
      <c r="X203" s="52" t="str">
        <f t="shared" si="68"/>
        <v/>
      </c>
      <c r="Y203" s="52" t="str">
        <f t="shared" si="69"/>
        <v/>
      </c>
    </row>
    <row r="204" spans="1:25" s="22" customFormat="1" x14ac:dyDescent="0.25">
      <c r="A204" s="32"/>
      <c r="B204" s="34"/>
      <c r="C204" s="33"/>
      <c r="D204" s="33"/>
      <c r="E204" s="47" t="str">
        <f t="shared" si="60"/>
        <v/>
      </c>
      <c r="F204" s="47" t="str">
        <f t="shared" si="61"/>
        <v/>
      </c>
      <c r="G204" s="33"/>
      <c r="H204" s="47" t="str">
        <f t="shared" si="62"/>
        <v/>
      </c>
      <c r="I204" s="47" t="str">
        <f t="shared" si="63"/>
        <v/>
      </c>
      <c r="J204" s="33"/>
      <c r="K204" s="47" t="str">
        <f t="shared" si="64"/>
        <v/>
      </c>
      <c r="L204" s="47" t="str">
        <f t="shared" si="65"/>
        <v/>
      </c>
      <c r="M204" s="33"/>
      <c r="N204" s="33"/>
      <c r="O204" s="33"/>
      <c r="P204" s="33"/>
      <c r="Q204" s="47" t="str">
        <f t="shared" si="66"/>
        <v/>
      </c>
      <c r="R204" s="47" t="str">
        <f t="shared" si="67"/>
        <v/>
      </c>
      <c r="S204" s="33"/>
      <c r="T204" s="34"/>
      <c r="U204" s="33"/>
      <c r="V204" s="33"/>
      <c r="W204" s="38"/>
      <c r="X204" s="53" t="str">
        <f t="shared" si="68"/>
        <v/>
      </c>
      <c r="Y204" s="53" t="str">
        <f t="shared" si="69"/>
        <v/>
      </c>
    </row>
  </sheetData>
  <sheetProtection sheet="1" scenarios="1"/>
  <autoFilter ref="A4:W204" xr:uid="{00000000-0001-0000-0500-000000000000}"/>
  <mergeCells count="2">
    <mergeCell ref="A2:V2"/>
    <mergeCell ref="A1:V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N5:N204</xm:sqref>
        </x14:dataValidation>
        <x14:dataValidation type="list" allowBlank="1" xr:uid="{00000000-0002-0000-0500-000001000000}">
          <x14:formula1>
            <xm:f>'02_マスタ'!$C$5:$C$8</xm:f>
          </x14:formula1>
          <xm:sqref>O5:O204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204"/>
  <sheetViews>
    <sheetView showGridLines="0" zoomScale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6" width="22" style="1" customWidth="1"/>
    <col min="7" max="9" width="30" style="1" customWidth="1"/>
    <col min="10" max="12" width="40" style="1" customWidth="1"/>
    <col min="13" max="13" width="10" style="1" customWidth="1"/>
    <col min="14" max="14" width="12" style="1" customWidth="1"/>
    <col min="15" max="15" width="20" style="1" customWidth="1"/>
    <col min="16" max="16" width="18" style="1" customWidth="1"/>
    <col min="17" max="19" width="12" style="1" customWidth="1"/>
    <col min="20" max="21" width="11" style="1" customWidth="1"/>
    <col min="22" max="22" width="12" style="1" customWidth="1"/>
    <col min="23" max="25" width="30" style="1" customWidth="1"/>
    <col min="26" max="28" width="20" style="1" customWidth="1"/>
    <col min="29" max="16384" width="8.75" style="1"/>
  </cols>
  <sheetData>
    <row r="1" spans="1:28" ht="27.95" customHeight="1" x14ac:dyDescent="0.25">
      <c r="A1" s="64" t="str">
        <f>INDEX(_翻訳マスタ!$B$117:$D$247,MATCH("KPI_TITLE",_翻訳マスタ!$A$117:$A$247,0),MATCH(言語切替!$B$3,_翻訳マスタ!$B$1:$D$1,0))</f>
        <v>Quản lý KPI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8" ht="27.95" customHeight="1" x14ac:dyDescent="0.25">
      <c r="A2" s="65" t="str">
        <f>INDEX(_翻訳マスタ!$B$117:$D$247,MATCH("KPI_DESC",_翻訳マスタ!$A$117:$A$247,0),MATCH(言語切替!$B$3,_翻訳マスタ!$B$1:$D$1,0))</f>
        <v>KPI được quản lý theo thứ tự: 'Thiết lập nền tảng → Vận hành ổn định → Kết quả nghiệp vụ → Kết quả đầu tư'. Cập nhật giá trị cơ sở và mục tiêu theo kết quả kiểm chứng.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8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28" ht="45" customHeight="1" x14ac:dyDescent="0.25">
      <c r="A4" s="6" t="str">
        <f>INDEX(_翻訳マスタ!$B$117:$D$247,MATCH("KPI_COL_ID",_翻訳マスタ!$A$117:$A$247,0),MATCH(言語切替!$B$3,_翻訳マスタ!$B$1:$D$1,0))</f>
        <v>Mã KPI</v>
      </c>
      <c r="B4" s="7" t="str">
        <f>INDEX(_翻訳マスタ!$B$117:$D$247,MATCH("KPI_COL_WG",_翻訳マスタ!$A$117:$A$247,0),MATCH(言語切替!$B$3,_翻訳マスタ!$B$1:$D$1,0))</f>
        <v>WG</v>
      </c>
      <c r="C4" s="7" t="str">
        <f>INDEX(_翻訳マスタ!$B$117:$D$247,MATCH("KPI_COL_LEVEL",_翻訳マスタ!$A$117:$A$247,0),MATCH(言語切替!$B$3,_翻訳マスタ!$B$1:$D$1,0))</f>
        <v>Cấp độ</v>
      </c>
      <c r="D4" s="7" t="str">
        <f>INDEX(_翻訳マスタ!$B$2:$D$300,MATCH("KPI_COL_NAME",_翻訳マスタ!$A$2:$A$300,0),MATCH(言語切替!$B$3,_翻訳マスタ!$B$1:$D$1,0))&amp;INDEX(_翻訳マスタ!$B$2:$D$300,MATCH("NEW_VI_SUFFIX",_翻訳マスタ!$A$2:$A$300,0),MATCH(言語切替!$B$3,_翻訳マスタ!$B$1:$D$1,0))</f>
        <v>Tên KPI (VI)</v>
      </c>
      <c r="E4" s="7" t="str">
        <f>INDEX(_翻訳マスタ!$B$2:$D$300,MATCH("KPI_COL_NAME",_翻訳マスタ!$A$2:$A$300,0),MATCH(言語切替!$B$3,_翻訳マスタ!$B$1:$D$1,0))&amp;INDEX(_翻訳マスタ!$B$2:$D$300,MATCH("NEW_JP_SUFFIX",_翻訳マスタ!$A$2:$A$300,0),MATCH(言語切替!$B$3,_翻訳マスタ!$B$1:$D$1,0))</f>
        <v>Tên KPI (JP)</v>
      </c>
      <c r="F4" s="7" t="str">
        <f>INDEX(_翻訳マスタ!$B$2:$D$300,MATCH("KPI_COL_NAME",_翻訳マスタ!$A$2:$A$300,0),MATCH(言語切替!$B$3,_翻訳マスタ!$B$1:$D$1,0))&amp;INDEX(_翻訳マスタ!$B$2:$D$300,MATCH("NEW_CN_SUFFIX",_翻訳マスタ!$A$2:$A$300,0),MATCH(言語切替!$B$3,_翻訳マスタ!$B$1:$D$1,0))</f>
        <v>Tên KPI (CN)</v>
      </c>
      <c r="G4" s="7" t="str">
        <f>INDEX(_翻訳マスタ!$B$2:$D$300,MATCH("KPI_COL_PURPOSE",_翻訳マスタ!$A$2:$A$300,0),MATCH(言語切替!$B$3,_翻訳マスタ!$B$1:$D$1,0))&amp;INDEX(_翻訳マスタ!$B$2:$D$300,MATCH("NEW_VI_SUFFIX",_翻訳マスタ!$A$2:$A$300,0),MATCH(言語切替!$B$3,_翻訳マスタ!$B$1:$D$1,0))</f>
        <v>Mục đích (VI)</v>
      </c>
      <c r="H4" s="7" t="str">
        <f>INDEX(_翻訳マスタ!$B$2:$D$300,MATCH("KPI_COL_PURPOSE",_翻訳マスタ!$A$2:$A$300,0),MATCH(言語切替!$B$3,_翻訳マスタ!$B$1:$D$1,0))&amp;INDEX(_翻訳マスタ!$B$2:$D$300,MATCH("NEW_JP_SUFFIX",_翻訳マスタ!$A$2:$A$300,0),MATCH(言語切替!$B$3,_翻訳マスタ!$B$1:$D$1,0))</f>
        <v>Mục đích (JP)</v>
      </c>
      <c r="I4" s="7" t="str">
        <f>INDEX(_翻訳マスタ!$B$2:$D$300,MATCH("KPI_COL_PURPOSE",_翻訳マスタ!$A$2:$A$300,0),MATCH(言語切替!$B$3,_翻訳マスタ!$B$1:$D$1,0))&amp;INDEX(_翻訳マスタ!$B$2:$D$300,MATCH("NEW_CN_SUFFIX",_翻訳マスタ!$A$2:$A$300,0),MATCH(言語切替!$B$3,_翻訳マスタ!$B$1:$D$1,0))</f>
        <v>Mục đích (CN)</v>
      </c>
      <c r="J4" s="7" t="str">
        <f>INDEX(_翻訳マスタ!$B$2:$D$300,MATCH("KPI_COL_FORMULA",_翻訳マスタ!$A$2:$A$300,0),MATCH(言語切替!$B$3,_翻訳マスタ!$B$1:$D$1,0))&amp;INDEX(_翻訳マスタ!$B$2:$D$300,MATCH("NEW_VI_SUFFIX",_翻訳マスタ!$A$2:$A$300,0),MATCH(言語切替!$B$3,_翻訳マスタ!$B$1:$D$1,0))</f>
        <v>Định nghĩa / Công thức (VI)</v>
      </c>
      <c r="K4" s="7" t="str">
        <f>INDEX(_翻訳マスタ!$B$2:$D$300,MATCH("KPI_COL_FORMULA",_翻訳マスタ!$A$2:$A$300,0),MATCH(言語切替!$B$3,_翻訳マスタ!$B$1:$D$1,0))&amp;INDEX(_翻訳マスタ!$B$2:$D$300,MATCH("NEW_JP_SUFFIX",_翻訳マスタ!$A$2:$A$300,0),MATCH(言語切替!$B$3,_翻訳マスタ!$B$1:$D$1,0))</f>
        <v>Định nghĩa / Công thức (JP)</v>
      </c>
      <c r="L4" s="7" t="str">
        <f>INDEX(_翻訳マスタ!$B$2:$D$300,MATCH("KPI_COL_FORMULA",_翻訳マスタ!$A$2:$A$300,0),MATCH(言語切替!$B$3,_翻訳マスタ!$B$1:$D$1,0))&amp;INDEX(_翻訳マスタ!$B$2:$D$300,MATCH("NEW_CN_SUFFIX",_翻訳マスタ!$A$2:$A$300,0),MATCH(言語切替!$B$3,_翻訳マスタ!$B$1:$D$1,0))</f>
        <v>Định nghĩa / Công thức (CN)</v>
      </c>
      <c r="M4" s="7" t="str">
        <f>INDEX(_翻訳マスタ!$B$117:$D$247,MATCH("KPI_COL_UNIT",_翻訳マスタ!$A$117:$A$247,0),MATCH(言語切替!$B$3,_翻訳マスタ!$B$1:$D$1,0))</f>
        <v>Đơn vị tính</v>
      </c>
      <c r="N4" s="7" t="str">
        <f>INDEX(_翻訳マスタ!$B$117:$D$247,MATCH("KPI_COL_FREQ",_翻訳マスタ!$A$117:$A$247,0),MATCH(言語切替!$B$3,_翻訳マスタ!$B$1:$D$1,0))</f>
        <v>Tần suất đo lường</v>
      </c>
      <c r="O4" s="7" t="str">
        <f>INDEX(_翻訳マスタ!$B$117:$D$247,MATCH("KPI_COL_SOURCE",_翻訳マスタ!$A$117:$A$247,0),MATCH(言語切替!$B$3,_翻訳マスタ!$B$1:$D$1,0))</f>
        <v>Nguồn dữ liệu</v>
      </c>
      <c r="P4" s="7" t="str">
        <f>INDEX(_翻訳マスタ!$B$117:$D$247,MATCH("KPI_COL_OWNER",_翻訳マスタ!$A$117:$A$247,0),MATCH(言語切替!$B$3,_翻訳マスタ!$B$1:$D$1,0))</f>
        <v>Người phụ trách</v>
      </c>
      <c r="Q4" s="7" t="str">
        <f>INDEX(_翻訳マスタ!$B$117:$D$247,MATCH("KPI_COL_BASE",_翻訳マスタ!$A$117:$A$247,0),MATCH(言語切替!$B$3,_翻訳マスタ!$B$1:$D$1,0))</f>
        <v>Giá trị cơ sở</v>
      </c>
      <c r="R4" s="7" t="str">
        <f>INDEX(_翻訳マスタ!$B$117:$D$247,MATCH("KPI_COL_TARGET",_翻訳マスタ!$A$117:$A$247,0),MATCH(言語切替!$B$3,_翻訳マスタ!$B$1:$D$1,0))</f>
        <v>Giá trị mục tiêu</v>
      </c>
      <c r="S4" s="7" t="str">
        <f>INDEX(_翻訳マスタ!$B$117:$D$247,MATCH("KPI_COL_ACTUAL",_翻訳マスタ!$A$117:$A$247,0),MATCH(言語切替!$B$3,_翻訳マスタ!$B$1:$D$1,0))</f>
        <v>Giá trị thực tế</v>
      </c>
      <c r="T4" s="7" t="str">
        <f>INDEX(_翻訳マスタ!$B$117:$D$247,MATCH("KPI_COL_RATE",_翻訳マスタ!$A$117:$A$247,0),MATCH(言語切替!$B$3,_翻訳マスタ!$B$1:$D$1,0))</f>
        <v>Tỷ lệ đạt</v>
      </c>
      <c r="U4" s="7" t="str">
        <f>INDEX(_翻訳マスタ!$B$117:$D$247,MATCH("KPI_COL_JUDGE",_翻訳マスタ!$A$117:$A$247,0),MATCH(言語切替!$B$3,_翻訳マスタ!$B$1:$D$1,0))</f>
        <v>Đánh giá</v>
      </c>
      <c r="V4" s="7" t="str">
        <f>INDEX(_翻訳マスタ!$B$117:$D$247,MATCH("KPI_COL_DATE",_翻訳マスタ!$A$117:$A$247,0),MATCH(言語切替!$B$3,_翻訳マスタ!$B$1:$D$1,0))</f>
        <v>Ngày đo</v>
      </c>
      <c r="W4" s="7" t="str">
        <f>INDEX(_翻訳マスタ!$B$2:$D$300,MATCH("KPI_COL_ACTION",_翻訳マスタ!$A$2:$A$300,0),MATCH(言語切替!$B$3,_翻訳マスタ!$B$1:$D$1,0))&amp;INDEX(_翻訳マスタ!$B$2:$D$300,MATCH("NEW_VI_SUFFIX",_翻訳マスタ!$A$2:$A$300,0),MATCH(言語切替!$B$3,_翻訳マスタ!$B$1:$D$1,0))</f>
        <v>Hành động tiếp theo (VI)</v>
      </c>
      <c r="X4" s="7" t="str">
        <f>INDEX(_翻訳マスタ!$B$2:$D$300,MATCH("KPI_COL_ACTION",_翻訳マスタ!$A$2:$A$300,0),MATCH(言語切替!$B$3,_翻訳マスタ!$B$1:$D$1,0))&amp;INDEX(_翻訳マスタ!$B$2:$D$300,MATCH("NEW_JP_SUFFIX",_翻訳マスタ!$A$2:$A$300,0),MATCH(言語切替!$B$3,_翻訳マスタ!$B$1:$D$1,0))</f>
        <v>Hành động tiếp theo (JP)</v>
      </c>
      <c r="Y4" s="7" t="str">
        <f>INDEX(_翻訳マスタ!$B$2:$D$300,MATCH("KPI_COL_ACTION",_翻訳マスタ!$A$2:$A$300,0),MATCH(言語切替!$B$3,_翻訳マスタ!$B$1:$D$1,0))&amp;INDEX(_翻訳マスタ!$B$2:$D$300,MATCH("NEW_CN_SUFFIX",_翻訳マスタ!$A$2:$A$300,0),MATCH(言語切替!$B$3,_翻訳マスタ!$B$1:$D$1,0))</f>
        <v>Hành động tiếp theo (CN)</v>
      </c>
      <c r="Z4" s="8" t="str">
        <f>INDEX(_翻訳マスタ!$B$2:$D$300,MATCH("KPI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AA4" s="43" t="str">
        <f>INDEX(_翻訳マスタ!$B$2:$D$300,MATCH("KPI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AB4" s="43" t="str">
        <f>INDEX(_翻訳マスタ!$B$2:$D$300,MATCH("KPI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28" s="22" customFormat="1" ht="31.5" customHeight="1" x14ac:dyDescent="0.25">
      <c r="A5" s="23" t="s">
        <v>190</v>
      </c>
      <c r="B5" s="24" t="str">
        <f>'02_マスタ'!$A$9</f>
        <v>WG-4</v>
      </c>
      <c r="C5" s="24" t="str">
        <f>'02_マスタ'!$K$5</f>
        <v>Thiết lập nền tảng</v>
      </c>
      <c r="D5" s="24" t="str">
        <f>INDEX(_翻訳マスタ!$D$2:$D$300,MATCH("KPI_EX1_NAME",_翻訳マスタ!$A$2:$A$300,0))</f>
        <v>Tỷ lệ hoàn thiện BOP</v>
      </c>
      <c r="E5" s="44" t="e" vm="1">
        <f>IF(D5="","",_xlfn.TRANSLATE(D5,"","ja"))</f>
        <v>#VALUE!</v>
      </c>
      <c r="F5" s="44" t="e" vm="1">
        <f>IF(D5="","",_xlfn.TRANSLATE(D5,"","zh-Hans"))</f>
        <v>#VALUE!</v>
      </c>
      <c r="G5" s="24" t="str">
        <f>INDEX(_翻訳マスタ!$D$2:$D$300,MATCH("KPI_EX1_PURPOSE",_翻訳マスタ!$A$2:$A$300,0))</f>
        <v>Thiết lập nền tảng chỉ dẫn công việc</v>
      </c>
      <c r="H5" s="44" t="e" vm="1">
        <f>IF(G5="","",_xlfn.TRANSLATE(G5,"","ja"))</f>
        <v>#VALUE!</v>
      </c>
      <c r="I5" s="44" t="e" vm="1">
        <f>IF(G5="","",_xlfn.TRANSLATE(G5,"","zh-Hans"))</f>
        <v>#VALUE!</v>
      </c>
      <c r="J5" s="24" t="str">
        <f>INDEX(_翻訳マスタ!$D$2:$D$300,MATCH("KPI_EX1_FORMULA",_翻訳マスタ!$A$2:$A$300,0))</f>
        <v>Số BOP hợp lệ ÷ Số linh kiện mục tiêu</v>
      </c>
      <c r="K5" s="44" t="e" vm="1">
        <f>IF(J5="","",_xlfn.TRANSLATE(J5,"","ja"))</f>
        <v>#VALUE!</v>
      </c>
      <c r="L5" s="44" t="e" vm="1">
        <f>IF(J5="","",_xlfn.TRANSLATE(J5,"","zh-Hans"))</f>
        <v>#VALUE!</v>
      </c>
      <c r="M5" s="24" t="s">
        <v>194</v>
      </c>
      <c r="N5" s="24" t="str">
        <f>INDEX(_翻訳マスタ!$B$117:$D$247,MATCH("KPI_FREQ_MONTH",_翻訳マスタ!$A$117:$A$247,0),MATCH(言語切替!$B$3,_翻訳マスタ!$B$1:$D$1,0))</f>
        <v>Hàng tháng</v>
      </c>
      <c r="O5" s="24" t="s">
        <v>196</v>
      </c>
      <c r="P5" s="24" t="s">
        <v>112</v>
      </c>
      <c r="Q5" s="24"/>
      <c r="R5" s="24"/>
      <c r="S5" s="24"/>
      <c r="T5" s="48" t="str">
        <f t="shared" ref="T5:T36" si="0">IF(OR(R5="",S5=""),"",IF(R5=0,"",S5/R5))</f>
        <v/>
      </c>
      <c r="U5" s="10" t="str">
        <f>IF(A5="","",IF(T5="",INDEX(_翻訳マスタ!$B$89:$D$89,1,MATCH(言語切替!$B$3,_翻訳マスタ!$B$1:$D$1,0)),IF(T5&gt;=1,INDEX(_翻訳マスタ!$B$93:$D$93,1,MATCH(言語切替!$B$3,_翻訳マスタ!$B$1:$D$1,0)),IF(T5&gt;=0.8,INDEX(_翻訳マスタ!$B$91:$D$91,1,MATCH(言語切替!$B$3,_翻訳マスタ!$B$1:$D$1,0)),INDEX(_翻訳マスタ!$B$94:$D$94,1,MATCH(言語切替!$B$3,_翻訳マスタ!$B$1:$D$1,0))))))</f>
        <v>Chưa thiết lập</v>
      </c>
      <c r="V5" s="25"/>
      <c r="W5" s="24" t="str">
        <f>INDEX(_翻訳マスタ!$D$2:$D$300,MATCH("KPI_EX1_ACTION",_翻訳マスタ!$A$2:$A$300,0))</f>
        <v>Xác định định nghĩa và phạm vi mục tiêu</v>
      </c>
      <c r="X5" s="44" t="e" vm="1">
        <f>IF(W5="","",_xlfn.TRANSLATE(W5,"","ja"))</f>
        <v>#VALUE!</v>
      </c>
      <c r="Y5" s="44" t="e" vm="1">
        <f>IF(W5="","",_xlfn.TRANSLATE(W5,"","zh-Hans"))</f>
        <v>#VALUE!</v>
      </c>
      <c r="Z5" s="35" t="str">
        <f>INDEX(_翻訳マスタ!$D$2:$D$300,MATCH("COMMON_EXAMPLE",_翻訳マスタ!$A$2:$A$300,0))</f>
        <v>Ví dụ nhập liệu</v>
      </c>
      <c r="AA5" s="52" t="e" vm="1">
        <f>IF(Z5="","",_xlfn.TRANSLATE(Z5,"","ja"))</f>
        <v>#VALUE!</v>
      </c>
      <c r="AB5" s="52" t="e" vm="1">
        <f>IF(Z5="","",_xlfn.TRANSLATE(Z5,"","zh-Hans"))</f>
        <v>#VALUE!</v>
      </c>
    </row>
    <row r="6" spans="1:28" s="22" customFormat="1" ht="31.5" customHeight="1" x14ac:dyDescent="0.25">
      <c r="A6" s="26" t="s">
        <v>198</v>
      </c>
      <c r="B6" s="27" t="str">
        <f>'02_マスタ'!$A$10</f>
        <v>WG-5</v>
      </c>
      <c r="C6" s="27" t="str">
        <f>'02_マスタ'!$K$6</f>
        <v>Vận hành ổn định</v>
      </c>
      <c r="D6" s="27" t="str">
        <f>INDEX(_翻訳マスタ!$D$2:$D$300,MATCH("KPI_EX2_NAME",_翻訳マスタ!$A$2:$A$300,0))</f>
        <v>Tỷ lệ chỉnh sửa thủ công</v>
      </c>
      <c r="E6" s="45" t="e" vm="1">
        <f>IF(D6="","",_xlfn.TRANSLATE(D6,"","ja"))</f>
        <v>#VALUE!</v>
      </c>
      <c r="F6" s="45" t="e" vm="1">
        <f>IF(D6="","",_xlfn.TRANSLATE(D6,"","zh-Hans"))</f>
        <v>#VALUE!</v>
      </c>
      <c r="G6" s="27" t="str">
        <f>INDEX(_翻訳マスタ!$D$2:$D$300,MATCH("KPI_EX2_PURPOSE",_翻訳マスタ!$A$2:$A$300,0))</f>
        <v>Xác nhận độ ổn định vận hành</v>
      </c>
      <c r="H6" s="45" t="e" vm="1">
        <f>IF(G6="","",_xlfn.TRANSLATE(G6,"","ja"))</f>
        <v>#VALUE!</v>
      </c>
      <c r="I6" s="45" t="e" vm="1">
        <f>IF(G6="","",_xlfn.TRANSLATE(G6,"","zh-Hans"))</f>
        <v>#VALUE!</v>
      </c>
      <c r="J6" s="27" t="str">
        <f>INDEX(_翻訳マスタ!$D$2:$D$300,MATCH("KPI_EX2_FORMULA",_翻訳マスタ!$A$2:$A$300,0))</f>
        <v>Số lượt chỉnh sửa thủ công ÷ Tổng số lượt thực hiện</v>
      </c>
      <c r="K6" s="45" t="e" vm="1">
        <f>IF(J6="","",_xlfn.TRANSLATE(J6,"","ja"))</f>
        <v>#VALUE!</v>
      </c>
      <c r="L6" s="45" t="e" vm="1">
        <f>IF(J6="","",_xlfn.TRANSLATE(J6,"","zh-Hans"))</f>
        <v>#VALUE!</v>
      </c>
      <c r="M6" s="27" t="s">
        <v>194</v>
      </c>
      <c r="N6" s="27" t="str">
        <f>INDEX(_翻訳マスタ!$B$117:$D$247,MATCH("KPI_FREQ_MONTH",_翻訳マスタ!$A$117:$A$247,0),MATCH(言語切替!$B$3,_翻訳マスタ!$B$1:$D$1,0))</f>
        <v>Hàng tháng</v>
      </c>
      <c r="O6" s="27" t="s">
        <v>202</v>
      </c>
      <c r="P6" s="27" t="s">
        <v>112</v>
      </c>
      <c r="Q6" s="27"/>
      <c r="R6" s="27"/>
      <c r="S6" s="27"/>
      <c r="T6" s="49" t="str">
        <f t="shared" si="0"/>
        <v/>
      </c>
      <c r="U6" s="13" t="str">
        <f>IF(A6="","",IF(T6="",INDEX(_翻訳マスタ!$B$89:$D$89,1,MATCH(言語切替!$B$3,_翻訳マスタ!$B$1:$D$1,0)),IF(T6&gt;=1,INDEX(_翻訳マスタ!$B$93:$D$93,1,MATCH(言語切替!$B$3,_翻訳マスタ!$B$1:$D$1,0)),IF(T6&gt;=0.8,INDEX(_翻訳マスタ!$B$91:$D$91,1,MATCH(言語切替!$B$3,_翻訳マスタ!$B$1:$D$1,0)),INDEX(_翻訳マスタ!$B$94:$D$94,1,MATCH(言語切替!$B$3,_翻訳マスタ!$B$1:$D$1,0))))))</f>
        <v>Chưa thiết lập</v>
      </c>
      <c r="V6" s="28"/>
      <c r="W6" s="27" t="str">
        <f>INDEX(_翻訳マスタ!$D$2:$D$300,MATCH("KPI_EX2_ACTION",_翻訳マスタ!$A$2:$A$300,0))</f>
        <v>Xác định phương pháp đo lường</v>
      </c>
      <c r="X6" s="45" t="e" vm="1">
        <f>IF(W6="","",_xlfn.TRANSLATE(W6,"","ja"))</f>
        <v>#VALUE!</v>
      </c>
      <c r="Y6" s="45" t="e" vm="1">
        <f>IF(W6="","",_xlfn.TRANSLATE(W6,"","zh-Hans"))</f>
        <v>#VALUE!</v>
      </c>
      <c r="Z6" s="36" t="str">
        <f>INDEX(_翻訳マスタ!$D$2:$D$300,MATCH("COMMON_EXAMPLE",_翻訳マスタ!$A$2:$A$300,0))</f>
        <v>Ví dụ nhập liệu</v>
      </c>
      <c r="AA6" s="53" t="e" vm="1">
        <f>IF(Z6="","",_xlfn.TRANSLATE(Z6,"","ja"))</f>
        <v>#VALUE!</v>
      </c>
      <c r="AB6" s="53" t="e" vm="1">
        <f>IF(Z6="","",_xlfn.TRANSLATE(Z6,"","zh-Hans"))</f>
        <v>#VALUE!</v>
      </c>
    </row>
    <row r="7" spans="1:28" s="22" customFormat="1" ht="31.5" customHeight="1" x14ac:dyDescent="0.25">
      <c r="A7" s="29" t="s">
        <v>204</v>
      </c>
      <c r="B7" s="30" t="str">
        <f>'02_マスタ'!$A$12</f>
        <v>WG-7</v>
      </c>
      <c r="C7" s="30" t="str">
        <f>'02_マスタ'!$K$7</f>
        <v>Kết quả nghiệp vụ</v>
      </c>
      <c r="D7" s="30" t="str">
        <f>INDEX(_翻訳マスタ!$D$2:$D$300,MATCH("KPI_EX3_NAME",_翻訳マスタ!$A$2:$A$300,0))</f>
        <v>Thời gian chuẩn bị giao hàng (LT)</v>
      </c>
      <c r="E7" s="46" t="e" vm="1">
        <f>IF(D7="","",_xlfn.TRANSLATE(D7,"","ja"))</f>
        <v>#VALUE!</v>
      </c>
      <c r="F7" s="46" t="e" vm="1">
        <f>IF(D7="","",_xlfn.TRANSLATE(D7,"","zh-Hans"))</f>
        <v>#VALUE!</v>
      </c>
      <c r="G7" s="30" t="str">
        <f>INDEX(_翻訳マスタ!$D$2:$D$300,MATCH("KPI_EX3_PURPOSE",_翻訳マスタ!$A$2:$A$300,0))</f>
        <v>Cải thiện hiệu quả nghiệp vụ giao hàng</v>
      </c>
      <c r="H7" s="46" t="e" vm="1">
        <f>IF(G7="","",_xlfn.TRANSLATE(G7,"","ja"))</f>
        <v>#VALUE!</v>
      </c>
      <c r="I7" s="46" t="e" vm="1">
        <f>IF(G7="","",_xlfn.TRANSLATE(G7,"","zh-Hans"))</f>
        <v>#VALUE!</v>
      </c>
      <c r="J7" s="30" t="str">
        <f>INDEX(_翻訳マスタ!$D$2:$D$300,MATCH("KPI_EX3_FORMULA",_翻訳マスタ!$A$2:$A$300,0))</f>
        <v>Trung vị thời gian từ khi hoàn thành đến khi xuất hàng</v>
      </c>
      <c r="K7" s="46" t="e" vm="1">
        <f>IF(J7="","",_xlfn.TRANSLATE(J7,"","ja"))</f>
        <v>#VALUE!</v>
      </c>
      <c r="L7" s="46" t="e" vm="1">
        <f>IF(J7="","",_xlfn.TRANSLATE(J7,"","zh-Hans"))</f>
        <v>#VALUE!</v>
      </c>
      <c r="M7" s="30" t="str">
        <f>INDEX(_翻訳マスタ!$B$117:$D$247,MATCH("KPI_UNIT_TIME",_翻訳マスタ!$A$117:$A$247,0),MATCH(言語切替!$B$3,_翻訳マスタ!$B$1:$D$1,0))</f>
        <v>Giờ</v>
      </c>
      <c r="N7" s="30" t="str">
        <f>INDEX(_翻訳マスタ!$B$117:$D$247,MATCH("KPI_FREQ_MONTH",_翻訳マスタ!$A$117:$A$247,0),MATCH(言語切替!$B$3,_翻訳マスタ!$B$1:$D$1,0))</f>
        <v>Hàng tháng</v>
      </c>
      <c r="O7" s="30" t="str">
        <f>INDEX(_翻訳マスタ!$B$117:$D$247,MATCH("KPI_SRC_ACTUAL",_翻訳マスタ!$A$117:$A$247,0),MATCH(言語切替!$B$3,_翻訳マスタ!$B$1:$D$1,0))</f>
        <v>Thực tế hiện trường</v>
      </c>
      <c r="P7" s="30" t="s">
        <v>112</v>
      </c>
      <c r="Q7" s="30"/>
      <c r="R7" s="30"/>
      <c r="S7" s="30"/>
      <c r="T7" s="50" t="str">
        <f t="shared" si="0"/>
        <v/>
      </c>
      <c r="U7" s="16" t="str">
        <f>IF(A7="","",IF(T7="",INDEX(_翻訳マスタ!$B$89:$D$89,1,MATCH(言語切替!$B$3,_翻訳マスタ!$B$1:$D$1,0)),IF(T7&gt;=1,INDEX(_翻訳マスタ!$B$93:$D$93,1,MATCH(言語切替!$B$3,_翻訳マスタ!$B$1:$D$1,0)),IF(T7&gt;=0.8,INDEX(_翻訳マスタ!$B$91:$D$91,1,MATCH(言語切替!$B$3,_翻訳マスタ!$B$1:$D$1,0)),INDEX(_翻訳マスタ!$B$94:$D$94,1,MATCH(言語切替!$B$3,_翻訳マスタ!$B$1:$D$1,0))))))</f>
        <v>Chưa thiết lập</v>
      </c>
      <c r="V7" s="31"/>
      <c r="W7" s="30" t="str">
        <f>INDEX(_翻訳マスタ!$D$2:$D$300,MATCH("KPI_EX3_ACTION",_翻訳マスタ!$A$2:$A$300,0))</f>
        <v>Thu thập giá trị hiện tại</v>
      </c>
      <c r="X7" s="46" t="e" vm="1">
        <f>IF(W7="","",_xlfn.TRANSLATE(W7,"","ja"))</f>
        <v>#VALUE!</v>
      </c>
      <c r="Y7" s="46" t="e" vm="1">
        <f>IF(W7="","",_xlfn.TRANSLATE(W7,"","zh-Hans"))</f>
        <v>#VALUE!</v>
      </c>
      <c r="Z7" s="37" t="str">
        <f>INDEX(_翻訳マスタ!$D$2:$D$300,MATCH("COMMON_EXAMPLE",_翻訳マスタ!$A$2:$A$300,0))</f>
        <v>Ví dụ nhập liệu</v>
      </c>
      <c r="AA7" s="52" t="e" vm="1">
        <f>IF(Z7="","",_xlfn.TRANSLATE(Z7,"","ja"))</f>
        <v>#VALUE!</v>
      </c>
      <c r="AB7" s="52" t="e" vm="1">
        <f>IF(Z7="","",_xlfn.TRANSLATE(Z7,"","zh-Hans"))</f>
        <v>#VALUE!</v>
      </c>
    </row>
    <row r="8" spans="1:28" s="22" customFormat="1" ht="31.5" customHeight="1" x14ac:dyDescent="0.25">
      <c r="A8" s="26" t="s">
        <v>211</v>
      </c>
      <c r="B8" s="27" t="str">
        <f>'02_マスタ'!$A$5</f>
        <v>Toàn bộ</v>
      </c>
      <c r="C8" s="27" t="str">
        <f>'02_マスタ'!$K$8</f>
        <v>Kết quả đầu tư</v>
      </c>
      <c r="D8" s="27" t="str">
        <f>INDEX(_翻訳マスタ!$D$2:$D$300,MATCH("KPI_EX4_NAME",_翻訳マスタ!$A$2:$A$300,0))</f>
        <v>Giá trị hiệu quả ròng hàng năm</v>
      </c>
      <c r="E8" s="45" t="e" vm="1">
        <f>IF(D8="","",_xlfn.TRANSLATE(D8,"","ja"))</f>
        <v>#VALUE!</v>
      </c>
      <c r="F8" s="45" t="e" vm="1">
        <f>IF(D8="","",_xlfn.TRANSLATE(D8,"","zh-Hans"))</f>
        <v>#VALUE!</v>
      </c>
      <c r="G8" s="27" t="str">
        <f>INDEX(_翻訳マスタ!$D$2:$D$300,MATCH("KPI_EX4_PURPOSE",_翻訳マスタ!$A$2:$A$300,0))</f>
        <v>Đánh giá quyết định đầu tư</v>
      </c>
      <c r="H8" s="45" t="e" vm="1">
        <f>IF(G8="","",_xlfn.TRANSLATE(G8,"","ja"))</f>
        <v>#VALUE!</v>
      </c>
      <c r="I8" s="45" t="e" vm="1">
        <f>IF(G8="","",_xlfn.TRANSLATE(G8,"","zh-Hans"))</f>
        <v>#VALUE!</v>
      </c>
      <c r="J8" s="27" t="str">
        <f>INDEX(_翻訳マスタ!$D$2:$D$300,MATCH("KPI_EX4_FORMULA",_翻訳マスタ!$A$2:$A$300,0))</f>
        <v>Hiệu quả nhân công + chất lượng + tồn kho + tránh dừng máy - chi phí duy trì hàng năm</v>
      </c>
      <c r="K8" s="45" t="e" vm="1">
        <f>IF(J8="","",_xlfn.TRANSLATE(J8,"","ja"))</f>
        <v>#VALUE!</v>
      </c>
      <c r="L8" s="45" t="e" vm="1">
        <f>IF(J8="","",_xlfn.TRANSLATE(J8,"","zh-Hans"))</f>
        <v>#VALUE!</v>
      </c>
      <c r="M8" s="27" t="str">
        <f>INDEX(_翻訳マスタ!$B$117:$D$247,MATCH("KPI_UNIT_MONEY",_翻訳マスタ!$A$117:$A$247,0),MATCH(言語切替!$B$3,_翻訳マスタ!$B$1:$D$1,0))</f>
        <v>Số tiền</v>
      </c>
      <c r="N8" s="27" t="str">
        <f>INDEX(_翻訳マスタ!$B$117:$D$247,MATCH("KPI_FREQ_QUARTER",_翻訳マスタ!$A$117:$A$247,0),MATCH(言語切替!$B$3,_翻訳マスタ!$B$1:$D$1,0))</f>
        <v>Hàng quý</v>
      </c>
      <c r="O8" s="27" t="str">
        <f>INDEX(_翻訳マスタ!$B$117:$D$247,MATCH("KPI_SRC_WG_SUM",_翻訳マスタ!$A$117:$A$247,0),MATCH(言語切替!$B$3,_翻訳マスタ!$B$1:$D$1,0))</f>
        <v>Tổng hợp từ các WG</v>
      </c>
      <c r="P8" s="27" t="str">
        <f>INDEX(_翻訳マスタ!$B$117:$D$247,MATCH("ROLE_PMO",_翻訳マスタ!$A$117:$A$247,0),MATCH(言語切替!$B$3,_翻訳マスタ!$B$1:$D$1,0))</f>
        <v>Ban điều hành</v>
      </c>
      <c r="Q8" s="27"/>
      <c r="R8" s="27"/>
      <c r="S8" s="27"/>
      <c r="T8" s="49" t="str">
        <f t="shared" si="0"/>
        <v/>
      </c>
      <c r="U8" s="13" t="str">
        <f>IF(A8="","",IF(T8="",INDEX(_翻訳マスタ!$B$89:$D$89,1,MATCH(言語切替!$B$3,_翻訳マスタ!$B$1:$D$1,0)),IF(T8&gt;=1,INDEX(_翻訳マスタ!$B$93:$D$93,1,MATCH(言語切替!$B$3,_翻訳マスタ!$B$1:$D$1,0)),IF(T8&gt;=0.8,INDEX(_翻訳マスタ!$B$91:$D$91,1,MATCH(言語切替!$B$3,_翻訳マスタ!$B$1:$D$1,0)),INDEX(_翻訳マスタ!$B$94:$D$94,1,MATCH(言語切替!$B$3,_翻訳マスタ!$B$1:$D$1,0))))))</f>
        <v>Chưa thiết lập</v>
      </c>
      <c r="V8" s="28"/>
      <c r="W8" s="27" t="str">
        <f>INDEX(_翻訳マスタ!$D$2:$D$300,MATCH("KPI_EX4_ACTION",_翻訳マスタ!$A$2:$A$300,0))</f>
        <v>Xác định quy tắc tính toán</v>
      </c>
      <c r="X8" s="45" t="e" vm="1">
        <f>IF(W8="","",_xlfn.TRANSLATE(W8,"","ja"))</f>
        <v>#VALUE!</v>
      </c>
      <c r="Y8" s="45" t="e" vm="1">
        <f>IF(W8="","",_xlfn.TRANSLATE(W8,"","zh-Hans"))</f>
        <v>#VALUE!</v>
      </c>
      <c r="Z8" s="36" t="str">
        <f>INDEX(_翻訳マスタ!$D$2:$D$300,MATCH("COMMON_EXAMPLE",_翻訳マスタ!$A$2:$A$300,0))</f>
        <v>Ví dụ nhập liệu</v>
      </c>
      <c r="AA8" s="53" t="e" vm="1">
        <f>IF(Z8="","",_xlfn.TRANSLATE(Z8,"","ja"))</f>
        <v>#VALUE!</v>
      </c>
      <c r="AB8" s="53" t="e" vm="1">
        <f>IF(Z8="","",_xlfn.TRANSLATE(Z8,"","zh-Hans"))</f>
        <v>#VALUE!</v>
      </c>
    </row>
    <row r="9" spans="1:28" s="22" customFormat="1" ht="15" customHeight="1" x14ac:dyDescent="0.25">
      <c r="A9" s="29"/>
      <c r="B9" s="30"/>
      <c r="C9" s="30"/>
      <c r="D9" s="30"/>
      <c r="E9" s="46" t="str">
        <f>IF(D9="","",_xlfn.TRANSLATE(D9,"","ja"))</f>
        <v/>
      </c>
      <c r="F9" s="46" t="str">
        <f>IF(D9="","",_xlfn.TRANSLATE(D9,"","zh-Hans"))</f>
        <v/>
      </c>
      <c r="G9" s="30" t="s">
        <v>977</v>
      </c>
      <c r="H9" s="46" t="e" vm="1">
        <f>IF(G9="","",_xlfn.TRANSLATE(G9,"","ja"))</f>
        <v>#VALUE!</v>
      </c>
      <c r="I9" s="46" t="e" vm="1">
        <f>IF(G9="","",_xlfn.TRANSLATE(G9,"","zh-Hans"))</f>
        <v>#VALUE!</v>
      </c>
      <c r="J9" s="30"/>
      <c r="K9" s="46" t="str">
        <f>IF(J9="","",_xlfn.TRANSLATE(J9,"","ja"))</f>
        <v/>
      </c>
      <c r="L9" s="46" t="str">
        <f>IF(J9="","",_xlfn.TRANSLATE(J9,"","zh-Hans"))</f>
        <v/>
      </c>
      <c r="M9" s="30"/>
      <c r="N9" s="30"/>
      <c r="O9" s="30"/>
      <c r="P9" s="30"/>
      <c r="Q9" s="30"/>
      <c r="R9" s="30"/>
      <c r="S9" s="30"/>
      <c r="T9" s="50" t="str">
        <f t="shared" si="0"/>
        <v/>
      </c>
      <c r="U9" s="16" t="str">
        <f>IF(A9="","",IF(T9="",INDEX(_翻訳マスタ!$B$89:$D$89,1,MATCH(言語切替!$B$3,_翻訳マスタ!$B$1:$D$1,0)),IF(T9&gt;=1,INDEX(_翻訳マスタ!$B$93:$D$93,1,MATCH(言語切替!$B$3,_翻訳マスタ!$B$1:$D$1,0)),IF(T9&gt;=0.8,INDEX(_翻訳マスタ!$B$91:$D$91,1,MATCH(言語切替!$B$3,_翻訳マスタ!$B$1:$D$1,0)),INDEX(_翻訳マスタ!$B$94:$D$94,1,MATCH(言語切替!$B$3,_翻訳マスタ!$B$1:$D$1,0))))))</f>
        <v/>
      </c>
      <c r="V9" s="31"/>
      <c r="W9" s="30"/>
      <c r="X9" s="46" t="str">
        <f>IF(W9="","",_xlfn.TRANSLATE(W9,"","ja"))</f>
        <v/>
      </c>
      <c r="Y9" s="46" t="str">
        <f>IF(W9="","",_xlfn.TRANSLATE(W9,"","zh-Hans"))</f>
        <v/>
      </c>
      <c r="Z9" s="37"/>
      <c r="AA9" s="52" t="str">
        <f>IF(Z9="","",_xlfn.TRANSLATE(Z9,"","ja"))</f>
        <v/>
      </c>
      <c r="AB9" s="52" t="str">
        <f>IF(Z9="","",_xlfn.TRANSLATE(Z9,"","zh-Hans"))</f>
        <v/>
      </c>
    </row>
    <row r="10" spans="1:28" s="22" customFormat="1" ht="15" customHeight="1" x14ac:dyDescent="0.25">
      <c r="A10" s="26"/>
      <c r="B10" s="27"/>
      <c r="C10" s="27"/>
      <c r="D10" s="27"/>
      <c r="E10" s="45" t="str">
        <f>IF(D10="","",_xlfn.TRANSLATE(D10,"","ja"))</f>
        <v/>
      </c>
      <c r="F10" s="45" t="str">
        <f>IF(D10="","",_xlfn.TRANSLATE(D10,"","zh-Hans"))</f>
        <v/>
      </c>
      <c r="G10" s="27"/>
      <c r="H10" s="45" t="str">
        <f>IF(G10="","",_xlfn.TRANSLATE(G10,"","ja"))</f>
        <v/>
      </c>
      <c r="I10" s="45" t="str">
        <f>IF(G10="","",_xlfn.TRANSLATE(G10,"","zh-Hans"))</f>
        <v/>
      </c>
      <c r="J10" s="27"/>
      <c r="K10" s="45" t="str">
        <f>IF(J10="","",_xlfn.TRANSLATE(J10,"","ja"))</f>
        <v/>
      </c>
      <c r="L10" s="45" t="str">
        <f>IF(J10="","",_xlfn.TRANSLATE(J10,"","zh-Hans"))</f>
        <v/>
      </c>
      <c r="M10" s="27"/>
      <c r="N10" s="27"/>
      <c r="O10" s="27"/>
      <c r="P10" s="27"/>
      <c r="Q10" s="27"/>
      <c r="R10" s="27"/>
      <c r="S10" s="27"/>
      <c r="T10" s="49" t="str">
        <f t="shared" si="0"/>
        <v/>
      </c>
      <c r="U10" s="13" t="str">
        <f>IF(A10="","",IF(T10="",INDEX(_翻訳マスタ!$B$89:$D$89,1,MATCH(言語切替!$B$3,_翻訳マスタ!$B$1:$D$1,0)),IF(T10&gt;=1,INDEX(_翻訳マスタ!$B$93:$D$93,1,MATCH(言語切替!$B$3,_翻訳マスタ!$B$1:$D$1,0)),IF(T10&gt;=0.8,INDEX(_翻訳マスタ!$B$91:$D$91,1,MATCH(言語切替!$B$3,_翻訳マスタ!$B$1:$D$1,0)),INDEX(_翻訳マスタ!$B$94:$D$94,1,MATCH(言語切替!$B$3,_翻訳マスタ!$B$1:$D$1,0))))))</f>
        <v/>
      </c>
      <c r="V10" s="28"/>
      <c r="W10" s="27"/>
      <c r="X10" s="45" t="str">
        <f>IF(W10="","",_xlfn.TRANSLATE(W10,"","ja"))</f>
        <v/>
      </c>
      <c r="Y10" s="45" t="str">
        <f>IF(W10="","",_xlfn.TRANSLATE(W10,"","zh-Hans"))</f>
        <v/>
      </c>
      <c r="Z10" s="36"/>
      <c r="AA10" s="53" t="str">
        <f>IF(Z10="","",_xlfn.TRANSLATE(Z10,"","ja"))</f>
        <v/>
      </c>
      <c r="AB10" s="53" t="str">
        <f>IF(Z10="","",_xlfn.TRANSLATE(Z10,"","zh-Hans"))</f>
        <v/>
      </c>
    </row>
    <row r="11" spans="1:28" s="22" customFormat="1" ht="15" customHeight="1" x14ac:dyDescent="0.25">
      <c r="A11" s="29"/>
      <c r="B11" s="30"/>
      <c r="C11" s="30"/>
      <c r="D11" s="30"/>
      <c r="E11" s="46" t="str">
        <f>IF(D11="","",_xlfn.TRANSLATE(D11,"","ja"))</f>
        <v/>
      </c>
      <c r="F11" s="46" t="str">
        <f>IF(D11="","",_xlfn.TRANSLATE(D11,"","zh-Hans"))</f>
        <v/>
      </c>
      <c r="G11" s="30"/>
      <c r="H11" s="46" t="str">
        <f>IF(G11="","",_xlfn.TRANSLATE(G11,"","ja"))</f>
        <v/>
      </c>
      <c r="I11" s="46" t="str">
        <f>IF(G11="","",_xlfn.TRANSLATE(G11,"","zh-Hans"))</f>
        <v/>
      </c>
      <c r="J11" s="30"/>
      <c r="K11" s="46" t="str">
        <f>IF(J11="","",_xlfn.TRANSLATE(J11,"","ja"))</f>
        <v/>
      </c>
      <c r="L11" s="46" t="str">
        <f>IF(J11="","",_xlfn.TRANSLATE(J11,"","zh-Hans"))</f>
        <v/>
      </c>
      <c r="M11" s="30"/>
      <c r="N11" s="30"/>
      <c r="O11" s="30"/>
      <c r="P11" s="30"/>
      <c r="Q11" s="30"/>
      <c r="R11" s="30"/>
      <c r="S11" s="30"/>
      <c r="T11" s="50" t="str">
        <f t="shared" si="0"/>
        <v/>
      </c>
      <c r="U11" s="16" t="str">
        <f>IF(A11="","",IF(T11="",INDEX(_翻訳マスタ!$B$89:$D$89,1,MATCH(言語切替!$B$3,_翻訳マスタ!$B$1:$D$1,0)),IF(T11&gt;=1,INDEX(_翻訳マスタ!$B$93:$D$93,1,MATCH(言語切替!$B$3,_翻訳マスタ!$B$1:$D$1,0)),IF(T11&gt;=0.8,INDEX(_翻訳マスタ!$B$91:$D$91,1,MATCH(言語切替!$B$3,_翻訳マスタ!$B$1:$D$1,0)),INDEX(_翻訳マスタ!$B$94:$D$94,1,MATCH(言語切替!$B$3,_翻訳マスタ!$B$1:$D$1,0))))))</f>
        <v/>
      </c>
      <c r="V11" s="31"/>
      <c r="W11" s="30"/>
      <c r="X11" s="46" t="str">
        <f>IF(W11="","",_xlfn.TRANSLATE(W11,"","ja"))</f>
        <v/>
      </c>
      <c r="Y11" s="46" t="str">
        <f>IF(W11="","",_xlfn.TRANSLATE(W11,"","zh-Hans"))</f>
        <v/>
      </c>
      <c r="Z11" s="37"/>
      <c r="AA11" s="52" t="str">
        <f>IF(Z11="","",_xlfn.TRANSLATE(Z11,"","ja"))</f>
        <v/>
      </c>
      <c r="AB11" s="52" t="str">
        <f>IF(Z11="","",_xlfn.TRANSLATE(Z11,"","zh-Hans"))</f>
        <v/>
      </c>
    </row>
    <row r="12" spans="1:28" s="22" customFormat="1" ht="15" customHeight="1" x14ac:dyDescent="0.25">
      <c r="A12" s="26"/>
      <c r="B12" s="27"/>
      <c r="C12" s="27"/>
      <c r="D12" s="27"/>
      <c r="E12" s="45" t="str">
        <f>IF(D12="","",_xlfn.TRANSLATE(D12,"","ja"))</f>
        <v/>
      </c>
      <c r="F12" s="45" t="str">
        <f>IF(D12="","",_xlfn.TRANSLATE(D12,"","zh-Hans"))</f>
        <v/>
      </c>
      <c r="G12" s="27"/>
      <c r="H12" s="45" t="str">
        <f>IF(G12="","",_xlfn.TRANSLATE(G12,"","ja"))</f>
        <v/>
      </c>
      <c r="I12" s="45" t="str">
        <f>IF(G12="","",_xlfn.TRANSLATE(G12,"","zh-Hans"))</f>
        <v/>
      </c>
      <c r="J12" s="27"/>
      <c r="K12" s="45" t="str">
        <f>IF(J12="","",_xlfn.TRANSLATE(J12,"","ja"))</f>
        <v/>
      </c>
      <c r="L12" s="45" t="str">
        <f>IF(J12="","",_xlfn.TRANSLATE(J12,"","zh-Hans"))</f>
        <v/>
      </c>
      <c r="M12" s="27"/>
      <c r="N12" s="27"/>
      <c r="O12" s="27"/>
      <c r="P12" s="27"/>
      <c r="Q12" s="27"/>
      <c r="R12" s="27"/>
      <c r="S12" s="27"/>
      <c r="T12" s="49" t="str">
        <f t="shared" si="0"/>
        <v/>
      </c>
      <c r="U12" s="13" t="str">
        <f>IF(A12="","",IF(T12="",INDEX(_翻訳マスタ!$B$89:$D$89,1,MATCH(言語切替!$B$3,_翻訳マスタ!$B$1:$D$1,0)),IF(T12&gt;=1,INDEX(_翻訳マスタ!$B$93:$D$93,1,MATCH(言語切替!$B$3,_翻訳マスタ!$B$1:$D$1,0)),IF(T12&gt;=0.8,INDEX(_翻訳マスタ!$B$91:$D$91,1,MATCH(言語切替!$B$3,_翻訳マスタ!$B$1:$D$1,0)),INDEX(_翻訳マスタ!$B$94:$D$94,1,MATCH(言語切替!$B$3,_翻訳マスタ!$B$1:$D$1,0))))))</f>
        <v/>
      </c>
      <c r="V12" s="28"/>
      <c r="W12" s="27"/>
      <c r="X12" s="45" t="str">
        <f>IF(W12="","",_xlfn.TRANSLATE(W12,"","ja"))</f>
        <v/>
      </c>
      <c r="Y12" s="45" t="str">
        <f>IF(W12="","",_xlfn.TRANSLATE(W12,"","zh-Hans"))</f>
        <v/>
      </c>
      <c r="Z12" s="36"/>
      <c r="AA12" s="53" t="str">
        <f>IF(Z12="","",_xlfn.TRANSLATE(Z12,"","ja"))</f>
        <v/>
      </c>
      <c r="AB12" s="53" t="str">
        <f>IF(Z12="","",_xlfn.TRANSLATE(Z12,"","zh-Hans"))</f>
        <v/>
      </c>
    </row>
    <row r="13" spans="1:28" s="22" customFormat="1" ht="15" customHeight="1" x14ac:dyDescent="0.25">
      <c r="A13" s="29"/>
      <c r="B13" s="30"/>
      <c r="C13" s="30"/>
      <c r="D13" s="30"/>
      <c r="E13" s="46" t="str">
        <f>IF(D13="","",_xlfn.TRANSLATE(D13,"","ja"))</f>
        <v/>
      </c>
      <c r="F13" s="46" t="str">
        <f>IF(D13="","",_xlfn.TRANSLATE(D13,"","zh-Hans"))</f>
        <v/>
      </c>
      <c r="G13" s="30"/>
      <c r="H13" s="46" t="str">
        <f>IF(G13="","",_xlfn.TRANSLATE(G13,"","ja"))</f>
        <v/>
      </c>
      <c r="I13" s="46" t="str">
        <f>IF(G13="","",_xlfn.TRANSLATE(G13,"","zh-Hans"))</f>
        <v/>
      </c>
      <c r="J13" s="30"/>
      <c r="K13" s="46" t="str">
        <f>IF(J13="","",_xlfn.TRANSLATE(J13,"","ja"))</f>
        <v/>
      </c>
      <c r="L13" s="46" t="str">
        <f>IF(J13="","",_xlfn.TRANSLATE(J13,"","zh-Hans"))</f>
        <v/>
      </c>
      <c r="M13" s="30"/>
      <c r="N13" s="30"/>
      <c r="O13" s="30"/>
      <c r="P13" s="30"/>
      <c r="Q13" s="30"/>
      <c r="R13" s="30"/>
      <c r="S13" s="30"/>
      <c r="T13" s="50" t="str">
        <f t="shared" si="0"/>
        <v/>
      </c>
      <c r="U13" s="16" t="str">
        <f>IF(A13="","",IF(T13="",INDEX(_翻訳マスタ!$B$89:$D$89,1,MATCH(言語切替!$B$3,_翻訳マスタ!$B$1:$D$1,0)),IF(T13&gt;=1,INDEX(_翻訳マスタ!$B$93:$D$93,1,MATCH(言語切替!$B$3,_翻訳マスタ!$B$1:$D$1,0)),IF(T13&gt;=0.8,INDEX(_翻訳マスタ!$B$91:$D$91,1,MATCH(言語切替!$B$3,_翻訳マスタ!$B$1:$D$1,0)),INDEX(_翻訳マスタ!$B$94:$D$94,1,MATCH(言語切替!$B$3,_翻訳マスタ!$B$1:$D$1,0))))))</f>
        <v/>
      </c>
      <c r="V13" s="31"/>
      <c r="W13" s="30"/>
      <c r="X13" s="46" t="str">
        <f>IF(W13="","",_xlfn.TRANSLATE(W13,"","ja"))</f>
        <v/>
      </c>
      <c r="Y13" s="46" t="str">
        <f>IF(W13="","",_xlfn.TRANSLATE(W13,"","zh-Hans"))</f>
        <v/>
      </c>
      <c r="Z13" s="37"/>
      <c r="AA13" s="52" t="str">
        <f>IF(Z13="","",_xlfn.TRANSLATE(Z13,"","ja"))</f>
        <v/>
      </c>
      <c r="AB13" s="52" t="str">
        <f>IF(Z13="","",_xlfn.TRANSLATE(Z13,"","zh-Hans"))</f>
        <v/>
      </c>
    </row>
    <row r="14" spans="1:28" s="22" customFormat="1" ht="15" customHeight="1" x14ac:dyDescent="0.25">
      <c r="A14" s="26"/>
      <c r="B14" s="27"/>
      <c r="C14" s="27"/>
      <c r="D14" s="27"/>
      <c r="E14" s="45" t="str">
        <f>IF(D14="","",_xlfn.TRANSLATE(D14,"","ja"))</f>
        <v/>
      </c>
      <c r="F14" s="45" t="str">
        <f>IF(D14="","",_xlfn.TRANSLATE(D14,"","zh-Hans"))</f>
        <v/>
      </c>
      <c r="G14" s="27"/>
      <c r="H14" s="45" t="str">
        <f>IF(G14="","",_xlfn.TRANSLATE(G14,"","ja"))</f>
        <v/>
      </c>
      <c r="I14" s="45" t="str">
        <f>IF(G14="","",_xlfn.TRANSLATE(G14,"","zh-Hans"))</f>
        <v/>
      </c>
      <c r="J14" s="27"/>
      <c r="K14" s="45" t="str">
        <f>IF(J14="","",_xlfn.TRANSLATE(J14,"","ja"))</f>
        <v/>
      </c>
      <c r="L14" s="45" t="str">
        <f>IF(J14="","",_xlfn.TRANSLATE(J14,"","zh-Hans"))</f>
        <v/>
      </c>
      <c r="M14" s="27"/>
      <c r="N14" s="27"/>
      <c r="O14" s="27"/>
      <c r="P14" s="27"/>
      <c r="Q14" s="27"/>
      <c r="R14" s="27"/>
      <c r="S14" s="27"/>
      <c r="T14" s="49" t="str">
        <f t="shared" si="0"/>
        <v/>
      </c>
      <c r="U14" s="13" t="str">
        <f>IF(A14="","",IF(T14="",INDEX(_翻訳マスタ!$B$89:$D$89,1,MATCH(言語切替!$B$3,_翻訳マスタ!$B$1:$D$1,0)),IF(T14&gt;=1,INDEX(_翻訳マスタ!$B$93:$D$93,1,MATCH(言語切替!$B$3,_翻訳マスタ!$B$1:$D$1,0)),IF(T14&gt;=0.8,INDEX(_翻訳マスタ!$B$91:$D$91,1,MATCH(言語切替!$B$3,_翻訳マスタ!$B$1:$D$1,0)),INDEX(_翻訳マスタ!$B$94:$D$94,1,MATCH(言語切替!$B$3,_翻訳マスタ!$B$1:$D$1,0))))))</f>
        <v/>
      </c>
      <c r="V14" s="28"/>
      <c r="W14" s="27"/>
      <c r="X14" s="45" t="str">
        <f>IF(W14="","",_xlfn.TRANSLATE(W14,"","ja"))</f>
        <v/>
      </c>
      <c r="Y14" s="45" t="str">
        <f>IF(W14="","",_xlfn.TRANSLATE(W14,"","zh-Hans"))</f>
        <v/>
      </c>
      <c r="Z14" s="36"/>
      <c r="AA14" s="53" t="str">
        <f>IF(Z14="","",_xlfn.TRANSLATE(Z14,"","ja"))</f>
        <v/>
      </c>
      <c r="AB14" s="53" t="str">
        <f>IF(Z14="","",_xlfn.TRANSLATE(Z14,"","zh-Hans"))</f>
        <v/>
      </c>
    </row>
    <row r="15" spans="1:28" s="22" customFormat="1" ht="15" customHeight="1" x14ac:dyDescent="0.25">
      <c r="A15" s="29"/>
      <c r="B15" s="30"/>
      <c r="C15" s="30"/>
      <c r="D15" s="30"/>
      <c r="E15" s="46" t="str">
        <f>IF(D15="","",_xlfn.TRANSLATE(D15,"","ja"))</f>
        <v/>
      </c>
      <c r="F15" s="46" t="str">
        <f>IF(D15="","",_xlfn.TRANSLATE(D15,"","zh-Hans"))</f>
        <v/>
      </c>
      <c r="G15" s="30"/>
      <c r="H15" s="46" t="str">
        <f>IF(G15="","",_xlfn.TRANSLATE(G15,"","ja"))</f>
        <v/>
      </c>
      <c r="I15" s="46" t="str">
        <f>IF(G15="","",_xlfn.TRANSLATE(G15,"","zh-Hans"))</f>
        <v/>
      </c>
      <c r="J15" s="30"/>
      <c r="K15" s="46" t="str">
        <f>IF(J15="","",_xlfn.TRANSLATE(J15,"","ja"))</f>
        <v/>
      </c>
      <c r="L15" s="46" t="str">
        <f>IF(J15="","",_xlfn.TRANSLATE(J15,"","zh-Hans"))</f>
        <v/>
      </c>
      <c r="M15" s="30"/>
      <c r="N15" s="30"/>
      <c r="O15" s="30"/>
      <c r="P15" s="30"/>
      <c r="Q15" s="30"/>
      <c r="R15" s="30"/>
      <c r="S15" s="30"/>
      <c r="T15" s="50" t="str">
        <f t="shared" si="0"/>
        <v/>
      </c>
      <c r="U15" s="16" t="str">
        <f>IF(A15="","",IF(T15="",INDEX(_翻訳マスタ!$B$89:$D$89,1,MATCH(言語切替!$B$3,_翻訳マスタ!$B$1:$D$1,0)),IF(T15&gt;=1,INDEX(_翻訳マスタ!$B$93:$D$93,1,MATCH(言語切替!$B$3,_翻訳マスタ!$B$1:$D$1,0)),IF(T15&gt;=0.8,INDEX(_翻訳マスタ!$B$91:$D$91,1,MATCH(言語切替!$B$3,_翻訳マスタ!$B$1:$D$1,0)),INDEX(_翻訳マスタ!$B$94:$D$94,1,MATCH(言語切替!$B$3,_翻訳マスタ!$B$1:$D$1,0))))))</f>
        <v/>
      </c>
      <c r="V15" s="31"/>
      <c r="W15" s="30"/>
      <c r="X15" s="46" t="str">
        <f>IF(W15="","",_xlfn.TRANSLATE(W15,"","ja"))</f>
        <v/>
      </c>
      <c r="Y15" s="46" t="str">
        <f>IF(W15="","",_xlfn.TRANSLATE(W15,"","zh-Hans"))</f>
        <v/>
      </c>
      <c r="Z15" s="37"/>
      <c r="AA15" s="52" t="str">
        <f>IF(Z15="","",_xlfn.TRANSLATE(Z15,"","ja"))</f>
        <v/>
      </c>
      <c r="AB15" s="52" t="str">
        <f>IF(Z15="","",_xlfn.TRANSLATE(Z15,"","zh-Hans"))</f>
        <v/>
      </c>
    </row>
    <row r="16" spans="1:28" s="22" customFormat="1" ht="15" customHeight="1" x14ac:dyDescent="0.25">
      <c r="A16" s="26"/>
      <c r="B16" s="27"/>
      <c r="C16" s="27"/>
      <c r="D16" s="27"/>
      <c r="E16" s="45" t="str">
        <f>IF(D16="","",_xlfn.TRANSLATE(D16,"","ja"))</f>
        <v/>
      </c>
      <c r="F16" s="45" t="str">
        <f>IF(D16="","",_xlfn.TRANSLATE(D16,"","zh-Hans"))</f>
        <v/>
      </c>
      <c r="G16" s="27"/>
      <c r="H16" s="45" t="str">
        <f>IF(G16="","",_xlfn.TRANSLATE(G16,"","ja"))</f>
        <v/>
      </c>
      <c r="I16" s="45" t="str">
        <f>IF(G16="","",_xlfn.TRANSLATE(G16,"","zh-Hans"))</f>
        <v/>
      </c>
      <c r="J16" s="27"/>
      <c r="K16" s="45" t="str">
        <f>IF(J16="","",_xlfn.TRANSLATE(J16,"","ja"))</f>
        <v/>
      </c>
      <c r="L16" s="45" t="str">
        <f>IF(J16="","",_xlfn.TRANSLATE(J16,"","zh-Hans"))</f>
        <v/>
      </c>
      <c r="M16" s="27"/>
      <c r="N16" s="27"/>
      <c r="O16" s="27"/>
      <c r="P16" s="27"/>
      <c r="Q16" s="27"/>
      <c r="R16" s="27"/>
      <c r="S16" s="27"/>
      <c r="T16" s="49" t="str">
        <f t="shared" si="0"/>
        <v/>
      </c>
      <c r="U16" s="13" t="str">
        <f>IF(A16="","",IF(T16="",INDEX(_翻訳マスタ!$B$89:$D$89,1,MATCH(言語切替!$B$3,_翻訳マスタ!$B$1:$D$1,0)),IF(T16&gt;=1,INDEX(_翻訳マスタ!$B$93:$D$93,1,MATCH(言語切替!$B$3,_翻訳マスタ!$B$1:$D$1,0)),IF(T16&gt;=0.8,INDEX(_翻訳マスタ!$B$91:$D$91,1,MATCH(言語切替!$B$3,_翻訳マスタ!$B$1:$D$1,0)),INDEX(_翻訳マスタ!$B$94:$D$94,1,MATCH(言語切替!$B$3,_翻訳マスタ!$B$1:$D$1,0))))))</f>
        <v/>
      </c>
      <c r="V16" s="28"/>
      <c r="W16" s="27"/>
      <c r="X16" s="45" t="str">
        <f>IF(W16="","",_xlfn.TRANSLATE(W16,"","ja"))</f>
        <v/>
      </c>
      <c r="Y16" s="45" t="str">
        <f>IF(W16="","",_xlfn.TRANSLATE(W16,"","zh-Hans"))</f>
        <v/>
      </c>
      <c r="Z16" s="36"/>
      <c r="AA16" s="53" t="str">
        <f>IF(Z16="","",_xlfn.TRANSLATE(Z16,"","ja"))</f>
        <v/>
      </c>
      <c r="AB16" s="53" t="str">
        <f>IF(Z16="","",_xlfn.TRANSLATE(Z16,"","zh-Hans"))</f>
        <v/>
      </c>
    </row>
    <row r="17" spans="1:28" s="22" customFormat="1" ht="15" customHeight="1" x14ac:dyDescent="0.25">
      <c r="A17" s="29"/>
      <c r="B17" s="30"/>
      <c r="C17" s="30"/>
      <c r="D17" s="30"/>
      <c r="E17" s="46" t="str">
        <f>IF(D17="","",_xlfn.TRANSLATE(D17,"","ja"))</f>
        <v/>
      </c>
      <c r="F17" s="46" t="str">
        <f>IF(D17="","",_xlfn.TRANSLATE(D17,"","zh-Hans"))</f>
        <v/>
      </c>
      <c r="G17" s="30"/>
      <c r="H17" s="46" t="str">
        <f>IF(G17="","",_xlfn.TRANSLATE(G17,"","ja"))</f>
        <v/>
      </c>
      <c r="I17" s="46" t="str">
        <f>IF(G17="","",_xlfn.TRANSLATE(G17,"","zh-Hans"))</f>
        <v/>
      </c>
      <c r="J17" s="30"/>
      <c r="K17" s="46" t="str">
        <f>IF(J17="","",_xlfn.TRANSLATE(J17,"","ja"))</f>
        <v/>
      </c>
      <c r="L17" s="46" t="str">
        <f>IF(J17="","",_xlfn.TRANSLATE(J17,"","zh-Hans"))</f>
        <v/>
      </c>
      <c r="M17" s="30"/>
      <c r="N17" s="30"/>
      <c r="O17" s="30"/>
      <c r="P17" s="30"/>
      <c r="Q17" s="30"/>
      <c r="R17" s="30"/>
      <c r="S17" s="30"/>
      <c r="T17" s="50" t="str">
        <f t="shared" si="0"/>
        <v/>
      </c>
      <c r="U17" s="16" t="str">
        <f>IF(A17="","",IF(T17="",INDEX(_翻訳マスタ!$B$89:$D$89,1,MATCH(言語切替!$B$3,_翻訳マスタ!$B$1:$D$1,0)),IF(T17&gt;=1,INDEX(_翻訳マスタ!$B$93:$D$93,1,MATCH(言語切替!$B$3,_翻訳マスタ!$B$1:$D$1,0)),IF(T17&gt;=0.8,INDEX(_翻訳マスタ!$B$91:$D$91,1,MATCH(言語切替!$B$3,_翻訳マスタ!$B$1:$D$1,0)),INDEX(_翻訳マスタ!$B$94:$D$94,1,MATCH(言語切替!$B$3,_翻訳マスタ!$B$1:$D$1,0))))))</f>
        <v/>
      </c>
      <c r="V17" s="31"/>
      <c r="W17" s="30"/>
      <c r="X17" s="46" t="str">
        <f>IF(W17="","",_xlfn.TRANSLATE(W17,"","ja"))</f>
        <v/>
      </c>
      <c r="Y17" s="46" t="str">
        <f>IF(W17="","",_xlfn.TRANSLATE(W17,"","zh-Hans"))</f>
        <v/>
      </c>
      <c r="Z17" s="37"/>
      <c r="AA17" s="52" t="str">
        <f>IF(Z17="","",_xlfn.TRANSLATE(Z17,"","ja"))</f>
        <v/>
      </c>
      <c r="AB17" s="52" t="str">
        <f>IF(Z17="","",_xlfn.TRANSLATE(Z17,"","zh-Hans"))</f>
        <v/>
      </c>
    </row>
    <row r="18" spans="1:28" s="22" customFormat="1" ht="15" customHeight="1" x14ac:dyDescent="0.25">
      <c r="A18" s="26"/>
      <c r="B18" s="27"/>
      <c r="C18" s="27"/>
      <c r="D18" s="27"/>
      <c r="E18" s="45" t="str">
        <f>IF(D18="","",_xlfn.TRANSLATE(D18,"","ja"))</f>
        <v/>
      </c>
      <c r="F18" s="45" t="str">
        <f>IF(D18="","",_xlfn.TRANSLATE(D18,"","zh-Hans"))</f>
        <v/>
      </c>
      <c r="G18" s="27"/>
      <c r="H18" s="45" t="str">
        <f>IF(G18="","",_xlfn.TRANSLATE(G18,"","ja"))</f>
        <v/>
      </c>
      <c r="I18" s="45" t="str">
        <f>IF(G18="","",_xlfn.TRANSLATE(G18,"","zh-Hans"))</f>
        <v/>
      </c>
      <c r="J18" s="27"/>
      <c r="K18" s="45" t="str">
        <f>IF(J18="","",_xlfn.TRANSLATE(J18,"","ja"))</f>
        <v/>
      </c>
      <c r="L18" s="45" t="str">
        <f>IF(J18="","",_xlfn.TRANSLATE(J18,"","zh-Hans"))</f>
        <v/>
      </c>
      <c r="M18" s="27"/>
      <c r="N18" s="27"/>
      <c r="O18" s="27"/>
      <c r="P18" s="27"/>
      <c r="Q18" s="27"/>
      <c r="R18" s="27"/>
      <c r="S18" s="27"/>
      <c r="T18" s="49" t="str">
        <f t="shared" si="0"/>
        <v/>
      </c>
      <c r="U18" s="13" t="str">
        <f>IF(A18="","",IF(T18="",INDEX(_翻訳マスタ!$B$89:$D$89,1,MATCH(言語切替!$B$3,_翻訳マスタ!$B$1:$D$1,0)),IF(T18&gt;=1,INDEX(_翻訳マスタ!$B$93:$D$93,1,MATCH(言語切替!$B$3,_翻訳マスタ!$B$1:$D$1,0)),IF(T18&gt;=0.8,INDEX(_翻訳マスタ!$B$91:$D$91,1,MATCH(言語切替!$B$3,_翻訳マスタ!$B$1:$D$1,0)),INDEX(_翻訳マスタ!$B$94:$D$94,1,MATCH(言語切替!$B$3,_翻訳マスタ!$B$1:$D$1,0))))))</f>
        <v/>
      </c>
      <c r="V18" s="28"/>
      <c r="W18" s="27"/>
      <c r="X18" s="45" t="str">
        <f>IF(W18="","",_xlfn.TRANSLATE(W18,"","ja"))</f>
        <v/>
      </c>
      <c r="Y18" s="45" t="str">
        <f>IF(W18="","",_xlfn.TRANSLATE(W18,"","zh-Hans"))</f>
        <v/>
      </c>
      <c r="Z18" s="36"/>
      <c r="AA18" s="53" t="str">
        <f>IF(Z18="","",_xlfn.TRANSLATE(Z18,"","ja"))</f>
        <v/>
      </c>
      <c r="AB18" s="53" t="str">
        <f>IF(Z18="","",_xlfn.TRANSLATE(Z18,"","zh-Hans"))</f>
        <v/>
      </c>
    </row>
    <row r="19" spans="1:28" s="22" customFormat="1" ht="15" customHeight="1" x14ac:dyDescent="0.25">
      <c r="A19" s="29"/>
      <c r="B19" s="30"/>
      <c r="C19" s="30"/>
      <c r="D19" s="30"/>
      <c r="E19" s="46" t="str">
        <f>IF(D19="","",_xlfn.TRANSLATE(D19,"","ja"))</f>
        <v/>
      </c>
      <c r="F19" s="46" t="str">
        <f>IF(D19="","",_xlfn.TRANSLATE(D19,"","zh-Hans"))</f>
        <v/>
      </c>
      <c r="G19" s="30"/>
      <c r="H19" s="46" t="str">
        <f>IF(G19="","",_xlfn.TRANSLATE(G19,"","ja"))</f>
        <v/>
      </c>
      <c r="I19" s="46" t="str">
        <f>IF(G19="","",_xlfn.TRANSLATE(G19,"","zh-Hans"))</f>
        <v/>
      </c>
      <c r="J19" s="30"/>
      <c r="K19" s="46" t="str">
        <f>IF(J19="","",_xlfn.TRANSLATE(J19,"","ja"))</f>
        <v/>
      </c>
      <c r="L19" s="46" t="str">
        <f>IF(J19="","",_xlfn.TRANSLATE(J19,"","zh-Hans"))</f>
        <v/>
      </c>
      <c r="M19" s="30"/>
      <c r="N19" s="30"/>
      <c r="O19" s="30"/>
      <c r="P19" s="30"/>
      <c r="Q19" s="30"/>
      <c r="R19" s="30"/>
      <c r="S19" s="30"/>
      <c r="T19" s="50" t="str">
        <f t="shared" si="0"/>
        <v/>
      </c>
      <c r="U19" s="16" t="str">
        <f>IF(A19="","",IF(T19="",INDEX(_翻訳マスタ!$B$89:$D$89,1,MATCH(言語切替!$B$3,_翻訳マスタ!$B$1:$D$1,0)),IF(T19&gt;=1,INDEX(_翻訳マスタ!$B$93:$D$93,1,MATCH(言語切替!$B$3,_翻訳マスタ!$B$1:$D$1,0)),IF(T19&gt;=0.8,INDEX(_翻訳マスタ!$B$91:$D$91,1,MATCH(言語切替!$B$3,_翻訳マスタ!$B$1:$D$1,0)),INDEX(_翻訳マスタ!$B$94:$D$94,1,MATCH(言語切替!$B$3,_翻訳マスタ!$B$1:$D$1,0))))))</f>
        <v/>
      </c>
      <c r="V19" s="31"/>
      <c r="W19" s="30"/>
      <c r="X19" s="46" t="str">
        <f>IF(W19="","",_xlfn.TRANSLATE(W19,"","ja"))</f>
        <v/>
      </c>
      <c r="Y19" s="46" t="str">
        <f>IF(W19="","",_xlfn.TRANSLATE(W19,"","zh-Hans"))</f>
        <v/>
      </c>
      <c r="Z19" s="37"/>
      <c r="AA19" s="52" t="str">
        <f>IF(Z19="","",_xlfn.TRANSLATE(Z19,"","ja"))</f>
        <v/>
      </c>
      <c r="AB19" s="52" t="str">
        <f>IF(Z19="","",_xlfn.TRANSLATE(Z19,"","zh-Hans"))</f>
        <v/>
      </c>
    </row>
    <row r="20" spans="1:28" s="22" customFormat="1" ht="15" customHeight="1" x14ac:dyDescent="0.25">
      <c r="A20" s="26"/>
      <c r="B20" s="27"/>
      <c r="C20" s="27"/>
      <c r="D20" s="27"/>
      <c r="E20" s="45" t="str">
        <f>IF(D20="","",_xlfn.TRANSLATE(D20,"","ja"))</f>
        <v/>
      </c>
      <c r="F20" s="45" t="str">
        <f>IF(D20="","",_xlfn.TRANSLATE(D20,"","zh-Hans"))</f>
        <v/>
      </c>
      <c r="G20" s="27"/>
      <c r="H20" s="45" t="str">
        <f>IF(G20="","",_xlfn.TRANSLATE(G20,"","ja"))</f>
        <v/>
      </c>
      <c r="I20" s="45" t="str">
        <f>IF(G20="","",_xlfn.TRANSLATE(G20,"","zh-Hans"))</f>
        <v/>
      </c>
      <c r="J20" s="27"/>
      <c r="K20" s="45" t="str">
        <f>IF(J20="","",_xlfn.TRANSLATE(J20,"","ja"))</f>
        <v/>
      </c>
      <c r="L20" s="45" t="str">
        <f>IF(J20="","",_xlfn.TRANSLATE(J20,"","zh-Hans"))</f>
        <v/>
      </c>
      <c r="M20" s="27"/>
      <c r="N20" s="27"/>
      <c r="O20" s="27"/>
      <c r="P20" s="27"/>
      <c r="Q20" s="27"/>
      <c r="R20" s="27"/>
      <c r="S20" s="27"/>
      <c r="T20" s="49" t="str">
        <f t="shared" si="0"/>
        <v/>
      </c>
      <c r="U20" s="13" t="str">
        <f>IF(A20="","",IF(T20="",INDEX(_翻訳マスタ!$B$89:$D$89,1,MATCH(言語切替!$B$3,_翻訳マスタ!$B$1:$D$1,0)),IF(T20&gt;=1,INDEX(_翻訳マスタ!$B$93:$D$93,1,MATCH(言語切替!$B$3,_翻訳マスタ!$B$1:$D$1,0)),IF(T20&gt;=0.8,INDEX(_翻訳マスタ!$B$91:$D$91,1,MATCH(言語切替!$B$3,_翻訳マスタ!$B$1:$D$1,0)),INDEX(_翻訳マスタ!$B$94:$D$94,1,MATCH(言語切替!$B$3,_翻訳マスタ!$B$1:$D$1,0))))))</f>
        <v/>
      </c>
      <c r="V20" s="28"/>
      <c r="W20" s="27"/>
      <c r="X20" s="45" t="str">
        <f>IF(W20="","",_xlfn.TRANSLATE(W20,"","ja"))</f>
        <v/>
      </c>
      <c r="Y20" s="45" t="str">
        <f>IF(W20="","",_xlfn.TRANSLATE(W20,"","zh-Hans"))</f>
        <v/>
      </c>
      <c r="Z20" s="36"/>
      <c r="AA20" s="53" t="str">
        <f>IF(Z20="","",_xlfn.TRANSLATE(Z20,"","ja"))</f>
        <v/>
      </c>
      <c r="AB20" s="53" t="str">
        <f>IF(Z20="","",_xlfn.TRANSLATE(Z20,"","zh-Hans"))</f>
        <v/>
      </c>
    </row>
    <row r="21" spans="1:28" s="22" customFormat="1" ht="15" customHeight="1" x14ac:dyDescent="0.25">
      <c r="A21" s="29"/>
      <c r="B21" s="30"/>
      <c r="C21" s="30"/>
      <c r="D21" s="30"/>
      <c r="E21" s="46" t="str">
        <f>IF(D21="","",_xlfn.TRANSLATE(D21,"","ja"))</f>
        <v/>
      </c>
      <c r="F21" s="46" t="str">
        <f>IF(D21="","",_xlfn.TRANSLATE(D21,"","zh-Hans"))</f>
        <v/>
      </c>
      <c r="G21" s="30"/>
      <c r="H21" s="46" t="str">
        <f>IF(G21="","",_xlfn.TRANSLATE(G21,"","ja"))</f>
        <v/>
      </c>
      <c r="I21" s="46" t="str">
        <f>IF(G21="","",_xlfn.TRANSLATE(G21,"","zh-Hans"))</f>
        <v/>
      </c>
      <c r="J21" s="30"/>
      <c r="K21" s="46" t="str">
        <f>IF(J21="","",_xlfn.TRANSLATE(J21,"","ja"))</f>
        <v/>
      </c>
      <c r="L21" s="46" t="str">
        <f>IF(J21="","",_xlfn.TRANSLATE(J21,"","zh-Hans"))</f>
        <v/>
      </c>
      <c r="M21" s="30"/>
      <c r="N21" s="30"/>
      <c r="O21" s="30"/>
      <c r="P21" s="30"/>
      <c r="Q21" s="30"/>
      <c r="R21" s="30"/>
      <c r="S21" s="30"/>
      <c r="T21" s="50" t="str">
        <f t="shared" si="0"/>
        <v/>
      </c>
      <c r="U21" s="16" t="str">
        <f>IF(A21="","",IF(T21="",INDEX(_翻訳マスタ!$B$89:$D$89,1,MATCH(言語切替!$B$3,_翻訳マスタ!$B$1:$D$1,0)),IF(T21&gt;=1,INDEX(_翻訳マスタ!$B$93:$D$93,1,MATCH(言語切替!$B$3,_翻訳マスタ!$B$1:$D$1,0)),IF(T21&gt;=0.8,INDEX(_翻訳マスタ!$B$91:$D$91,1,MATCH(言語切替!$B$3,_翻訳マスタ!$B$1:$D$1,0)),INDEX(_翻訳マスタ!$B$94:$D$94,1,MATCH(言語切替!$B$3,_翻訳マスタ!$B$1:$D$1,0))))))</f>
        <v/>
      </c>
      <c r="V21" s="31"/>
      <c r="W21" s="30"/>
      <c r="X21" s="46" t="str">
        <f>IF(W21="","",_xlfn.TRANSLATE(W21,"","ja"))</f>
        <v/>
      </c>
      <c r="Y21" s="46" t="str">
        <f>IF(W21="","",_xlfn.TRANSLATE(W21,"","zh-Hans"))</f>
        <v/>
      </c>
      <c r="Z21" s="37"/>
      <c r="AA21" s="52" t="str">
        <f>IF(Z21="","",_xlfn.TRANSLATE(Z21,"","ja"))</f>
        <v/>
      </c>
      <c r="AB21" s="52" t="str">
        <f>IF(Z21="","",_xlfn.TRANSLATE(Z21,"","zh-Hans"))</f>
        <v/>
      </c>
    </row>
    <row r="22" spans="1:28" s="22" customFormat="1" ht="15" customHeight="1" x14ac:dyDescent="0.25">
      <c r="A22" s="26"/>
      <c r="B22" s="27"/>
      <c r="C22" s="27"/>
      <c r="D22" s="27"/>
      <c r="E22" s="45" t="str">
        <f>IF(D22="","",_xlfn.TRANSLATE(D22,"","ja"))</f>
        <v/>
      </c>
      <c r="F22" s="45" t="str">
        <f>IF(D22="","",_xlfn.TRANSLATE(D22,"","zh-Hans"))</f>
        <v/>
      </c>
      <c r="G22" s="27"/>
      <c r="H22" s="45" t="str">
        <f>IF(G22="","",_xlfn.TRANSLATE(G22,"","ja"))</f>
        <v/>
      </c>
      <c r="I22" s="45" t="str">
        <f>IF(G22="","",_xlfn.TRANSLATE(G22,"","zh-Hans"))</f>
        <v/>
      </c>
      <c r="J22" s="27"/>
      <c r="K22" s="45" t="str">
        <f>IF(J22="","",_xlfn.TRANSLATE(J22,"","ja"))</f>
        <v/>
      </c>
      <c r="L22" s="45" t="str">
        <f>IF(J22="","",_xlfn.TRANSLATE(J22,"","zh-Hans"))</f>
        <v/>
      </c>
      <c r="M22" s="27"/>
      <c r="N22" s="27"/>
      <c r="O22" s="27"/>
      <c r="P22" s="27"/>
      <c r="Q22" s="27"/>
      <c r="R22" s="27"/>
      <c r="S22" s="27"/>
      <c r="T22" s="49" t="str">
        <f t="shared" si="0"/>
        <v/>
      </c>
      <c r="U22" s="13" t="str">
        <f>IF(A22="","",IF(T22="",INDEX(_翻訳マスタ!$B$89:$D$89,1,MATCH(言語切替!$B$3,_翻訳マスタ!$B$1:$D$1,0)),IF(T22&gt;=1,INDEX(_翻訳マスタ!$B$93:$D$93,1,MATCH(言語切替!$B$3,_翻訳マスタ!$B$1:$D$1,0)),IF(T22&gt;=0.8,INDEX(_翻訳マスタ!$B$91:$D$91,1,MATCH(言語切替!$B$3,_翻訳マスタ!$B$1:$D$1,0)),INDEX(_翻訳マスタ!$B$94:$D$94,1,MATCH(言語切替!$B$3,_翻訳マスタ!$B$1:$D$1,0))))))</f>
        <v/>
      </c>
      <c r="V22" s="28"/>
      <c r="W22" s="27"/>
      <c r="X22" s="45" t="str">
        <f>IF(W22="","",_xlfn.TRANSLATE(W22,"","ja"))</f>
        <v/>
      </c>
      <c r="Y22" s="45" t="str">
        <f>IF(W22="","",_xlfn.TRANSLATE(W22,"","zh-Hans"))</f>
        <v/>
      </c>
      <c r="Z22" s="36"/>
      <c r="AA22" s="53" t="str">
        <f>IF(Z22="","",_xlfn.TRANSLATE(Z22,"","ja"))</f>
        <v/>
      </c>
      <c r="AB22" s="53" t="str">
        <f>IF(Z22="","",_xlfn.TRANSLATE(Z22,"","zh-Hans"))</f>
        <v/>
      </c>
    </row>
    <row r="23" spans="1:28" s="22" customFormat="1" ht="15" customHeight="1" x14ac:dyDescent="0.25">
      <c r="A23" s="29"/>
      <c r="B23" s="30"/>
      <c r="C23" s="30"/>
      <c r="D23" s="30"/>
      <c r="E23" s="46" t="str">
        <f>IF(D23="","",_xlfn.TRANSLATE(D23,"","ja"))</f>
        <v/>
      </c>
      <c r="F23" s="46" t="str">
        <f>IF(D23="","",_xlfn.TRANSLATE(D23,"","zh-Hans"))</f>
        <v/>
      </c>
      <c r="G23" s="30"/>
      <c r="H23" s="46" t="str">
        <f>IF(G23="","",_xlfn.TRANSLATE(G23,"","ja"))</f>
        <v/>
      </c>
      <c r="I23" s="46" t="str">
        <f>IF(G23="","",_xlfn.TRANSLATE(G23,"","zh-Hans"))</f>
        <v/>
      </c>
      <c r="J23" s="30"/>
      <c r="K23" s="46" t="str">
        <f>IF(J23="","",_xlfn.TRANSLATE(J23,"","ja"))</f>
        <v/>
      </c>
      <c r="L23" s="46" t="str">
        <f>IF(J23="","",_xlfn.TRANSLATE(J23,"","zh-Hans"))</f>
        <v/>
      </c>
      <c r="M23" s="30"/>
      <c r="N23" s="30"/>
      <c r="O23" s="30"/>
      <c r="P23" s="30"/>
      <c r="Q23" s="30"/>
      <c r="R23" s="30"/>
      <c r="S23" s="30"/>
      <c r="T23" s="50" t="str">
        <f t="shared" si="0"/>
        <v/>
      </c>
      <c r="U23" s="16" t="str">
        <f>IF(A23="","",IF(T23="",INDEX(_翻訳マスタ!$B$89:$D$89,1,MATCH(言語切替!$B$3,_翻訳マスタ!$B$1:$D$1,0)),IF(T23&gt;=1,INDEX(_翻訳マスタ!$B$93:$D$93,1,MATCH(言語切替!$B$3,_翻訳マスタ!$B$1:$D$1,0)),IF(T23&gt;=0.8,INDEX(_翻訳マスタ!$B$91:$D$91,1,MATCH(言語切替!$B$3,_翻訳マスタ!$B$1:$D$1,0)),INDEX(_翻訳マスタ!$B$94:$D$94,1,MATCH(言語切替!$B$3,_翻訳マスタ!$B$1:$D$1,0))))))</f>
        <v/>
      </c>
      <c r="V23" s="31"/>
      <c r="W23" s="30"/>
      <c r="X23" s="46" t="str">
        <f>IF(W23="","",_xlfn.TRANSLATE(W23,"","ja"))</f>
        <v/>
      </c>
      <c r="Y23" s="46" t="str">
        <f>IF(W23="","",_xlfn.TRANSLATE(W23,"","zh-Hans"))</f>
        <v/>
      </c>
      <c r="Z23" s="37"/>
      <c r="AA23" s="52" t="str">
        <f>IF(Z23="","",_xlfn.TRANSLATE(Z23,"","ja"))</f>
        <v/>
      </c>
      <c r="AB23" s="52" t="str">
        <f>IF(Z23="","",_xlfn.TRANSLATE(Z23,"","zh-Hans"))</f>
        <v/>
      </c>
    </row>
    <row r="24" spans="1:28" s="22" customFormat="1" ht="15" customHeight="1" x14ac:dyDescent="0.25">
      <c r="A24" s="26"/>
      <c r="B24" s="27"/>
      <c r="C24" s="27"/>
      <c r="D24" s="27"/>
      <c r="E24" s="45" t="str">
        <f>IF(D24="","",_xlfn.TRANSLATE(D24,"","ja"))</f>
        <v/>
      </c>
      <c r="F24" s="45" t="str">
        <f>IF(D24="","",_xlfn.TRANSLATE(D24,"","zh-Hans"))</f>
        <v/>
      </c>
      <c r="G24" s="27"/>
      <c r="H24" s="45" t="str">
        <f>IF(G24="","",_xlfn.TRANSLATE(G24,"","ja"))</f>
        <v/>
      </c>
      <c r="I24" s="45" t="str">
        <f>IF(G24="","",_xlfn.TRANSLATE(G24,"","zh-Hans"))</f>
        <v/>
      </c>
      <c r="J24" s="27"/>
      <c r="K24" s="45" t="str">
        <f>IF(J24="","",_xlfn.TRANSLATE(J24,"","ja"))</f>
        <v/>
      </c>
      <c r="L24" s="45" t="str">
        <f>IF(J24="","",_xlfn.TRANSLATE(J24,"","zh-Hans"))</f>
        <v/>
      </c>
      <c r="M24" s="27"/>
      <c r="N24" s="27"/>
      <c r="O24" s="27"/>
      <c r="P24" s="27"/>
      <c r="Q24" s="27"/>
      <c r="R24" s="27"/>
      <c r="S24" s="27"/>
      <c r="T24" s="49" t="str">
        <f t="shared" si="0"/>
        <v/>
      </c>
      <c r="U24" s="13" t="str">
        <f>IF(A24="","",IF(T24="",INDEX(_翻訳マスタ!$B$89:$D$89,1,MATCH(言語切替!$B$3,_翻訳マスタ!$B$1:$D$1,0)),IF(T24&gt;=1,INDEX(_翻訳マスタ!$B$93:$D$93,1,MATCH(言語切替!$B$3,_翻訳マスタ!$B$1:$D$1,0)),IF(T24&gt;=0.8,INDEX(_翻訳マスタ!$B$91:$D$91,1,MATCH(言語切替!$B$3,_翻訳マスタ!$B$1:$D$1,0)),INDEX(_翻訳マスタ!$B$94:$D$94,1,MATCH(言語切替!$B$3,_翻訳マスタ!$B$1:$D$1,0))))))</f>
        <v/>
      </c>
      <c r="V24" s="28"/>
      <c r="W24" s="27"/>
      <c r="X24" s="45" t="str">
        <f>IF(W24="","",_xlfn.TRANSLATE(W24,"","ja"))</f>
        <v/>
      </c>
      <c r="Y24" s="45" t="str">
        <f>IF(W24="","",_xlfn.TRANSLATE(W24,"","zh-Hans"))</f>
        <v/>
      </c>
      <c r="Z24" s="36"/>
      <c r="AA24" s="53" t="str">
        <f>IF(Z24="","",_xlfn.TRANSLATE(Z24,"","ja"))</f>
        <v/>
      </c>
      <c r="AB24" s="53" t="str">
        <f>IF(Z24="","",_xlfn.TRANSLATE(Z24,"","zh-Hans"))</f>
        <v/>
      </c>
    </row>
    <row r="25" spans="1:28" s="22" customFormat="1" ht="15" customHeight="1" x14ac:dyDescent="0.25">
      <c r="A25" s="29"/>
      <c r="B25" s="30"/>
      <c r="C25" s="30"/>
      <c r="D25" s="30"/>
      <c r="E25" s="46" t="str">
        <f t="shared" ref="E9:E40" si="1">IF(D25="","",_xlfn.TRANSLATE(D25,"vi","ja"))</f>
        <v/>
      </c>
      <c r="F25" s="46" t="str">
        <f t="shared" ref="F9:F40" si="2">IF(D25="","",_xlfn.TRANSLATE(D25,"vi","zh-Hans"))</f>
        <v/>
      </c>
      <c r="G25" s="30"/>
      <c r="H25" s="46" t="str">
        <f t="shared" ref="H9:H40" si="3">IF(G25="","",_xlfn.TRANSLATE(G25,"vi","ja"))</f>
        <v/>
      </c>
      <c r="I25" s="46" t="str">
        <f t="shared" ref="I9:I40" si="4">IF(G25="","",_xlfn.TRANSLATE(G25,"vi","zh-Hans"))</f>
        <v/>
      </c>
      <c r="J25" s="30"/>
      <c r="K25" s="46" t="str">
        <f t="shared" ref="K9:K40" si="5">IF(J25="","",_xlfn.TRANSLATE(J25,"vi","ja"))</f>
        <v/>
      </c>
      <c r="L25" s="46" t="str">
        <f t="shared" ref="L9:L40" si="6">IF(J25="","",_xlfn.TRANSLATE(J25,"vi","zh-Hans"))</f>
        <v/>
      </c>
      <c r="M25" s="30"/>
      <c r="N25" s="30"/>
      <c r="O25" s="30"/>
      <c r="P25" s="30"/>
      <c r="Q25" s="30"/>
      <c r="R25" s="30"/>
      <c r="S25" s="30"/>
      <c r="T25" s="50" t="str">
        <f t="shared" si="0"/>
        <v/>
      </c>
      <c r="U25" s="16" t="str">
        <f>IF(A25="","",IF(T25="",INDEX(_翻訳マスタ!$B$89:$D$89,1,MATCH(言語切替!$B$3,_翻訳マスタ!$B$1:$D$1,0)),IF(T25&gt;=1,INDEX(_翻訳マスタ!$B$93:$D$93,1,MATCH(言語切替!$B$3,_翻訳マスタ!$B$1:$D$1,0)),IF(T25&gt;=0.8,INDEX(_翻訳マスタ!$B$91:$D$91,1,MATCH(言語切替!$B$3,_翻訳マスタ!$B$1:$D$1,0)),INDEX(_翻訳マスタ!$B$94:$D$94,1,MATCH(言語切替!$B$3,_翻訳マスタ!$B$1:$D$1,0))))))</f>
        <v/>
      </c>
      <c r="V25" s="31"/>
      <c r="W25" s="30"/>
      <c r="X25" s="46" t="str">
        <f t="shared" ref="X9:X40" si="7">IF(W25="","",_xlfn.TRANSLATE(W25,"vi","ja"))</f>
        <v/>
      </c>
      <c r="Y25" s="46" t="str">
        <f t="shared" ref="Y9:Y40" si="8">IF(W25="","",_xlfn.TRANSLATE(W25,"vi","zh-Hans"))</f>
        <v/>
      </c>
      <c r="Z25" s="37"/>
      <c r="AA25" s="52" t="str">
        <f t="shared" ref="AA9:AA40" si="9">IF(Z25="","",_xlfn.TRANSLATE(Z25,"vi","ja"))</f>
        <v/>
      </c>
      <c r="AB25" s="52" t="str">
        <f t="shared" ref="AB9:AB40" si="10">IF(Z25="","",_xlfn.TRANSLATE(Z25,"vi","zh-Hans"))</f>
        <v/>
      </c>
    </row>
    <row r="26" spans="1:28" s="22" customFormat="1" ht="15" customHeight="1" x14ac:dyDescent="0.25">
      <c r="A26" s="26"/>
      <c r="B26" s="27"/>
      <c r="C26" s="27"/>
      <c r="D26" s="27"/>
      <c r="E26" s="45" t="str">
        <f t="shared" si="1"/>
        <v/>
      </c>
      <c r="F26" s="45" t="str">
        <f t="shared" si="2"/>
        <v/>
      </c>
      <c r="G26" s="27"/>
      <c r="H26" s="45" t="str">
        <f t="shared" si="3"/>
        <v/>
      </c>
      <c r="I26" s="45" t="str">
        <f t="shared" si="4"/>
        <v/>
      </c>
      <c r="J26" s="27"/>
      <c r="K26" s="45" t="str">
        <f t="shared" si="5"/>
        <v/>
      </c>
      <c r="L26" s="45" t="str">
        <f t="shared" si="6"/>
        <v/>
      </c>
      <c r="M26" s="27"/>
      <c r="N26" s="27"/>
      <c r="O26" s="27"/>
      <c r="P26" s="27"/>
      <c r="Q26" s="27"/>
      <c r="R26" s="27"/>
      <c r="S26" s="27"/>
      <c r="T26" s="49" t="str">
        <f t="shared" si="0"/>
        <v/>
      </c>
      <c r="U26" s="13" t="str">
        <f>IF(A26="","",IF(T26="",INDEX(_翻訳マスタ!$B$89:$D$89,1,MATCH(言語切替!$B$3,_翻訳マスタ!$B$1:$D$1,0)),IF(T26&gt;=1,INDEX(_翻訳マスタ!$B$93:$D$93,1,MATCH(言語切替!$B$3,_翻訳マスタ!$B$1:$D$1,0)),IF(T26&gt;=0.8,INDEX(_翻訳マスタ!$B$91:$D$91,1,MATCH(言語切替!$B$3,_翻訳マスタ!$B$1:$D$1,0)),INDEX(_翻訳マスタ!$B$94:$D$94,1,MATCH(言語切替!$B$3,_翻訳マスタ!$B$1:$D$1,0))))))</f>
        <v/>
      </c>
      <c r="V26" s="28"/>
      <c r="W26" s="27"/>
      <c r="X26" s="45" t="str">
        <f t="shared" si="7"/>
        <v/>
      </c>
      <c r="Y26" s="45" t="str">
        <f t="shared" si="8"/>
        <v/>
      </c>
      <c r="Z26" s="36"/>
      <c r="AA26" s="53" t="str">
        <f t="shared" si="9"/>
        <v/>
      </c>
      <c r="AB26" s="53" t="str">
        <f t="shared" si="10"/>
        <v/>
      </c>
    </row>
    <row r="27" spans="1:28" s="22" customFormat="1" ht="15" customHeight="1" x14ac:dyDescent="0.25">
      <c r="A27" s="29"/>
      <c r="B27" s="30"/>
      <c r="C27" s="30"/>
      <c r="D27" s="30"/>
      <c r="E27" s="46" t="str">
        <f t="shared" si="1"/>
        <v/>
      </c>
      <c r="F27" s="46" t="str">
        <f t="shared" si="2"/>
        <v/>
      </c>
      <c r="G27" s="30"/>
      <c r="H27" s="46" t="str">
        <f t="shared" si="3"/>
        <v/>
      </c>
      <c r="I27" s="46" t="str">
        <f t="shared" si="4"/>
        <v/>
      </c>
      <c r="J27" s="30"/>
      <c r="K27" s="46" t="str">
        <f t="shared" si="5"/>
        <v/>
      </c>
      <c r="L27" s="46" t="str">
        <f t="shared" si="6"/>
        <v/>
      </c>
      <c r="M27" s="30"/>
      <c r="N27" s="30"/>
      <c r="O27" s="30"/>
      <c r="P27" s="30"/>
      <c r="Q27" s="30"/>
      <c r="R27" s="30"/>
      <c r="S27" s="30"/>
      <c r="T27" s="50" t="str">
        <f t="shared" si="0"/>
        <v/>
      </c>
      <c r="U27" s="16" t="str">
        <f>IF(A27="","",IF(T27="",INDEX(_翻訳マスタ!$B$89:$D$89,1,MATCH(言語切替!$B$3,_翻訳マスタ!$B$1:$D$1,0)),IF(T27&gt;=1,INDEX(_翻訳マスタ!$B$93:$D$93,1,MATCH(言語切替!$B$3,_翻訳マスタ!$B$1:$D$1,0)),IF(T27&gt;=0.8,INDEX(_翻訳マスタ!$B$91:$D$91,1,MATCH(言語切替!$B$3,_翻訳マスタ!$B$1:$D$1,0)),INDEX(_翻訳マスタ!$B$94:$D$94,1,MATCH(言語切替!$B$3,_翻訳マスタ!$B$1:$D$1,0))))))</f>
        <v/>
      </c>
      <c r="V27" s="31"/>
      <c r="W27" s="30"/>
      <c r="X27" s="46" t="str">
        <f t="shared" si="7"/>
        <v/>
      </c>
      <c r="Y27" s="46" t="str">
        <f t="shared" si="8"/>
        <v/>
      </c>
      <c r="Z27" s="37"/>
      <c r="AA27" s="52" t="str">
        <f t="shared" si="9"/>
        <v/>
      </c>
      <c r="AB27" s="52" t="str">
        <f t="shared" si="10"/>
        <v/>
      </c>
    </row>
    <row r="28" spans="1:28" s="22" customFormat="1" ht="15" customHeight="1" x14ac:dyDescent="0.25">
      <c r="A28" s="26"/>
      <c r="B28" s="27"/>
      <c r="C28" s="27"/>
      <c r="D28" s="27"/>
      <c r="E28" s="45" t="str">
        <f t="shared" si="1"/>
        <v/>
      </c>
      <c r="F28" s="45" t="str">
        <f t="shared" si="2"/>
        <v/>
      </c>
      <c r="G28" s="27"/>
      <c r="H28" s="45" t="str">
        <f t="shared" si="3"/>
        <v/>
      </c>
      <c r="I28" s="45" t="str">
        <f t="shared" si="4"/>
        <v/>
      </c>
      <c r="J28" s="27"/>
      <c r="K28" s="45" t="str">
        <f t="shared" si="5"/>
        <v/>
      </c>
      <c r="L28" s="45" t="str">
        <f t="shared" si="6"/>
        <v/>
      </c>
      <c r="M28" s="27"/>
      <c r="N28" s="27"/>
      <c r="O28" s="27"/>
      <c r="P28" s="27"/>
      <c r="Q28" s="27"/>
      <c r="R28" s="27"/>
      <c r="S28" s="27"/>
      <c r="T28" s="49" t="str">
        <f t="shared" si="0"/>
        <v/>
      </c>
      <c r="U28" s="13" t="str">
        <f>IF(A28="","",IF(T28="",INDEX(_翻訳マスタ!$B$89:$D$89,1,MATCH(言語切替!$B$3,_翻訳マスタ!$B$1:$D$1,0)),IF(T28&gt;=1,INDEX(_翻訳マスタ!$B$93:$D$93,1,MATCH(言語切替!$B$3,_翻訳マスタ!$B$1:$D$1,0)),IF(T28&gt;=0.8,INDEX(_翻訳マスタ!$B$91:$D$91,1,MATCH(言語切替!$B$3,_翻訳マスタ!$B$1:$D$1,0)),INDEX(_翻訳マスタ!$B$94:$D$94,1,MATCH(言語切替!$B$3,_翻訳マスタ!$B$1:$D$1,0))))))</f>
        <v/>
      </c>
      <c r="V28" s="28"/>
      <c r="W28" s="27"/>
      <c r="X28" s="45" t="str">
        <f t="shared" si="7"/>
        <v/>
      </c>
      <c r="Y28" s="45" t="str">
        <f t="shared" si="8"/>
        <v/>
      </c>
      <c r="Z28" s="36"/>
      <c r="AA28" s="53" t="str">
        <f t="shared" si="9"/>
        <v/>
      </c>
      <c r="AB28" s="53" t="str">
        <f t="shared" si="10"/>
        <v/>
      </c>
    </row>
    <row r="29" spans="1:28" s="22" customFormat="1" ht="15" customHeight="1" x14ac:dyDescent="0.25">
      <c r="A29" s="29"/>
      <c r="B29" s="30"/>
      <c r="C29" s="30"/>
      <c r="D29" s="30"/>
      <c r="E29" s="46" t="str">
        <f t="shared" si="1"/>
        <v/>
      </c>
      <c r="F29" s="46" t="str">
        <f t="shared" si="2"/>
        <v/>
      </c>
      <c r="G29" s="30"/>
      <c r="H29" s="46" t="str">
        <f t="shared" si="3"/>
        <v/>
      </c>
      <c r="I29" s="46" t="str">
        <f t="shared" si="4"/>
        <v/>
      </c>
      <c r="J29" s="30"/>
      <c r="K29" s="46" t="str">
        <f t="shared" si="5"/>
        <v/>
      </c>
      <c r="L29" s="46" t="str">
        <f t="shared" si="6"/>
        <v/>
      </c>
      <c r="M29" s="30"/>
      <c r="N29" s="30"/>
      <c r="O29" s="30"/>
      <c r="P29" s="30"/>
      <c r="Q29" s="30"/>
      <c r="R29" s="30"/>
      <c r="S29" s="30"/>
      <c r="T29" s="50" t="str">
        <f t="shared" si="0"/>
        <v/>
      </c>
      <c r="U29" s="16" t="str">
        <f>IF(A29="","",IF(T29="",INDEX(_翻訳マスタ!$B$89:$D$89,1,MATCH(言語切替!$B$3,_翻訳マスタ!$B$1:$D$1,0)),IF(T29&gt;=1,INDEX(_翻訳マスタ!$B$93:$D$93,1,MATCH(言語切替!$B$3,_翻訳マスタ!$B$1:$D$1,0)),IF(T29&gt;=0.8,INDEX(_翻訳マスタ!$B$91:$D$91,1,MATCH(言語切替!$B$3,_翻訳マスタ!$B$1:$D$1,0)),INDEX(_翻訳マスタ!$B$94:$D$94,1,MATCH(言語切替!$B$3,_翻訳マスタ!$B$1:$D$1,0))))))</f>
        <v/>
      </c>
      <c r="V29" s="31"/>
      <c r="W29" s="30"/>
      <c r="X29" s="46" t="str">
        <f t="shared" si="7"/>
        <v/>
      </c>
      <c r="Y29" s="46" t="str">
        <f t="shared" si="8"/>
        <v/>
      </c>
      <c r="Z29" s="37"/>
      <c r="AA29" s="52" t="str">
        <f t="shared" si="9"/>
        <v/>
      </c>
      <c r="AB29" s="52" t="str">
        <f t="shared" si="10"/>
        <v/>
      </c>
    </row>
    <row r="30" spans="1:28" s="22" customFormat="1" x14ac:dyDescent="0.25">
      <c r="A30" s="26"/>
      <c r="B30" s="27"/>
      <c r="C30" s="27"/>
      <c r="D30" s="27"/>
      <c r="E30" s="45" t="str">
        <f t="shared" si="1"/>
        <v/>
      </c>
      <c r="F30" s="45" t="str">
        <f t="shared" si="2"/>
        <v/>
      </c>
      <c r="G30" s="27"/>
      <c r="H30" s="45" t="str">
        <f t="shared" si="3"/>
        <v/>
      </c>
      <c r="I30" s="45" t="str">
        <f t="shared" si="4"/>
        <v/>
      </c>
      <c r="J30" s="27"/>
      <c r="K30" s="45" t="str">
        <f t="shared" si="5"/>
        <v/>
      </c>
      <c r="L30" s="45" t="str">
        <f t="shared" si="6"/>
        <v/>
      </c>
      <c r="M30" s="27"/>
      <c r="N30" s="27"/>
      <c r="O30" s="27"/>
      <c r="P30" s="27"/>
      <c r="Q30" s="27"/>
      <c r="R30" s="27"/>
      <c r="S30" s="27"/>
      <c r="T30" s="49" t="str">
        <f t="shared" si="0"/>
        <v/>
      </c>
      <c r="U30" s="13" t="str">
        <f>IF(A30="","",IF(T30="",INDEX(_翻訳マスタ!$B$89:$D$89,1,MATCH(言語切替!$B$3,_翻訳マスタ!$B$1:$D$1,0)),IF(T30&gt;=1,INDEX(_翻訳マスタ!$B$93:$D$93,1,MATCH(言語切替!$B$3,_翻訳マスタ!$B$1:$D$1,0)),IF(T30&gt;=0.8,INDEX(_翻訳マスタ!$B$91:$D$91,1,MATCH(言語切替!$B$3,_翻訳マスタ!$B$1:$D$1,0)),INDEX(_翻訳マスタ!$B$94:$D$94,1,MATCH(言語切替!$B$3,_翻訳マスタ!$B$1:$D$1,0))))))</f>
        <v/>
      </c>
      <c r="V30" s="28"/>
      <c r="W30" s="27"/>
      <c r="X30" s="45" t="str">
        <f t="shared" si="7"/>
        <v/>
      </c>
      <c r="Y30" s="45" t="str">
        <f t="shared" si="8"/>
        <v/>
      </c>
      <c r="Z30" s="36"/>
      <c r="AA30" s="53" t="str">
        <f t="shared" si="9"/>
        <v/>
      </c>
      <c r="AB30" s="53" t="str">
        <f t="shared" si="10"/>
        <v/>
      </c>
    </row>
    <row r="31" spans="1:28" s="22" customFormat="1" x14ac:dyDescent="0.25">
      <c r="A31" s="29"/>
      <c r="B31" s="30"/>
      <c r="C31" s="30"/>
      <c r="D31" s="30"/>
      <c r="E31" s="46" t="str">
        <f t="shared" si="1"/>
        <v/>
      </c>
      <c r="F31" s="46" t="str">
        <f t="shared" si="2"/>
        <v/>
      </c>
      <c r="G31" s="30"/>
      <c r="H31" s="46" t="str">
        <f t="shared" si="3"/>
        <v/>
      </c>
      <c r="I31" s="46" t="str">
        <f t="shared" si="4"/>
        <v/>
      </c>
      <c r="J31" s="30"/>
      <c r="K31" s="46" t="str">
        <f t="shared" si="5"/>
        <v/>
      </c>
      <c r="L31" s="46" t="str">
        <f t="shared" si="6"/>
        <v/>
      </c>
      <c r="M31" s="30"/>
      <c r="N31" s="30"/>
      <c r="O31" s="30"/>
      <c r="P31" s="30"/>
      <c r="Q31" s="30"/>
      <c r="R31" s="30"/>
      <c r="S31" s="30"/>
      <c r="T31" s="50" t="str">
        <f t="shared" si="0"/>
        <v/>
      </c>
      <c r="U31" s="16" t="str">
        <f>IF(A31="","",IF(T31="",INDEX(_翻訳マスタ!$B$89:$D$89,1,MATCH(言語切替!$B$3,_翻訳マスタ!$B$1:$D$1,0)),IF(T31&gt;=1,INDEX(_翻訳マスタ!$B$93:$D$93,1,MATCH(言語切替!$B$3,_翻訳マスタ!$B$1:$D$1,0)),IF(T31&gt;=0.8,INDEX(_翻訳マスタ!$B$91:$D$91,1,MATCH(言語切替!$B$3,_翻訳マスタ!$B$1:$D$1,0)),INDEX(_翻訳マスタ!$B$94:$D$94,1,MATCH(言語切替!$B$3,_翻訳マスタ!$B$1:$D$1,0))))))</f>
        <v/>
      </c>
      <c r="V31" s="31"/>
      <c r="W31" s="30"/>
      <c r="X31" s="46" t="str">
        <f t="shared" si="7"/>
        <v/>
      </c>
      <c r="Y31" s="46" t="str">
        <f t="shared" si="8"/>
        <v/>
      </c>
      <c r="Z31" s="37"/>
      <c r="AA31" s="52" t="str">
        <f t="shared" si="9"/>
        <v/>
      </c>
      <c r="AB31" s="52" t="str">
        <f t="shared" si="10"/>
        <v/>
      </c>
    </row>
    <row r="32" spans="1:28" s="22" customFormat="1" x14ac:dyDescent="0.25">
      <c r="A32" s="26"/>
      <c r="B32" s="27"/>
      <c r="C32" s="27"/>
      <c r="D32" s="27"/>
      <c r="E32" s="45" t="str">
        <f t="shared" si="1"/>
        <v/>
      </c>
      <c r="F32" s="45" t="str">
        <f t="shared" si="2"/>
        <v/>
      </c>
      <c r="G32" s="27"/>
      <c r="H32" s="45" t="str">
        <f t="shared" si="3"/>
        <v/>
      </c>
      <c r="I32" s="45" t="str">
        <f t="shared" si="4"/>
        <v/>
      </c>
      <c r="J32" s="27"/>
      <c r="K32" s="45" t="str">
        <f t="shared" si="5"/>
        <v/>
      </c>
      <c r="L32" s="45" t="str">
        <f t="shared" si="6"/>
        <v/>
      </c>
      <c r="M32" s="27"/>
      <c r="N32" s="27"/>
      <c r="O32" s="27"/>
      <c r="P32" s="27"/>
      <c r="Q32" s="27"/>
      <c r="R32" s="27"/>
      <c r="S32" s="27"/>
      <c r="T32" s="49" t="str">
        <f t="shared" si="0"/>
        <v/>
      </c>
      <c r="U32" s="13" t="str">
        <f>IF(A32="","",IF(T32="",INDEX(_翻訳マスタ!$B$89:$D$89,1,MATCH(言語切替!$B$3,_翻訳マスタ!$B$1:$D$1,0)),IF(T32&gt;=1,INDEX(_翻訳マスタ!$B$93:$D$93,1,MATCH(言語切替!$B$3,_翻訳マスタ!$B$1:$D$1,0)),IF(T32&gt;=0.8,INDEX(_翻訳マスタ!$B$91:$D$91,1,MATCH(言語切替!$B$3,_翻訳マスタ!$B$1:$D$1,0)),INDEX(_翻訳マスタ!$B$94:$D$94,1,MATCH(言語切替!$B$3,_翻訳マスタ!$B$1:$D$1,0))))))</f>
        <v/>
      </c>
      <c r="V32" s="28"/>
      <c r="W32" s="27"/>
      <c r="X32" s="45" t="str">
        <f t="shared" si="7"/>
        <v/>
      </c>
      <c r="Y32" s="45" t="str">
        <f t="shared" si="8"/>
        <v/>
      </c>
      <c r="Z32" s="36"/>
      <c r="AA32" s="53" t="str">
        <f t="shared" si="9"/>
        <v/>
      </c>
      <c r="AB32" s="53" t="str">
        <f t="shared" si="10"/>
        <v/>
      </c>
    </row>
    <row r="33" spans="1:28" s="22" customFormat="1" x14ac:dyDescent="0.25">
      <c r="A33" s="29"/>
      <c r="B33" s="30"/>
      <c r="C33" s="30"/>
      <c r="D33" s="30"/>
      <c r="E33" s="46" t="str">
        <f t="shared" si="1"/>
        <v/>
      </c>
      <c r="F33" s="46" t="str">
        <f t="shared" si="2"/>
        <v/>
      </c>
      <c r="G33" s="30"/>
      <c r="H33" s="46" t="str">
        <f t="shared" si="3"/>
        <v/>
      </c>
      <c r="I33" s="46" t="str">
        <f t="shared" si="4"/>
        <v/>
      </c>
      <c r="J33" s="30"/>
      <c r="K33" s="46" t="str">
        <f t="shared" si="5"/>
        <v/>
      </c>
      <c r="L33" s="46" t="str">
        <f t="shared" si="6"/>
        <v/>
      </c>
      <c r="M33" s="30"/>
      <c r="N33" s="30"/>
      <c r="O33" s="30"/>
      <c r="P33" s="30"/>
      <c r="Q33" s="30"/>
      <c r="R33" s="30"/>
      <c r="S33" s="30"/>
      <c r="T33" s="50" t="str">
        <f t="shared" si="0"/>
        <v/>
      </c>
      <c r="U33" s="16" t="str">
        <f>IF(A33="","",IF(T33="",INDEX(_翻訳マスタ!$B$89:$D$89,1,MATCH(言語切替!$B$3,_翻訳マスタ!$B$1:$D$1,0)),IF(T33&gt;=1,INDEX(_翻訳マスタ!$B$93:$D$93,1,MATCH(言語切替!$B$3,_翻訳マスタ!$B$1:$D$1,0)),IF(T33&gt;=0.8,INDEX(_翻訳マスタ!$B$91:$D$91,1,MATCH(言語切替!$B$3,_翻訳マスタ!$B$1:$D$1,0)),INDEX(_翻訳マスタ!$B$94:$D$94,1,MATCH(言語切替!$B$3,_翻訳マスタ!$B$1:$D$1,0))))))</f>
        <v/>
      </c>
      <c r="V33" s="31"/>
      <c r="W33" s="30"/>
      <c r="X33" s="46" t="str">
        <f t="shared" si="7"/>
        <v/>
      </c>
      <c r="Y33" s="46" t="str">
        <f t="shared" si="8"/>
        <v/>
      </c>
      <c r="Z33" s="37"/>
      <c r="AA33" s="52" t="str">
        <f t="shared" si="9"/>
        <v/>
      </c>
      <c r="AB33" s="52" t="str">
        <f t="shared" si="10"/>
        <v/>
      </c>
    </row>
    <row r="34" spans="1:28" s="22" customFormat="1" x14ac:dyDescent="0.25">
      <c r="A34" s="26"/>
      <c r="B34" s="27"/>
      <c r="C34" s="27"/>
      <c r="D34" s="27"/>
      <c r="E34" s="45" t="str">
        <f t="shared" si="1"/>
        <v/>
      </c>
      <c r="F34" s="45" t="str">
        <f t="shared" si="2"/>
        <v/>
      </c>
      <c r="G34" s="27"/>
      <c r="H34" s="45" t="str">
        <f t="shared" si="3"/>
        <v/>
      </c>
      <c r="I34" s="45" t="str">
        <f t="shared" si="4"/>
        <v/>
      </c>
      <c r="J34" s="27"/>
      <c r="K34" s="45" t="str">
        <f t="shared" si="5"/>
        <v/>
      </c>
      <c r="L34" s="45" t="str">
        <f t="shared" si="6"/>
        <v/>
      </c>
      <c r="M34" s="27"/>
      <c r="N34" s="27"/>
      <c r="O34" s="27"/>
      <c r="P34" s="27"/>
      <c r="Q34" s="27"/>
      <c r="R34" s="27"/>
      <c r="S34" s="27"/>
      <c r="T34" s="49" t="str">
        <f t="shared" si="0"/>
        <v/>
      </c>
      <c r="U34" s="13" t="str">
        <f>IF(A34="","",IF(T34="",INDEX(_翻訳マスタ!$B$89:$D$89,1,MATCH(言語切替!$B$3,_翻訳マスタ!$B$1:$D$1,0)),IF(T34&gt;=1,INDEX(_翻訳マスタ!$B$93:$D$93,1,MATCH(言語切替!$B$3,_翻訳マスタ!$B$1:$D$1,0)),IF(T34&gt;=0.8,INDEX(_翻訳マスタ!$B$91:$D$91,1,MATCH(言語切替!$B$3,_翻訳マスタ!$B$1:$D$1,0)),INDEX(_翻訳マスタ!$B$94:$D$94,1,MATCH(言語切替!$B$3,_翻訳マスタ!$B$1:$D$1,0))))))</f>
        <v/>
      </c>
      <c r="V34" s="28"/>
      <c r="W34" s="27"/>
      <c r="X34" s="45" t="str">
        <f t="shared" si="7"/>
        <v/>
      </c>
      <c r="Y34" s="45" t="str">
        <f t="shared" si="8"/>
        <v/>
      </c>
      <c r="Z34" s="36"/>
      <c r="AA34" s="53" t="str">
        <f t="shared" si="9"/>
        <v/>
      </c>
      <c r="AB34" s="53" t="str">
        <f t="shared" si="10"/>
        <v/>
      </c>
    </row>
    <row r="35" spans="1:28" s="22" customFormat="1" x14ac:dyDescent="0.25">
      <c r="A35" s="29"/>
      <c r="B35" s="30"/>
      <c r="C35" s="30"/>
      <c r="D35" s="30"/>
      <c r="E35" s="46" t="str">
        <f t="shared" si="1"/>
        <v/>
      </c>
      <c r="F35" s="46" t="str">
        <f t="shared" si="2"/>
        <v/>
      </c>
      <c r="G35" s="30"/>
      <c r="H35" s="46" t="str">
        <f t="shared" si="3"/>
        <v/>
      </c>
      <c r="I35" s="46" t="str">
        <f t="shared" si="4"/>
        <v/>
      </c>
      <c r="J35" s="30"/>
      <c r="K35" s="46" t="str">
        <f t="shared" si="5"/>
        <v/>
      </c>
      <c r="L35" s="46" t="str">
        <f t="shared" si="6"/>
        <v/>
      </c>
      <c r="M35" s="30"/>
      <c r="N35" s="30"/>
      <c r="O35" s="30"/>
      <c r="P35" s="30"/>
      <c r="Q35" s="30"/>
      <c r="R35" s="30"/>
      <c r="S35" s="30"/>
      <c r="T35" s="50" t="str">
        <f t="shared" si="0"/>
        <v/>
      </c>
      <c r="U35" s="16" t="str">
        <f>IF(A35="","",IF(T35="",INDEX(_翻訳マスタ!$B$89:$D$89,1,MATCH(言語切替!$B$3,_翻訳マスタ!$B$1:$D$1,0)),IF(T35&gt;=1,INDEX(_翻訳マスタ!$B$93:$D$93,1,MATCH(言語切替!$B$3,_翻訳マスタ!$B$1:$D$1,0)),IF(T35&gt;=0.8,INDEX(_翻訳マスタ!$B$91:$D$91,1,MATCH(言語切替!$B$3,_翻訳マスタ!$B$1:$D$1,0)),INDEX(_翻訳マスタ!$B$94:$D$94,1,MATCH(言語切替!$B$3,_翻訳マスタ!$B$1:$D$1,0))))))</f>
        <v/>
      </c>
      <c r="V35" s="31"/>
      <c r="W35" s="30"/>
      <c r="X35" s="46" t="str">
        <f t="shared" si="7"/>
        <v/>
      </c>
      <c r="Y35" s="46" t="str">
        <f t="shared" si="8"/>
        <v/>
      </c>
      <c r="Z35" s="37"/>
      <c r="AA35" s="52" t="str">
        <f t="shared" si="9"/>
        <v/>
      </c>
      <c r="AB35" s="52" t="str">
        <f t="shared" si="10"/>
        <v/>
      </c>
    </row>
    <row r="36" spans="1:28" s="22" customFormat="1" x14ac:dyDescent="0.25">
      <c r="A36" s="26"/>
      <c r="B36" s="27"/>
      <c r="C36" s="27"/>
      <c r="D36" s="27"/>
      <c r="E36" s="45" t="str">
        <f t="shared" si="1"/>
        <v/>
      </c>
      <c r="F36" s="45" t="str">
        <f t="shared" si="2"/>
        <v/>
      </c>
      <c r="G36" s="27"/>
      <c r="H36" s="45" t="str">
        <f t="shared" si="3"/>
        <v/>
      </c>
      <c r="I36" s="45" t="str">
        <f t="shared" si="4"/>
        <v/>
      </c>
      <c r="J36" s="27"/>
      <c r="K36" s="45" t="str">
        <f t="shared" si="5"/>
        <v/>
      </c>
      <c r="L36" s="45" t="str">
        <f t="shared" si="6"/>
        <v/>
      </c>
      <c r="M36" s="27"/>
      <c r="N36" s="27"/>
      <c r="O36" s="27"/>
      <c r="P36" s="27"/>
      <c r="Q36" s="27"/>
      <c r="R36" s="27"/>
      <c r="S36" s="27"/>
      <c r="T36" s="49" t="str">
        <f t="shared" si="0"/>
        <v/>
      </c>
      <c r="U36" s="13" t="str">
        <f>IF(A36="","",IF(T36="",INDEX(_翻訳マスタ!$B$89:$D$89,1,MATCH(言語切替!$B$3,_翻訳マスタ!$B$1:$D$1,0)),IF(T36&gt;=1,INDEX(_翻訳マスタ!$B$93:$D$93,1,MATCH(言語切替!$B$3,_翻訳マスタ!$B$1:$D$1,0)),IF(T36&gt;=0.8,INDEX(_翻訳マスタ!$B$91:$D$91,1,MATCH(言語切替!$B$3,_翻訳マスタ!$B$1:$D$1,0)),INDEX(_翻訳マスタ!$B$94:$D$94,1,MATCH(言語切替!$B$3,_翻訳マスタ!$B$1:$D$1,0))))))</f>
        <v/>
      </c>
      <c r="V36" s="28"/>
      <c r="W36" s="27"/>
      <c r="X36" s="45" t="str">
        <f t="shared" si="7"/>
        <v/>
      </c>
      <c r="Y36" s="45" t="str">
        <f t="shared" si="8"/>
        <v/>
      </c>
      <c r="Z36" s="36"/>
      <c r="AA36" s="53" t="str">
        <f t="shared" si="9"/>
        <v/>
      </c>
      <c r="AB36" s="53" t="str">
        <f t="shared" si="10"/>
        <v/>
      </c>
    </row>
    <row r="37" spans="1:28" s="22" customFormat="1" x14ac:dyDescent="0.25">
      <c r="A37" s="29"/>
      <c r="B37" s="30"/>
      <c r="C37" s="30"/>
      <c r="D37" s="30"/>
      <c r="E37" s="46" t="str">
        <f t="shared" si="1"/>
        <v/>
      </c>
      <c r="F37" s="46" t="str">
        <f t="shared" si="2"/>
        <v/>
      </c>
      <c r="G37" s="30"/>
      <c r="H37" s="46" t="str">
        <f t="shared" si="3"/>
        <v/>
      </c>
      <c r="I37" s="46" t="str">
        <f t="shared" si="4"/>
        <v/>
      </c>
      <c r="J37" s="30"/>
      <c r="K37" s="46" t="str">
        <f t="shared" si="5"/>
        <v/>
      </c>
      <c r="L37" s="46" t="str">
        <f t="shared" si="6"/>
        <v/>
      </c>
      <c r="M37" s="30"/>
      <c r="N37" s="30"/>
      <c r="O37" s="30"/>
      <c r="P37" s="30"/>
      <c r="Q37" s="30"/>
      <c r="R37" s="30"/>
      <c r="S37" s="30"/>
      <c r="T37" s="50" t="str">
        <f t="shared" ref="T37:T68" si="11">IF(OR(R37="",S37=""),"",IF(R37=0,"",S37/R37))</f>
        <v/>
      </c>
      <c r="U37" s="16" t="str">
        <f>IF(A37="","",IF(T37="",INDEX(_翻訳マスタ!$B$89:$D$89,1,MATCH(言語切替!$B$3,_翻訳マスタ!$B$1:$D$1,0)),IF(T37&gt;=1,INDEX(_翻訳マスタ!$B$93:$D$93,1,MATCH(言語切替!$B$3,_翻訳マスタ!$B$1:$D$1,0)),IF(T37&gt;=0.8,INDEX(_翻訳マスタ!$B$91:$D$91,1,MATCH(言語切替!$B$3,_翻訳マスタ!$B$1:$D$1,0)),INDEX(_翻訳マスタ!$B$94:$D$94,1,MATCH(言語切替!$B$3,_翻訳マスタ!$B$1:$D$1,0))))))</f>
        <v/>
      </c>
      <c r="V37" s="31"/>
      <c r="W37" s="30"/>
      <c r="X37" s="46" t="str">
        <f t="shared" si="7"/>
        <v/>
      </c>
      <c r="Y37" s="46" t="str">
        <f t="shared" si="8"/>
        <v/>
      </c>
      <c r="Z37" s="37"/>
      <c r="AA37" s="52" t="str">
        <f t="shared" si="9"/>
        <v/>
      </c>
      <c r="AB37" s="52" t="str">
        <f t="shared" si="10"/>
        <v/>
      </c>
    </row>
    <row r="38" spans="1:28" s="22" customFormat="1" x14ac:dyDescent="0.25">
      <c r="A38" s="26"/>
      <c r="B38" s="27"/>
      <c r="C38" s="27"/>
      <c r="D38" s="27"/>
      <c r="E38" s="45" t="str">
        <f t="shared" si="1"/>
        <v/>
      </c>
      <c r="F38" s="45" t="str">
        <f t="shared" si="2"/>
        <v/>
      </c>
      <c r="G38" s="27"/>
      <c r="H38" s="45" t="str">
        <f t="shared" si="3"/>
        <v/>
      </c>
      <c r="I38" s="45" t="str">
        <f t="shared" si="4"/>
        <v/>
      </c>
      <c r="J38" s="27"/>
      <c r="K38" s="45" t="str">
        <f t="shared" si="5"/>
        <v/>
      </c>
      <c r="L38" s="45" t="str">
        <f t="shared" si="6"/>
        <v/>
      </c>
      <c r="M38" s="27"/>
      <c r="N38" s="27"/>
      <c r="O38" s="27"/>
      <c r="P38" s="27"/>
      <c r="Q38" s="27"/>
      <c r="R38" s="27"/>
      <c r="S38" s="27"/>
      <c r="T38" s="49" t="str">
        <f t="shared" si="11"/>
        <v/>
      </c>
      <c r="U38" s="13" t="str">
        <f>IF(A38="","",IF(T38="",INDEX(_翻訳マスタ!$B$89:$D$89,1,MATCH(言語切替!$B$3,_翻訳マスタ!$B$1:$D$1,0)),IF(T38&gt;=1,INDEX(_翻訳マスタ!$B$93:$D$93,1,MATCH(言語切替!$B$3,_翻訳マスタ!$B$1:$D$1,0)),IF(T38&gt;=0.8,INDEX(_翻訳マスタ!$B$91:$D$91,1,MATCH(言語切替!$B$3,_翻訳マスタ!$B$1:$D$1,0)),INDEX(_翻訳マスタ!$B$94:$D$94,1,MATCH(言語切替!$B$3,_翻訳マスタ!$B$1:$D$1,0))))))</f>
        <v/>
      </c>
      <c r="V38" s="28"/>
      <c r="W38" s="27"/>
      <c r="X38" s="45" t="str">
        <f t="shared" si="7"/>
        <v/>
      </c>
      <c r="Y38" s="45" t="str">
        <f t="shared" si="8"/>
        <v/>
      </c>
      <c r="Z38" s="36"/>
      <c r="AA38" s="53" t="str">
        <f t="shared" si="9"/>
        <v/>
      </c>
      <c r="AB38" s="53" t="str">
        <f t="shared" si="10"/>
        <v/>
      </c>
    </row>
    <row r="39" spans="1:28" s="22" customFormat="1" x14ac:dyDescent="0.25">
      <c r="A39" s="29"/>
      <c r="B39" s="30"/>
      <c r="C39" s="30"/>
      <c r="D39" s="30"/>
      <c r="E39" s="46" t="str">
        <f t="shared" si="1"/>
        <v/>
      </c>
      <c r="F39" s="46" t="str">
        <f t="shared" si="2"/>
        <v/>
      </c>
      <c r="G39" s="30"/>
      <c r="H39" s="46" t="str">
        <f t="shared" si="3"/>
        <v/>
      </c>
      <c r="I39" s="46" t="str">
        <f t="shared" si="4"/>
        <v/>
      </c>
      <c r="J39" s="30"/>
      <c r="K39" s="46" t="str">
        <f t="shared" si="5"/>
        <v/>
      </c>
      <c r="L39" s="46" t="str">
        <f t="shared" si="6"/>
        <v/>
      </c>
      <c r="M39" s="30"/>
      <c r="N39" s="30"/>
      <c r="O39" s="30"/>
      <c r="P39" s="30"/>
      <c r="Q39" s="30"/>
      <c r="R39" s="30"/>
      <c r="S39" s="30"/>
      <c r="T39" s="50" t="str">
        <f t="shared" si="11"/>
        <v/>
      </c>
      <c r="U39" s="16" t="str">
        <f>IF(A39="","",IF(T39="",INDEX(_翻訳マスタ!$B$89:$D$89,1,MATCH(言語切替!$B$3,_翻訳マスタ!$B$1:$D$1,0)),IF(T39&gt;=1,INDEX(_翻訳マスタ!$B$93:$D$93,1,MATCH(言語切替!$B$3,_翻訳マスタ!$B$1:$D$1,0)),IF(T39&gt;=0.8,INDEX(_翻訳マスタ!$B$91:$D$91,1,MATCH(言語切替!$B$3,_翻訳マスタ!$B$1:$D$1,0)),INDEX(_翻訳マスタ!$B$94:$D$94,1,MATCH(言語切替!$B$3,_翻訳マスタ!$B$1:$D$1,0))))))</f>
        <v/>
      </c>
      <c r="V39" s="31"/>
      <c r="W39" s="30"/>
      <c r="X39" s="46" t="str">
        <f t="shared" si="7"/>
        <v/>
      </c>
      <c r="Y39" s="46" t="str">
        <f t="shared" si="8"/>
        <v/>
      </c>
      <c r="Z39" s="37"/>
      <c r="AA39" s="52" t="str">
        <f t="shared" si="9"/>
        <v/>
      </c>
      <c r="AB39" s="52" t="str">
        <f t="shared" si="10"/>
        <v/>
      </c>
    </row>
    <row r="40" spans="1:28" s="22" customFormat="1" x14ac:dyDescent="0.25">
      <c r="A40" s="26"/>
      <c r="B40" s="27"/>
      <c r="C40" s="27"/>
      <c r="D40" s="27"/>
      <c r="E40" s="45" t="str">
        <f t="shared" si="1"/>
        <v/>
      </c>
      <c r="F40" s="45" t="str">
        <f t="shared" si="2"/>
        <v/>
      </c>
      <c r="G40" s="27"/>
      <c r="H40" s="45" t="str">
        <f t="shared" si="3"/>
        <v/>
      </c>
      <c r="I40" s="45" t="str">
        <f t="shared" si="4"/>
        <v/>
      </c>
      <c r="J40" s="27"/>
      <c r="K40" s="45" t="str">
        <f t="shared" si="5"/>
        <v/>
      </c>
      <c r="L40" s="45" t="str">
        <f t="shared" si="6"/>
        <v/>
      </c>
      <c r="M40" s="27"/>
      <c r="N40" s="27"/>
      <c r="O40" s="27"/>
      <c r="P40" s="27"/>
      <c r="Q40" s="27"/>
      <c r="R40" s="27"/>
      <c r="S40" s="27"/>
      <c r="T40" s="49" t="str">
        <f t="shared" si="11"/>
        <v/>
      </c>
      <c r="U40" s="13" t="str">
        <f>IF(A40="","",IF(T40="",INDEX(_翻訳マスタ!$B$89:$D$89,1,MATCH(言語切替!$B$3,_翻訳マスタ!$B$1:$D$1,0)),IF(T40&gt;=1,INDEX(_翻訳マスタ!$B$93:$D$93,1,MATCH(言語切替!$B$3,_翻訳マスタ!$B$1:$D$1,0)),IF(T40&gt;=0.8,INDEX(_翻訳マスタ!$B$91:$D$91,1,MATCH(言語切替!$B$3,_翻訳マスタ!$B$1:$D$1,0)),INDEX(_翻訳マスタ!$B$94:$D$94,1,MATCH(言語切替!$B$3,_翻訳マスタ!$B$1:$D$1,0))))))</f>
        <v/>
      </c>
      <c r="V40" s="28"/>
      <c r="W40" s="27"/>
      <c r="X40" s="45" t="str">
        <f t="shared" si="7"/>
        <v/>
      </c>
      <c r="Y40" s="45" t="str">
        <f t="shared" si="8"/>
        <v/>
      </c>
      <c r="Z40" s="36"/>
      <c r="AA40" s="53" t="str">
        <f t="shared" si="9"/>
        <v/>
      </c>
      <c r="AB40" s="53" t="str">
        <f t="shared" si="10"/>
        <v/>
      </c>
    </row>
    <row r="41" spans="1:28" s="22" customFormat="1" x14ac:dyDescent="0.25">
      <c r="A41" s="29"/>
      <c r="B41" s="30"/>
      <c r="C41" s="30"/>
      <c r="D41" s="30"/>
      <c r="E41" s="46" t="str">
        <f t="shared" ref="E41:E72" si="12">IF(D41="","",_xlfn.TRANSLATE(D41,"vi","ja"))</f>
        <v/>
      </c>
      <c r="F41" s="46" t="str">
        <f t="shared" ref="F41:F72" si="13">IF(D41="","",_xlfn.TRANSLATE(D41,"vi","zh-Hans"))</f>
        <v/>
      </c>
      <c r="G41" s="30"/>
      <c r="H41" s="46" t="str">
        <f t="shared" ref="H41:H72" si="14">IF(G41="","",_xlfn.TRANSLATE(G41,"vi","ja"))</f>
        <v/>
      </c>
      <c r="I41" s="46" t="str">
        <f t="shared" ref="I41:I72" si="15">IF(G41="","",_xlfn.TRANSLATE(G41,"vi","zh-Hans"))</f>
        <v/>
      </c>
      <c r="J41" s="30"/>
      <c r="K41" s="46" t="str">
        <f t="shared" ref="K41:K72" si="16">IF(J41="","",_xlfn.TRANSLATE(J41,"vi","ja"))</f>
        <v/>
      </c>
      <c r="L41" s="46" t="str">
        <f t="shared" ref="L41:L72" si="17">IF(J41="","",_xlfn.TRANSLATE(J41,"vi","zh-Hans"))</f>
        <v/>
      </c>
      <c r="M41" s="30"/>
      <c r="N41" s="30"/>
      <c r="O41" s="30"/>
      <c r="P41" s="30"/>
      <c r="Q41" s="30"/>
      <c r="R41" s="30"/>
      <c r="S41" s="30"/>
      <c r="T41" s="50" t="str">
        <f t="shared" si="11"/>
        <v/>
      </c>
      <c r="U41" s="16" t="str">
        <f>IF(A41="","",IF(T41="",INDEX(_翻訳マスタ!$B$89:$D$89,1,MATCH(言語切替!$B$3,_翻訳マスタ!$B$1:$D$1,0)),IF(T41&gt;=1,INDEX(_翻訳マスタ!$B$93:$D$93,1,MATCH(言語切替!$B$3,_翻訳マスタ!$B$1:$D$1,0)),IF(T41&gt;=0.8,INDEX(_翻訳マスタ!$B$91:$D$91,1,MATCH(言語切替!$B$3,_翻訳マスタ!$B$1:$D$1,0)),INDEX(_翻訳マスタ!$B$94:$D$94,1,MATCH(言語切替!$B$3,_翻訳マスタ!$B$1:$D$1,0))))))</f>
        <v/>
      </c>
      <c r="V41" s="31"/>
      <c r="W41" s="30"/>
      <c r="X41" s="46" t="str">
        <f t="shared" ref="X41:X72" si="18">IF(W41="","",_xlfn.TRANSLATE(W41,"vi","ja"))</f>
        <v/>
      </c>
      <c r="Y41" s="46" t="str">
        <f t="shared" ref="Y41:Y72" si="19">IF(W41="","",_xlfn.TRANSLATE(W41,"vi","zh-Hans"))</f>
        <v/>
      </c>
      <c r="Z41" s="37"/>
      <c r="AA41" s="52" t="str">
        <f t="shared" ref="AA41:AA72" si="20">IF(Z41="","",_xlfn.TRANSLATE(Z41,"vi","ja"))</f>
        <v/>
      </c>
      <c r="AB41" s="52" t="str">
        <f t="shared" ref="AB41:AB72" si="21">IF(Z41="","",_xlfn.TRANSLATE(Z41,"vi","zh-Hans"))</f>
        <v/>
      </c>
    </row>
    <row r="42" spans="1:28" s="22" customFormat="1" x14ac:dyDescent="0.25">
      <c r="A42" s="26"/>
      <c r="B42" s="27"/>
      <c r="C42" s="27"/>
      <c r="D42" s="27"/>
      <c r="E42" s="45" t="str">
        <f t="shared" si="12"/>
        <v/>
      </c>
      <c r="F42" s="45" t="str">
        <f t="shared" si="13"/>
        <v/>
      </c>
      <c r="G42" s="27"/>
      <c r="H42" s="45" t="str">
        <f t="shared" si="14"/>
        <v/>
      </c>
      <c r="I42" s="45" t="str">
        <f t="shared" si="15"/>
        <v/>
      </c>
      <c r="J42" s="27"/>
      <c r="K42" s="45" t="str">
        <f t="shared" si="16"/>
        <v/>
      </c>
      <c r="L42" s="45" t="str">
        <f t="shared" si="17"/>
        <v/>
      </c>
      <c r="M42" s="27"/>
      <c r="N42" s="27"/>
      <c r="O42" s="27"/>
      <c r="P42" s="27"/>
      <c r="Q42" s="27"/>
      <c r="R42" s="27"/>
      <c r="S42" s="27"/>
      <c r="T42" s="49" t="str">
        <f t="shared" si="11"/>
        <v/>
      </c>
      <c r="U42" s="13" t="str">
        <f>IF(A42="","",IF(T42="",INDEX(_翻訳マスタ!$B$89:$D$89,1,MATCH(言語切替!$B$3,_翻訳マスタ!$B$1:$D$1,0)),IF(T42&gt;=1,INDEX(_翻訳マスタ!$B$93:$D$93,1,MATCH(言語切替!$B$3,_翻訳マスタ!$B$1:$D$1,0)),IF(T42&gt;=0.8,INDEX(_翻訳マスタ!$B$91:$D$91,1,MATCH(言語切替!$B$3,_翻訳マスタ!$B$1:$D$1,0)),INDEX(_翻訳マスタ!$B$94:$D$94,1,MATCH(言語切替!$B$3,_翻訳マスタ!$B$1:$D$1,0))))))</f>
        <v/>
      </c>
      <c r="V42" s="28"/>
      <c r="W42" s="27"/>
      <c r="X42" s="45" t="str">
        <f t="shared" si="18"/>
        <v/>
      </c>
      <c r="Y42" s="45" t="str">
        <f t="shared" si="19"/>
        <v/>
      </c>
      <c r="Z42" s="36"/>
      <c r="AA42" s="53" t="str">
        <f t="shared" si="20"/>
        <v/>
      </c>
      <c r="AB42" s="53" t="str">
        <f t="shared" si="21"/>
        <v/>
      </c>
    </row>
    <row r="43" spans="1:28" s="22" customFormat="1" x14ac:dyDescent="0.25">
      <c r="A43" s="29"/>
      <c r="B43" s="30"/>
      <c r="C43" s="30"/>
      <c r="D43" s="30"/>
      <c r="E43" s="46" t="str">
        <f t="shared" si="12"/>
        <v/>
      </c>
      <c r="F43" s="46" t="str">
        <f t="shared" si="13"/>
        <v/>
      </c>
      <c r="G43" s="30"/>
      <c r="H43" s="46" t="str">
        <f t="shared" si="14"/>
        <v/>
      </c>
      <c r="I43" s="46" t="str">
        <f t="shared" si="15"/>
        <v/>
      </c>
      <c r="J43" s="30"/>
      <c r="K43" s="46" t="str">
        <f t="shared" si="16"/>
        <v/>
      </c>
      <c r="L43" s="46" t="str">
        <f t="shared" si="17"/>
        <v/>
      </c>
      <c r="M43" s="30"/>
      <c r="N43" s="30"/>
      <c r="O43" s="30"/>
      <c r="P43" s="30"/>
      <c r="Q43" s="30"/>
      <c r="R43" s="30"/>
      <c r="S43" s="30"/>
      <c r="T43" s="50" t="str">
        <f t="shared" si="11"/>
        <v/>
      </c>
      <c r="U43" s="16" t="str">
        <f>IF(A43="","",IF(T43="",INDEX(_翻訳マスタ!$B$89:$D$89,1,MATCH(言語切替!$B$3,_翻訳マスタ!$B$1:$D$1,0)),IF(T43&gt;=1,INDEX(_翻訳マスタ!$B$93:$D$93,1,MATCH(言語切替!$B$3,_翻訳マスタ!$B$1:$D$1,0)),IF(T43&gt;=0.8,INDEX(_翻訳マスタ!$B$91:$D$91,1,MATCH(言語切替!$B$3,_翻訳マスタ!$B$1:$D$1,0)),INDEX(_翻訳マスタ!$B$94:$D$94,1,MATCH(言語切替!$B$3,_翻訳マスタ!$B$1:$D$1,0))))))</f>
        <v/>
      </c>
      <c r="V43" s="31"/>
      <c r="W43" s="30"/>
      <c r="X43" s="46" t="str">
        <f t="shared" si="18"/>
        <v/>
      </c>
      <c r="Y43" s="46" t="str">
        <f t="shared" si="19"/>
        <v/>
      </c>
      <c r="Z43" s="37"/>
      <c r="AA43" s="52" t="str">
        <f t="shared" si="20"/>
        <v/>
      </c>
      <c r="AB43" s="52" t="str">
        <f t="shared" si="21"/>
        <v/>
      </c>
    </row>
    <row r="44" spans="1:28" s="22" customFormat="1" x14ac:dyDescent="0.25">
      <c r="A44" s="26"/>
      <c r="B44" s="27"/>
      <c r="C44" s="27"/>
      <c r="D44" s="27"/>
      <c r="E44" s="45" t="str">
        <f t="shared" si="12"/>
        <v/>
      </c>
      <c r="F44" s="45" t="str">
        <f t="shared" si="13"/>
        <v/>
      </c>
      <c r="G44" s="27"/>
      <c r="H44" s="45" t="str">
        <f t="shared" si="14"/>
        <v/>
      </c>
      <c r="I44" s="45" t="str">
        <f t="shared" si="15"/>
        <v/>
      </c>
      <c r="J44" s="27"/>
      <c r="K44" s="45" t="str">
        <f t="shared" si="16"/>
        <v/>
      </c>
      <c r="L44" s="45" t="str">
        <f t="shared" si="17"/>
        <v/>
      </c>
      <c r="M44" s="27"/>
      <c r="N44" s="27"/>
      <c r="O44" s="27"/>
      <c r="P44" s="27"/>
      <c r="Q44" s="27"/>
      <c r="R44" s="27"/>
      <c r="S44" s="27"/>
      <c r="T44" s="49" t="str">
        <f t="shared" si="11"/>
        <v/>
      </c>
      <c r="U44" s="13" t="str">
        <f>IF(A44="","",IF(T44="",INDEX(_翻訳マスタ!$B$89:$D$89,1,MATCH(言語切替!$B$3,_翻訳マスタ!$B$1:$D$1,0)),IF(T44&gt;=1,INDEX(_翻訳マスタ!$B$93:$D$93,1,MATCH(言語切替!$B$3,_翻訳マスタ!$B$1:$D$1,0)),IF(T44&gt;=0.8,INDEX(_翻訳マスタ!$B$91:$D$91,1,MATCH(言語切替!$B$3,_翻訳マスタ!$B$1:$D$1,0)),INDEX(_翻訳マスタ!$B$94:$D$94,1,MATCH(言語切替!$B$3,_翻訳マスタ!$B$1:$D$1,0))))))</f>
        <v/>
      </c>
      <c r="V44" s="28"/>
      <c r="W44" s="27"/>
      <c r="X44" s="45" t="str">
        <f t="shared" si="18"/>
        <v/>
      </c>
      <c r="Y44" s="45" t="str">
        <f t="shared" si="19"/>
        <v/>
      </c>
      <c r="Z44" s="36"/>
      <c r="AA44" s="53" t="str">
        <f t="shared" si="20"/>
        <v/>
      </c>
      <c r="AB44" s="53" t="str">
        <f t="shared" si="21"/>
        <v/>
      </c>
    </row>
    <row r="45" spans="1:28" s="22" customFormat="1" x14ac:dyDescent="0.25">
      <c r="A45" s="29"/>
      <c r="B45" s="30"/>
      <c r="C45" s="30"/>
      <c r="D45" s="30"/>
      <c r="E45" s="46" t="str">
        <f t="shared" si="12"/>
        <v/>
      </c>
      <c r="F45" s="46" t="str">
        <f t="shared" si="13"/>
        <v/>
      </c>
      <c r="G45" s="30"/>
      <c r="H45" s="46" t="str">
        <f t="shared" si="14"/>
        <v/>
      </c>
      <c r="I45" s="46" t="str">
        <f t="shared" si="15"/>
        <v/>
      </c>
      <c r="J45" s="30"/>
      <c r="K45" s="46" t="str">
        <f t="shared" si="16"/>
        <v/>
      </c>
      <c r="L45" s="46" t="str">
        <f t="shared" si="17"/>
        <v/>
      </c>
      <c r="M45" s="30"/>
      <c r="N45" s="30"/>
      <c r="O45" s="30"/>
      <c r="P45" s="30"/>
      <c r="Q45" s="30"/>
      <c r="R45" s="30"/>
      <c r="S45" s="30"/>
      <c r="T45" s="50" t="str">
        <f t="shared" si="11"/>
        <v/>
      </c>
      <c r="U45" s="16" t="str">
        <f>IF(A45="","",IF(T45="",INDEX(_翻訳マスタ!$B$89:$D$89,1,MATCH(言語切替!$B$3,_翻訳マスタ!$B$1:$D$1,0)),IF(T45&gt;=1,INDEX(_翻訳マスタ!$B$93:$D$93,1,MATCH(言語切替!$B$3,_翻訳マスタ!$B$1:$D$1,0)),IF(T45&gt;=0.8,INDEX(_翻訳マスタ!$B$91:$D$91,1,MATCH(言語切替!$B$3,_翻訳マスタ!$B$1:$D$1,0)),INDEX(_翻訳マスタ!$B$94:$D$94,1,MATCH(言語切替!$B$3,_翻訳マスタ!$B$1:$D$1,0))))))</f>
        <v/>
      </c>
      <c r="V45" s="31"/>
      <c r="W45" s="30"/>
      <c r="X45" s="46" t="str">
        <f t="shared" si="18"/>
        <v/>
      </c>
      <c r="Y45" s="46" t="str">
        <f t="shared" si="19"/>
        <v/>
      </c>
      <c r="Z45" s="37"/>
      <c r="AA45" s="52" t="str">
        <f t="shared" si="20"/>
        <v/>
      </c>
      <c r="AB45" s="52" t="str">
        <f t="shared" si="21"/>
        <v/>
      </c>
    </row>
    <row r="46" spans="1:28" s="22" customFormat="1" x14ac:dyDescent="0.25">
      <c r="A46" s="26"/>
      <c r="B46" s="27"/>
      <c r="C46" s="27"/>
      <c r="D46" s="27"/>
      <c r="E46" s="45" t="str">
        <f t="shared" si="12"/>
        <v/>
      </c>
      <c r="F46" s="45" t="str">
        <f t="shared" si="13"/>
        <v/>
      </c>
      <c r="G46" s="27"/>
      <c r="H46" s="45" t="str">
        <f t="shared" si="14"/>
        <v/>
      </c>
      <c r="I46" s="45" t="str">
        <f t="shared" si="15"/>
        <v/>
      </c>
      <c r="J46" s="27"/>
      <c r="K46" s="45" t="str">
        <f t="shared" si="16"/>
        <v/>
      </c>
      <c r="L46" s="45" t="str">
        <f t="shared" si="17"/>
        <v/>
      </c>
      <c r="M46" s="27"/>
      <c r="N46" s="27"/>
      <c r="O46" s="27"/>
      <c r="P46" s="27"/>
      <c r="Q46" s="27"/>
      <c r="R46" s="27"/>
      <c r="S46" s="27"/>
      <c r="T46" s="49" t="str">
        <f t="shared" si="11"/>
        <v/>
      </c>
      <c r="U46" s="13" t="str">
        <f>IF(A46="","",IF(T46="",INDEX(_翻訳マスタ!$B$89:$D$89,1,MATCH(言語切替!$B$3,_翻訳マスタ!$B$1:$D$1,0)),IF(T46&gt;=1,INDEX(_翻訳マスタ!$B$93:$D$93,1,MATCH(言語切替!$B$3,_翻訳マスタ!$B$1:$D$1,0)),IF(T46&gt;=0.8,INDEX(_翻訳マスタ!$B$91:$D$91,1,MATCH(言語切替!$B$3,_翻訳マスタ!$B$1:$D$1,0)),INDEX(_翻訳マスタ!$B$94:$D$94,1,MATCH(言語切替!$B$3,_翻訳マスタ!$B$1:$D$1,0))))))</f>
        <v/>
      </c>
      <c r="V46" s="28"/>
      <c r="W46" s="27"/>
      <c r="X46" s="45" t="str">
        <f t="shared" si="18"/>
        <v/>
      </c>
      <c r="Y46" s="45" t="str">
        <f t="shared" si="19"/>
        <v/>
      </c>
      <c r="Z46" s="36"/>
      <c r="AA46" s="53" t="str">
        <f t="shared" si="20"/>
        <v/>
      </c>
      <c r="AB46" s="53" t="str">
        <f t="shared" si="21"/>
        <v/>
      </c>
    </row>
    <row r="47" spans="1:28" s="22" customFormat="1" x14ac:dyDescent="0.25">
      <c r="A47" s="29"/>
      <c r="B47" s="30"/>
      <c r="C47" s="30"/>
      <c r="D47" s="30"/>
      <c r="E47" s="46" t="str">
        <f t="shared" si="12"/>
        <v/>
      </c>
      <c r="F47" s="46" t="str">
        <f t="shared" si="13"/>
        <v/>
      </c>
      <c r="G47" s="30"/>
      <c r="H47" s="46" t="str">
        <f t="shared" si="14"/>
        <v/>
      </c>
      <c r="I47" s="46" t="str">
        <f t="shared" si="15"/>
        <v/>
      </c>
      <c r="J47" s="30"/>
      <c r="K47" s="46" t="str">
        <f t="shared" si="16"/>
        <v/>
      </c>
      <c r="L47" s="46" t="str">
        <f t="shared" si="17"/>
        <v/>
      </c>
      <c r="M47" s="30"/>
      <c r="N47" s="30"/>
      <c r="O47" s="30"/>
      <c r="P47" s="30"/>
      <c r="Q47" s="30"/>
      <c r="R47" s="30"/>
      <c r="S47" s="30"/>
      <c r="T47" s="50" t="str">
        <f t="shared" si="11"/>
        <v/>
      </c>
      <c r="U47" s="16" t="str">
        <f>IF(A47="","",IF(T47="",INDEX(_翻訳マスタ!$B$89:$D$89,1,MATCH(言語切替!$B$3,_翻訳マスタ!$B$1:$D$1,0)),IF(T47&gt;=1,INDEX(_翻訳マスタ!$B$93:$D$93,1,MATCH(言語切替!$B$3,_翻訳マスタ!$B$1:$D$1,0)),IF(T47&gt;=0.8,INDEX(_翻訳マスタ!$B$91:$D$91,1,MATCH(言語切替!$B$3,_翻訳マスタ!$B$1:$D$1,0)),INDEX(_翻訳マスタ!$B$94:$D$94,1,MATCH(言語切替!$B$3,_翻訳マスタ!$B$1:$D$1,0))))))</f>
        <v/>
      </c>
      <c r="V47" s="31"/>
      <c r="W47" s="30"/>
      <c r="X47" s="46" t="str">
        <f t="shared" si="18"/>
        <v/>
      </c>
      <c r="Y47" s="46" t="str">
        <f t="shared" si="19"/>
        <v/>
      </c>
      <c r="Z47" s="37"/>
      <c r="AA47" s="52" t="str">
        <f t="shared" si="20"/>
        <v/>
      </c>
      <c r="AB47" s="52" t="str">
        <f t="shared" si="21"/>
        <v/>
      </c>
    </row>
    <row r="48" spans="1:28" s="22" customFormat="1" x14ac:dyDescent="0.25">
      <c r="A48" s="26"/>
      <c r="B48" s="27"/>
      <c r="C48" s="27"/>
      <c r="D48" s="27"/>
      <c r="E48" s="45" t="str">
        <f t="shared" si="12"/>
        <v/>
      </c>
      <c r="F48" s="45" t="str">
        <f t="shared" si="13"/>
        <v/>
      </c>
      <c r="G48" s="27"/>
      <c r="H48" s="45" t="str">
        <f t="shared" si="14"/>
        <v/>
      </c>
      <c r="I48" s="45" t="str">
        <f t="shared" si="15"/>
        <v/>
      </c>
      <c r="J48" s="27"/>
      <c r="K48" s="45" t="str">
        <f t="shared" si="16"/>
        <v/>
      </c>
      <c r="L48" s="45" t="str">
        <f t="shared" si="17"/>
        <v/>
      </c>
      <c r="M48" s="27"/>
      <c r="N48" s="27"/>
      <c r="O48" s="27"/>
      <c r="P48" s="27"/>
      <c r="Q48" s="27"/>
      <c r="R48" s="27"/>
      <c r="S48" s="27"/>
      <c r="T48" s="49" t="str">
        <f t="shared" si="11"/>
        <v/>
      </c>
      <c r="U48" s="13" t="str">
        <f>IF(A48="","",IF(T48="",INDEX(_翻訳マスタ!$B$89:$D$89,1,MATCH(言語切替!$B$3,_翻訳マスタ!$B$1:$D$1,0)),IF(T48&gt;=1,INDEX(_翻訳マスタ!$B$93:$D$93,1,MATCH(言語切替!$B$3,_翻訳マスタ!$B$1:$D$1,0)),IF(T48&gt;=0.8,INDEX(_翻訳マスタ!$B$91:$D$91,1,MATCH(言語切替!$B$3,_翻訳マスタ!$B$1:$D$1,0)),INDEX(_翻訳マスタ!$B$94:$D$94,1,MATCH(言語切替!$B$3,_翻訳マスタ!$B$1:$D$1,0))))))</f>
        <v/>
      </c>
      <c r="V48" s="28"/>
      <c r="W48" s="27"/>
      <c r="X48" s="45" t="str">
        <f t="shared" si="18"/>
        <v/>
      </c>
      <c r="Y48" s="45" t="str">
        <f t="shared" si="19"/>
        <v/>
      </c>
      <c r="Z48" s="36"/>
      <c r="AA48" s="53" t="str">
        <f t="shared" si="20"/>
        <v/>
      </c>
      <c r="AB48" s="53" t="str">
        <f t="shared" si="21"/>
        <v/>
      </c>
    </row>
    <row r="49" spans="1:28" s="22" customFormat="1" x14ac:dyDescent="0.25">
      <c r="A49" s="29"/>
      <c r="B49" s="30"/>
      <c r="C49" s="30"/>
      <c r="D49" s="30"/>
      <c r="E49" s="46" t="str">
        <f t="shared" si="12"/>
        <v/>
      </c>
      <c r="F49" s="46" t="str">
        <f t="shared" si="13"/>
        <v/>
      </c>
      <c r="G49" s="30"/>
      <c r="H49" s="46" t="str">
        <f t="shared" si="14"/>
        <v/>
      </c>
      <c r="I49" s="46" t="str">
        <f t="shared" si="15"/>
        <v/>
      </c>
      <c r="J49" s="30"/>
      <c r="K49" s="46" t="str">
        <f t="shared" si="16"/>
        <v/>
      </c>
      <c r="L49" s="46" t="str">
        <f t="shared" si="17"/>
        <v/>
      </c>
      <c r="M49" s="30"/>
      <c r="N49" s="30"/>
      <c r="O49" s="30"/>
      <c r="P49" s="30"/>
      <c r="Q49" s="30"/>
      <c r="R49" s="30"/>
      <c r="S49" s="30"/>
      <c r="T49" s="50" t="str">
        <f t="shared" si="11"/>
        <v/>
      </c>
      <c r="U49" s="16" t="str">
        <f>IF(A49="","",IF(T49="",INDEX(_翻訳マスタ!$B$89:$D$89,1,MATCH(言語切替!$B$3,_翻訳マスタ!$B$1:$D$1,0)),IF(T49&gt;=1,INDEX(_翻訳マスタ!$B$93:$D$93,1,MATCH(言語切替!$B$3,_翻訳マスタ!$B$1:$D$1,0)),IF(T49&gt;=0.8,INDEX(_翻訳マスタ!$B$91:$D$91,1,MATCH(言語切替!$B$3,_翻訳マスタ!$B$1:$D$1,0)),INDEX(_翻訳マスタ!$B$94:$D$94,1,MATCH(言語切替!$B$3,_翻訳マスタ!$B$1:$D$1,0))))))</f>
        <v/>
      </c>
      <c r="V49" s="31"/>
      <c r="W49" s="30"/>
      <c r="X49" s="46" t="str">
        <f t="shared" si="18"/>
        <v/>
      </c>
      <c r="Y49" s="46" t="str">
        <f t="shared" si="19"/>
        <v/>
      </c>
      <c r="Z49" s="37"/>
      <c r="AA49" s="52" t="str">
        <f t="shared" si="20"/>
        <v/>
      </c>
      <c r="AB49" s="52" t="str">
        <f t="shared" si="21"/>
        <v/>
      </c>
    </row>
    <row r="50" spans="1:28" s="22" customFormat="1" x14ac:dyDescent="0.25">
      <c r="A50" s="26"/>
      <c r="B50" s="27"/>
      <c r="C50" s="27"/>
      <c r="D50" s="27"/>
      <c r="E50" s="45" t="str">
        <f t="shared" si="12"/>
        <v/>
      </c>
      <c r="F50" s="45" t="str">
        <f t="shared" si="13"/>
        <v/>
      </c>
      <c r="G50" s="27"/>
      <c r="H50" s="45" t="str">
        <f t="shared" si="14"/>
        <v/>
      </c>
      <c r="I50" s="45" t="str">
        <f t="shared" si="15"/>
        <v/>
      </c>
      <c r="J50" s="27"/>
      <c r="K50" s="45" t="str">
        <f t="shared" si="16"/>
        <v/>
      </c>
      <c r="L50" s="45" t="str">
        <f t="shared" si="17"/>
        <v/>
      </c>
      <c r="M50" s="27"/>
      <c r="N50" s="27"/>
      <c r="O50" s="27"/>
      <c r="P50" s="27"/>
      <c r="Q50" s="27"/>
      <c r="R50" s="27"/>
      <c r="S50" s="27"/>
      <c r="T50" s="49" t="str">
        <f t="shared" si="11"/>
        <v/>
      </c>
      <c r="U50" s="13" t="str">
        <f>IF(A50="","",IF(T50="",INDEX(_翻訳マスタ!$B$89:$D$89,1,MATCH(言語切替!$B$3,_翻訳マスタ!$B$1:$D$1,0)),IF(T50&gt;=1,INDEX(_翻訳マスタ!$B$93:$D$93,1,MATCH(言語切替!$B$3,_翻訳マスタ!$B$1:$D$1,0)),IF(T50&gt;=0.8,INDEX(_翻訳マスタ!$B$91:$D$91,1,MATCH(言語切替!$B$3,_翻訳マスタ!$B$1:$D$1,0)),INDEX(_翻訳マスタ!$B$94:$D$94,1,MATCH(言語切替!$B$3,_翻訳マスタ!$B$1:$D$1,0))))))</f>
        <v/>
      </c>
      <c r="V50" s="28"/>
      <c r="W50" s="27"/>
      <c r="X50" s="45" t="str">
        <f t="shared" si="18"/>
        <v/>
      </c>
      <c r="Y50" s="45" t="str">
        <f t="shared" si="19"/>
        <v/>
      </c>
      <c r="Z50" s="36"/>
      <c r="AA50" s="53" t="str">
        <f t="shared" si="20"/>
        <v/>
      </c>
      <c r="AB50" s="53" t="str">
        <f t="shared" si="21"/>
        <v/>
      </c>
    </row>
    <row r="51" spans="1:28" s="22" customFormat="1" x14ac:dyDescent="0.25">
      <c r="A51" s="29"/>
      <c r="B51" s="30"/>
      <c r="C51" s="30"/>
      <c r="D51" s="30"/>
      <c r="E51" s="46" t="str">
        <f t="shared" si="12"/>
        <v/>
      </c>
      <c r="F51" s="46" t="str">
        <f t="shared" si="13"/>
        <v/>
      </c>
      <c r="G51" s="30"/>
      <c r="H51" s="46" t="str">
        <f t="shared" si="14"/>
        <v/>
      </c>
      <c r="I51" s="46" t="str">
        <f t="shared" si="15"/>
        <v/>
      </c>
      <c r="J51" s="30"/>
      <c r="K51" s="46" t="str">
        <f t="shared" si="16"/>
        <v/>
      </c>
      <c r="L51" s="46" t="str">
        <f t="shared" si="17"/>
        <v/>
      </c>
      <c r="M51" s="30"/>
      <c r="N51" s="30"/>
      <c r="O51" s="30"/>
      <c r="P51" s="30"/>
      <c r="Q51" s="30"/>
      <c r="R51" s="30"/>
      <c r="S51" s="30"/>
      <c r="T51" s="50" t="str">
        <f t="shared" si="11"/>
        <v/>
      </c>
      <c r="U51" s="16" t="str">
        <f>IF(A51="","",IF(T51="",INDEX(_翻訳マスタ!$B$89:$D$89,1,MATCH(言語切替!$B$3,_翻訳マスタ!$B$1:$D$1,0)),IF(T51&gt;=1,INDEX(_翻訳マスタ!$B$93:$D$93,1,MATCH(言語切替!$B$3,_翻訳マスタ!$B$1:$D$1,0)),IF(T51&gt;=0.8,INDEX(_翻訳マスタ!$B$91:$D$91,1,MATCH(言語切替!$B$3,_翻訳マスタ!$B$1:$D$1,0)),INDEX(_翻訳マスタ!$B$94:$D$94,1,MATCH(言語切替!$B$3,_翻訳マスタ!$B$1:$D$1,0))))))</f>
        <v/>
      </c>
      <c r="V51" s="31"/>
      <c r="W51" s="30"/>
      <c r="X51" s="46" t="str">
        <f t="shared" si="18"/>
        <v/>
      </c>
      <c r="Y51" s="46" t="str">
        <f t="shared" si="19"/>
        <v/>
      </c>
      <c r="Z51" s="37"/>
      <c r="AA51" s="52" t="str">
        <f t="shared" si="20"/>
        <v/>
      </c>
      <c r="AB51" s="52" t="str">
        <f t="shared" si="21"/>
        <v/>
      </c>
    </row>
    <row r="52" spans="1:28" s="22" customFormat="1" x14ac:dyDescent="0.25">
      <c r="A52" s="26"/>
      <c r="B52" s="27"/>
      <c r="C52" s="27"/>
      <c r="D52" s="27"/>
      <c r="E52" s="45" t="str">
        <f t="shared" si="12"/>
        <v/>
      </c>
      <c r="F52" s="45" t="str">
        <f t="shared" si="13"/>
        <v/>
      </c>
      <c r="G52" s="27"/>
      <c r="H52" s="45" t="str">
        <f t="shared" si="14"/>
        <v/>
      </c>
      <c r="I52" s="45" t="str">
        <f t="shared" si="15"/>
        <v/>
      </c>
      <c r="J52" s="27"/>
      <c r="K52" s="45" t="str">
        <f t="shared" si="16"/>
        <v/>
      </c>
      <c r="L52" s="45" t="str">
        <f t="shared" si="17"/>
        <v/>
      </c>
      <c r="M52" s="27"/>
      <c r="N52" s="27"/>
      <c r="O52" s="27"/>
      <c r="P52" s="27"/>
      <c r="Q52" s="27"/>
      <c r="R52" s="27"/>
      <c r="S52" s="27"/>
      <c r="T52" s="49" t="str">
        <f t="shared" si="11"/>
        <v/>
      </c>
      <c r="U52" s="13" t="str">
        <f>IF(A52="","",IF(T52="",INDEX(_翻訳マスタ!$B$89:$D$89,1,MATCH(言語切替!$B$3,_翻訳マスタ!$B$1:$D$1,0)),IF(T52&gt;=1,INDEX(_翻訳マスタ!$B$93:$D$93,1,MATCH(言語切替!$B$3,_翻訳マスタ!$B$1:$D$1,0)),IF(T52&gt;=0.8,INDEX(_翻訳マスタ!$B$91:$D$91,1,MATCH(言語切替!$B$3,_翻訳マスタ!$B$1:$D$1,0)),INDEX(_翻訳マスタ!$B$94:$D$94,1,MATCH(言語切替!$B$3,_翻訳マスタ!$B$1:$D$1,0))))))</f>
        <v/>
      </c>
      <c r="V52" s="28"/>
      <c r="W52" s="27"/>
      <c r="X52" s="45" t="str">
        <f t="shared" si="18"/>
        <v/>
      </c>
      <c r="Y52" s="45" t="str">
        <f t="shared" si="19"/>
        <v/>
      </c>
      <c r="Z52" s="36"/>
      <c r="AA52" s="53" t="str">
        <f t="shared" si="20"/>
        <v/>
      </c>
      <c r="AB52" s="53" t="str">
        <f t="shared" si="21"/>
        <v/>
      </c>
    </row>
    <row r="53" spans="1:28" s="22" customFormat="1" x14ac:dyDescent="0.25">
      <c r="A53" s="29"/>
      <c r="B53" s="30"/>
      <c r="C53" s="30"/>
      <c r="D53" s="30"/>
      <c r="E53" s="46" t="str">
        <f t="shared" si="12"/>
        <v/>
      </c>
      <c r="F53" s="46" t="str">
        <f t="shared" si="13"/>
        <v/>
      </c>
      <c r="G53" s="30"/>
      <c r="H53" s="46" t="str">
        <f t="shared" si="14"/>
        <v/>
      </c>
      <c r="I53" s="46" t="str">
        <f t="shared" si="15"/>
        <v/>
      </c>
      <c r="J53" s="30"/>
      <c r="K53" s="46" t="str">
        <f t="shared" si="16"/>
        <v/>
      </c>
      <c r="L53" s="46" t="str">
        <f t="shared" si="17"/>
        <v/>
      </c>
      <c r="M53" s="30"/>
      <c r="N53" s="30"/>
      <c r="O53" s="30"/>
      <c r="P53" s="30"/>
      <c r="Q53" s="30"/>
      <c r="R53" s="30"/>
      <c r="S53" s="30"/>
      <c r="T53" s="50" t="str">
        <f t="shared" si="11"/>
        <v/>
      </c>
      <c r="U53" s="16" t="str">
        <f>IF(A53="","",IF(T53="",INDEX(_翻訳マスタ!$B$89:$D$89,1,MATCH(言語切替!$B$3,_翻訳マスタ!$B$1:$D$1,0)),IF(T53&gt;=1,INDEX(_翻訳マスタ!$B$93:$D$93,1,MATCH(言語切替!$B$3,_翻訳マスタ!$B$1:$D$1,0)),IF(T53&gt;=0.8,INDEX(_翻訳マスタ!$B$91:$D$91,1,MATCH(言語切替!$B$3,_翻訳マスタ!$B$1:$D$1,0)),INDEX(_翻訳マスタ!$B$94:$D$94,1,MATCH(言語切替!$B$3,_翻訳マスタ!$B$1:$D$1,0))))))</f>
        <v/>
      </c>
      <c r="V53" s="31"/>
      <c r="W53" s="30"/>
      <c r="X53" s="46" t="str">
        <f t="shared" si="18"/>
        <v/>
      </c>
      <c r="Y53" s="46" t="str">
        <f t="shared" si="19"/>
        <v/>
      </c>
      <c r="Z53" s="37"/>
      <c r="AA53" s="52" t="str">
        <f t="shared" si="20"/>
        <v/>
      </c>
      <c r="AB53" s="52" t="str">
        <f t="shared" si="21"/>
        <v/>
      </c>
    </row>
    <row r="54" spans="1:28" s="22" customFormat="1" x14ac:dyDescent="0.25">
      <c r="A54" s="26"/>
      <c r="B54" s="27"/>
      <c r="C54" s="27"/>
      <c r="D54" s="27"/>
      <c r="E54" s="45" t="str">
        <f t="shared" si="12"/>
        <v/>
      </c>
      <c r="F54" s="45" t="str">
        <f t="shared" si="13"/>
        <v/>
      </c>
      <c r="G54" s="27"/>
      <c r="H54" s="45" t="str">
        <f t="shared" si="14"/>
        <v/>
      </c>
      <c r="I54" s="45" t="str">
        <f t="shared" si="15"/>
        <v/>
      </c>
      <c r="J54" s="27"/>
      <c r="K54" s="45" t="str">
        <f t="shared" si="16"/>
        <v/>
      </c>
      <c r="L54" s="45" t="str">
        <f t="shared" si="17"/>
        <v/>
      </c>
      <c r="M54" s="27"/>
      <c r="N54" s="27"/>
      <c r="O54" s="27"/>
      <c r="P54" s="27"/>
      <c r="Q54" s="27"/>
      <c r="R54" s="27"/>
      <c r="S54" s="27"/>
      <c r="T54" s="49" t="str">
        <f t="shared" si="11"/>
        <v/>
      </c>
      <c r="U54" s="13" t="str">
        <f>IF(A54="","",IF(T54="",INDEX(_翻訳マスタ!$B$89:$D$89,1,MATCH(言語切替!$B$3,_翻訳マスタ!$B$1:$D$1,0)),IF(T54&gt;=1,INDEX(_翻訳マスタ!$B$93:$D$93,1,MATCH(言語切替!$B$3,_翻訳マスタ!$B$1:$D$1,0)),IF(T54&gt;=0.8,INDEX(_翻訳マスタ!$B$91:$D$91,1,MATCH(言語切替!$B$3,_翻訳マスタ!$B$1:$D$1,0)),INDEX(_翻訳マスタ!$B$94:$D$94,1,MATCH(言語切替!$B$3,_翻訳マスタ!$B$1:$D$1,0))))))</f>
        <v/>
      </c>
      <c r="V54" s="28"/>
      <c r="W54" s="27"/>
      <c r="X54" s="45" t="str">
        <f t="shared" si="18"/>
        <v/>
      </c>
      <c r="Y54" s="45" t="str">
        <f t="shared" si="19"/>
        <v/>
      </c>
      <c r="Z54" s="36"/>
      <c r="AA54" s="53" t="str">
        <f t="shared" si="20"/>
        <v/>
      </c>
      <c r="AB54" s="53" t="str">
        <f t="shared" si="21"/>
        <v/>
      </c>
    </row>
    <row r="55" spans="1:28" s="22" customFormat="1" x14ac:dyDescent="0.25">
      <c r="A55" s="29"/>
      <c r="B55" s="30"/>
      <c r="C55" s="30"/>
      <c r="D55" s="30"/>
      <c r="E55" s="46" t="str">
        <f t="shared" si="12"/>
        <v/>
      </c>
      <c r="F55" s="46" t="str">
        <f t="shared" si="13"/>
        <v/>
      </c>
      <c r="G55" s="30"/>
      <c r="H55" s="46" t="str">
        <f t="shared" si="14"/>
        <v/>
      </c>
      <c r="I55" s="46" t="str">
        <f t="shared" si="15"/>
        <v/>
      </c>
      <c r="J55" s="30"/>
      <c r="K55" s="46" t="str">
        <f t="shared" si="16"/>
        <v/>
      </c>
      <c r="L55" s="46" t="str">
        <f t="shared" si="17"/>
        <v/>
      </c>
      <c r="M55" s="30"/>
      <c r="N55" s="30"/>
      <c r="O55" s="30"/>
      <c r="P55" s="30"/>
      <c r="Q55" s="30"/>
      <c r="R55" s="30"/>
      <c r="S55" s="30"/>
      <c r="T55" s="50" t="str">
        <f t="shared" si="11"/>
        <v/>
      </c>
      <c r="U55" s="16" t="str">
        <f>IF(A55="","",IF(T55="",INDEX(_翻訳マスタ!$B$89:$D$89,1,MATCH(言語切替!$B$3,_翻訳マスタ!$B$1:$D$1,0)),IF(T55&gt;=1,INDEX(_翻訳マスタ!$B$93:$D$93,1,MATCH(言語切替!$B$3,_翻訳マスタ!$B$1:$D$1,0)),IF(T55&gt;=0.8,INDEX(_翻訳マスタ!$B$91:$D$91,1,MATCH(言語切替!$B$3,_翻訳マスタ!$B$1:$D$1,0)),INDEX(_翻訳マスタ!$B$94:$D$94,1,MATCH(言語切替!$B$3,_翻訳マスタ!$B$1:$D$1,0))))))</f>
        <v/>
      </c>
      <c r="V55" s="31"/>
      <c r="W55" s="30"/>
      <c r="X55" s="46" t="str">
        <f t="shared" si="18"/>
        <v/>
      </c>
      <c r="Y55" s="46" t="str">
        <f t="shared" si="19"/>
        <v/>
      </c>
      <c r="Z55" s="37"/>
      <c r="AA55" s="52" t="str">
        <f t="shared" si="20"/>
        <v/>
      </c>
      <c r="AB55" s="52" t="str">
        <f t="shared" si="21"/>
        <v/>
      </c>
    </row>
    <row r="56" spans="1:28" s="22" customFormat="1" x14ac:dyDescent="0.25">
      <c r="A56" s="26"/>
      <c r="B56" s="27"/>
      <c r="C56" s="27"/>
      <c r="D56" s="27"/>
      <c r="E56" s="45" t="str">
        <f t="shared" si="12"/>
        <v/>
      </c>
      <c r="F56" s="45" t="str">
        <f t="shared" si="13"/>
        <v/>
      </c>
      <c r="G56" s="27"/>
      <c r="H56" s="45" t="str">
        <f t="shared" si="14"/>
        <v/>
      </c>
      <c r="I56" s="45" t="str">
        <f t="shared" si="15"/>
        <v/>
      </c>
      <c r="J56" s="27"/>
      <c r="K56" s="45" t="str">
        <f t="shared" si="16"/>
        <v/>
      </c>
      <c r="L56" s="45" t="str">
        <f t="shared" si="17"/>
        <v/>
      </c>
      <c r="M56" s="27"/>
      <c r="N56" s="27"/>
      <c r="O56" s="27"/>
      <c r="P56" s="27"/>
      <c r="Q56" s="27"/>
      <c r="R56" s="27"/>
      <c r="S56" s="27"/>
      <c r="T56" s="49" t="str">
        <f t="shared" si="11"/>
        <v/>
      </c>
      <c r="U56" s="13" t="str">
        <f>IF(A56="","",IF(T56="",INDEX(_翻訳マスタ!$B$89:$D$89,1,MATCH(言語切替!$B$3,_翻訳マスタ!$B$1:$D$1,0)),IF(T56&gt;=1,INDEX(_翻訳マスタ!$B$93:$D$93,1,MATCH(言語切替!$B$3,_翻訳マスタ!$B$1:$D$1,0)),IF(T56&gt;=0.8,INDEX(_翻訳マスタ!$B$91:$D$91,1,MATCH(言語切替!$B$3,_翻訳マスタ!$B$1:$D$1,0)),INDEX(_翻訳マスタ!$B$94:$D$94,1,MATCH(言語切替!$B$3,_翻訳マスタ!$B$1:$D$1,0))))))</f>
        <v/>
      </c>
      <c r="V56" s="28"/>
      <c r="W56" s="27"/>
      <c r="X56" s="45" t="str">
        <f t="shared" si="18"/>
        <v/>
      </c>
      <c r="Y56" s="45" t="str">
        <f t="shared" si="19"/>
        <v/>
      </c>
      <c r="Z56" s="36"/>
      <c r="AA56" s="53" t="str">
        <f t="shared" si="20"/>
        <v/>
      </c>
      <c r="AB56" s="53" t="str">
        <f t="shared" si="21"/>
        <v/>
      </c>
    </row>
    <row r="57" spans="1:28" s="22" customFormat="1" x14ac:dyDescent="0.25">
      <c r="A57" s="29"/>
      <c r="B57" s="30"/>
      <c r="C57" s="30"/>
      <c r="D57" s="30"/>
      <c r="E57" s="46" t="str">
        <f t="shared" si="12"/>
        <v/>
      </c>
      <c r="F57" s="46" t="str">
        <f t="shared" si="13"/>
        <v/>
      </c>
      <c r="G57" s="30"/>
      <c r="H57" s="46" t="str">
        <f t="shared" si="14"/>
        <v/>
      </c>
      <c r="I57" s="46" t="str">
        <f t="shared" si="15"/>
        <v/>
      </c>
      <c r="J57" s="30"/>
      <c r="K57" s="46" t="str">
        <f t="shared" si="16"/>
        <v/>
      </c>
      <c r="L57" s="46" t="str">
        <f t="shared" si="17"/>
        <v/>
      </c>
      <c r="M57" s="30"/>
      <c r="N57" s="30"/>
      <c r="O57" s="30"/>
      <c r="P57" s="30"/>
      <c r="Q57" s="30"/>
      <c r="R57" s="30"/>
      <c r="S57" s="30"/>
      <c r="T57" s="50" t="str">
        <f t="shared" si="11"/>
        <v/>
      </c>
      <c r="U57" s="16" t="str">
        <f>IF(A57="","",IF(T57="",INDEX(_翻訳マスタ!$B$89:$D$89,1,MATCH(言語切替!$B$3,_翻訳マスタ!$B$1:$D$1,0)),IF(T57&gt;=1,INDEX(_翻訳マスタ!$B$93:$D$93,1,MATCH(言語切替!$B$3,_翻訳マスタ!$B$1:$D$1,0)),IF(T57&gt;=0.8,INDEX(_翻訳マスタ!$B$91:$D$91,1,MATCH(言語切替!$B$3,_翻訳マスタ!$B$1:$D$1,0)),INDEX(_翻訳マスタ!$B$94:$D$94,1,MATCH(言語切替!$B$3,_翻訳マスタ!$B$1:$D$1,0))))))</f>
        <v/>
      </c>
      <c r="V57" s="31"/>
      <c r="W57" s="30"/>
      <c r="X57" s="46" t="str">
        <f t="shared" si="18"/>
        <v/>
      </c>
      <c r="Y57" s="46" t="str">
        <f t="shared" si="19"/>
        <v/>
      </c>
      <c r="Z57" s="37"/>
      <c r="AA57" s="52" t="str">
        <f t="shared" si="20"/>
        <v/>
      </c>
      <c r="AB57" s="52" t="str">
        <f t="shared" si="21"/>
        <v/>
      </c>
    </row>
    <row r="58" spans="1:28" s="22" customFormat="1" x14ac:dyDescent="0.25">
      <c r="A58" s="26"/>
      <c r="B58" s="27"/>
      <c r="C58" s="27"/>
      <c r="D58" s="27"/>
      <c r="E58" s="45" t="str">
        <f t="shared" si="12"/>
        <v/>
      </c>
      <c r="F58" s="45" t="str">
        <f t="shared" si="13"/>
        <v/>
      </c>
      <c r="G58" s="27"/>
      <c r="H58" s="45" t="str">
        <f t="shared" si="14"/>
        <v/>
      </c>
      <c r="I58" s="45" t="str">
        <f t="shared" si="15"/>
        <v/>
      </c>
      <c r="J58" s="27"/>
      <c r="K58" s="45" t="str">
        <f t="shared" si="16"/>
        <v/>
      </c>
      <c r="L58" s="45" t="str">
        <f t="shared" si="17"/>
        <v/>
      </c>
      <c r="M58" s="27"/>
      <c r="N58" s="27"/>
      <c r="O58" s="27"/>
      <c r="P58" s="27"/>
      <c r="Q58" s="27"/>
      <c r="R58" s="27"/>
      <c r="S58" s="27"/>
      <c r="T58" s="49" t="str">
        <f t="shared" si="11"/>
        <v/>
      </c>
      <c r="U58" s="13" t="str">
        <f>IF(A58="","",IF(T58="",INDEX(_翻訳マスタ!$B$89:$D$89,1,MATCH(言語切替!$B$3,_翻訳マスタ!$B$1:$D$1,0)),IF(T58&gt;=1,INDEX(_翻訳マスタ!$B$93:$D$93,1,MATCH(言語切替!$B$3,_翻訳マスタ!$B$1:$D$1,0)),IF(T58&gt;=0.8,INDEX(_翻訳マスタ!$B$91:$D$91,1,MATCH(言語切替!$B$3,_翻訳マスタ!$B$1:$D$1,0)),INDEX(_翻訳マスタ!$B$94:$D$94,1,MATCH(言語切替!$B$3,_翻訳マスタ!$B$1:$D$1,0))))))</f>
        <v/>
      </c>
      <c r="V58" s="28"/>
      <c r="W58" s="27"/>
      <c r="X58" s="45" t="str">
        <f t="shared" si="18"/>
        <v/>
      </c>
      <c r="Y58" s="45" t="str">
        <f t="shared" si="19"/>
        <v/>
      </c>
      <c r="Z58" s="36"/>
      <c r="AA58" s="53" t="str">
        <f t="shared" si="20"/>
        <v/>
      </c>
      <c r="AB58" s="53" t="str">
        <f t="shared" si="21"/>
        <v/>
      </c>
    </row>
    <row r="59" spans="1:28" s="22" customFormat="1" x14ac:dyDescent="0.25">
      <c r="A59" s="29"/>
      <c r="B59" s="30"/>
      <c r="C59" s="30"/>
      <c r="D59" s="30"/>
      <c r="E59" s="46" t="str">
        <f t="shared" si="12"/>
        <v/>
      </c>
      <c r="F59" s="46" t="str">
        <f t="shared" si="13"/>
        <v/>
      </c>
      <c r="G59" s="30"/>
      <c r="H59" s="46" t="str">
        <f t="shared" si="14"/>
        <v/>
      </c>
      <c r="I59" s="46" t="str">
        <f t="shared" si="15"/>
        <v/>
      </c>
      <c r="J59" s="30"/>
      <c r="K59" s="46" t="str">
        <f t="shared" si="16"/>
        <v/>
      </c>
      <c r="L59" s="46" t="str">
        <f t="shared" si="17"/>
        <v/>
      </c>
      <c r="M59" s="30"/>
      <c r="N59" s="30"/>
      <c r="O59" s="30"/>
      <c r="P59" s="30"/>
      <c r="Q59" s="30"/>
      <c r="R59" s="30"/>
      <c r="S59" s="30"/>
      <c r="T59" s="50" t="str">
        <f t="shared" si="11"/>
        <v/>
      </c>
      <c r="U59" s="16" t="str">
        <f>IF(A59="","",IF(T59="",INDEX(_翻訳マスタ!$B$89:$D$89,1,MATCH(言語切替!$B$3,_翻訳マスタ!$B$1:$D$1,0)),IF(T59&gt;=1,INDEX(_翻訳マスタ!$B$93:$D$93,1,MATCH(言語切替!$B$3,_翻訳マスタ!$B$1:$D$1,0)),IF(T59&gt;=0.8,INDEX(_翻訳マスタ!$B$91:$D$91,1,MATCH(言語切替!$B$3,_翻訳マスタ!$B$1:$D$1,0)),INDEX(_翻訳マスタ!$B$94:$D$94,1,MATCH(言語切替!$B$3,_翻訳マスタ!$B$1:$D$1,0))))))</f>
        <v/>
      </c>
      <c r="V59" s="31"/>
      <c r="W59" s="30"/>
      <c r="X59" s="46" t="str">
        <f t="shared" si="18"/>
        <v/>
      </c>
      <c r="Y59" s="46" t="str">
        <f t="shared" si="19"/>
        <v/>
      </c>
      <c r="Z59" s="37"/>
      <c r="AA59" s="52" t="str">
        <f t="shared" si="20"/>
        <v/>
      </c>
      <c r="AB59" s="52" t="str">
        <f t="shared" si="21"/>
        <v/>
      </c>
    </row>
    <row r="60" spans="1:28" s="22" customFormat="1" x14ac:dyDescent="0.25">
      <c r="A60" s="26"/>
      <c r="B60" s="27"/>
      <c r="C60" s="27"/>
      <c r="D60" s="27"/>
      <c r="E60" s="45" t="str">
        <f t="shared" si="12"/>
        <v/>
      </c>
      <c r="F60" s="45" t="str">
        <f t="shared" si="13"/>
        <v/>
      </c>
      <c r="G60" s="27"/>
      <c r="H60" s="45" t="str">
        <f t="shared" si="14"/>
        <v/>
      </c>
      <c r="I60" s="45" t="str">
        <f t="shared" si="15"/>
        <v/>
      </c>
      <c r="J60" s="27"/>
      <c r="K60" s="45" t="str">
        <f t="shared" si="16"/>
        <v/>
      </c>
      <c r="L60" s="45" t="str">
        <f t="shared" si="17"/>
        <v/>
      </c>
      <c r="M60" s="27"/>
      <c r="N60" s="27"/>
      <c r="O60" s="27"/>
      <c r="P60" s="27"/>
      <c r="Q60" s="27"/>
      <c r="R60" s="27"/>
      <c r="S60" s="27"/>
      <c r="T60" s="49" t="str">
        <f t="shared" si="11"/>
        <v/>
      </c>
      <c r="U60" s="13" t="str">
        <f>IF(A60="","",IF(T60="",INDEX(_翻訳マスタ!$B$89:$D$89,1,MATCH(言語切替!$B$3,_翻訳マスタ!$B$1:$D$1,0)),IF(T60&gt;=1,INDEX(_翻訳マスタ!$B$93:$D$93,1,MATCH(言語切替!$B$3,_翻訳マスタ!$B$1:$D$1,0)),IF(T60&gt;=0.8,INDEX(_翻訳マスタ!$B$91:$D$91,1,MATCH(言語切替!$B$3,_翻訳マスタ!$B$1:$D$1,0)),INDEX(_翻訳マスタ!$B$94:$D$94,1,MATCH(言語切替!$B$3,_翻訳マスタ!$B$1:$D$1,0))))))</f>
        <v/>
      </c>
      <c r="V60" s="28"/>
      <c r="W60" s="27"/>
      <c r="X60" s="45" t="str">
        <f t="shared" si="18"/>
        <v/>
      </c>
      <c r="Y60" s="45" t="str">
        <f t="shared" si="19"/>
        <v/>
      </c>
      <c r="Z60" s="36"/>
      <c r="AA60" s="53" t="str">
        <f t="shared" si="20"/>
        <v/>
      </c>
      <c r="AB60" s="53" t="str">
        <f t="shared" si="21"/>
        <v/>
      </c>
    </row>
    <row r="61" spans="1:28" s="22" customFormat="1" x14ac:dyDescent="0.25">
      <c r="A61" s="29"/>
      <c r="B61" s="30"/>
      <c r="C61" s="30"/>
      <c r="D61" s="30"/>
      <c r="E61" s="46" t="str">
        <f t="shared" si="12"/>
        <v/>
      </c>
      <c r="F61" s="46" t="str">
        <f t="shared" si="13"/>
        <v/>
      </c>
      <c r="G61" s="30"/>
      <c r="H61" s="46" t="str">
        <f t="shared" si="14"/>
        <v/>
      </c>
      <c r="I61" s="46" t="str">
        <f t="shared" si="15"/>
        <v/>
      </c>
      <c r="J61" s="30"/>
      <c r="K61" s="46" t="str">
        <f t="shared" si="16"/>
        <v/>
      </c>
      <c r="L61" s="46" t="str">
        <f t="shared" si="17"/>
        <v/>
      </c>
      <c r="M61" s="30"/>
      <c r="N61" s="30"/>
      <c r="O61" s="30"/>
      <c r="P61" s="30"/>
      <c r="Q61" s="30"/>
      <c r="R61" s="30"/>
      <c r="S61" s="30"/>
      <c r="T61" s="50" t="str">
        <f t="shared" si="11"/>
        <v/>
      </c>
      <c r="U61" s="16" t="str">
        <f>IF(A61="","",IF(T61="",INDEX(_翻訳マスタ!$B$89:$D$89,1,MATCH(言語切替!$B$3,_翻訳マスタ!$B$1:$D$1,0)),IF(T61&gt;=1,INDEX(_翻訳マスタ!$B$93:$D$93,1,MATCH(言語切替!$B$3,_翻訳マスタ!$B$1:$D$1,0)),IF(T61&gt;=0.8,INDEX(_翻訳マスタ!$B$91:$D$91,1,MATCH(言語切替!$B$3,_翻訳マスタ!$B$1:$D$1,0)),INDEX(_翻訳マスタ!$B$94:$D$94,1,MATCH(言語切替!$B$3,_翻訳マスタ!$B$1:$D$1,0))))))</f>
        <v/>
      </c>
      <c r="V61" s="31"/>
      <c r="W61" s="30"/>
      <c r="X61" s="46" t="str">
        <f t="shared" si="18"/>
        <v/>
      </c>
      <c r="Y61" s="46" t="str">
        <f t="shared" si="19"/>
        <v/>
      </c>
      <c r="Z61" s="37"/>
      <c r="AA61" s="52" t="str">
        <f t="shared" si="20"/>
        <v/>
      </c>
      <c r="AB61" s="52" t="str">
        <f t="shared" si="21"/>
        <v/>
      </c>
    </row>
    <row r="62" spans="1:28" s="22" customFormat="1" x14ac:dyDescent="0.25">
      <c r="A62" s="26"/>
      <c r="B62" s="27"/>
      <c r="C62" s="27"/>
      <c r="D62" s="27"/>
      <c r="E62" s="45" t="str">
        <f t="shared" si="12"/>
        <v/>
      </c>
      <c r="F62" s="45" t="str">
        <f t="shared" si="13"/>
        <v/>
      </c>
      <c r="G62" s="27"/>
      <c r="H62" s="45" t="str">
        <f t="shared" si="14"/>
        <v/>
      </c>
      <c r="I62" s="45" t="str">
        <f t="shared" si="15"/>
        <v/>
      </c>
      <c r="J62" s="27"/>
      <c r="K62" s="45" t="str">
        <f t="shared" si="16"/>
        <v/>
      </c>
      <c r="L62" s="45" t="str">
        <f t="shared" si="17"/>
        <v/>
      </c>
      <c r="M62" s="27"/>
      <c r="N62" s="27"/>
      <c r="O62" s="27"/>
      <c r="P62" s="27"/>
      <c r="Q62" s="27"/>
      <c r="R62" s="27"/>
      <c r="S62" s="27"/>
      <c r="T62" s="49" t="str">
        <f t="shared" si="11"/>
        <v/>
      </c>
      <c r="U62" s="13" t="str">
        <f>IF(A62="","",IF(T62="",INDEX(_翻訳マスタ!$B$89:$D$89,1,MATCH(言語切替!$B$3,_翻訳マスタ!$B$1:$D$1,0)),IF(T62&gt;=1,INDEX(_翻訳マスタ!$B$93:$D$93,1,MATCH(言語切替!$B$3,_翻訳マスタ!$B$1:$D$1,0)),IF(T62&gt;=0.8,INDEX(_翻訳マスタ!$B$91:$D$91,1,MATCH(言語切替!$B$3,_翻訳マスタ!$B$1:$D$1,0)),INDEX(_翻訳マスタ!$B$94:$D$94,1,MATCH(言語切替!$B$3,_翻訳マスタ!$B$1:$D$1,0))))))</f>
        <v/>
      </c>
      <c r="V62" s="28"/>
      <c r="W62" s="27"/>
      <c r="X62" s="45" t="str">
        <f t="shared" si="18"/>
        <v/>
      </c>
      <c r="Y62" s="45" t="str">
        <f t="shared" si="19"/>
        <v/>
      </c>
      <c r="Z62" s="36"/>
      <c r="AA62" s="53" t="str">
        <f t="shared" si="20"/>
        <v/>
      </c>
      <c r="AB62" s="53" t="str">
        <f t="shared" si="21"/>
        <v/>
      </c>
    </row>
    <row r="63" spans="1:28" s="22" customFormat="1" x14ac:dyDescent="0.25">
      <c r="A63" s="29"/>
      <c r="B63" s="30"/>
      <c r="C63" s="30"/>
      <c r="D63" s="30"/>
      <c r="E63" s="46" t="str">
        <f t="shared" si="12"/>
        <v/>
      </c>
      <c r="F63" s="46" t="str">
        <f t="shared" si="13"/>
        <v/>
      </c>
      <c r="G63" s="30"/>
      <c r="H63" s="46" t="str">
        <f t="shared" si="14"/>
        <v/>
      </c>
      <c r="I63" s="46" t="str">
        <f t="shared" si="15"/>
        <v/>
      </c>
      <c r="J63" s="30"/>
      <c r="K63" s="46" t="str">
        <f t="shared" si="16"/>
        <v/>
      </c>
      <c r="L63" s="46" t="str">
        <f t="shared" si="17"/>
        <v/>
      </c>
      <c r="M63" s="30"/>
      <c r="N63" s="30"/>
      <c r="O63" s="30"/>
      <c r="P63" s="30"/>
      <c r="Q63" s="30"/>
      <c r="R63" s="30"/>
      <c r="S63" s="30"/>
      <c r="T63" s="50" t="str">
        <f t="shared" si="11"/>
        <v/>
      </c>
      <c r="U63" s="16" t="str">
        <f>IF(A63="","",IF(T63="",INDEX(_翻訳マスタ!$B$89:$D$89,1,MATCH(言語切替!$B$3,_翻訳マスタ!$B$1:$D$1,0)),IF(T63&gt;=1,INDEX(_翻訳マスタ!$B$93:$D$93,1,MATCH(言語切替!$B$3,_翻訳マスタ!$B$1:$D$1,0)),IF(T63&gt;=0.8,INDEX(_翻訳マスタ!$B$91:$D$91,1,MATCH(言語切替!$B$3,_翻訳マスタ!$B$1:$D$1,0)),INDEX(_翻訳マスタ!$B$94:$D$94,1,MATCH(言語切替!$B$3,_翻訳マスタ!$B$1:$D$1,0))))))</f>
        <v/>
      </c>
      <c r="V63" s="31"/>
      <c r="W63" s="30"/>
      <c r="X63" s="46" t="str">
        <f t="shared" si="18"/>
        <v/>
      </c>
      <c r="Y63" s="46" t="str">
        <f t="shared" si="19"/>
        <v/>
      </c>
      <c r="Z63" s="37"/>
      <c r="AA63" s="52" t="str">
        <f t="shared" si="20"/>
        <v/>
      </c>
      <c r="AB63" s="52" t="str">
        <f t="shared" si="21"/>
        <v/>
      </c>
    </row>
    <row r="64" spans="1:28" s="22" customFormat="1" x14ac:dyDescent="0.25">
      <c r="A64" s="26"/>
      <c r="B64" s="27"/>
      <c r="C64" s="27"/>
      <c r="D64" s="27"/>
      <c r="E64" s="45" t="str">
        <f t="shared" si="12"/>
        <v/>
      </c>
      <c r="F64" s="45" t="str">
        <f t="shared" si="13"/>
        <v/>
      </c>
      <c r="G64" s="27"/>
      <c r="H64" s="45" t="str">
        <f t="shared" si="14"/>
        <v/>
      </c>
      <c r="I64" s="45" t="str">
        <f t="shared" si="15"/>
        <v/>
      </c>
      <c r="J64" s="27"/>
      <c r="K64" s="45" t="str">
        <f t="shared" si="16"/>
        <v/>
      </c>
      <c r="L64" s="45" t="str">
        <f t="shared" si="17"/>
        <v/>
      </c>
      <c r="M64" s="27"/>
      <c r="N64" s="27"/>
      <c r="O64" s="27"/>
      <c r="P64" s="27"/>
      <c r="Q64" s="27"/>
      <c r="R64" s="27"/>
      <c r="S64" s="27"/>
      <c r="T64" s="49" t="str">
        <f t="shared" si="11"/>
        <v/>
      </c>
      <c r="U64" s="13" t="str">
        <f>IF(A64="","",IF(T64="",INDEX(_翻訳マスタ!$B$89:$D$89,1,MATCH(言語切替!$B$3,_翻訳マスタ!$B$1:$D$1,0)),IF(T64&gt;=1,INDEX(_翻訳マスタ!$B$93:$D$93,1,MATCH(言語切替!$B$3,_翻訳マスタ!$B$1:$D$1,0)),IF(T64&gt;=0.8,INDEX(_翻訳マスタ!$B$91:$D$91,1,MATCH(言語切替!$B$3,_翻訳マスタ!$B$1:$D$1,0)),INDEX(_翻訳マスタ!$B$94:$D$94,1,MATCH(言語切替!$B$3,_翻訳マスタ!$B$1:$D$1,0))))))</f>
        <v/>
      </c>
      <c r="V64" s="28"/>
      <c r="W64" s="27"/>
      <c r="X64" s="45" t="str">
        <f t="shared" si="18"/>
        <v/>
      </c>
      <c r="Y64" s="45" t="str">
        <f t="shared" si="19"/>
        <v/>
      </c>
      <c r="Z64" s="36"/>
      <c r="AA64" s="53" t="str">
        <f t="shared" si="20"/>
        <v/>
      </c>
      <c r="AB64" s="53" t="str">
        <f t="shared" si="21"/>
        <v/>
      </c>
    </row>
    <row r="65" spans="1:28" s="22" customFormat="1" x14ac:dyDescent="0.25">
      <c r="A65" s="29"/>
      <c r="B65" s="30"/>
      <c r="C65" s="30"/>
      <c r="D65" s="30"/>
      <c r="E65" s="46" t="str">
        <f t="shared" si="12"/>
        <v/>
      </c>
      <c r="F65" s="46" t="str">
        <f t="shared" si="13"/>
        <v/>
      </c>
      <c r="G65" s="30"/>
      <c r="H65" s="46" t="str">
        <f t="shared" si="14"/>
        <v/>
      </c>
      <c r="I65" s="46" t="str">
        <f t="shared" si="15"/>
        <v/>
      </c>
      <c r="J65" s="30"/>
      <c r="K65" s="46" t="str">
        <f t="shared" si="16"/>
        <v/>
      </c>
      <c r="L65" s="46" t="str">
        <f t="shared" si="17"/>
        <v/>
      </c>
      <c r="M65" s="30"/>
      <c r="N65" s="30"/>
      <c r="O65" s="30"/>
      <c r="P65" s="30"/>
      <c r="Q65" s="30"/>
      <c r="R65" s="30"/>
      <c r="S65" s="30"/>
      <c r="T65" s="50" t="str">
        <f t="shared" si="11"/>
        <v/>
      </c>
      <c r="U65" s="16" t="str">
        <f>IF(A65="","",IF(T65="",INDEX(_翻訳マスタ!$B$89:$D$89,1,MATCH(言語切替!$B$3,_翻訳マスタ!$B$1:$D$1,0)),IF(T65&gt;=1,INDEX(_翻訳マスタ!$B$93:$D$93,1,MATCH(言語切替!$B$3,_翻訳マスタ!$B$1:$D$1,0)),IF(T65&gt;=0.8,INDEX(_翻訳マスタ!$B$91:$D$91,1,MATCH(言語切替!$B$3,_翻訳マスタ!$B$1:$D$1,0)),INDEX(_翻訳マスタ!$B$94:$D$94,1,MATCH(言語切替!$B$3,_翻訳マスタ!$B$1:$D$1,0))))))</f>
        <v/>
      </c>
      <c r="V65" s="31"/>
      <c r="W65" s="30"/>
      <c r="X65" s="46" t="str">
        <f t="shared" si="18"/>
        <v/>
      </c>
      <c r="Y65" s="46" t="str">
        <f t="shared" si="19"/>
        <v/>
      </c>
      <c r="Z65" s="37"/>
      <c r="AA65" s="52" t="str">
        <f t="shared" si="20"/>
        <v/>
      </c>
      <c r="AB65" s="52" t="str">
        <f t="shared" si="21"/>
        <v/>
      </c>
    </row>
    <row r="66" spans="1:28" s="22" customFormat="1" x14ac:dyDescent="0.25">
      <c r="A66" s="26"/>
      <c r="B66" s="27"/>
      <c r="C66" s="27"/>
      <c r="D66" s="27"/>
      <c r="E66" s="45" t="str">
        <f t="shared" si="12"/>
        <v/>
      </c>
      <c r="F66" s="45" t="str">
        <f t="shared" si="13"/>
        <v/>
      </c>
      <c r="G66" s="27"/>
      <c r="H66" s="45" t="str">
        <f t="shared" si="14"/>
        <v/>
      </c>
      <c r="I66" s="45" t="str">
        <f t="shared" si="15"/>
        <v/>
      </c>
      <c r="J66" s="27"/>
      <c r="K66" s="45" t="str">
        <f t="shared" si="16"/>
        <v/>
      </c>
      <c r="L66" s="45" t="str">
        <f t="shared" si="17"/>
        <v/>
      </c>
      <c r="M66" s="27"/>
      <c r="N66" s="27"/>
      <c r="O66" s="27"/>
      <c r="P66" s="27"/>
      <c r="Q66" s="27"/>
      <c r="R66" s="27"/>
      <c r="S66" s="27"/>
      <c r="T66" s="49" t="str">
        <f t="shared" si="11"/>
        <v/>
      </c>
      <c r="U66" s="13" t="str">
        <f>IF(A66="","",IF(T66="",INDEX(_翻訳マスタ!$B$89:$D$89,1,MATCH(言語切替!$B$3,_翻訳マスタ!$B$1:$D$1,0)),IF(T66&gt;=1,INDEX(_翻訳マスタ!$B$93:$D$93,1,MATCH(言語切替!$B$3,_翻訳マスタ!$B$1:$D$1,0)),IF(T66&gt;=0.8,INDEX(_翻訳マスタ!$B$91:$D$91,1,MATCH(言語切替!$B$3,_翻訳マスタ!$B$1:$D$1,0)),INDEX(_翻訳マスタ!$B$94:$D$94,1,MATCH(言語切替!$B$3,_翻訳マスタ!$B$1:$D$1,0))))))</f>
        <v/>
      </c>
      <c r="V66" s="28"/>
      <c r="W66" s="27"/>
      <c r="X66" s="45" t="str">
        <f t="shared" si="18"/>
        <v/>
      </c>
      <c r="Y66" s="45" t="str">
        <f t="shared" si="19"/>
        <v/>
      </c>
      <c r="Z66" s="36"/>
      <c r="AA66" s="53" t="str">
        <f t="shared" si="20"/>
        <v/>
      </c>
      <c r="AB66" s="53" t="str">
        <f t="shared" si="21"/>
        <v/>
      </c>
    </row>
    <row r="67" spans="1:28" s="22" customFormat="1" x14ac:dyDescent="0.25">
      <c r="A67" s="29"/>
      <c r="B67" s="30"/>
      <c r="C67" s="30"/>
      <c r="D67" s="30"/>
      <c r="E67" s="46" t="str">
        <f t="shared" si="12"/>
        <v/>
      </c>
      <c r="F67" s="46" t="str">
        <f t="shared" si="13"/>
        <v/>
      </c>
      <c r="G67" s="30"/>
      <c r="H67" s="46" t="str">
        <f t="shared" si="14"/>
        <v/>
      </c>
      <c r="I67" s="46" t="str">
        <f t="shared" si="15"/>
        <v/>
      </c>
      <c r="J67" s="30"/>
      <c r="K67" s="46" t="str">
        <f t="shared" si="16"/>
        <v/>
      </c>
      <c r="L67" s="46" t="str">
        <f t="shared" si="17"/>
        <v/>
      </c>
      <c r="M67" s="30"/>
      <c r="N67" s="30"/>
      <c r="O67" s="30"/>
      <c r="P67" s="30"/>
      <c r="Q67" s="30"/>
      <c r="R67" s="30"/>
      <c r="S67" s="30"/>
      <c r="T67" s="50" t="str">
        <f t="shared" si="11"/>
        <v/>
      </c>
      <c r="U67" s="16" t="str">
        <f>IF(A67="","",IF(T67="",INDEX(_翻訳マスタ!$B$89:$D$89,1,MATCH(言語切替!$B$3,_翻訳マスタ!$B$1:$D$1,0)),IF(T67&gt;=1,INDEX(_翻訳マスタ!$B$93:$D$93,1,MATCH(言語切替!$B$3,_翻訳マスタ!$B$1:$D$1,0)),IF(T67&gt;=0.8,INDEX(_翻訳マスタ!$B$91:$D$91,1,MATCH(言語切替!$B$3,_翻訳マスタ!$B$1:$D$1,0)),INDEX(_翻訳マスタ!$B$94:$D$94,1,MATCH(言語切替!$B$3,_翻訳マスタ!$B$1:$D$1,0))))))</f>
        <v/>
      </c>
      <c r="V67" s="31"/>
      <c r="W67" s="30"/>
      <c r="X67" s="46" t="str">
        <f t="shared" si="18"/>
        <v/>
      </c>
      <c r="Y67" s="46" t="str">
        <f t="shared" si="19"/>
        <v/>
      </c>
      <c r="Z67" s="37"/>
      <c r="AA67" s="52" t="str">
        <f t="shared" si="20"/>
        <v/>
      </c>
      <c r="AB67" s="52" t="str">
        <f t="shared" si="21"/>
        <v/>
      </c>
    </row>
    <row r="68" spans="1:28" s="22" customFormat="1" x14ac:dyDescent="0.25">
      <c r="A68" s="26"/>
      <c r="B68" s="27"/>
      <c r="C68" s="27"/>
      <c r="D68" s="27"/>
      <c r="E68" s="45" t="str">
        <f t="shared" si="12"/>
        <v/>
      </c>
      <c r="F68" s="45" t="str">
        <f t="shared" si="13"/>
        <v/>
      </c>
      <c r="G68" s="27"/>
      <c r="H68" s="45" t="str">
        <f t="shared" si="14"/>
        <v/>
      </c>
      <c r="I68" s="45" t="str">
        <f t="shared" si="15"/>
        <v/>
      </c>
      <c r="J68" s="27"/>
      <c r="K68" s="45" t="str">
        <f t="shared" si="16"/>
        <v/>
      </c>
      <c r="L68" s="45" t="str">
        <f t="shared" si="17"/>
        <v/>
      </c>
      <c r="M68" s="27"/>
      <c r="N68" s="27"/>
      <c r="O68" s="27"/>
      <c r="P68" s="27"/>
      <c r="Q68" s="27"/>
      <c r="R68" s="27"/>
      <c r="S68" s="27"/>
      <c r="T68" s="49" t="str">
        <f t="shared" si="11"/>
        <v/>
      </c>
      <c r="U68" s="13" t="str">
        <f>IF(A68="","",IF(T68="",INDEX(_翻訳マスタ!$B$89:$D$89,1,MATCH(言語切替!$B$3,_翻訳マスタ!$B$1:$D$1,0)),IF(T68&gt;=1,INDEX(_翻訳マスタ!$B$93:$D$93,1,MATCH(言語切替!$B$3,_翻訳マスタ!$B$1:$D$1,0)),IF(T68&gt;=0.8,INDEX(_翻訳マスタ!$B$91:$D$91,1,MATCH(言語切替!$B$3,_翻訳マスタ!$B$1:$D$1,0)),INDEX(_翻訳マスタ!$B$94:$D$94,1,MATCH(言語切替!$B$3,_翻訳マスタ!$B$1:$D$1,0))))))</f>
        <v/>
      </c>
      <c r="V68" s="28"/>
      <c r="W68" s="27"/>
      <c r="X68" s="45" t="str">
        <f t="shared" si="18"/>
        <v/>
      </c>
      <c r="Y68" s="45" t="str">
        <f t="shared" si="19"/>
        <v/>
      </c>
      <c r="Z68" s="36"/>
      <c r="AA68" s="53" t="str">
        <f t="shared" si="20"/>
        <v/>
      </c>
      <c r="AB68" s="53" t="str">
        <f t="shared" si="21"/>
        <v/>
      </c>
    </row>
    <row r="69" spans="1:28" s="22" customFormat="1" x14ac:dyDescent="0.25">
      <c r="A69" s="29"/>
      <c r="B69" s="30"/>
      <c r="C69" s="30"/>
      <c r="D69" s="30"/>
      <c r="E69" s="46" t="str">
        <f t="shared" si="12"/>
        <v/>
      </c>
      <c r="F69" s="46" t="str">
        <f t="shared" si="13"/>
        <v/>
      </c>
      <c r="G69" s="30"/>
      <c r="H69" s="46" t="str">
        <f t="shared" si="14"/>
        <v/>
      </c>
      <c r="I69" s="46" t="str">
        <f t="shared" si="15"/>
        <v/>
      </c>
      <c r="J69" s="30"/>
      <c r="K69" s="46" t="str">
        <f t="shared" si="16"/>
        <v/>
      </c>
      <c r="L69" s="46" t="str">
        <f t="shared" si="17"/>
        <v/>
      </c>
      <c r="M69" s="30"/>
      <c r="N69" s="30"/>
      <c r="O69" s="30"/>
      <c r="P69" s="30"/>
      <c r="Q69" s="30"/>
      <c r="R69" s="30"/>
      <c r="S69" s="30"/>
      <c r="T69" s="50" t="str">
        <f t="shared" ref="T69:T100" si="22">IF(OR(R69="",S69=""),"",IF(R69=0,"",S69/R69))</f>
        <v/>
      </c>
      <c r="U69" s="16" t="str">
        <f>IF(A69="","",IF(T69="",INDEX(_翻訳マスタ!$B$89:$D$89,1,MATCH(言語切替!$B$3,_翻訳マスタ!$B$1:$D$1,0)),IF(T69&gt;=1,INDEX(_翻訳マスタ!$B$93:$D$93,1,MATCH(言語切替!$B$3,_翻訳マスタ!$B$1:$D$1,0)),IF(T69&gt;=0.8,INDEX(_翻訳マスタ!$B$91:$D$91,1,MATCH(言語切替!$B$3,_翻訳マスタ!$B$1:$D$1,0)),INDEX(_翻訳マスタ!$B$94:$D$94,1,MATCH(言語切替!$B$3,_翻訳マスタ!$B$1:$D$1,0))))))</f>
        <v/>
      </c>
      <c r="V69" s="31"/>
      <c r="W69" s="30"/>
      <c r="X69" s="46" t="str">
        <f t="shared" si="18"/>
        <v/>
      </c>
      <c r="Y69" s="46" t="str">
        <f t="shared" si="19"/>
        <v/>
      </c>
      <c r="Z69" s="37"/>
      <c r="AA69" s="52" t="str">
        <f t="shared" si="20"/>
        <v/>
      </c>
      <c r="AB69" s="52" t="str">
        <f t="shared" si="21"/>
        <v/>
      </c>
    </row>
    <row r="70" spans="1:28" s="22" customFormat="1" x14ac:dyDescent="0.25">
      <c r="A70" s="26"/>
      <c r="B70" s="27"/>
      <c r="C70" s="27"/>
      <c r="D70" s="27"/>
      <c r="E70" s="45" t="str">
        <f t="shared" si="12"/>
        <v/>
      </c>
      <c r="F70" s="45" t="str">
        <f t="shared" si="13"/>
        <v/>
      </c>
      <c r="G70" s="27"/>
      <c r="H70" s="45" t="str">
        <f t="shared" si="14"/>
        <v/>
      </c>
      <c r="I70" s="45" t="str">
        <f t="shared" si="15"/>
        <v/>
      </c>
      <c r="J70" s="27"/>
      <c r="K70" s="45" t="str">
        <f t="shared" si="16"/>
        <v/>
      </c>
      <c r="L70" s="45" t="str">
        <f t="shared" si="17"/>
        <v/>
      </c>
      <c r="M70" s="27"/>
      <c r="N70" s="27"/>
      <c r="O70" s="27"/>
      <c r="P70" s="27"/>
      <c r="Q70" s="27"/>
      <c r="R70" s="27"/>
      <c r="S70" s="27"/>
      <c r="T70" s="49" t="str">
        <f t="shared" si="22"/>
        <v/>
      </c>
      <c r="U70" s="13" t="str">
        <f>IF(A70="","",IF(T70="",INDEX(_翻訳マスタ!$B$89:$D$89,1,MATCH(言語切替!$B$3,_翻訳マスタ!$B$1:$D$1,0)),IF(T70&gt;=1,INDEX(_翻訳マスタ!$B$93:$D$93,1,MATCH(言語切替!$B$3,_翻訳マスタ!$B$1:$D$1,0)),IF(T70&gt;=0.8,INDEX(_翻訳マスタ!$B$91:$D$91,1,MATCH(言語切替!$B$3,_翻訳マスタ!$B$1:$D$1,0)),INDEX(_翻訳マスタ!$B$94:$D$94,1,MATCH(言語切替!$B$3,_翻訳マスタ!$B$1:$D$1,0))))))</f>
        <v/>
      </c>
      <c r="V70" s="28"/>
      <c r="W70" s="27"/>
      <c r="X70" s="45" t="str">
        <f t="shared" si="18"/>
        <v/>
      </c>
      <c r="Y70" s="45" t="str">
        <f t="shared" si="19"/>
        <v/>
      </c>
      <c r="Z70" s="36"/>
      <c r="AA70" s="53" t="str">
        <f t="shared" si="20"/>
        <v/>
      </c>
      <c r="AB70" s="53" t="str">
        <f t="shared" si="21"/>
        <v/>
      </c>
    </row>
    <row r="71" spans="1:28" s="22" customFormat="1" x14ac:dyDescent="0.25">
      <c r="A71" s="29"/>
      <c r="B71" s="30"/>
      <c r="C71" s="30"/>
      <c r="D71" s="30"/>
      <c r="E71" s="46" t="str">
        <f t="shared" si="12"/>
        <v/>
      </c>
      <c r="F71" s="46" t="str">
        <f t="shared" si="13"/>
        <v/>
      </c>
      <c r="G71" s="30"/>
      <c r="H71" s="46" t="str">
        <f t="shared" si="14"/>
        <v/>
      </c>
      <c r="I71" s="46" t="str">
        <f t="shared" si="15"/>
        <v/>
      </c>
      <c r="J71" s="30"/>
      <c r="K71" s="46" t="str">
        <f t="shared" si="16"/>
        <v/>
      </c>
      <c r="L71" s="46" t="str">
        <f t="shared" si="17"/>
        <v/>
      </c>
      <c r="M71" s="30"/>
      <c r="N71" s="30"/>
      <c r="O71" s="30"/>
      <c r="P71" s="30"/>
      <c r="Q71" s="30"/>
      <c r="R71" s="30"/>
      <c r="S71" s="30"/>
      <c r="T71" s="50" t="str">
        <f t="shared" si="22"/>
        <v/>
      </c>
      <c r="U71" s="16" t="str">
        <f>IF(A71="","",IF(T71="",INDEX(_翻訳マスタ!$B$89:$D$89,1,MATCH(言語切替!$B$3,_翻訳マスタ!$B$1:$D$1,0)),IF(T71&gt;=1,INDEX(_翻訳マスタ!$B$93:$D$93,1,MATCH(言語切替!$B$3,_翻訳マスタ!$B$1:$D$1,0)),IF(T71&gt;=0.8,INDEX(_翻訳マスタ!$B$91:$D$91,1,MATCH(言語切替!$B$3,_翻訳マスタ!$B$1:$D$1,0)),INDEX(_翻訳マスタ!$B$94:$D$94,1,MATCH(言語切替!$B$3,_翻訳マスタ!$B$1:$D$1,0))))))</f>
        <v/>
      </c>
      <c r="V71" s="31"/>
      <c r="W71" s="30"/>
      <c r="X71" s="46" t="str">
        <f t="shared" si="18"/>
        <v/>
      </c>
      <c r="Y71" s="46" t="str">
        <f t="shared" si="19"/>
        <v/>
      </c>
      <c r="Z71" s="37"/>
      <c r="AA71" s="52" t="str">
        <f t="shared" si="20"/>
        <v/>
      </c>
      <c r="AB71" s="52" t="str">
        <f t="shared" si="21"/>
        <v/>
      </c>
    </row>
    <row r="72" spans="1:28" s="22" customFormat="1" x14ac:dyDescent="0.25">
      <c r="A72" s="26"/>
      <c r="B72" s="27"/>
      <c r="C72" s="27"/>
      <c r="D72" s="27"/>
      <c r="E72" s="45" t="str">
        <f t="shared" si="12"/>
        <v/>
      </c>
      <c r="F72" s="45" t="str">
        <f t="shared" si="13"/>
        <v/>
      </c>
      <c r="G72" s="27"/>
      <c r="H72" s="45" t="str">
        <f t="shared" si="14"/>
        <v/>
      </c>
      <c r="I72" s="45" t="str">
        <f t="shared" si="15"/>
        <v/>
      </c>
      <c r="J72" s="27"/>
      <c r="K72" s="45" t="str">
        <f t="shared" si="16"/>
        <v/>
      </c>
      <c r="L72" s="45" t="str">
        <f t="shared" si="17"/>
        <v/>
      </c>
      <c r="M72" s="27"/>
      <c r="N72" s="27"/>
      <c r="O72" s="27"/>
      <c r="P72" s="27"/>
      <c r="Q72" s="27"/>
      <c r="R72" s="27"/>
      <c r="S72" s="27"/>
      <c r="T72" s="49" t="str">
        <f t="shared" si="22"/>
        <v/>
      </c>
      <c r="U72" s="13" t="str">
        <f>IF(A72="","",IF(T72="",INDEX(_翻訳マスタ!$B$89:$D$89,1,MATCH(言語切替!$B$3,_翻訳マスタ!$B$1:$D$1,0)),IF(T72&gt;=1,INDEX(_翻訳マスタ!$B$93:$D$93,1,MATCH(言語切替!$B$3,_翻訳マスタ!$B$1:$D$1,0)),IF(T72&gt;=0.8,INDEX(_翻訳マスタ!$B$91:$D$91,1,MATCH(言語切替!$B$3,_翻訳マスタ!$B$1:$D$1,0)),INDEX(_翻訳マスタ!$B$94:$D$94,1,MATCH(言語切替!$B$3,_翻訳マスタ!$B$1:$D$1,0))))))</f>
        <v/>
      </c>
      <c r="V72" s="28"/>
      <c r="W72" s="27"/>
      <c r="X72" s="45" t="str">
        <f t="shared" si="18"/>
        <v/>
      </c>
      <c r="Y72" s="45" t="str">
        <f t="shared" si="19"/>
        <v/>
      </c>
      <c r="Z72" s="36"/>
      <c r="AA72" s="53" t="str">
        <f t="shared" si="20"/>
        <v/>
      </c>
      <c r="AB72" s="53" t="str">
        <f t="shared" si="21"/>
        <v/>
      </c>
    </row>
    <row r="73" spans="1:28" s="22" customFormat="1" x14ac:dyDescent="0.25">
      <c r="A73" s="29"/>
      <c r="B73" s="30"/>
      <c r="C73" s="30"/>
      <c r="D73" s="30"/>
      <c r="E73" s="46" t="str">
        <f t="shared" ref="E73:E104" si="23">IF(D73="","",_xlfn.TRANSLATE(D73,"vi","ja"))</f>
        <v/>
      </c>
      <c r="F73" s="46" t="str">
        <f t="shared" ref="F73:F104" si="24">IF(D73="","",_xlfn.TRANSLATE(D73,"vi","zh-Hans"))</f>
        <v/>
      </c>
      <c r="G73" s="30"/>
      <c r="H73" s="46" t="str">
        <f t="shared" ref="H73:H104" si="25">IF(G73="","",_xlfn.TRANSLATE(G73,"vi","ja"))</f>
        <v/>
      </c>
      <c r="I73" s="46" t="str">
        <f t="shared" ref="I73:I104" si="26">IF(G73="","",_xlfn.TRANSLATE(G73,"vi","zh-Hans"))</f>
        <v/>
      </c>
      <c r="J73" s="30"/>
      <c r="K73" s="46" t="str">
        <f t="shared" ref="K73:K104" si="27">IF(J73="","",_xlfn.TRANSLATE(J73,"vi","ja"))</f>
        <v/>
      </c>
      <c r="L73" s="46" t="str">
        <f t="shared" ref="L73:L104" si="28">IF(J73="","",_xlfn.TRANSLATE(J73,"vi","zh-Hans"))</f>
        <v/>
      </c>
      <c r="M73" s="30"/>
      <c r="N73" s="30"/>
      <c r="O73" s="30"/>
      <c r="P73" s="30"/>
      <c r="Q73" s="30"/>
      <c r="R73" s="30"/>
      <c r="S73" s="30"/>
      <c r="T73" s="50" t="str">
        <f t="shared" si="22"/>
        <v/>
      </c>
      <c r="U73" s="16" t="str">
        <f>IF(A73="","",IF(T73="",INDEX(_翻訳マスタ!$B$89:$D$89,1,MATCH(言語切替!$B$3,_翻訳マスタ!$B$1:$D$1,0)),IF(T73&gt;=1,INDEX(_翻訳マスタ!$B$93:$D$93,1,MATCH(言語切替!$B$3,_翻訳マスタ!$B$1:$D$1,0)),IF(T73&gt;=0.8,INDEX(_翻訳マスタ!$B$91:$D$91,1,MATCH(言語切替!$B$3,_翻訳マスタ!$B$1:$D$1,0)),INDEX(_翻訳マスタ!$B$94:$D$94,1,MATCH(言語切替!$B$3,_翻訳マスタ!$B$1:$D$1,0))))))</f>
        <v/>
      </c>
      <c r="V73" s="31"/>
      <c r="W73" s="30"/>
      <c r="X73" s="46" t="str">
        <f t="shared" ref="X73:X104" si="29">IF(W73="","",_xlfn.TRANSLATE(W73,"vi","ja"))</f>
        <v/>
      </c>
      <c r="Y73" s="46" t="str">
        <f t="shared" ref="Y73:Y104" si="30">IF(W73="","",_xlfn.TRANSLATE(W73,"vi","zh-Hans"))</f>
        <v/>
      </c>
      <c r="Z73" s="37"/>
      <c r="AA73" s="52" t="str">
        <f t="shared" ref="AA73:AA104" si="31">IF(Z73="","",_xlfn.TRANSLATE(Z73,"vi","ja"))</f>
        <v/>
      </c>
      <c r="AB73" s="52" t="str">
        <f t="shared" ref="AB73:AB104" si="32">IF(Z73="","",_xlfn.TRANSLATE(Z73,"vi","zh-Hans"))</f>
        <v/>
      </c>
    </row>
    <row r="74" spans="1:28" s="22" customFormat="1" x14ac:dyDescent="0.25">
      <c r="A74" s="26"/>
      <c r="B74" s="27"/>
      <c r="C74" s="27"/>
      <c r="D74" s="27"/>
      <c r="E74" s="45" t="str">
        <f t="shared" si="23"/>
        <v/>
      </c>
      <c r="F74" s="45" t="str">
        <f t="shared" si="24"/>
        <v/>
      </c>
      <c r="G74" s="27"/>
      <c r="H74" s="45" t="str">
        <f t="shared" si="25"/>
        <v/>
      </c>
      <c r="I74" s="45" t="str">
        <f t="shared" si="26"/>
        <v/>
      </c>
      <c r="J74" s="27"/>
      <c r="K74" s="45" t="str">
        <f t="shared" si="27"/>
        <v/>
      </c>
      <c r="L74" s="45" t="str">
        <f t="shared" si="28"/>
        <v/>
      </c>
      <c r="M74" s="27"/>
      <c r="N74" s="27"/>
      <c r="O74" s="27"/>
      <c r="P74" s="27"/>
      <c r="Q74" s="27"/>
      <c r="R74" s="27"/>
      <c r="S74" s="27"/>
      <c r="T74" s="49" t="str">
        <f t="shared" si="22"/>
        <v/>
      </c>
      <c r="U74" s="13" t="str">
        <f>IF(A74="","",IF(T74="",INDEX(_翻訳マスタ!$B$89:$D$89,1,MATCH(言語切替!$B$3,_翻訳マスタ!$B$1:$D$1,0)),IF(T74&gt;=1,INDEX(_翻訳マスタ!$B$93:$D$93,1,MATCH(言語切替!$B$3,_翻訳マスタ!$B$1:$D$1,0)),IF(T74&gt;=0.8,INDEX(_翻訳マスタ!$B$91:$D$91,1,MATCH(言語切替!$B$3,_翻訳マスタ!$B$1:$D$1,0)),INDEX(_翻訳マスタ!$B$94:$D$94,1,MATCH(言語切替!$B$3,_翻訳マスタ!$B$1:$D$1,0))))))</f>
        <v/>
      </c>
      <c r="V74" s="28"/>
      <c r="W74" s="27"/>
      <c r="X74" s="45" t="str">
        <f t="shared" si="29"/>
        <v/>
      </c>
      <c r="Y74" s="45" t="str">
        <f t="shared" si="30"/>
        <v/>
      </c>
      <c r="Z74" s="36"/>
      <c r="AA74" s="53" t="str">
        <f t="shared" si="31"/>
        <v/>
      </c>
      <c r="AB74" s="53" t="str">
        <f t="shared" si="32"/>
        <v/>
      </c>
    </row>
    <row r="75" spans="1:28" s="22" customFormat="1" x14ac:dyDescent="0.25">
      <c r="A75" s="29"/>
      <c r="B75" s="30"/>
      <c r="C75" s="30"/>
      <c r="D75" s="30"/>
      <c r="E75" s="46" t="str">
        <f t="shared" si="23"/>
        <v/>
      </c>
      <c r="F75" s="46" t="str">
        <f t="shared" si="24"/>
        <v/>
      </c>
      <c r="G75" s="30"/>
      <c r="H75" s="46" t="str">
        <f t="shared" si="25"/>
        <v/>
      </c>
      <c r="I75" s="46" t="str">
        <f t="shared" si="26"/>
        <v/>
      </c>
      <c r="J75" s="30"/>
      <c r="K75" s="46" t="str">
        <f t="shared" si="27"/>
        <v/>
      </c>
      <c r="L75" s="46" t="str">
        <f t="shared" si="28"/>
        <v/>
      </c>
      <c r="M75" s="30"/>
      <c r="N75" s="30"/>
      <c r="O75" s="30"/>
      <c r="P75" s="30"/>
      <c r="Q75" s="30"/>
      <c r="R75" s="30"/>
      <c r="S75" s="30"/>
      <c r="T75" s="50" t="str">
        <f t="shared" si="22"/>
        <v/>
      </c>
      <c r="U75" s="16" t="str">
        <f>IF(A75="","",IF(T75="",INDEX(_翻訳マスタ!$B$89:$D$89,1,MATCH(言語切替!$B$3,_翻訳マスタ!$B$1:$D$1,0)),IF(T75&gt;=1,INDEX(_翻訳マスタ!$B$93:$D$93,1,MATCH(言語切替!$B$3,_翻訳マスタ!$B$1:$D$1,0)),IF(T75&gt;=0.8,INDEX(_翻訳マスタ!$B$91:$D$91,1,MATCH(言語切替!$B$3,_翻訳マスタ!$B$1:$D$1,0)),INDEX(_翻訳マスタ!$B$94:$D$94,1,MATCH(言語切替!$B$3,_翻訳マスタ!$B$1:$D$1,0))))))</f>
        <v/>
      </c>
      <c r="V75" s="31"/>
      <c r="W75" s="30"/>
      <c r="X75" s="46" t="str">
        <f t="shared" si="29"/>
        <v/>
      </c>
      <c r="Y75" s="46" t="str">
        <f t="shared" si="30"/>
        <v/>
      </c>
      <c r="Z75" s="37"/>
      <c r="AA75" s="52" t="str">
        <f t="shared" si="31"/>
        <v/>
      </c>
      <c r="AB75" s="52" t="str">
        <f t="shared" si="32"/>
        <v/>
      </c>
    </row>
    <row r="76" spans="1:28" s="22" customFormat="1" x14ac:dyDescent="0.25">
      <c r="A76" s="26"/>
      <c r="B76" s="27"/>
      <c r="C76" s="27"/>
      <c r="D76" s="27"/>
      <c r="E76" s="45" t="str">
        <f t="shared" si="23"/>
        <v/>
      </c>
      <c r="F76" s="45" t="str">
        <f t="shared" si="24"/>
        <v/>
      </c>
      <c r="G76" s="27"/>
      <c r="H76" s="45" t="str">
        <f t="shared" si="25"/>
        <v/>
      </c>
      <c r="I76" s="45" t="str">
        <f t="shared" si="26"/>
        <v/>
      </c>
      <c r="J76" s="27"/>
      <c r="K76" s="45" t="str">
        <f t="shared" si="27"/>
        <v/>
      </c>
      <c r="L76" s="45" t="str">
        <f t="shared" si="28"/>
        <v/>
      </c>
      <c r="M76" s="27"/>
      <c r="N76" s="27"/>
      <c r="O76" s="27"/>
      <c r="P76" s="27"/>
      <c r="Q76" s="27"/>
      <c r="R76" s="27"/>
      <c r="S76" s="27"/>
      <c r="T76" s="49" t="str">
        <f t="shared" si="22"/>
        <v/>
      </c>
      <c r="U76" s="13" t="str">
        <f>IF(A76="","",IF(T76="",INDEX(_翻訳マスタ!$B$89:$D$89,1,MATCH(言語切替!$B$3,_翻訳マスタ!$B$1:$D$1,0)),IF(T76&gt;=1,INDEX(_翻訳マスタ!$B$93:$D$93,1,MATCH(言語切替!$B$3,_翻訳マスタ!$B$1:$D$1,0)),IF(T76&gt;=0.8,INDEX(_翻訳マスタ!$B$91:$D$91,1,MATCH(言語切替!$B$3,_翻訳マスタ!$B$1:$D$1,0)),INDEX(_翻訳マスタ!$B$94:$D$94,1,MATCH(言語切替!$B$3,_翻訳マスタ!$B$1:$D$1,0))))))</f>
        <v/>
      </c>
      <c r="V76" s="28"/>
      <c r="W76" s="27"/>
      <c r="X76" s="45" t="str">
        <f t="shared" si="29"/>
        <v/>
      </c>
      <c r="Y76" s="45" t="str">
        <f t="shared" si="30"/>
        <v/>
      </c>
      <c r="Z76" s="36"/>
      <c r="AA76" s="53" t="str">
        <f t="shared" si="31"/>
        <v/>
      </c>
      <c r="AB76" s="53" t="str">
        <f t="shared" si="32"/>
        <v/>
      </c>
    </row>
    <row r="77" spans="1:28" s="22" customFormat="1" x14ac:dyDescent="0.25">
      <c r="A77" s="29"/>
      <c r="B77" s="30"/>
      <c r="C77" s="30"/>
      <c r="D77" s="30"/>
      <c r="E77" s="46" t="str">
        <f t="shared" si="23"/>
        <v/>
      </c>
      <c r="F77" s="46" t="str">
        <f t="shared" si="24"/>
        <v/>
      </c>
      <c r="G77" s="30"/>
      <c r="H77" s="46" t="str">
        <f t="shared" si="25"/>
        <v/>
      </c>
      <c r="I77" s="46" t="str">
        <f t="shared" si="26"/>
        <v/>
      </c>
      <c r="J77" s="30"/>
      <c r="K77" s="46" t="str">
        <f t="shared" si="27"/>
        <v/>
      </c>
      <c r="L77" s="46" t="str">
        <f t="shared" si="28"/>
        <v/>
      </c>
      <c r="M77" s="30"/>
      <c r="N77" s="30"/>
      <c r="O77" s="30"/>
      <c r="P77" s="30"/>
      <c r="Q77" s="30"/>
      <c r="R77" s="30"/>
      <c r="S77" s="30"/>
      <c r="T77" s="50" t="str">
        <f t="shared" si="22"/>
        <v/>
      </c>
      <c r="U77" s="16" t="str">
        <f>IF(A77="","",IF(T77="",INDEX(_翻訳マスタ!$B$89:$D$89,1,MATCH(言語切替!$B$3,_翻訳マスタ!$B$1:$D$1,0)),IF(T77&gt;=1,INDEX(_翻訳マスタ!$B$93:$D$93,1,MATCH(言語切替!$B$3,_翻訳マスタ!$B$1:$D$1,0)),IF(T77&gt;=0.8,INDEX(_翻訳マスタ!$B$91:$D$91,1,MATCH(言語切替!$B$3,_翻訳マスタ!$B$1:$D$1,0)),INDEX(_翻訳マスタ!$B$94:$D$94,1,MATCH(言語切替!$B$3,_翻訳マスタ!$B$1:$D$1,0))))))</f>
        <v/>
      </c>
      <c r="V77" s="31"/>
      <c r="W77" s="30"/>
      <c r="X77" s="46" t="str">
        <f t="shared" si="29"/>
        <v/>
      </c>
      <c r="Y77" s="46" t="str">
        <f t="shared" si="30"/>
        <v/>
      </c>
      <c r="Z77" s="37"/>
      <c r="AA77" s="52" t="str">
        <f t="shared" si="31"/>
        <v/>
      </c>
      <c r="AB77" s="52" t="str">
        <f t="shared" si="32"/>
        <v/>
      </c>
    </row>
    <row r="78" spans="1:28" s="22" customFormat="1" x14ac:dyDescent="0.25">
      <c r="A78" s="26"/>
      <c r="B78" s="27"/>
      <c r="C78" s="27"/>
      <c r="D78" s="27"/>
      <c r="E78" s="45" t="str">
        <f t="shared" si="23"/>
        <v/>
      </c>
      <c r="F78" s="45" t="str">
        <f t="shared" si="24"/>
        <v/>
      </c>
      <c r="G78" s="27"/>
      <c r="H78" s="45" t="str">
        <f t="shared" si="25"/>
        <v/>
      </c>
      <c r="I78" s="45" t="str">
        <f t="shared" si="26"/>
        <v/>
      </c>
      <c r="J78" s="27"/>
      <c r="K78" s="45" t="str">
        <f t="shared" si="27"/>
        <v/>
      </c>
      <c r="L78" s="45" t="str">
        <f t="shared" si="28"/>
        <v/>
      </c>
      <c r="M78" s="27"/>
      <c r="N78" s="27"/>
      <c r="O78" s="27"/>
      <c r="P78" s="27"/>
      <c r="Q78" s="27"/>
      <c r="R78" s="27"/>
      <c r="S78" s="27"/>
      <c r="T78" s="49" t="str">
        <f t="shared" si="22"/>
        <v/>
      </c>
      <c r="U78" s="13" t="str">
        <f>IF(A78="","",IF(T78="",INDEX(_翻訳マスタ!$B$89:$D$89,1,MATCH(言語切替!$B$3,_翻訳マスタ!$B$1:$D$1,0)),IF(T78&gt;=1,INDEX(_翻訳マスタ!$B$93:$D$93,1,MATCH(言語切替!$B$3,_翻訳マスタ!$B$1:$D$1,0)),IF(T78&gt;=0.8,INDEX(_翻訳マスタ!$B$91:$D$91,1,MATCH(言語切替!$B$3,_翻訳マスタ!$B$1:$D$1,0)),INDEX(_翻訳マスタ!$B$94:$D$94,1,MATCH(言語切替!$B$3,_翻訳マスタ!$B$1:$D$1,0))))))</f>
        <v/>
      </c>
      <c r="V78" s="28"/>
      <c r="W78" s="27"/>
      <c r="X78" s="45" t="str">
        <f t="shared" si="29"/>
        <v/>
      </c>
      <c r="Y78" s="45" t="str">
        <f t="shared" si="30"/>
        <v/>
      </c>
      <c r="Z78" s="36"/>
      <c r="AA78" s="53" t="str">
        <f t="shared" si="31"/>
        <v/>
      </c>
      <c r="AB78" s="53" t="str">
        <f t="shared" si="32"/>
        <v/>
      </c>
    </row>
    <row r="79" spans="1:28" s="22" customFormat="1" x14ac:dyDescent="0.25">
      <c r="A79" s="29"/>
      <c r="B79" s="30"/>
      <c r="C79" s="30"/>
      <c r="D79" s="30"/>
      <c r="E79" s="46" t="str">
        <f t="shared" si="23"/>
        <v/>
      </c>
      <c r="F79" s="46" t="str">
        <f t="shared" si="24"/>
        <v/>
      </c>
      <c r="G79" s="30"/>
      <c r="H79" s="46" t="str">
        <f t="shared" si="25"/>
        <v/>
      </c>
      <c r="I79" s="46" t="str">
        <f t="shared" si="26"/>
        <v/>
      </c>
      <c r="J79" s="30"/>
      <c r="K79" s="46" t="str">
        <f t="shared" si="27"/>
        <v/>
      </c>
      <c r="L79" s="46" t="str">
        <f t="shared" si="28"/>
        <v/>
      </c>
      <c r="M79" s="30"/>
      <c r="N79" s="30"/>
      <c r="O79" s="30"/>
      <c r="P79" s="30"/>
      <c r="Q79" s="30"/>
      <c r="R79" s="30"/>
      <c r="S79" s="30"/>
      <c r="T79" s="50" t="str">
        <f t="shared" si="22"/>
        <v/>
      </c>
      <c r="U79" s="16" t="str">
        <f>IF(A79="","",IF(T79="",INDEX(_翻訳マスタ!$B$89:$D$89,1,MATCH(言語切替!$B$3,_翻訳マスタ!$B$1:$D$1,0)),IF(T79&gt;=1,INDEX(_翻訳マスタ!$B$93:$D$93,1,MATCH(言語切替!$B$3,_翻訳マスタ!$B$1:$D$1,0)),IF(T79&gt;=0.8,INDEX(_翻訳マスタ!$B$91:$D$91,1,MATCH(言語切替!$B$3,_翻訳マスタ!$B$1:$D$1,0)),INDEX(_翻訳マスタ!$B$94:$D$94,1,MATCH(言語切替!$B$3,_翻訳マスタ!$B$1:$D$1,0))))))</f>
        <v/>
      </c>
      <c r="V79" s="31"/>
      <c r="W79" s="30"/>
      <c r="X79" s="46" t="str">
        <f t="shared" si="29"/>
        <v/>
      </c>
      <c r="Y79" s="46" t="str">
        <f t="shared" si="30"/>
        <v/>
      </c>
      <c r="Z79" s="37"/>
      <c r="AA79" s="52" t="str">
        <f t="shared" si="31"/>
        <v/>
      </c>
      <c r="AB79" s="52" t="str">
        <f t="shared" si="32"/>
        <v/>
      </c>
    </row>
    <row r="80" spans="1:28" s="22" customFormat="1" x14ac:dyDescent="0.25">
      <c r="A80" s="26"/>
      <c r="B80" s="27"/>
      <c r="C80" s="27"/>
      <c r="D80" s="27"/>
      <c r="E80" s="45" t="str">
        <f t="shared" si="23"/>
        <v/>
      </c>
      <c r="F80" s="45" t="str">
        <f t="shared" si="24"/>
        <v/>
      </c>
      <c r="G80" s="27"/>
      <c r="H80" s="45" t="str">
        <f t="shared" si="25"/>
        <v/>
      </c>
      <c r="I80" s="45" t="str">
        <f t="shared" si="26"/>
        <v/>
      </c>
      <c r="J80" s="27"/>
      <c r="K80" s="45" t="str">
        <f t="shared" si="27"/>
        <v/>
      </c>
      <c r="L80" s="45" t="str">
        <f t="shared" si="28"/>
        <v/>
      </c>
      <c r="M80" s="27"/>
      <c r="N80" s="27"/>
      <c r="O80" s="27"/>
      <c r="P80" s="27"/>
      <c r="Q80" s="27"/>
      <c r="R80" s="27"/>
      <c r="S80" s="27"/>
      <c r="T80" s="49" t="str">
        <f t="shared" si="22"/>
        <v/>
      </c>
      <c r="U80" s="13" t="str">
        <f>IF(A80="","",IF(T80="",INDEX(_翻訳マスタ!$B$89:$D$89,1,MATCH(言語切替!$B$3,_翻訳マスタ!$B$1:$D$1,0)),IF(T80&gt;=1,INDEX(_翻訳マスタ!$B$93:$D$93,1,MATCH(言語切替!$B$3,_翻訳マスタ!$B$1:$D$1,0)),IF(T80&gt;=0.8,INDEX(_翻訳マスタ!$B$91:$D$91,1,MATCH(言語切替!$B$3,_翻訳マスタ!$B$1:$D$1,0)),INDEX(_翻訳マスタ!$B$94:$D$94,1,MATCH(言語切替!$B$3,_翻訳マスタ!$B$1:$D$1,0))))))</f>
        <v/>
      </c>
      <c r="V80" s="28"/>
      <c r="W80" s="27"/>
      <c r="X80" s="45" t="str">
        <f t="shared" si="29"/>
        <v/>
      </c>
      <c r="Y80" s="45" t="str">
        <f t="shared" si="30"/>
        <v/>
      </c>
      <c r="Z80" s="36"/>
      <c r="AA80" s="53" t="str">
        <f t="shared" si="31"/>
        <v/>
      </c>
      <c r="AB80" s="53" t="str">
        <f t="shared" si="32"/>
        <v/>
      </c>
    </row>
    <row r="81" spans="1:28" s="22" customFormat="1" x14ac:dyDescent="0.25">
      <c r="A81" s="29"/>
      <c r="B81" s="30"/>
      <c r="C81" s="30"/>
      <c r="D81" s="30"/>
      <c r="E81" s="46" t="str">
        <f t="shared" si="23"/>
        <v/>
      </c>
      <c r="F81" s="46" t="str">
        <f t="shared" si="24"/>
        <v/>
      </c>
      <c r="G81" s="30"/>
      <c r="H81" s="46" t="str">
        <f t="shared" si="25"/>
        <v/>
      </c>
      <c r="I81" s="46" t="str">
        <f t="shared" si="26"/>
        <v/>
      </c>
      <c r="J81" s="30"/>
      <c r="K81" s="46" t="str">
        <f t="shared" si="27"/>
        <v/>
      </c>
      <c r="L81" s="46" t="str">
        <f t="shared" si="28"/>
        <v/>
      </c>
      <c r="M81" s="30"/>
      <c r="N81" s="30"/>
      <c r="O81" s="30"/>
      <c r="P81" s="30"/>
      <c r="Q81" s="30"/>
      <c r="R81" s="30"/>
      <c r="S81" s="30"/>
      <c r="T81" s="50" t="str">
        <f t="shared" si="22"/>
        <v/>
      </c>
      <c r="U81" s="16" t="str">
        <f>IF(A81="","",IF(T81="",INDEX(_翻訳マスタ!$B$89:$D$89,1,MATCH(言語切替!$B$3,_翻訳マスタ!$B$1:$D$1,0)),IF(T81&gt;=1,INDEX(_翻訳マスタ!$B$93:$D$93,1,MATCH(言語切替!$B$3,_翻訳マスタ!$B$1:$D$1,0)),IF(T81&gt;=0.8,INDEX(_翻訳マスタ!$B$91:$D$91,1,MATCH(言語切替!$B$3,_翻訳マスタ!$B$1:$D$1,0)),INDEX(_翻訳マスタ!$B$94:$D$94,1,MATCH(言語切替!$B$3,_翻訳マスタ!$B$1:$D$1,0))))))</f>
        <v/>
      </c>
      <c r="V81" s="31"/>
      <c r="W81" s="30"/>
      <c r="X81" s="46" t="str">
        <f t="shared" si="29"/>
        <v/>
      </c>
      <c r="Y81" s="46" t="str">
        <f t="shared" si="30"/>
        <v/>
      </c>
      <c r="Z81" s="37"/>
      <c r="AA81" s="52" t="str">
        <f t="shared" si="31"/>
        <v/>
      </c>
      <c r="AB81" s="52" t="str">
        <f t="shared" si="32"/>
        <v/>
      </c>
    </row>
    <row r="82" spans="1:28" s="22" customFormat="1" x14ac:dyDescent="0.25">
      <c r="A82" s="26"/>
      <c r="B82" s="27"/>
      <c r="C82" s="27"/>
      <c r="D82" s="27"/>
      <c r="E82" s="45" t="str">
        <f t="shared" si="23"/>
        <v/>
      </c>
      <c r="F82" s="45" t="str">
        <f t="shared" si="24"/>
        <v/>
      </c>
      <c r="G82" s="27"/>
      <c r="H82" s="45" t="str">
        <f t="shared" si="25"/>
        <v/>
      </c>
      <c r="I82" s="45" t="str">
        <f t="shared" si="26"/>
        <v/>
      </c>
      <c r="J82" s="27"/>
      <c r="K82" s="45" t="str">
        <f t="shared" si="27"/>
        <v/>
      </c>
      <c r="L82" s="45" t="str">
        <f t="shared" si="28"/>
        <v/>
      </c>
      <c r="M82" s="27"/>
      <c r="N82" s="27"/>
      <c r="O82" s="27"/>
      <c r="P82" s="27"/>
      <c r="Q82" s="27"/>
      <c r="R82" s="27"/>
      <c r="S82" s="27"/>
      <c r="T82" s="49" t="str">
        <f t="shared" si="22"/>
        <v/>
      </c>
      <c r="U82" s="13" t="str">
        <f>IF(A82="","",IF(T82="",INDEX(_翻訳マスタ!$B$89:$D$89,1,MATCH(言語切替!$B$3,_翻訳マスタ!$B$1:$D$1,0)),IF(T82&gt;=1,INDEX(_翻訳マスタ!$B$93:$D$93,1,MATCH(言語切替!$B$3,_翻訳マスタ!$B$1:$D$1,0)),IF(T82&gt;=0.8,INDEX(_翻訳マスタ!$B$91:$D$91,1,MATCH(言語切替!$B$3,_翻訳マスタ!$B$1:$D$1,0)),INDEX(_翻訳マスタ!$B$94:$D$94,1,MATCH(言語切替!$B$3,_翻訳マスタ!$B$1:$D$1,0))))))</f>
        <v/>
      </c>
      <c r="V82" s="28"/>
      <c r="W82" s="27"/>
      <c r="X82" s="45" t="str">
        <f t="shared" si="29"/>
        <v/>
      </c>
      <c r="Y82" s="45" t="str">
        <f t="shared" si="30"/>
        <v/>
      </c>
      <c r="Z82" s="36"/>
      <c r="AA82" s="53" t="str">
        <f t="shared" si="31"/>
        <v/>
      </c>
      <c r="AB82" s="53" t="str">
        <f t="shared" si="32"/>
        <v/>
      </c>
    </row>
    <row r="83" spans="1:28" s="22" customFormat="1" x14ac:dyDescent="0.25">
      <c r="A83" s="29"/>
      <c r="B83" s="30"/>
      <c r="C83" s="30"/>
      <c r="D83" s="30"/>
      <c r="E83" s="46" t="str">
        <f t="shared" si="23"/>
        <v/>
      </c>
      <c r="F83" s="46" t="str">
        <f t="shared" si="24"/>
        <v/>
      </c>
      <c r="G83" s="30"/>
      <c r="H83" s="46" t="str">
        <f t="shared" si="25"/>
        <v/>
      </c>
      <c r="I83" s="46" t="str">
        <f t="shared" si="26"/>
        <v/>
      </c>
      <c r="J83" s="30"/>
      <c r="K83" s="46" t="str">
        <f t="shared" si="27"/>
        <v/>
      </c>
      <c r="L83" s="46" t="str">
        <f t="shared" si="28"/>
        <v/>
      </c>
      <c r="M83" s="30"/>
      <c r="N83" s="30"/>
      <c r="O83" s="30"/>
      <c r="P83" s="30"/>
      <c r="Q83" s="30"/>
      <c r="R83" s="30"/>
      <c r="S83" s="30"/>
      <c r="T83" s="50" t="str">
        <f t="shared" si="22"/>
        <v/>
      </c>
      <c r="U83" s="16" t="str">
        <f>IF(A83="","",IF(T83="",INDEX(_翻訳マスタ!$B$89:$D$89,1,MATCH(言語切替!$B$3,_翻訳マスタ!$B$1:$D$1,0)),IF(T83&gt;=1,INDEX(_翻訳マスタ!$B$93:$D$93,1,MATCH(言語切替!$B$3,_翻訳マスタ!$B$1:$D$1,0)),IF(T83&gt;=0.8,INDEX(_翻訳マスタ!$B$91:$D$91,1,MATCH(言語切替!$B$3,_翻訳マスタ!$B$1:$D$1,0)),INDEX(_翻訳マスタ!$B$94:$D$94,1,MATCH(言語切替!$B$3,_翻訳マスタ!$B$1:$D$1,0))))))</f>
        <v/>
      </c>
      <c r="V83" s="31"/>
      <c r="W83" s="30"/>
      <c r="X83" s="46" t="str">
        <f t="shared" si="29"/>
        <v/>
      </c>
      <c r="Y83" s="46" t="str">
        <f t="shared" si="30"/>
        <v/>
      </c>
      <c r="Z83" s="37"/>
      <c r="AA83" s="52" t="str">
        <f t="shared" si="31"/>
        <v/>
      </c>
      <c r="AB83" s="52" t="str">
        <f t="shared" si="32"/>
        <v/>
      </c>
    </row>
    <row r="84" spans="1:28" s="22" customFormat="1" x14ac:dyDescent="0.25">
      <c r="A84" s="26"/>
      <c r="B84" s="27"/>
      <c r="C84" s="27"/>
      <c r="D84" s="27"/>
      <c r="E84" s="45" t="str">
        <f t="shared" si="23"/>
        <v/>
      </c>
      <c r="F84" s="45" t="str">
        <f t="shared" si="24"/>
        <v/>
      </c>
      <c r="G84" s="27"/>
      <c r="H84" s="45" t="str">
        <f t="shared" si="25"/>
        <v/>
      </c>
      <c r="I84" s="45" t="str">
        <f t="shared" si="26"/>
        <v/>
      </c>
      <c r="J84" s="27"/>
      <c r="K84" s="45" t="str">
        <f t="shared" si="27"/>
        <v/>
      </c>
      <c r="L84" s="45" t="str">
        <f t="shared" si="28"/>
        <v/>
      </c>
      <c r="M84" s="27"/>
      <c r="N84" s="27"/>
      <c r="O84" s="27"/>
      <c r="P84" s="27"/>
      <c r="Q84" s="27"/>
      <c r="R84" s="27"/>
      <c r="S84" s="27"/>
      <c r="T84" s="49" t="str">
        <f t="shared" si="22"/>
        <v/>
      </c>
      <c r="U84" s="13" t="str">
        <f>IF(A84="","",IF(T84="",INDEX(_翻訳マスタ!$B$89:$D$89,1,MATCH(言語切替!$B$3,_翻訳マスタ!$B$1:$D$1,0)),IF(T84&gt;=1,INDEX(_翻訳マスタ!$B$93:$D$93,1,MATCH(言語切替!$B$3,_翻訳マスタ!$B$1:$D$1,0)),IF(T84&gt;=0.8,INDEX(_翻訳マスタ!$B$91:$D$91,1,MATCH(言語切替!$B$3,_翻訳マスタ!$B$1:$D$1,0)),INDEX(_翻訳マスタ!$B$94:$D$94,1,MATCH(言語切替!$B$3,_翻訳マスタ!$B$1:$D$1,0))))))</f>
        <v/>
      </c>
      <c r="V84" s="28"/>
      <c r="W84" s="27"/>
      <c r="X84" s="45" t="str">
        <f t="shared" si="29"/>
        <v/>
      </c>
      <c r="Y84" s="45" t="str">
        <f t="shared" si="30"/>
        <v/>
      </c>
      <c r="Z84" s="36"/>
      <c r="AA84" s="53" t="str">
        <f t="shared" si="31"/>
        <v/>
      </c>
      <c r="AB84" s="53" t="str">
        <f t="shared" si="32"/>
        <v/>
      </c>
    </row>
    <row r="85" spans="1:28" s="22" customFormat="1" x14ac:dyDescent="0.25">
      <c r="A85" s="29"/>
      <c r="B85" s="30"/>
      <c r="C85" s="30"/>
      <c r="D85" s="30"/>
      <c r="E85" s="46" t="str">
        <f t="shared" si="23"/>
        <v/>
      </c>
      <c r="F85" s="46" t="str">
        <f t="shared" si="24"/>
        <v/>
      </c>
      <c r="G85" s="30"/>
      <c r="H85" s="46" t="str">
        <f t="shared" si="25"/>
        <v/>
      </c>
      <c r="I85" s="46" t="str">
        <f t="shared" si="26"/>
        <v/>
      </c>
      <c r="J85" s="30"/>
      <c r="K85" s="46" t="str">
        <f t="shared" si="27"/>
        <v/>
      </c>
      <c r="L85" s="46" t="str">
        <f t="shared" si="28"/>
        <v/>
      </c>
      <c r="M85" s="30"/>
      <c r="N85" s="30"/>
      <c r="O85" s="30"/>
      <c r="P85" s="30"/>
      <c r="Q85" s="30"/>
      <c r="R85" s="30"/>
      <c r="S85" s="30"/>
      <c r="T85" s="50" t="str">
        <f t="shared" si="22"/>
        <v/>
      </c>
      <c r="U85" s="16" t="str">
        <f>IF(A85="","",IF(T85="",INDEX(_翻訳マスタ!$B$89:$D$89,1,MATCH(言語切替!$B$3,_翻訳マスタ!$B$1:$D$1,0)),IF(T85&gt;=1,INDEX(_翻訳マスタ!$B$93:$D$93,1,MATCH(言語切替!$B$3,_翻訳マスタ!$B$1:$D$1,0)),IF(T85&gt;=0.8,INDEX(_翻訳マスタ!$B$91:$D$91,1,MATCH(言語切替!$B$3,_翻訳マスタ!$B$1:$D$1,0)),INDEX(_翻訳マスタ!$B$94:$D$94,1,MATCH(言語切替!$B$3,_翻訳マスタ!$B$1:$D$1,0))))))</f>
        <v/>
      </c>
      <c r="V85" s="31"/>
      <c r="W85" s="30"/>
      <c r="X85" s="46" t="str">
        <f t="shared" si="29"/>
        <v/>
      </c>
      <c r="Y85" s="46" t="str">
        <f t="shared" si="30"/>
        <v/>
      </c>
      <c r="Z85" s="37"/>
      <c r="AA85" s="52" t="str">
        <f t="shared" si="31"/>
        <v/>
      </c>
      <c r="AB85" s="52" t="str">
        <f t="shared" si="32"/>
        <v/>
      </c>
    </row>
    <row r="86" spans="1:28" s="22" customFormat="1" x14ac:dyDescent="0.25">
      <c r="A86" s="26"/>
      <c r="B86" s="27"/>
      <c r="C86" s="27"/>
      <c r="D86" s="27"/>
      <c r="E86" s="45" t="str">
        <f t="shared" si="23"/>
        <v/>
      </c>
      <c r="F86" s="45" t="str">
        <f t="shared" si="24"/>
        <v/>
      </c>
      <c r="G86" s="27"/>
      <c r="H86" s="45" t="str">
        <f t="shared" si="25"/>
        <v/>
      </c>
      <c r="I86" s="45" t="str">
        <f t="shared" si="26"/>
        <v/>
      </c>
      <c r="J86" s="27"/>
      <c r="K86" s="45" t="str">
        <f t="shared" si="27"/>
        <v/>
      </c>
      <c r="L86" s="45" t="str">
        <f t="shared" si="28"/>
        <v/>
      </c>
      <c r="M86" s="27"/>
      <c r="N86" s="27"/>
      <c r="O86" s="27"/>
      <c r="P86" s="27"/>
      <c r="Q86" s="27"/>
      <c r="R86" s="27"/>
      <c r="S86" s="27"/>
      <c r="T86" s="49" t="str">
        <f t="shared" si="22"/>
        <v/>
      </c>
      <c r="U86" s="13" t="str">
        <f>IF(A86="","",IF(T86="",INDEX(_翻訳マスタ!$B$89:$D$89,1,MATCH(言語切替!$B$3,_翻訳マスタ!$B$1:$D$1,0)),IF(T86&gt;=1,INDEX(_翻訳マスタ!$B$93:$D$93,1,MATCH(言語切替!$B$3,_翻訳マスタ!$B$1:$D$1,0)),IF(T86&gt;=0.8,INDEX(_翻訳マスタ!$B$91:$D$91,1,MATCH(言語切替!$B$3,_翻訳マスタ!$B$1:$D$1,0)),INDEX(_翻訳マスタ!$B$94:$D$94,1,MATCH(言語切替!$B$3,_翻訳マスタ!$B$1:$D$1,0))))))</f>
        <v/>
      </c>
      <c r="V86" s="28"/>
      <c r="W86" s="27"/>
      <c r="X86" s="45" t="str">
        <f t="shared" si="29"/>
        <v/>
      </c>
      <c r="Y86" s="45" t="str">
        <f t="shared" si="30"/>
        <v/>
      </c>
      <c r="Z86" s="36"/>
      <c r="AA86" s="53" t="str">
        <f t="shared" si="31"/>
        <v/>
      </c>
      <c r="AB86" s="53" t="str">
        <f t="shared" si="32"/>
        <v/>
      </c>
    </row>
    <row r="87" spans="1:28" s="22" customFormat="1" x14ac:dyDescent="0.25">
      <c r="A87" s="29"/>
      <c r="B87" s="30"/>
      <c r="C87" s="30"/>
      <c r="D87" s="30"/>
      <c r="E87" s="46" t="str">
        <f t="shared" si="23"/>
        <v/>
      </c>
      <c r="F87" s="46" t="str">
        <f t="shared" si="24"/>
        <v/>
      </c>
      <c r="G87" s="30"/>
      <c r="H87" s="46" t="str">
        <f t="shared" si="25"/>
        <v/>
      </c>
      <c r="I87" s="46" t="str">
        <f t="shared" si="26"/>
        <v/>
      </c>
      <c r="J87" s="30"/>
      <c r="K87" s="46" t="str">
        <f t="shared" si="27"/>
        <v/>
      </c>
      <c r="L87" s="46" t="str">
        <f t="shared" si="28"/>
        <v/>
      </c>
      <c r="M87" s="30"/>
      <c r="N87" s="30"/>
      <c r="O87" s="30"/>
      <c r="P87" s="30"/>
      <c r="Q87" s="30"/>
      <c r="R87" s="30"/>
      <c r="S87" s="30"/>
      <c r="T87" s="50" t="str">
        <f t="shared" si="22"/>
        <v/>
      </c>
      <c r="U87" s="16" t="str">
        <f>IF(A87="","",IF(T87="",INDEX(_翻訳マスタ!$B$89:$D$89,1,MATCH(言語切替!$B$3,_翻訳マスタ!$B$1:$D$1,0)),IF(T87&gt;=1,INDEX(_翻訳マスタ!$B$93:$D$93,1,MATCH(言語切替!$B$3,_翻訳マスタ!$B$1:$D$1,0)),IF(T87&gt;=0.8,INDEX(_翻訳マスタ!$B$91:$D$91,1,MATCH(言語切替!$B$3,_翻訳マスタ!$B$1:$D$1,0)),INDEX(_翻訳マスタ!$B$94:$D$94,1,MATCH(言語切替!$B$3,_翻訳マスタ!$B$1:$D$1,0))))))</f>
        <v/>
      </c>
      <c r="V87" s="31"/>
      <c r="W87" s="30"/>
      <c r="X87" s="46" t="str">
        <f t="shared" si="29"/>
        <v/>
      </c>
      <c r="Y87" s="46" t="str">
        <f t="shared" si="30"/>
        <v/>
      </c>
      <c r="Z87" s="37"/>
      <c r="AA87" s="52" t="str">
        <f t="shared" si="31"/>
        <v/>
      </c>
      <c r="AB87" s="52" t="str">
        <f t="shared" si="32"/>
        <v/>
      </c>
    </row>
    <row r="88" spans="1:28" s="22" customFormat="1" x14ac:dyDescent="0.25">
      <c r="A88" s="26"/>
      <c r="B88" s="27"/>
      <c r="C88" s="27"/>
      <c r="D88" s="27"/>
      <c r="E88" s="45" t="str">
        <f t="shared" si="23"/>
        <v/>
      </c>
      <c r="F88" s="45" t="str">
        <f t="shared" si="24"/>
        <v/>
      </c>
      <c r="G88" s="27"/>
      <c r="H88" s="45" t="str">
        <f t="shared" si="25"/>
        <v/>
      </c>
      <c r="I88" s="45" t="str">
        <f t="shared" si="26"/>
        <v/>
      </c>
      <c r="J88" s="27"/>
      <c r="K88" s="45" t="str">
        <f t="shared" si="27"/>
        <v/>
      </c>
      <c r="L88" s="45" t="str">
        <f t="shared" si="28"/>
        <v/>
      </c>
      <c r="M88" s="27"/>
      <c r="N88" s="27"/>
      <c r="O88" s="27"/>
      <c r="P88" s="27"/>
      <c r="Q88" s="27"/>
      <c r="R88" s="27"/>
      <c r="S88" s="27"/>
      <c r="T88" s="49" t="str">
        <f t="shared" si="22"/>
        <v/>
      </c>
      <c r="U88" s="13" t="str">
        <f>IF(A88="","",IF(T88="",INDEX(_翻訳マスタ!$B$89:$D$89,1,MATCH(言語切替!$B$3,_翻訳マスタ!$B$1:$D$1,0)),IF(T88&gt;=1,INDEX(_翻訳マスタ!$B$93:$D$93,1,MATCH(言語切替!$B$3,_翻訳マスタ!$B$1:$D$1,0)),IF(T88&gt;=0.8,INDEX(_翻訳マスタ!$B$91:$D$91,1,MATCH(言語切替!$B$3,_翻訳マスタ!$B$1:$D$1,0)),INDEX(_翻訳マスタ!$B$94:$D$94,1,MATCH(言語切替!$B$3,_翻訳マスタ!$B$1:$D$1,0))))))</f>
        <v/>
      </c>
      <c r="V88" s="28"/>
      <c r="W88" s="27"/>
      <c r="X88" s="45" t="str">
        <f t="shared" si="29"/>
        <v/>
      </c>
      <c r="Y88" s="45" t="str">
        <f t="shared" si="30"/>
        <v/>
      </c>
      <c r="Z88" s="36"/>
      <c r="AA88" s="53" t="str">
        <f t="shared" si="31"/>
        <v/>
      </c>
      <c r="AB88" s="53" t="str">
        <f t="shared" si="32"/>
        <v/>
      </c>
    </row>
    <row r="89" spans="1:28" s="22" customFormat="1" x14ac:dyDescent="0.25">
      <c r="A89" s="29"/>
      <c r="B89" s="30"/>
      <c r="C89" s="30"/>
      <c r="D89" s="30"/>
      <c r="E89" s="46" t="str">
        <f t="shared" si="23"/>
        <v/>
      </c>
      <c r="F89" s="46" t="str">
        <f t="shared" si="24"/>
        <v/>
      </c>
      <c r="G89" s="30"/>
      <c r="H89" s="46" t="str">
        <f t="shared" si="25"/>
        <v/>
      </c>
      <c r="I89" s="46" t="str">
        <f t="shared" si="26"/>
        <v/>
      </c>
      <c r="J89" s="30"/>
      <c r="K89" s="46" t="str">
        <f t="shared" si="27"/>
        <v/>
      </c>
      <c r="L89" s="46" t="str">
        <f t="shared" si="28"/>
        <v/>
      </c>
      <c r="M89" s="30"/>
      <c r="N89" s="30"/>
      <c r="O89" s="30"/>
      <c r="P89" s="30"/>
      <c r="Q89" s="30"/>
      <c r="R89" s="30"/>
      <c r="S89" s="30"/>
      <c r="T89" s="50" t="str">
        <f t="shared" si="22"/>
        <v/>
      </c>
      <c r="U89" s="16" t="str">
        <f>IF(A89="","",IF(T89="",INDEX(_翻訳マスタ!$B$89:$D$89,1,MATCH(言語切替!$B$3,_翻訳マスタ!$B$1:$D$1,0)),IF(T89&gt;=1,INDEX(_翻訳マスタ!$B$93:$D$93,1,MATCH(言語切替!$B$3,_翻訳マスタ!$B$1:$D$1,0)),IF(T89&gt;=0.8,INDEX(_翻訳マスタ!$B$91:$D$91,1,MATCH(言語切替!$B$3,_翻訳マスタ!$B$1:$D$1,0)),INDEX(_翻訳マスタ!$B$94:$D$94,1,MATCH(言語切替!$B$3,_翻訳マスタ!$B$1:$D$1,0))))))</f>
        <v/>
      </c>
      <c r="V89" s="31"/>
      <c r="W89" s="30"/>
      <c r="X89" s="46" t="str">
        <f t="shared" si="29"/>
        <v/>
      </c>
      <c r="Y89" s="46" t="str">
        <f t="shared" si="30"/>
        <v/>
      </c>
      <c r="Z89" s="37"/>
      <c r="AA89" s="52" t="str">
        <f t="shared" si="31"/>
        <v/>
      </c>
      <c r="AB89" s="52" t="str">
        <f t="shared" si="32"/>
        <v/>
      </c>
    </row>
    <row r="90" spans="1:28" s="22" customFormat="1" x14ac:dyDescent="0.25">
      <c r="A90" s="26"/>
      <c r="B90" s="27"/>
      <c r="C90" s="27"/>
      <c r="D90" s="27"/>
      <c r="E90" s="45" t="str">
        <f t="shared" si="23"/>
        <v/>
      </c>
      <c r="F90" s="45" t="str">
        <f t="shared" si="24"/>
        <v/>
      </c>
      <c r="G90" s="27"/>
      <c r="H90" s="45" t="str">
        <f t="shared" si="25"/>
        <v/>
      </c>
      <c r="I90" s="45" t="str">
        <f t="shared" si="26"/>
        <v/>
      </c>
      <c r="J90" s="27"/>
      <c r="K90" s="45" t="str">
        <f t="shared" si="27"/>
        <v/>
      </c>
      <c r="L90" s="45" t="str">
        <f t="shared" si="28"/>
        <v/>
      </c>
      <c r="M90" s="27"/>
      <c r="N90" s="27"/>
      <c r="O90" s="27"/>
      <c r="P90" s="27"/>
      <c r="Q90" s="27"/>
      <c r="R90" s="27"/>
      <c r="S90" s="27"/>
      <c r="T90" s="49" t="str">
        <f t="shared" si="22"/>
        <v/>
      </c>
      <c r="U90" s="13" t="str">
        <f>IF(A90="","",IF(T90="",INDEX(_翻訳マスタ!$B$89:$D$89,1,MATCH(言語切替!$B$3,_翻訳マスタ!$B$1:$D$1,0)),IF(T90&gt;=1,INDEX(_翻訳マスタ!$B$93:$D$93,1,MATCH(言語切替!$B$3,_翻訳マスタ!$B$1:$D$1,0)),IF(T90&gt;=0.8,INDEX(_翻訳マスタ!$B$91:$D$91,1,MATCH(言語切替!$B$3,_翻訳マスタ!$B$1:$D$1,0)),INDEX(_翻訳マスタ!$B$94:$D$94,1,MATCH(言語切替!$B$3,_翻訳マスタ!$B$1:$D$1,0))))))</f>
        <v/>
      </c>
      <c r="V90" s="28"/>
      <c r="W90" s="27"/>
      <c r="X90" s="45" t="str">
        <f t="shared" si="29"/>
        <v/>
      </c>
      <c r="Y90" s="45" t="str">
        <f t="shared" si="30"/>
        <v/>
      </c>
      <c r="Z90" s="36"/>
      <c r="AA90" s="53" t="str">
        <f t="shared" si="31"/>
        <v/>
      </c>
      <c r="AB90" s="53" t="str">
        <f t="shared" si="32"/>
        <v/>
      </c>
    </row>
    <row r="91" spans="1:28" s="22" customFormat="1" x14ac:dyDescent="0.25">
      <c r="A91" s="29"/>
      <c r="B91" s="30"/>
      <c r="C91" s="30"/>
      <c r="D91" s="30"/>
      <c r="E91" s="46" t="str">
        <f t="shared" si="23"/>
        <v/>
      </c>
      <c r="F91" s="46" t="str">
        <f t="shared" si="24"/>
        <v/>
      </c>
      <c r="G91" s="30"/>
      <c r="H91" s="46" t="str">
        <f t="shared" si="25"/>
        <v/>
      </c>
      <c r="I91" s="46" t="str">
        <f t="shared" si="26"/>
        <v/>
      </c>
      <c r="J91" s="30"/>
      <c r="K91" s="46" t="str">
        <f t="shared" si="27"/>
        <v/>
      </c>
      <c r="L91" s="46" t="str">
        <f t="shared" si="28"/>
        <v/>
      </c>
      <c r="M91" s="30"/>
      <c r="N91" s="30"/>
      <c r="O91" s="30"/>
      <c r="P91" s="30"/>
      <c r="Q91" s="30"/>
      <c r="R91" s="30"/>
      <c r="S91" s="30"/>
      <c r="T91" s="50" t="str">
        <f t="shared" si="22"/>
        <v/>
      </c>
      <c r="U91" s="16" t="str">
        <f>IF(A91="","",IF(T91="",INDEX(_翻訳マスタ!$B$89:$D$89,1,MATCH(言語切替!$B$3,_翻訳マスタ!$B$1:$D$1,0)),IF(T91&gt;=1,INDEX(_翻訳マスタ!$B$93:$D$93,1,MATCH(言語切替!$B$3,_翻訳マスタ!$B$1:$D$1,0)),IF(T91&gt;=0.8,INDEX(_翻訳マスタ!$B$91:$D$91,1,MATCH(言語切替!$B$3,_翻訳マスタ!$B$1:$D$1,0)),INDEX(_翻訳マスタ!$B$94:$D$94,1,MATCH(言語切替!$B$3,_翻訳マスタ!$B$1:$D$1,0))))))</f>
        <v/>
      </c>
      <c r="V91" s="31"/>
      <c r="W91" s="30"/>
      <c r="X91" s="46" t="str">
        <f t="shared" si="29"/>
        <v/>
      </c>
      <c r="Y91" s="46" t="str">
        <f t="shared" si="30"/>
        <v/>
      </c>
      <c r="Z91" s="37"/>
      <c r="AA91" s="52" t="str">
        <f t="shared" si="31"/>
        <v/>
      </c>
      <c r="AB91" s="52" t="str">
        <f t="shared" si="32"/>
        <v/>
      </c>
    </row>
    <row r="92" spans="1:28" s="22" customFormat="1" x14ac:dyDescent="0.25">
      <c r="A92" s="26"/>
      <c r="B92" s="27"/>
      <c r="C92" s="27"/>
      <c r="D92" s="27"/>
      <c r="E92" s="45" t="str">
        <f t="shared" si="23"/>
        <v/>
      </c>
      <c r="F92" s="45" t="str">
        <f t="shared" si="24"/>
        <v/>
      </c>
      <c r="G92" s="27"/>
      <c r="H92" s="45" t="str">
        <f t="shared" si="25"/>
        <v/>
      </c>
      <c r="I92" s="45" t="str">
        <f t="shared" si="26"/>
        <v/>
      </c>
      <c r="J92" s="27"/>
      <c r="K92" s="45" t="str">
        <f t="shared" si="27"/>
        <v/>
      </c>
      <c r="L92" s="45" t="str">
        <f t="shared" si="28"/>
        <v/>
      </c>
      <c r="M92" s="27"/>
      <c r="N92" s="27"/>
      <c r="O92" s="27"/>
      <c r="P92" s="27"/>
      <c r="Q92" s="27"/>
      <c r="R92" s="27"/>
      <c r="S92" s="27"/>
      <c r="T92" s="49" t="str">
        <f t="shared" si="22"/>
        <v/>
      </c>
      <c r="U92" s="13" t="str">
        <f>IF(A92="","",IF(T92="",INDEX(_翻訳マスタ!$B$89:$D$89,1,MATCH(言語切替!$B$3,_翻訳マスタ!$B$1:$D$1,0)),IF(T92&gt;=1,INDEX(_翻訳マスタ!$B$93:$D$93,1,MATCH(言語切替!$B$3,_翻訳マスタ!$B$1:$D$1,0)),IF(T92&gt;=0.8,INDEX(_翻訳マスタ!$B$91:$D$91,1,MATCH(言語切替!$B$3,_翻訳マスタ!$B$1:$D$1,0)),INDEX(_翻訳マスタ!$B$94:$D$94,1,MATCH(言語切替!$B$3,_翻訳マスタ!$B$1:$D$1,0))))))</f>
        <v/>
      </c>
      <c r="V92" s="28"/>
      <c r="W92" s="27"/>
      <c r="X92" s="45" t="str">
        <f t="shared" si="29"/>
        <v/>
      </c>
      <c r="Y92" s="45" t="str">
        <f t="shared" si="30"/>
        <v/>
      </c>
      <c r="Z92" s="36"/>
      <c r="AA92" s="53" t="str">
        <f t="shared" si="31"/>
        <v/>
      </c>
      <c r="AB92" s="53" t="str">
        <f t="shared" si="32"/>
        <v/>
      </c>
    </row>
    <row r="93" spans="1:28" s="22" customFormat="1" x14ac:dyDescent="0.25">
      <c r="A93" s="29"/>
      <c r="B93" s="30"/>
      <c r="C93" s="30"/>
      <c r="D93" s="30"/>
      <c r="E93" s="46" t="str">
        <f t="shared" si="23"/>
        <v/>
      </c>
      <c r="F93" s="46" t="str">
        <f t="shared" si="24"/>
        <v/>
      </c>
      <c r="G93" s="30"/>
      <c r="H93" s="46" t="str">
        <f t="shared" si="25"/>
        <v/>
      </c>
      <c r="I93" s="46" t="str">
        <f t="shared" si="26"/>
        <v/>
      </c>
      <c r="J93" s="30"/>
      <c r="K93" s="46" t="str">
        <f t="shared" si="27"/>
        <v/>
      </c>
      <c r="L93" s="46" t="str">
        <f t="shared" si="28"/>
        <v/>
      </c>
      <c r="M93" s="30"/>
      <c r="N93" s="30"/>
      <c r="O93" s="30"/>
      <c r="P93" s="30"/>
      <c r="Q93" s="30"/>
      <c r="R93" s="30"/>
      <c r="S93" s="30"/>
      <c r="T93" s="50" t="str">
        <f t="shared" si="22"/>
        <v/>
      </c>
      <c r="U93" s="16" t="str">
        <f>IF(A93="","",IF(T93="",INDEX(_翻訳マスタ!$B$89:$D$89,1,MATCH(言語切替!$B$3,_翻訳マスタ!$B$1:$D$1,0)),IF(T93&gt;=1,INDEX(_翻訳マスタ!$B$93:$D$93,1,MATCH(言語切替!$B$3,_翻訳マスタ!$B$1:$D$1,0)),IF(T93&gt;=0.8,INDEX(_翻訳マスタ!$B$91:$D$91,1,MATCH(言語切替!$B$3,_翻訳マスタ!$B$1:$D$1,0)),INDEX(_翻訳マスタ!$B$94:$D$94,1,MATCH(言語切替!$B$3,_翻訳マスタ!$B$1:$D$1,0))))))</f>
        <v/>
      </c>
      <c r="V93" s="31"/>
      <c r="W93" s="30"/>
      <c r="X93" s="46" t="str">
        <f t="shared" si="29"/>
        <v/>
      </c>
      <c r="Y93" s="46" t="str">
        <f t="shared" si="30"/>
        <v/>
      </c>
      <c r="Z93" s="37"/>
      <c r="AA93" s="52" t="str">
        <f t="shared" si="31"/>
        <v/>
      </c>
      <c r="AB93" s="52" t="str">
        <f t="shared" si="32"/>
        <v/>
      </c>
    </row>
    <row r="94" spans="1:28" s="22" customFormat="1" x14ac:dyDescent="0.25">
      <c r="A94" s="26"/>
      <c r="B94" s="27"/>
      <c r="C94" s="27"/>
      <c r="D94" s="27"/>
      <c r="E94" s="45" t="str">
        <f t="shared" si="23"/>
        <v/>
      </c>
      <c r="F94" s="45" t="str">
        <f t="shared" si="24"/>
        <v/>
      </c>
      <c r="G94" s="27"/>
      <c r="H94" s="45" t="str">
        <f t="shared" si="25"/>
        <v/>
      </c>
      <c r="I94" s="45" t="str">
        <f t="shared" si="26"/>
        <v/>
      </c>
      <c r="J94" s="27"/>
      <c r="K94" s="45" t="str">
        <f t="shared" si="27"/>
        <v/>
      </c>
      <c r="L94" s="45" t="str">
        <f t="shared" si="28"/>
        <v/>
      </c>
      <c r="M94" s="27"/>
      <c r="N94" s="27"/>
      <c r="O94" s="27"/>
      <c r="P94" s="27"/>
      <c r="Q94" s="27"/>
      <c r="R94" s="27"/>
      <c r="S94" s="27"/>
      <c r="T94" s="49" t="str">
        <f t="shared" si="22"/>
        <v/>
      </c>
      <c r="U94" s="13" t="str">
        <f>IF(A94="","",IF(T94="",INDEX(_翻訳マスタ!$B$89:$D$89,1,MATCH(言語切替!$B$3,_翻訳マスタ!$B$1:$D$1,0)),IF(T94&gt;=1,INDEX(_翻訳マスタ!$B$93:$D$93,1,MATCH(言語切替!$B$3,_翻訳マスタ!$B$1:$D$1,0)),IF(T94&gt;=0.8,INDEX(_翻訳マスタ!$B$91:$D$91,1,MATCH(言語切替!$B$3,_翻訳マスタ!$B$1:$D$1,0)),INDEX(_翻訳マスタ!$B$94:$D$94,1,MATCH(言語切替!$B$3,_翻訳マスタ!$B$1:$D$1,0))))))</f>
        <v/>
      </c>
      <c r="V94" s="28"/>
      <c r="W94" s="27"/>
      <c r="X94" s="45" t="str">
        <f t="shared" si="29"/>
        <v/>
      </c>
      <c r="Y94" s="45" t="str">
        <f t="shared" si="30"/>
        <v/>
      </c>
      <c r="Z94" s="36"/>
      <c r="AA94" s="53" t="str">
        <f t="shared" si="31"/>
        <v/>
      </c>
      <c r="AB94" s="53" t="str">
        <f t="shared" si="32"/>
        <v/>
      </c>
    </row>
    <row r="95" spans="1:28" s="22" customFormat="1" x14ac:dyDescent="0.25">
      <c r="A95" s="29"/>
      <c r="B95" s="30"/>
      <c r="C95" s="30"/>
      <c r="D95" s="30"/>
      <c r="E95" s="46" t="str">
        <f t="shared" si="23"/>
        <v/>
      </c>
      <c r="F95" s="46" t="str">
        <f t="shared" si="24"/>
        <v/>
      </c>
      <c r="G95" s="30"/>
      <c r="H95" s="46" t="str">
        <f t="shared" si="25"/>
        <v/>
      </c>
      <c r="I95" s="46" t="str">
        <f t="shared" si="26"/>
        <v/>
      </c>
      <c r="J95" s="30"/>
      <c r="K95" s="46" t="str">
        <f t="shared" si="27"/>
        <v/>
      </c>
      <c r="L95" s="46" t="str">
        <f t="shared" si="28"/>
        <v/>
      </c>
      <c r="M95" s="30"/>
      <c r="N95" s="30"/>
      <c r="O95" s="30"/>
      <c r="P95" s="30"/>
      <c r="Q95" s="30"/>
      <c r="R95" s="30"/>
      <c r="S95" s="30"/>
      <c r="T95" s="50" t="str">
        <f t="shared" si="22"/>
        <v/>
      </c>
      <c r="U95" s="16" t="str">
        <f>IF(A95="","",IF(T95="",INDEX(_翻訳マスタ!$B$89:$D$89,1,MATCH(言語切替!$B$3,_翻訳マスタ!$B$1:$D$1,0)),IF(T95&gt;=1,INDEX(_翻訳マスタ!$B$93:$D$93,1,MATCH(言語切替!$B$3,_翻訳マスタ!$B$1:$D$1,0)),IF(T95&gt;=0.8,INDEX(_翻訳マスタ!$B$91:$D$91,1,MATCH(言語切替!$B$3,_翻訳マスタ!$B$1:$D$1,0)),INDEX(_翻訳マスタ!$B$94:$D$94,1,MATCH(言語切替!$B$3,_翻訳マスタ!$B$1:$D$1,0))))))</f>
        <v/>
      </c>
      <c r="V95" s="31"/>
      <c r="W95" s="30"/>
      <c r="X95" s="46" t="str">
        <f t="shared" si="29"/>
        <v/>
      </c>
      <c r="Y95" s="46" t="str">
        <f t="shared" si="30"/>
        <v/>
      </c>
      <c r="Z95" s="37"/>
      <c r="AA95" s="52" t="str">
        <f t="shared" si="31"/>
        <v/>
      </c>
      <c r="AB95" s="52" t="str">
        <f t="shared" si="32"/>
        <v/>
      </c>
    </row>
    <row r="96" spans="1:28" s="22" customFormat="1" x14ac:dyDescent="0.25">
      <c r="A96" s="26"/>
      <c r="B96" s="27"/>
      <c r="C96" s="27"/>
      <c r="D96" s="27"/>
      <c r="E96" s="45" t="str">
        <f t="shared" si="23"/>
        <v/>
      </c>
      <c r="F96" s="45" t="str">
        <f t="shared" si="24"/>
        <v/>
      </c>
      <c r="G96" s="27"/>
      <c r="H96" s="45" t="str">
        <f t="shared" si="25"/>
        <v/>
      </c>
      <c r="I96" s="45" t="str">
        <f t="shared" si="26"/>
        <v/>
      </c>
      <c r="J96" s="27"/>
      <c r="K96" s="45" t="str">
        <f t="shared" si="27"/>
        <v/>
      </c>
      <c r="L96" s="45" t="str">
        <f t="shared" si="28"/>
        <v/>
      </c>
      <c r="M96" s="27"/>
      <c r="N96" s="27"/>
      <c r="O96" s="27"/>
      <c r="P96" s="27"/>
      <c r="Q96" s="27"/>
      <c r="R96" s="27"/>
      <c r="S96" s="27"/>
      <c r="T96" s="49" t="str">
        <f t="shared" si="22"/>
        <v/>
      </c>
      <c r="U96" s="13" t="str">
        <f>IF(A96="","",IF(T96="",INDEX(_翻訳マスタ!$B$89:$D$89,1,MATCH(言語切替!$B$3,_翻訳マスタ!$B$1:$D$1,0)),IF(T96&gt;=1,INDEX(_翻訳マスタ!$B$93:$D$93,1,MATCH(言語切替!$B$3,_翻訳マスタ!$B$1:$D$1,0)),IF(T96&gt;=0.8,INDEX(_翻訳マスタ!$B$91:$D$91,1,MATCH(言語切替!$B$3,_翻訳マスタ!$B$1:$D$1,0)),INDEX(_翻訳マスタ!$B$94:$D$94,1,MATCH(言語切替!$B$3,_翻訳マスタ!$B$1:$D$1,0))))))</f>
        <v/>
      </c>
      <c r="V96" s="28"/>
      <c r="W96" s="27"/>
      <c r="X96" s="45" t="str">
        <f t="shared" si="29"/>
        <v/>
      </c>
      <c r="Y96" s="45" t="str">
        <f t="shared" si="30"/>
        <v/>
      </c>
      <c r="Z96" s="36"/>
      <c r="AA96" s="53" t="str">
        <f t="shared" si="31"/>
        <v/>
      </c>
      <c r="AB96" s="53" t="str">
        <f t="shared" si="32"/>
        <v/>
      </c>
    </row>
    <row r="97" spans="1:28" s="22" customFormat="1" x14ac:dyDescent="0.25">
      <c r="A97" s="29"/>
      <c r="B97" s="30"/>
      <c r="C97" s="30"/>
      <c r="D97" s="30"/>
      <c r="E97" s="46" t="str">
        <f t="shared" si="23"/>
        <v/>
      </c>
      <c r="F97" s="46" t="str">
        <f t="shared" si="24"/>
        <v/>
      </c>
      <c r="G97" s="30"/>
      <c r="H97" s="46" t="str">
        <f t="shared" si="25"/>
        <v/>
      </c>
      <c r="I97" s="46" t="str">
        <f t="shared" si="26"/>
        <v/>
      </c>
      <c r="J97" s="30"/>
      <c r="K97" s="46" t="str">
        <f t="shared" si="27"/>
        <v/>
      </c>
      <c r="L97" s="46" t="str">
        <f t="shared" si="28"/>
        <v/>
      </c>
      <c r="M97" s="30"/>
      <c r="N97" s="30"/>
      <c r="O97" s="30"/>
      <c r="P97" s="30"/>
      <c r="Q97" s="30"/>
      <c r="R97" s="30"/>
      <c r="S97" s="30"/>
      <c r="T97" s="50" t="str">
        <f t="shared" si="22"/>
        <v/>
      </c>
      <c r="U97" s="16" t="str">
        <f>IF(A97="","",IF(T97="",INDEX(_翻訳マスタ!$B$89:$D$89,1,MATCH(言語切替!$B$3,_翻訳マスタ!$B$1:$D$1,0)),IF(T97&gt;=1,INDEX(_翻訳マスタ!$B$93:$D$93,1,MATCH(言語切替!$B$3,_翻訳マスタ!$B$1:$D$1,0)),IF(T97&gt;=0.8,INDEX(_翻訳マスタ!$B$91:$D$91,1,MATCH(言語切替!$B$3,_翻訳マスタ!$B$1:$D$1,0)),INDEX(_翻訳マスタ!$B$94:$D$94,1,MATCH(言語切替!$B$3,_翻訳マスタ!$B$1:$D$1,0))))))</f>
        <v/>
      </c>
      <c r="V97" s="31"/>
      <c r="W97" s="30"/>
      <c r="X97" s="46" t="str">
        <f t="shared" si="29"/>
        <v/>
      </c>
      <c r="Y97" s="46" t="str">
        <f t="shared" si="30"/>
        <v/>
      </c>
      <c r="Z97" s="37"/>
      <c r="AA97" s="52" t="str">
        <f t="shared" si="31"/>
        <v/>
      </c>
      <c r="AB97" s="52" t="str">
        <f t="shared" si="32"/>
        <v/>
      </c>
    </row>
    <row r="98" spans="1:28" s="22" customFormat="1" x14ac:dyDescent="0.25">
      <c r="A98" s="26"/>
      <c r="B98" s="27"/>
      <c r="C98" s="27"/>
      <c r="D98" s="27"/>
      <c r="E98" s="45" t="str">
        <f t="shared" si="23"/>
        <v/>
      </c>
      <c r="F98" s="45" t="str">
        <f t="shared" si="24"/>
        <v/>
      </c>
      <c r="G98" s="27"/>
      <c r="H98" s="45" t="str">
        <f t="shared" si="25"/>
        <v/>
      </c>
      <c r="I98" s="45" t="str">
        <f t="shared" si="26"/>
        <v/>
      </c>
      <c r="J98" s="27"/>
      <c r="K98" s="45" t="str">
        <f t="shared" si="27"/>
        <v/>
      </c>
      <c r="L98" s="45" t="str">
        <f t="shared" si="28"/>
        <v/>
      </c>
      <c r="M98" s="27"/>
      <c r="N98" s="27"/>
      <c r="O98" s="27"/>
      <c r="P98" s="27"/>
      <c r="Q98" s="27"/>
      <c r="R98" s="27"/>
      <c r="S98" s="27"/>
      <c r="T98" s="49" t="str">
        <f t="shared" si="22"/>
        <v/>
      </c>
      <c r="U98" s="13" t="str">
        <f>IF(A98="","",IF(T98="",INDEX(_翻訳マスタ!$B$89:$D$89,1,MATCH(言語切替!$B$3,_翻訳マスタ!$B$1:$D$1,0)),IF(T98&gt;=1,INDEX(_翻訳マスタ!$B$93:$D$93,1,MATCH(言語切替!$B$3,_翻訳マスタ!$B$1:$D$1,0)),IF(T98&gt;=0.8,INDEX(_翻訳マスタ!$B$91:$D$91,1,MATCH(言語切替!$B$3,_翻訳マスタ!$B$1:$D$1,0)),INDEX(_翻訳マスタ!$B$94:$D$94,1,MATCH(言語切替!$B$3,_翻訳マスタ!$B$1:$D$1,0))))))</f>
        <v/>
      </c>
      <c r="V98" s="28"/>
      <c r="W98" s="27"/>
      <c r="X98" s="45" t="str">
        <f t="shared" si="29"/>
        <v/>
      </c>
      <c r="Y98" s="45" t="str">
        <f t="shared" si="30"/>
        <v/>
      </c>
      <c r="Z98" s="36"/>
      <c r="AA98" s="53" t="str">
        <f t="shared" si="31"/>
        <v/>
      </c>
      <c r="AB98" s="53" t="str">
        <f t="shared" si="32"/>
        <v/>
      </c>
    </row>
    <row r="99" spans="1:28" s="22" customFormat="1" x14ac:dyDescent="0.25">
      <c r="A99" s="29"/>
      <c r="B99" s="30"/>
      <c r="C99" s="30"/>
      <c r="D99" s="30"/>
      <c r="E99" s="46" t="str">
        <f t="shared" si="23"/>
        <v/>
      </c>
      <c r="F99" s="46" t="str">
        <f t="shared" si="24"/>
        <v/>
      </c>
      <c r="G99" s="30"/>
      <c r="H99" s="46" t="str">
        <f t="shared" si="25"/>
        <v/>
      </c>
      <c r="I99" s="46" t="str">
        <f t="shared" si="26"/>
        <v/>
      </c>
      <c r="J99" s="30"/>
      <c r="K99" s="46" t="str">
        <f t="shared" si="27"/>
        <v/>
      </c>
      <c r="L99" s="46" t="str">
        <f t="shared" si="28"/>
        <v/>
      </c>
      <c r="M99" s="30"/>
      <c r="N99" s="30"/>
      <c r="O99" s="30"/>
      <c r="P99" s="30"/>
      <c r="Q99" s="30"/>
      <c r="R99" s="30"/>
      <c r="S99" s="30"/>
      <c r="T99" s="50" t="str">
        <f t="shared" si="22"/>
        <v/>
      </c>
      <c r="U99" s="16" t="str">
        <f>IF(A99="","",IF(T99="",INDEX(_翻訳マスタ!$B$89:$D$89,1,MATCH(言語切替!$B$3,_翻訳マスタ!$B$1:$D$1,0)),IF(T99&gt;=1,INDEX(_翻訳マスタ!$B$93:$D$93,1,MATCH(言語切替!$B$3,_翻訳マスタ!$B$1:$D$1,0)),IF(T99&gt;=0.8,INDEX(_翻訳マスタ!$B$91:$D$91,1,MATCH(言語切替!$B$3,_翻訳マスタ!$B$1:$D$1,0)),INDEX(_翻訳マスタ!$B$94:$D$94,1,MATCH(言語切替!$B$3,_翻訳マスタ!$B$1:$D$1,0))))))</f>
        <v/>
      </c>
      <c r="V99" s="31"/>
      <c r="W99" s="30"/>
      <c r="X99" s="46" t="str">
        <f t="shared" si="29"/>
        <v/>
      </c>
      <c r="Y99" s="46" t="str">
        <f t="shared" si="30"/>
        <v/>
      </c>
      <c r="Z99" s="37"/>
      <c r="AA99" s="52" t="str">
        <f t="shared" si="31"/>
        <v/>
      </c>
      <c r="AB99" s="52" t="str">
        <f t="shared" si="32"/>
        <v/>
      </c>
    </row>
    <row r="100" spans="1:28" s="22" customFormat="1" x14ac:dyDescent="0.25">
      <c r="A100" s="26"/>
      <c r="B100" s="27"/>
      <c r="C100" s="27"/>
      <c r="D100" s="27"/>
      <c r="E100" s="45" t="str">
        <f t="shared" si="23"/>
        <v/>
      </c>
      <c r="F100" s="45" t="str">
        <f t="shared" si="24"/>
        <v/>
      </c>
      <c r="G100" s="27"/>
      <c r="H100" s="45" t="str">
        <f t="shared" si="25"/>
        <v/>
      </c>
      <c r="I100" s="45" t="str">
        <f t="shared" si="26"/>
        <v/>
      </c>
      <c r="J100" s="27"/>
      <c r="K100" s="45" t="str">
        <f t="shared" si="27"/>
        <v/>
      </c>
      <c r="L100" s="45" t="str">
        <f t="shared" si="28"/>
        <v/>
      </c>
      <c r="M100" s="27"/>
      <c r="N100" s="27"/>
      <c r="O100" s="27"/>
      <c r="P100" s="27"/>
      <c r="Q100" s="27"/>
      <c r="R100" s="27"/>
      <c r="S100" s="27"/>
      <c r="T100" s="49" t="str">
        <f t="shared" si="22"/>
        <v/>
      </c>
      <c r="U100" s="13" t="str">
        <f>IF(A100="","",IF(T100="",INDEX(_翻訳マスタ!$B$89:$D$89,1,MATCH(言語切替!$B$3,_翻訳マスタ!$B$1:$D$1,0)),IF(T100&gt;=1,INDEX(_翻訳マスタ!$B$93:$D$93,1,MATCH(言語切替!$B$3,_翻訳マスタ!$B$1:$D$1,0)),IF(T100&gt;=0.8,INDEX(_翻訳マスタ!$B$91:$D$91,1,MATCH(言語切替!$B$3,_翻訳マスタ!$B$1:$D$1,0)),INDEX(_翻訳マスタ!$B$94:$D$94,1,MATCH(言語切替!$B$3,_翻訳マスタ!$B$1:$D$1,0))))))</f>
        <v/>
      </c>
      <c r="V100" s="28"/>
      <c r="W100" s="27"/>
      <c r="X100" s="45" t="str">
        <f t="shared" si="29"/>
        <v/>
      </c>
      <c r="Y100" s="45" t="str">
        <f t="shared" si="30"/>
        <v/>
      </c>
      <c r="Z100" s="36"/>
      <c r="AA100" s="53" t="str">
        <f t="shared" si="31"/>
        <v/>
      </c>
      <c r="AB100" s="53" t="str">
        <f t="shared" si="32"/>
        <v/>
      </c>
    </row>
    <row r="101" spans="1:28" s="22" customFormat="1" x14ac:dyDescent="0.25">
      <c r="A101" s="29"/>
      <c r="B101" s="30"/>
      <c r="C101" s="30"/>
      <c r="D101" s="30"/>
      <c r="E101" s="46" t="str">
        <f t="shared" si="23"/>
        <v/>
      </c>
      <c r="F101" s="46" t="str">
        <f t="shared" si="24"/>
        <v/>
      </c>
      <c r="G101" s="30"/>
      <c r="H101" s="46" t="str">
        <f t="shared" si="25"/>
        <v/>
      </c>
      <c r="I101" s="46" t="str">
        <f t="shared" si="26"/>
        <v/>
      </c>
      <c r="J101" s="30"/>
      <c r="K101" s="46" t="str">
        <f t="shared" si="27"/>
        <v/>
      </c>
      <c r="L101" s="46" t="str">
        <f t="shared" si="28"/>
        <v/>
      </c>
      <c r="M101" s="30"/>
      <c r="N101" s="30"/>
      <c r="O101" s="30"/>
      <c r="P101" s="30"/>
      <c r="Q101" s="30"/>
      <c r="R101" s="30"/>
      <c r="S101" s="30"/>
      <c r="T101" s="50" t="str">
        <f t="shared" ref="T101:T132" si="33">IF(OR(R101="",S101=""),"",IF(R101=0,"",S101/R101))</f>
        <v/>
      </c>
      <c r="U101" s="16" t="str">
        <f>IF(A101="","",IF(T101="",INDEX(_翻訳マスタ!$B$89:$D$89,1,MATCH(言語切替!$B$3,_翻訳マスタ!$B$1:$D$1,0)),IF(T101&gt;=1,INDEX(_翻訳マスタ!$B$93:$D$93,1,MATCH(言語切替!$B$3,_翻訳マスタ!$B$1:$D$1,0)),IF(T101&gt;=0.8,INDEX(_翻訳マスタ!$B$91:$D$91,1,MATCH(言語切替!$B$3,_翻訳マスタ!$B$1:$D$1,0)),INDEX(_翻訳マスタ!$B$94:$D$94,1,MATCH(言語切替!$B$3,_翻訳マスタ!$B$1:$D$1,0))))))</f>
        <v/>
      </c>
      <c r="V101" s="31"/>
      <c r="W101" s="30"/>
      <c r="X101" s="46" t="str">
        <f t="shared" si="29"/>
        <v/>
      </c>
      <c r="Y101" s="46" t="str">
        <f t="shared" si="30"/>
        <v/>
      </c>
      <c r="Z101" s="37"/>
      <c r="AA101" s="52" t="str">
        <f t="shared" si="31"/>
        <v/>
      </c>
      <c r="AB101" s="52" t="str">
        <f t="shared" si="32"/>
        <v/>
      </c>
    </row>
    <row r="102" spans="1:28" s="22" customFormat="1" x14ac:dyDescent="0.25">
      <c r="A102" s="26"/>
      <c r="B102" s="27"/>
      <c r="C102" s="27"/>
      <c r="D102" s="27"/>
      <c r="E102" s="45" t="str">
        <f t="shared" si="23"/>
        <v/>
      </c>
      <c r="F102" s="45" t="str">
        <f t="shared" si="24"/>
        <v/>
      </c>
      <c r="G102" s="27"/>
      <c r="H102" s="45" t="str">
        <f t="shared" si="25"/>
        <v/>
      </c>
      <c r="I102" s="45" t="str">
        <f t="shared" si="26"/>
        <v/>
      </c>
      <c r="J102" s="27"/>
      <c r="K102" s="45" t="str">
        <f t="shared" si="27"/>
        <v/>
      </c>
      <c r="L102" s="45" t="str">
        <f t="shared" si="28"/>
        <v/>
      </c>
      <c r="M102" s="27"/>
      <c r="N102" s="27"/>
      <c r="O102" s="27"/>
      <c r="P102" s="27"/>
      <c r="Q102" s="27"/>
      <c r="R102" s="27"/>
      <c r="S102" s="27"/>
      <c r="T102" s="49" t="str">
        <f t="shared" si="33"/>
        <v/>
      </c>
      <c r="U102" s="13" t="str">
        <f>IF(A102="","",IF(T102="",INDEX(_翻訳マスタ!$B$89:$D$89,1,MATCH(言語切替!$B$3,_翻訳マスタ!$B$1:$D$1,0)),IF(T102&gt;=1,INDEX(_翻訳マスタ!$B$93:$D$93,1,MATCH(言語切替!$B$3,_翻訳マスタ!$B$1:$D$1,0)),IF(T102&gt;=0.8,INDEX(_翻訳マスタ!$B$91:$D$91,1,MATCH(言語切替!$B$3,_翻訳マスタ!$B$1:$D$1,0)),INDEX(_翻訳マスタ!$B$94:$D$94,1,MATCH(言語切替!$B$3,_翻訳マスタ!$B$1:$D$1,0))))))</f>
        <v/>
      </c>
      <c r="V102" s="28"/>
      <c r="W102" s="27"/>
      <c r="X102" s="45" t="str">
        <f t="shared" si="29"/>
        <v/>
      </c>
      <c r="Y102" s="45" t="str">
        <f t="shared" si="30"/>
        <v/>
      </c>
      <c r="Z102" s="36"/>
      <c r="AA102" s="53" t="str">
        <f t="shared" si="31"/>
        <v/>
      </c>
      <c r="AB102" s="53" t="str">
        <f t="shared" si="32"/>
        <v/>
      </c>
    </row>
    <row r="103" spans="1:28" s="22" customFormat="1" x14ac:dyDescent="0.25">
      <c r="A103" s="29"/>
      <c r="B103" s="30"/>
      <c r="C103" s="30"/>
      <c r="D103" s="30"/>
      <c r="E103" s="46" t="str">
        <f t="shared" si="23"/>
        <v/>
      </c>
      <c r="F103" s="46" t="str">
        <f t="shared" si="24"/>
        <v/>
      </c>
      <c r="G103" s="30"/>
      <c r="H103" s="46" t="str">
        <f t="shared" si="25"/>
        <v/>
      </c>
      <c r="I103" s="46" t="str">
        <f t="shared" si="26"/>
        <v/>
      </c>
      <c r="J103" s="30"/>
      <c r="K103" s="46" t="str">
        <f t="shared" si="27"/>
        <v/>
      </c>
      <c r="L103" s="46" t="str">
        <f t="shared" si="28"/>
        <v/>
      </c>
      <c r="M103" s="30"/>
      <c r="N103" s="30"/>
      <c r="O103" s="30"/>
      <c r="P103" s="30"/>
      <c r="Q103" s="30"/>
      <c r="R103" s="30"/>
      <c r="S103" s="30"/>
      <c r="T103" s="50" t="str">
        <f t="shared" si="33"/>
        <v/>
      </c>
      <c r="U103" s="16" t="str">
        <f>IF(A103="","",IF(T103="",INDEX(_翻訳マスタ!$B$89:$D$89,1,MATCH(言語切替!$B$3,_翻訳マスタ!$B$1:$D$1,0)),IF(T103&gt;=1,INDEX(_翻訳マスタ!$B$93:$D$93,1,MATCH(言語切替!$B$3,_翻訳マスタ!$B$1:$D$1,0)),IF(T103&gt;=0.8,INDEX(_翻訳マスタ!$B$91:$D$91,1,MATCH(言語切替!$B$3,_翻訳マスタ!$B$1:$D$1,0)),INDEX(_翻訳マスタ!$B$94:$D$94,1,MATCH(言語切替!$B$3,_翻訳マスタ!$B$1:$D$1,0))))))</f>
        <v/>
      </c>
      <c r="V103" s="31"/>
      <c r="W103" s="30"/>
      <c r="X103" s="46" t="str">
        <f t="shared" si="29"/>
        <v/>
      </c>
      <c r="Y103" s="46" t="str">
        <f t="shared" si="30"/>
        <v/>
      </c>
      <c r="Z103" s="37"/>
      <c r="AA103" s="52" t="str">
        <f t="shared" si="31"/>
        <v/>
      </c>
      <c r="AB103" s="52" t="str">
        <f t="shared" si="32"/>
        <v/>
      </c>
    </row>
    <row r="104" spans="1:28" s="22" customFormat="1" x14ac:dyDescent="0.25">
      <c r="A104" s="26"/>
      <c r="B104" s="27"/>
      <c r="C104" s="27"/>
      <c r="D104" s="27"/>
      <c r="E104" s="45" t="str">
        <f t="shared" si="23"/>
        <v/>
      </c>
      <c r="F104" s="45" t="str">
        <f t="shared" si="24"/>
        <v/>
      </c>
      <c r="G104" s="27"/>
      <c r="H104" s="45" t="str">
        <f t="shared" si="25"/>
        <v/>
      </c>
      <c r="I104" s="45" t="str">
        <f t="shared" si="26"/>
        <v/>
      </c>
      <c r="J104" s="27"/>
      <c r="K104" s="45" t="str">
        <f t="shared" si="27"/>
        <v/>
      </c>
      <c r="L104" s="45" t="str">
        <f t="shared" si="28"/>
        <v/>
      </c>
      <c r="M104" s="27"/>
      <c r="N104" s="27"/>
      <c r="O104" s="27"/>
      <c r="P104" s="27"/>
      <c r="Q104" s="27"/>
      <c r="R104" s="27"/>
      <c r="S104" s="27"/>
      <c r="T104" s="49" t="str">
        <f t="shared" si="33"/>
        <v/>
      </c>
      <c r="U104" s="13" t="str">
        <f>IF(A104="","",IF(T104="",INDEX(_翻訳マスタ!$B$89:$D$89,1,MATCH(言語切替!$B$3,_翻訳マスタ!$B$1:$D$1,0)),IF(T104&gt;=1,INDEX(_翻訳マスタ!$B$93:$D$93,1,MATCH(言語切替!$B$3,_翻訳マスタ!$B$1:$D$1,0)),IF(T104&gt;=0.8,INDEX(_翻訳マスタ!$B$91:$D$91,1,MATCH(言語切替!$B$3,_翻訳マスタ!$B$1:$D$1,0)),INDEX(_翻訳マスタ!$B$94:$D$94,1,MATCH(言語切替!$B$3,_翻訳マスタ!$B$1:$D$1,0))))))</f>
        <v/>
      </c>
      <c r="V104" s="28"/>
      <c r="W104" s="27"/>
      <c r="X104" s="45" t="str">
        <f t="shared" si="29"/>
        <v/>
      </c>
      <c r="Y104" s="45" t="str">
        <f t="shared" si="30"/>
        <v/>
      </c>
      <c r="Z104" s="36"/>
      <c r="AA104" s="53" t="str">
        <f t="shared" si="31"/>
        <v/>
      </c>
      <c r="AB104" s="53" t="str">
        <f t="shared" si="32"/>
        <v/>
      </c>
    </row>
    <row r="105" spans="1:28" s="22" customFormat="1" x14ac:dyDescent="0.25">
      <c r="A105" s="29"/>
      <c r="B105" s="30"/>
      <c r="C105" s="30"/>
      <c r="D105" s="30"/>
      <c r="E105" s="46" t="str">
        <f t="shared" ref="E105:E136" si="34">IF(D105="","",_xlfn.TRANSLATE(D105,"vi","ja"))</f>
        <v/>
      </c>
      <c r="F105" s="46" t="str">
        <f t="shared" ref="F105:F136" si="35">IF(D105="","",_xlfn.TRANSLATE(D105,"vi","zh-Hans"))</f>
        <v/>
      </c>
      <c r="G105" s="30"/>
      <c r="H105" s="46" t="str">
        <f t="shared" ref="H105:H136" si="36">IF(G105="","",_xlfn.TRANSLATE(G105,"vi","ja"))</f>
        <v/>
      </c>
      <c r="I105" s="46" t="str">
        <f t="shared" ref="I105:I136" si="37">IF(G105="","",_xlfn.TRANSLATE(G105,"vi","zh-Hans"))</f>
        <v/>
      </c>
      <c r="J105" s="30"/>
      <c r="K105" s="46" t="str">
        <f t="shared" ref="K105:K136" si="38">IF(J105="","",_xlfn.TRANSLATE(J105,"vi","ja"))</f>
        <v/>
      </c>
      <c r="L105" s="46" t="str">
        <f t="shared" ref="L105:L136" si="39">IF(J105="","",_xlfn.TRANSLATE(J105,"vi","zh-Hans"))</f>
        <v/>
      </c>
      <c r="M105" s="30"/>
      <c r="N105" s="30"/>
      <c r="O105" s="30"/>
      <c r="P105" s="30"/>
      <c r="Q105" s="30"/>
      <c r="R105" s="30"/>
      <c r="S105" s="30"/>
      <c r="T105" s="50" t="str">
        <f t="shared" si="33"/>
        <v/>
      </c>
      <c r="U105" s="16" t="str">
        <f>IF(A105="","",IF(T105="",INDEX(_翻訳マスタ!$B$89:$D$89,1,MATCH(言語切替!$B$3,_翻訳マスタ!$B$1:$D$1,0)),IF(T105&gt;=1,INDEX(_翻訳マスタ!$B$93:$D$93,1,MATCH(言語切替!$B$3,_翻訳マスタ!$B$1:$D$1,0)),IF(T105&gt;=0.8,INDEX(_翻訳マスタ!$B$91:$D$91,1,MATCH(言語切替!$B$3,_翻訳マスタ!$B$1:$D$1,0)),INDEX(_翻訳マスタ!$B$94:$D$94,1,MATCH(言語切替!$B$3,_翻訳マスタ!$B$1:$D$1,0))))))</f>
        <v/>
      </c>
      <c r="V105" s="31"/>
      <c r="W105" s="30"/>
      <c r="X105" s="46" t="str">
        <f t="shared" ref="X105:X136" si="40">IF(W105="","",_xlfn.TRANSLATE(W105,"vi","ja"))</f>
        <v/>
      </c>
      <c r="Y105" s="46" t="str">
        <f t="shared" ref="Y105:Y136" si="41">IF(W105="","",_xlfn.TRANSLATE(W105,"vi","zh-Hans"))</f>
        <v/>
      </c>
      <c r="Z105" s="37"/>
      <c r="AA105" s="52" t="str">
        <f t="shared" ref="AA105:AA136" si="42">IF(Z105="","",_xlfn.TRANSLATE(Z105,"vi","ja"))</f>
        <v/>
      </c>
      <c r="AB105" s="52" t="str">
        <f t="shared" ref="AB105:AB136" si="43">IF(Z105="","",_xlfn.TRANSLATE(Z105,"vi","zh-Hans"))</f>
        <v/>
      </c>
    </row>
    <row r="106" spans="1:28" s="22" customFormat="1" x14ac:dyDescent="0.25">
      <c r="A106" s="26"/>
      <c r="B106" s="27"/>
      <c r="C106" s="27"/>
      <c r="D106" s="27"/>
      <c r="E106" s="45" t="str">
        <f t="shared" si="34"/>
        <v/>
      </c>
      <c r="F106" s="45" t="str">
        <f t="shared" si="35"/>
        <v/>
      </c>
      <c r="G106" s="27"/>
      <c r="H106" s="45" t="str">
        <f t="shared" si="36"/>
        <v/>
      </c>
      <c r="I106" s="45" t="str">
        <f t="shared" si="37"/>
        <v/>
      </c>
      <c r="J106" s="27"/>
      <c r="K106" s="45" t="str">
        <f t="shared" si="38"/>
        <v/>
      </c>
      <c r="L106" s="45" t="str">
        <f t="shared" si="39"/>
        <v/>
      </c>
      <c r="M106" s="27"/>
      <c r="N106" s="27"/>
      <c r="O106" s="27"/>
      <c r="P106" s="27"/>
      <c r="Q106" s="27"/>
      <c r="R106" s="27"/>
      <c r="S106" s="27"/>
      <c r="T106" s="49" t="str">
        <f t="shared" si="33"/>
        <v/>
      </c>
      <c r="U106" s="13" t="str">
        <f>IF(A106="","",IF(T106="",INDEX(_翻訳マスタ!$B$89:$D$89,1,MATCH(言語切替!$B$3,_翻訳マスタ!$B$1:$D$1,0)),IF(T106&gt;=1,INDEX(_翻訳マスタ!$B$93:$D$93,1,MATCH(言語切替!$B$3,_翻訳マスタ!$B$1:$D$1,0)),IF(T106&gt;=0.8,INDEX(_翻訳マスタ!$B$91:$D$91,1,MATCH(言語切替!$B$3,_翻訳マスタ!$B$1:$D$1,0)),INDEX(_翻訳マスタ!$B$94:$D$94,1,MATCH(言語切替!$B$3,_翻訳マスタ!$B$1:$D$1,0))))))</f>
        <v/>
      </c>
      <c r="V106" s="28"/>
      <c r="W106" s="27"/>
      <c r="X106" s="45" t="str">
        <f t="shared" si="40"/>
        <v/>
      </c>
      <c r="Y106" s="45" t="str">
        <f t="shared" si="41"/>
        <v/>
      </c>
      <c r="Z106" s="36"/>
      <c r="AA106" s="53" t="str">
        <f t="shared" si="42"/>
        <v/>
      </c>
      <c r="AB106" s="53" t="str">
        <f t="shared" si="43"/>
        <v/>
      </c>
    </row>
    <row r="107" spans="1:28" s="22" customFormat="1" x14ac:dyDescent="0.25">
      <c r="A107" s="29"/>
      <c r="B107" s="30"/>
      <c r="C107" s="30"/>
      <c r="D107" s="30"/>
      <c r="E107" s="46" t="str">
        <f t="shared" si="34"/>
        <v/>
      </c>
      <c r="F107" s="46" t="str">
        <f t="shared" si="35"/>
        <v/>
      </c>
      <c r="G107" s="30"/>
      <c r="H107" s="46" t="str">
        <f t="shared" si="36"/>
        <v/>
      </c>
      <c r="I107" s="46" t="str">
        <f t="shared" si="37"/>
        <v/>
      </c>
      <c r="J107" s="30"/>
      <c r="K107" s="46" t="str">
        <f t="shared" si="38"/>
        <v/>
      </c>
      <c r="L107" s="46" t="str">
        <f t="shared" si="39"/>
        <v/>
      </c>
      <c r="M107" s="30"/>
      <c r="N107" s="30"/>
      <c r="O107" s="30"/>
      <c r="P107" s="30"/>
      <c r="Q107" s="30"/>
      <c r="R107" s="30"/>
      <c r="S107" s="30"/>
      <c r="T107" s="50" t="str">
        <f t="shared" si="33"/>
        <v/>
      </c>
      <c r="U107" s="16" t="str">
        <f>IF(A107="","",IF(T107="",INDEX(_翻訳マスタ!$B$89:$D$89,1,MATCH(言語切替!$B$3,_翻訳マスタ!$B$1:$D$1,0)),IF(T107&gt;=1,INDEX(_翻訳マスタ!$B$93:$D$93,1,MATCH(言語切替!$B$3,_翻訳マスタ!$B$1:$D$1,0)),IF(T107&gt;=0.8,INDEX(_翻訳マスタ!$B$91:$D$91,1,MATCH(言語切替!$B$3,_翻訳マスタ!$B$1:$D$1,0)),INDEX(_翻訳マスタ!$B$94:$D$94,1,MATCH(言語切替!$B$3,_翻訳マスタ!$B$1:$D$1,0))))))</f>
        <v/>
      </c>
      <c r="V107" s="31"/>
      <c r="W107" s="30"/>
      <c r="X107" s="46" t="str">
        <f t="shared" si="40"/>
        <v/>
      </c>
      <c r="Y107" s="46" t="str">
        <f t="shared" si="41"/>
        <v/>
      </c>
      <c r="Z107" s="37"/>
      <c r="AA107" s="52" t="str">
        <f t="shared" si="42"/>
        <v/>
      </c>
      <c r="AB107" s="52" t="str">
        <f t="shared" si="43"/>
        <v/>
      </c>
    </row>
    <row r="108" spans="1:28" s="22" customFormat="1" x14ac:dyDescent="0.25">
      <c r="A108" s="26"/>
      <c r="B108" s="27"/>
      <c r="C108" s="27"/>
      <c r="D108" s="27"/>
      <c r="E108" s="45" t="str">
        <f t="shared" si="34"/>
        <v/>
      </c>
      <c r="F108" s="45" t="str">
        <f t="shared" si="35"/>
        <v/>
      </c>
      <c r="G108" s="27"/>
      <c r="H108" s="45" t="str">
        <f t="shared" si="36"/>
        <v/>
      </c>
      <c r="I108" s="45" t="str">
        <f t="shared" si="37"/>
        <v/>
      </c>
      <c r="J108" s="27"/>
      <c r="K108" s="45" t="str">
        <f t="shared" si="38"/>
        <v/>
      </c>
      <c r="L108" s="45" t="str">
        <f t="shared" si="39"/>
        <v/>
      </c>
      <c r="M108" s="27"/>
      <c r="N108" s="27"/>
      <c r="O108" s="27"/>
      <c r="P108" s="27"/>
      <c r="Q108" s="27"/>
      <c r="R108" s="27"/>
      <c r="S108" s="27"/>
      <c r="T108" s="49" t="str">
        <f t="shared" si="33"/>
        <v/>
      </c>
      <c r="U108" s="13" t="str">
        <f>IF(A108="","",IF(T108="",INDEX(_翻訳マスタ!$B$89:$D$89,1,MATCH(言語切替!$B$3,_翻訳マスタ!$B$1:$D$1,0)),IF(T108&gt;=1,INDEX(_翻訳マスタ!$B$93:$D$93,1,MATCH(言語切替!$B$3,_翻訳マスタ!$B$1:$D$1,0)),IF(T108&gt;=0.8,INDEX(_翻訳マスタ!$B$91:$D$91,1,MATCH(言語切替!$B$3,_翻訳マスタ!$B$1:$D$1,0)),INDEX(_翻訳マスタ!$B$94:$D$94,1,MATCH(言語切替!$B$3,_翻訳マスタ!$B$1:$D$1,0))))))</f>
        <v/>
      </c>
      <c r="V108" s="28"/>
      <c r="W108" s="27"/>
      <c r="X108" s="45" t="str">
        <f t="shared" si="40"/>
        <v/>
      </c>
      <c r="Y108" s="45" t="str">
        <f t="shared" si="41"/>
        <v/>
      </c>
      <c r="Z108" s="36"/>
      <c r="AA108" s="53" t="str">
        <f t="shared" si="42"/>
        <v/>
      </c>
      <c r="AB108" s="53" t="str">
        <f t="shared" si="43"/>
        <v/>
      </c>
    </row>
    <row r="109" spans="1:28" s="22" customFormat="1" x14ac:dyDescent="0.25">
      <c r="A109" s="29"/>
      <c r="B109" s="30"/>
      <c r="C109" s="30"/>
      <c r="D109" s="30"/>
      <c r="E109" s="46" t="str">
        <f t="shared" si="34"/>
        <v/>
      </c>
      <c r="F109" s="46" t="str">
        <f t="shared" si="35"/>
        <v/>
      </c>
      <c r="G109" s="30"/>
      <c r="H109" s="46" t="str">
        <f t="shared" si="36"/>
        <v/>
      </c>
      <c r="I109" s="46" t="str">
        <f t="shared" si="37"/>
        <v/>
      </c>
      <c r="J109" s="30"/>
      <c r="K109" s="46" t="str">
        <f t="shared" si="38"/>
        <v/>
      </c>
      <c r="L109" s="46" t="str">
        <f t="shared" si="39"/>
        <v/>
      </c>
      <c r="M109" s="30"/>
      <c r="N109" s="30"/>
      <c r="O109" s="30"/>
      <c r="P109" s="30"/>
      <c r="Q109" s="30"/>
      <c r="R109" s="30"/>
      <c r="S109" s="30"/>
      <c r="T109" s="50" t="str">
        <f t="shared" si="33"/>
        <v/>
      </c>
      <c r="U109" s="16" t="str">
        <f>IF(A109="","",IF(T109="",INDEX(_翻訳マスタ!$B$89:$D$89,1,MATCH(言語切替!$B$3,_翻訳マスタ!$B$1:$D$1,0)),IF(T109&gt;=1,INDEX(_翻訳マスタ!$B$93:$D$93,1,MATCH(言語切替!$B$3,_翻訳マスタ!$B$1:$D$1,0)),IF(T109&gt;=0.8,INDEX(_翻訳マスタ!$B$91:$D$91,1,MATCH(言語切替!$B$3,_翻訳マスタ!$B$1:$D$1,0)),INDEX(_翻訳マスタ!$B$94:$D$94,1,MATCH(言語切替!$B$3,_翻訳マスタ!$B$1:$D$1,0))))))</f>
        <v/>
      </c>
      <c r="V109" s="31"/>
      <c r="W109" s="30"/>
      <c r="X109" s="46" t="str">
        <f t="shared" si="40"/>
        <v/>
      </c>
      <c r="Y109" s="46" t="str">
        <f t="shared" si="41"/>
        <v/>
      </c>
      <c r="Z109" s="37"/>
      <c r="AA109" s="52" t="str">
        <f t="shared" si="42"/>
        <v/>
      </c>
      <c r="AB109" s="52" t="str">
        <f t="shared" si="43"/>
        <v/>
      </c>
    </row>
    <row r="110" spans="1:28" s="22" customFormat="1" x14ac:dyDescent="0.25">
      <c r="A110" s="26"/>
      <c r="B110" s="27"/>
      <c r="C110" s="27"/>
      <c r="D110" s="27"/>
      <c r="E110" s="45" t="str">
        <f t="shared" si="34"/>
        <v/>
      </c>
      <c r="F110" s="45" t="str">
        <f t="shared" si="35"/>
        <v/>
      </c>
      <c r="G110" s="27"/>
      <c r="H110" s="45" t="str">
        <f t="shared" si="36"/>
        <v/>
      </c>
      <c r="I110" s="45" t="str">
        <f t="shared" si="37"/>
        <v/>
      </c>
      <c r="J110" s="27"/>
      <c r="K110" s="45" t="str">
        <f t="shared" si="38"/>
        <v/>
      </c>
      <c r="L110" s="45" t="str">
        <f t="shared" si="39"/>
        <v/>
      </c>
      <c r="M110" s="27"/>
      <c r="N110" s="27"/>
      <c r="O110" s="27"/>
      <c r="P110" s="27"/>
      <c r="Q110" s="27"/>
      <c r="R110" s="27"/>
      <c r="S110" s="27"/>
      <c r="T110" s="49" t="str">
        <f t="shared" si="33"/>
        <v/>
      </c>
      <c r="U110" s="13" t="str">
        <f>IF(A110="","",IF(T110="",INDEX(_翻訳マスタ!$B$89:$D$89,1,MATCH(言語切替!$B$3,_翻訳マスタ!$B$1:$D$1,0)),IF(T110&gt;=1,INDEX(_翻訳マスタ!$B$93:$D$93,1,MATCH(言語切替!$B$3,_翻訳マスタ!$B$1:$D$1,0)),IF(T110&gt;=0.8,INDEX(_翻訳マスタ!$B$91:$D$91,1,MATCH(言語切替!$B$3,_翻訳マスタ!$B$1:$D$1,0)),INDEX(_翻訳マスタ!$B$94:$D$94,1,MATCH(言語切替!$B$3,_翻訳マスタ!$B$1:$D$1,0))))))</f>
        <v/>
      </c>
      <c r="V110" s="28"/>
      <c r="W110" s="27"/>
      <c r="X110" s="45" t="str">
        <f t="shared" si="40"/>
        <v/>
      </c>
      <c r="Y110" s="45" t="str">
        <f t="shared" si="41"/>
        <v/>
      </c>
      <c r="Z110" s="36"/>
      <c r="AA110" s="53" t="str">
        <f t="shared" si="42"/>
        <v/>
      </c>
      <c r="AB110" s="53" t="str">
        <f t="shared" si="43"/>
        <v/>
      </c>
    </row>
    <row r="111" spans="1:28" s="22" customFormat="1" x14ac:dyDescent="0.25">
      <c r="A111" s="29"/>
      <c r="B111" s="30"/>
      <c r="C111" s="30"/>
      <c r="D111" s="30"/>
      <c r="E111" s="46" t="str">
        <f t="shared" si="34"/>
        <v/>
      </c>
      <c r="F111" s="46" t="str">
        <f t="shared" si="35"/>
        <v/>
      </c>
      <c r="G111" s="30"/>
      <c r="H111" s="46" t="str">
        <f t="shared" si="36"/>
        <v/>
      </c>
      <c r="I111" s="46" t="str">
        <f t="shared" si="37"/>
        <v/>
      </c>
      <c r="J111" s="30"/>
      <c r="K111" s="46" t="str">
        <f t="shared" si="38"/>
        <v/>
      </c>
      <c r="L111" s="46" t="str">
        <f t="shared" si="39"/>
        <v/>
      </c>
      <c r="M111" s="30"/>
      <c r="N111" s="30"/>
      <c r="O111" s="30"/>
      <c r="P111" s="30"/>
      <c r="Q111" s="30"/>
      <c r="R111" s="30"/>
      <c r="S111" s="30"/>
      <c r="T111" s="50" t="str">
        <f t="shared" si="33"/>
        <v/>
      </c>
      <c r="U111" s="16" t="str">
        <f>IF(A111="","",IF(T111="",INDEX(_翻訳マスタ!$B$89:$D$89,1,MATCH(言語切替!$B$3,_翻訳マスタ!$B$1:$D$1,0)),IF(T111&gt;=1,INDEX(_翻訳マスタ!$B$93:$D$93,1,MATCH(言語切替!$B$3,_翻訳マスタ!$B$1:$D$1,0)),IF(T111&gt;=0.8,INDEX(_翻訳マスタ!$B$91:$D$91,1,MATCH(言語切替!$B$3,_翻訳マスタ!$B$1:$D$1,0)),INDEX(_翻訳マスタ!$B$94:$D$94,1,MATCH(言語切替!$B$3,_翻訳マスタ!$B$1:$D$1,0))))))</f>
        <v/>
      </c>
      <c r="V111" s="31"/>
      <c r="W111" s="30"/>
      <c r="X111" s="46" t="str">
        <f t="shared" si="40"/>
        <v/>
      </c>
      <c r="Y111" s="46" t="str">
        <f t="shared" si="41"/>
        <v/>
      </c>
      <c r="Z111" s="37"/>
      <c r="AA111" s="52" t="str">
        <f t="shared" si="42"/>
        <v/>
      </c>
      <c r="AB111" s="52" t="str">
        <f t="shared" si="43"/>
        <v/>
      </c>
    </row>
    <row r="112" spans="1:28" s="22" customFormat="1" x14ac:dyDescent="0.25">
      <c r="A112" s="26"/>
      <c r="B112" s="27"/>
      <c r="C112" s="27"/>
      <c r="D112" s="27"/>
      <c r="E112" s="45" t="str">
        <f t="shared" si="34"/>
        <v/>
      </c>
      <c r="F112" s="45" t="str">
        <f t="shared" si="35"/>
        <v/>
      </c>
      <c r="G112" s="27"/>
      <c r="H112" s="45" t="str">
        <f t="shared" si="36"/>
        <v/>
      </c>
      <c r="I112" s="45" t="str">
        <f t="shared" si="37"/>
        <v/>
      </c>
      <c r="J112" s="27"/>
      <c r="K112" s="45" t="str">
        <f t="shared" si="38"/>
        <v/>
      </c>
      <c r="L112" s="45" t="str">
        <f t="shared" si="39"/>
        <v/>
      </c>
      <c r="M112" s="27"/>
      <c r="N112" s="27"/>
      <c r="O112" s="27"/>
      <c r="P112" s="27"/>
      <c r="Q112" s="27"/>
      <c r="R112" s="27"/>
      <c r="S112" s="27"/>
      <c r="T112" s="49" t="str">
        <f t="shared" si="33"/>
        <v/>
      </c>
      <c r="U112" s="13" t="str">
        <f>IF(A112="","",IF(T112="",INDEX(_翻訳マスタ!$B$89:$D$89,1,MATCH(言語切替!$B$3,_翻訳マスタ!$B$1:$D$1,0)),IF(T112&gt;=1,INDEX(_翻訳マスタ!$B$93:$D$93,1,MATCH(言語切替!$B$3,_翻訳マスタ!$B$1:$D$1,0)),IF(T112&gt;=0.8,INDEX(_翻訳マスタ!$B$91:$D$91,1,MATCH(言語切替!$B$3,_翻訳マスタ!$B$1:$D$1,0)),INDEX(_翻訳マスタ!$B$94:$D$94,1,MATCH(言語切替!$B$3,_翻訳マスタ!$B$1:$D$1,0))))))</f>
        <v/>
      </c>
      <c r="V112" s="28"/>
      <c r="W112" s="27"/>
      <c r="X112" s="45" t="str">
        <f t="shared" si="40"/>
        <v/>
      </c>
      <c r="Y112" s="45" t="str">
        <f t="shared" si="41"/>
        <v/>
      </c>
      <c r="Z112" s="36"/>
      <c r="AA112" s="53" t="str">
        <f t="shared" si="42"/>
        <v/>
      </c>
      <c r="AB112" s="53" t="str">
        <f t="shared" si="43"/>
        <v/>
      </c>
    </row>
    <row r="113" spans="1:28" s="22" customFormat="1" x14ac:dyDescent="0.25">
      <c r="A113" s="29"/>
      <c r="B113" s="30"/>
      <c r="C113" s="30"/>
      <c r="D113" s="30"/>
      <c r="E113" s="46" t="str">
        <f t="shared" si="34"/>
        <v/>
      </c>
      <c r="F113" s="46" t="str">
        <f t="shared" si="35"/>
        <v/>
      </c>
      <c r="G113" s="30"/>
      <c r="H113" s="46" t="str">
        <f t="shared" si="36"/>
        <v/>
      </c>
      <c r="I113" s="46" t="str">
        <f t="shared" si="37"/>
        <v/>
      </c>
      <c r="J113" s="30"/>
      <c r="K113" s="46" t="str">
        <f t="shared" si="38"/>
        <v/>
      </c>
      <c r="L113" s="46" t="str">
        <f t="shared" si="39"/>
        <v/>
      </c>
      <c r="M113" s="30"/>
      <c r="N113" s="30"/>
      <c r="O113" s="30"/>
      <c r="P113" s="30"/>
      <c r="Q113" s="30"/>
      <c r="R113" s="30"/>
      <c r="S113" s="30"/>
      <c r="T113" s="50" t="str">
        <f t="shared" si="33"/>
        <v/>
      </c>
      <c r="U113" s="16" t="str">
        <f>IF(A113="","",IF(T113="",INDEX(_翻訳マスタ!$B$89:$D$89,1,MATCH(言語切替!$B$3,_翻訳マスタ!$B$1:$D$1,0)),IF(T113&gt;=1,INDEX(_翻訳マスタ!$B$93:$D$93,1,MATCH(言語切替!$B$3,_翻訳マスタ!$B$1:$D$1,0)),IF(T113&gt;=0.8,INDEX(_翻訳マスタ!$B$91:$D$91,1,MATCH(言語切替!$B$3,_翻訳マスタ!$B$1:$D$1,0)),INDEX(_翻訳マスタ!$B$94:$D$94,1,MATCH(言語切替!$B$3,_翻訳マスタ!$B$1:$D$1,0))))))</f>
        <v/>
      </c>
      <c r="V113" s="31"/>
      <c r="W113" s="30"/>
      <c r="X113" s="46" t="str">
        <f t="shared" si="40"/>
        <v/>
      </c>
      <c r="Y113" s="46" t="str">
        <f t="shared" si="41"/>
        <v/>
      </c>
      <c r="Z113" s="37"/>
      <c r="AA113" s="52" t="str">
        <f t="shared" si="42"/>
        <v/>
      </c>
      <c r="AB113" s="52" t="str">
        <f t="shared" si="43"/>
        <v/>
      </c>
    </row>
    <row r="114" spans="1:28" s="22" customFormat="1" x14ac:dyDescent="0.25">
      <c r="A114" s="26"/>
      <c r="B114" s="27"/>
      <c r="C114" s="27"/>
      <c r="D114" s="27"/>
      <c r="E114" s="45" t="str">
        <f t="shared" si="34"/>
        <v/>
      </c>
      <c r="F114" s="45" t="str">
        <f t="shared" si="35"/>
        <v/>
      </c>
      <c r="G114" s="27"/>
      <c r="H114" s="45" t="str">
        <f t="shared" si="36"/>
        <v/>
      </c>
      <c r="I114" s="45" t="str">
        <f t="shared" si="37"/>
        <v/>
      </c>
      <c r="J114" s="27"/>
      <c r="K114" s="45" t="str">
        <f t="shared" si="38"/>
        <v/>
      </c>
      <c r="L114" s="45" t="str">
        <f t="shared" si="39"/>
        <v/>
      </c>
      <c r="M114" s="27"/>
      <c r="N114" s="27"/>
      <c r="O114" s="27"/>
      <c r="P114" s="27"/>
      <c r="Q114" s="27"/>
      <c r="R114" s="27"/>
      <c r="S114" s="27"/>
      <c r="T114" s="49" t="str">
        <f t="shared" si="33"/>
        <v/>
      </c>
      <c r="U114" s="13" t="str">
        <f>IF(A114="","",IF(T114="",INDEX(_翻訳マスタ!$B$89:$D$89,1,MATCH(言語切替!$B$3,_翻訳マスタ!$B$1:$D$1,0)),IF(T114&gt;=1,INDEX(_翻訳マスタ!$B$93:$D$93,1,MATCH(言語切替!$B$3,_翻訳マスタ!$B$1:$D$1,0)),IF(T114&gt;=0.8,INDEX(_翻訳マスタ!$B$91:$D$91,1,MATCH(言語切替!$B$3,_翻訳マスタ!$B$1:$D$1,0)),INDEX(_翻訳マスタ!$B$94:$D$94,1,MATCH(言語切替!$B$3,_翻訳マスタ!$B$1:$D$1,0))))))</f>
        <v/>
      </c>
      <c r="V114" s="28"/>
      <c r="W114" s="27"/>
      <c r="X114" s="45" t="str">
        <f t="shared" si="40"/>
        <v/>
      </c>
      <c r="Y114" s="45" t="str">
        <f t="shared" si="41"/>
        <v/>
      </c>
      <c r="Z114" s="36"/>
      <c r="AA114" s="53" t="str">
        <f t="shared" si="42"/>
        <v/>
      </c>
      <c r="AB114" s="53" t="str">
        <f t="shared" si="43"/>
        <v/>
      </c>
    </row>
    <row r="115" spans="1:28" s="22" customFormat="1" x14ac:dyDescent="0.25">
      <c r="A115" s="29"/>
      <c r="B115" s="30"/>
      <c r="C115" s="30"/>
      <c r="D115" s="30"/>
      <c r="E115" s="46" t="str">
        <f t="shared" si="34"/>
        <v/>
      </c>
      <c r="F115" s="46" t="str">
        <f t="shared" si="35"/>
        <v/>
      </c>
      <c r="G115" s="30"/>
      <c r="H115" s="46" t="str">
        <f t="shared" si="36"/>
        <v/>
      </c>
      <c r="I115" s="46" t="str">
        <f t="shared" si="37"/>
        <v/>
      </c>
      <c r="J115" s="30"/>
      <c r="K115" s="46" t="str">
        <f t="shared" si="38"/>
        <v/>
      </c>
      <c r="L115" s="46" t="str">
        <f t="shared" si="39"/>
        <v/>
      </c>
      <c r="M115" s="30"/>
      <c r="N115" s="30"/>
      <c r="O115" s="30"/>
      <c r="P115" s="30"/>
      <c r="Q115" s="30"/>
      <c r="R115" s="30"/>
      <c r="S115" s="30"/>
      <c r="T115" s="50" t="str">
        <f t="shared" si="33"/>
        <v/>
      </c>
      <c r="U115" s="16" t="str">
        <f>IF(A115="","",IF(T115="",INDEX(_翻訳マスタ!$B$89:$D$89,1,MATCH(言語切替!$B$3,_翻訳マスタ!$B$1:$D$1,0)),IF(T115&gt;=1,INDEX(_翻訳マスタ!$B$93:$D$93,1,MATCH(言語切替!$B$3,_翻訳マスタ!$B$1:$D$1,0)),IF(T115&gt;=0.8,INDEX(_翻訳マスタ!$B$91:$D$91,1,MATCH(言語切替!$B$3,_翻訳マスタ!$B$1:$D$1,0)),INDEX(_翻訳マスタ!$B$94:$D$94,1,MATCH(言語切替!$B$3,_翻訳マスタ!$B$1:$D$1,0))))))</f>
        <v/>
      </c>
      <c r="V115" s="31"/>
      <c r="W115" s="30"/>
      <c r="X115" s="46" t="str">
        <f t="shared" si="40"/>
        <v/>
      </c>
      <c r="Y115" s="46" t="str">
        <f t="shared" si="41"/>
        <v/>
      </c>
      <c r="Z115" s="37"/>
      <c r="AA115" s="52" t="str">
        <f t="shared" si="42"/>
        <v/>
      </c>
      <c r="AB115" s="52" t="str">
        <f t="shared" si="43"/>
        <v/>
      </c>
    </row>
    <row r="116" spans="1:28" s="22" customFormat="1" x14ac:dyDescent="0.25">
      <c r="A116" s="26"/>
      <c r="B116" s="27"/>
      <c r="C116" s="27"/>
      <c r="D116" s="27"/>
      <c r="E116" s="45" t="str">
        <f t="shared" si="34"/>
        <v/>
      </c>
      <c r="F116" s="45" t="str">
        <f t="shared" si="35"/>
        <v/>
      </c>
      <c r="G116" s="27"/>
      <c r="H116" s="45" t="str">
        <f t="shared" si="36"/>
        <v/>
      </c>
      <c r="I116" s="45" t="str">
        <f t="shared" si="37"/>
        <v/>
      </c>
      <c r="J116" s="27"/>
      <c r="K116" s="45" t="str">
        <f t="shared" si="38"/>
        <v/>
      </c>
      <c r="L116" s="45" t="str">
        <f t="shared" si="39"/>
        <v/>
      </c>
      <c r="M116" s="27"/>
      <c r="N116" s="27"/>
      <c r="O116" s="27"/>
      <c r="P116" s="27"/>
      <c r="Q116" s="27"/>
      <c r="R116" s="27"/>
      <c r="S116" s="27"/>
      <c r="T116" s="49" t="str">
        <f t="shared" si="33"/>
        <v/>
      </c>
      <c r="U116" s="13" t="str">
        <f>IF(A116="","",IF(T116="",INDEX(_翻訳マスタ!$B$89:$D$89,1,MATCH(言語切替!$B$3,_翻訳マスタ!$B$1:$D$1,0)),IF(T116&gt;=1,INDEX(_翻訳マスタ!$B$93:$D$93,1,MATCH(言語切替!$B$3,_翻訳マスタ!$B$1:$D$1,0)),IF(T116&gt;=0.8,INDEX(_翻訳マスタ!$B$91:$D$91,1,MATCH(言語切替!$B$3,_翻訳マスタ!$B$1:$D$1,0)),INDEX(_翻訳マスタ!$B$94:$D$94,1,MATCH(言語切替!$B$3,_翻訳マスタ!$B$1:$D$1,0))))))</f>
        <v/>
      </c>
      <c r="V116" s="28"/>
      <c r="W116" s="27"/>
      <c r="X116" s="45" t="str">
        <f t="shared" si="40"/>
        <v/>
      </c>
      <c r="Y116" s="45" t="str">
        <f t="shared" si="41"/>
        <v/>
      </c>
      <c r="Z116" s="36"/>
      <c r="AA116" s="53" t="str">
        <f t="shared" si="42"/>
        <v/>
      </c>
      <c r="AB116" s="53" t="str">
        <f t="shared" si="43"/>
        <v/>
      </c>
    </row>
    <row r="117" spans="1:28" s="22" customFormat="1" x14ac:dyDescent="0.25">
      <c r="A117" s="29"/>
      <c r="B117" s="30"/>
      <c r="C117" s="30"/>
      <c r="D117" s="30"/>
      <c r="E117" s="46" t="str">
        <f t="shared" si="34"/>
        <v/>
      </c>
      <c r="F117" s="46" t="str">
        <f t="shared" si="35"/>
        <v/>
      </c>
      <c r="G117" s="30"/>
      <c r="H117" s="46" t="str">
        <f t="shared" si="36"/>
        <v/>
      </c>
      <c r="I117" s="46" t="str">
        <f t="shared" si="37"/>
        <v/>
      </c>
      <c r="J117" s="30"/>
      <c r="K117" s="46" t="str">
        <f t="shared" si="38"/>
        <v/>
      </c>
      <c r="L117" s="46" t="str">
        <f t="shared" si="39"/>
        <v/>
      </c>
      <c r="M117" s="30"/>
      <c r="N117" s="30"/>
      <c r="O117" s="30"/>
      <c r="P117" s="30"/>
      <c r="Q117" s="30"/>
      <c r="R117" s="30"/>
      <c r="S117" s="30"/>
      <c r="T117" s="50" t="str">
        <f t="shared" si="33"/>
        <v/>
      </c>
      <c r="U117" s="16" t="str">
        <f>IF(A117="","",IF(T117="",INDEX(_翻訳マスタ!$B$89:$D$89,1,MATCH(言語切替!$B$3,_翻訳マスタ!$B$1:$D$1,0)),IF(T117&gt;=1,INDEX(_翻訳マスタ!$B$93:$D$93,1,MATCH(言語切替!$B$3,_翻訳マスタ!$B$1:$D$1,0)),IF(T117&gt;=0.8,INDEX(_翻訳マスタ!$B$91:$D$91,1,MATCH(言語切替!$B$3,_翻訳マスタ!$B$1:$D$1,0)),INDEX(_翻訳マスタ!$B$94:$D$94,1,MATCH(言語切替!$B$3,_翻訳マスタ!$B$1:$D$1,0))))))</f>
        <v/>
      </c>
      <c r="V117" s="31"/>
      <c r="W117" s="30"/>
      <c r="X117" s="46" t="str">
        <f t="shared" si="40"/>
        <v/>
      </c>
      <c r="Y117" s="46" t="str">
        <f t="shared" si="41"/>
        <v/>
      </c>
      <c r="Z117" s="37"/>
      <c r="AA117" s="52" t="str">
        <f t="shared" si="42"/>
        <v/>
      </c>
      <c r="AB117" s="52" t="str">
        <f t="shared" si="43"/>
        <v/>
      </c>
    </row>
    <row r="118" spans="1:28" s="22" customFormat="1" x14ac:dyDescent="0.25">
      <c r="A118" s="26"/>
      <c r="B118" s="27"/>
      <c r="C118" s="27"/>
      <c r="D118" s="27"/>
      <c r="E118" s="45" t="str">
        <f t="shared" si="34"/>
        <v/>
      </c>
      <c r="F118" s="45" t="str">
        <f t="shared" si="35"/>
        <v/>
      </c>
      <c r="G118" s="27"/>
      <c r="H118" s="45" t="str">
        <f t="shared" si="36"/>
        <v/>
      </c>
      <c r="I118" s="45" t="str">
        <f t="shared" si="37"/>
        <v/>
      </c>
      <c r="J118" s="27"/>
      <c r="K118" s="45" t="str">
        <f t="shared" si="38"/>
        <v/>
      </c>
      <c r="L118" s="45" t="str">
        <f t="shared" si="39"/>
        <v/>
      </c>
      <c r="M118" s="27"/>
      <c r="N118" s="27"/>
      <c r="O118" s="27"/>
      <c r="P118" s="27"/>
      <c r="Q118" s="27"/>
      <c r="R118" s="27"/>
      <c r="S118" s="27"/>
      <c r="T118" s="49" t="str">
        <f t="shared" si="33"/>
        <v/>
      </c>
      <c r="U118" s="13" t="str">
        <f>IF(A118="","",IF(T118="",INDEX(_翻訳マスタ!$B$89:$D$89,1,MATCH(言語切替!$B$3,_翻訳マスタ!$B$1:$D$1,0)),IF(T118&gt;=1,INDEX(_翻訳マスタ!$B$93:$D$93,1,MATCH(言語切替!$B$3,_翻訳マスタ!$B$1:$D$1,0)),IF(T118&gt;=0.8,INDEX(_翻訳マスタ!$B$91:$D$91,1,MATCH(言語切替!$B$3,_翻訳マスタ!$B$1:$D$1,0)),INDEX(_翻訳マスタ!$B$94:$D$94,1,MATCH(言語切替!$B$3,_翻訳マスタ!$B$1:$D$1,0))))))</f>
        <v/>
      </c>
      <c r="V118" s="28"/>
      <c r="W118" s="27"/>
      <c r="X118" s="45" t="str">
        <f t="shared" si="40"/>
        <v/>
      </c>
      <c r="Y118" s="45" t="str">
        <f t="shared" si="41"/>
        <v/>
      </c>
      <c r="Z118" s="36"/>
      <c r="AA118" s="53" t="str">
        <f t="shared" si="42"/>
        <v/>
      </c>
      <c r="AB118" s="53" t="str">
        <f t="shared" si="43"/>
        <v/>
      </c>
    </row>
    <row r="119" spans="1:28" s="22" customFormat="1" x14ac:dyDescent="0.25">
      <c r="A119" s="29"/>
      <c r="B119" s="30"/>
      <c r="C119" s="30"/>
      <c r="D119" s="30"/>
      <c r="E119" s="46" t="str">
        <f t="shared" si="34"/>
        <v/>
      </c>
      <c r="F119" s="46" t="str">
        <f t="shared" si="35"/>
        <v/>
      </c>
      <c r="G119" s="30"/>
      <c r="H119" s="46" t="str">
        <f t="shared" si="36"/>
        <v/>
      </c>
      <c r="I119" s="46" t="str">
        <f t="shared" si="37"/>
        <v/>
      </c>
      <c r="J119" s="30"/>
      <c r="K119" s="46" t="str">
        <f t="shared" si="38"/>
        <v/>
      </c>
      <c r="L119" s="46" t="str">
        <f t="shared" si="39"/>
        <v/>
      </c>
      <c r="M119" s="30"/>
      <c r="N119" s="30"/>
      <c r="O119" s="30"/>
      <c r="P119" s="30"/>
      <c r="Q119" s="30"/>
      <c r="R119" s="30"/>
      <c r="S119" s="30"/>
      <c r="T119" s="50" t="str">
        <f t="shared" si="33"/>
        <v/>
      </c>
      <c r="U119" s="16" t="str">
        <f>IF(A119="","",IF(T119="",INDEX(_翻訳マスタ!$B$89:$D$89,1,MATCH(言語切替!$B$3,_翻訳マスタ!$B$1:$D$1,0)),IF(T119&gt;=1,INDEX(_翻訳マスタ!$B$93:$D$93,1,MATCH(言語切替!$B$3,_翻訳マスタ!$B$1:$D$1,0)),IF(T119&gt;=0.8,INDEX(_翻訳マスタ!$B$91:$D$91,1,MATCH(言語切替!$B$3,_翻訳マスタ!$B$1:$D$1,0)),INDEX(_翻訳マスタ!$B$94:$D$94,1,MATCH(言語切替!$B$3,_翻訳マスタ!$B$1:$D$1,0))))))</f>
        <v/>
      </c>
      <c r="V119" s="31"/>
      <c r="W119" s="30"/>
      <c r="X119" s="46" t="str">
        <f t="shared" si="40"/>
        <v/>
      </c>
      <c r="Y119" s="46" t="str">
        <f t="shared" si="41"/>
        <v/>
      </c>
      <c r="Z119" s="37"/>
      <c r="AA119" s="52" t="str">
        <f t="shared" si="42"/>
        <v/>
      </c>
      <c r="AB119" s="52" t="str">
        <f t="shared" si="43"/>
        <v/>
      </c>
    </row>
    <row r="120" spans="1:28" s="22" customFormat="1" x14ac:dyDescent="0.25">
      <c r="A120" s="26"/>
      <c r="B120" s="27"/>
      <c r="C120" s="27"/>
      <c r="D120" s="27"/>
      <c r="E120" s="45" t="str">
        <f t="shared" si="34"/>
        <v/>
      </c>
      <c r="F120" s="45" t="str">
        <f t="shared" si="35"/>
        <v/>
      </c>
      <c r="G120" s="27"/>
      <c r="H120" s="45" t="str">
        <f t="shared" si="36"/>
        <v/>
      </c>
      <c r="I120" s="45" t="str">
        <f t="shared" si="37"/>
        <v/>
      </c>
      <c r="J120" s="27"/>
      <c r="K120" s="45" t="str">
        <f t="shared" si="38"/>
        <v/>
      </c>
      <c r="L120" s="45" t="str">
        <f t="shared" si="39"/>
        <v/>
      </c>
      <c r="M120" s="27"/>
      <c r="N120" s="27"/>
      <c r="O120" s="27"/>
      <c r="P120" s="27"/>
      <c r="Q120" s="27"/>
      <c r="R120" s="27"/>
      <c r="S120" s="27"/>
      <c r="T120" s="49" t="str">
        <f t="shared" si="33"/>
        <v/>
      </c>
      <c r="U120" s="13" t="str">
        <f>IF(A120="","",IF(T120="",INDEX(_翻訳マスタ!$B$89:$D$89,1,MATCH(言語切替!$B$3,_翻訳マスタ!$B$1:$D$1,0)),IF(T120&gt;=1,INDEX(_翻訳マスタ!$B$93:$D$93,1,MATCH(言語切替!$B$3,_翻訳マスタ!$B$1:$D$1,0)),IF(T120&gt;=0.8,INDEX(_翻訳マスタ!$B$91:$D$91,1,MATCH(言語切替!$B$3,_翻訳マスタ!$B$1:$D$1,0)),INDEX(_翻訳マスタ!$B$94:$D$94,1,MATCH(言語切替!$B$3,_翻訳マスタ!$B$1:$D$1,0))))))</f>
        <v/>
      </c>
      <c r="V120" s="28"/>
      <c r="W120" s="27"/>
      <c r="X120" s="45" t="str">
        <f t="shared" si="40"/>
        <v/>
      </c>
      <c r="Y120" s="45" t="str">
        <f t="shared" si="41"/>
        <v/>
      </c>
      <c r="Z120" s="36"/>
      <c r="AA120" s="53" t="str">
        <f t="shared" si="42"/>
        <v/>
      </c>
      <c r="AB120" s="53" t="str">
        <f t="shared" si="43"/>
        <v/>
      </c>
    </row>
    <row r="121" spans="1:28" s="22" customFormat="1" x14ac:dyDescent="0.25">
      <c r="A121" s="29"/>
      <c r="B121" s="30"/>
      <c r="C121" s="30"/>
      <c r="D121" s="30"/>
      <c r="E121" s="46" t="str">
        <f t="shared" si="34"/>
        <v/>
      </c>
      <c r="F121" s="46" t="str">
        <f t="shared" si="35"/>
        <v/>
      </c>
      <c r="G121" s="30"/>
      <c r="H121" s="46" t="str">
        <f t="shared" si="36"/>
        <v/>
      </c>
      <c r="I121" s="46" t="str">
        <f t="shared" si="37"/>
        <v/>
      </c>
      <c r="J121" s="30"/>
      <c r="K121" s="46" t="str">
        <f t="shared" si="38"/>
        <v/>
      </c>
      <c r="L121" s="46" t="str">
        <f t="shared" si="39"/>
        <v/>
      </c>
      <c r="M121" s="30"/>
      <c r="N121" s="30"/>
      <c r="O121" s="30"/>
      <c r="P121" s="30"/>
      <c r="Q121" s="30"/>
      <c r="R121" s="30"/>
      <c r="S121" s="30"/>
      <c r="T121" s="50" t="str">
        <f t="shared" si="33"/>
        <v/>
      </c>
      <c r="U121" s="16" t="str">
        <f>IF(A121="","",IF(T121="",INDEX(_翻訳マスタ!$B$89:$D$89,1,MATCH(言語切替!$B$3,_翻訳マスタ!$B$1:$D$1,0)),IF(T121&gt;=1,INDEX(_翻訳マスタ!$B$93:$D$93,1,MATCH(言語切替!$B$3,_翻訳マスタ!$B$1:$D$1,0)),IF(T121&gt;=0.8,INDEX(_翻訳マスタ!$B$91:$D$91,1,MATCH(言語切替!$B$3,_翻訳マスタ!$B$1:$D$1,0)),INDEX(_翻訳マスタ!$B$94:$D$94,1,MATCH(言語切替!$B$3,_翻訳マスタ!$B$1:$D$1,0))))))</f>
        <v/>
      </c>
      <c r="V121" s="31"/>
      <c r="W121" s="30"/>
      <c r="X121" s="46" t="str">
        <f t="shared" si="40"/>
        <v/>
      </c>
      <c r="Y121" s="46" t="str">
        <f t="shared" si="41"/>
        <v/>
      </c>
      <c r="Z121" s="37"/>
      <c r="AA121" s="52" t="str">
        <f t="shared" si="42"/>
        <v/>
      </c>
      <c r="AB121" s="52" t="str">
        <f t="shared" si="43"/>
        <v/>
      </c>
    </row>
    <row r="122" spans="1:28" s="22" customFormat="1" x14ac:dyDescent="0.25">
      <c r="A122" s="26"/>
      <c r="B122" s="27"/>
      <c r="C122" s="27"/>
      <c r="D122" s="27"/>
      <c r="E122" s="45" t="str">
        <f t="shared" si="34"/>
        <v/>
      </c>
      <c r="F122" s="45" t="str">
        <f t="shared" si="35"/>
        <v/>
      </c>
      <c r="G122" s="27"/>
      <c r="H122" s="45" t="str">
        <f t="shared" si="36"/>
        <v/>
      </c>
      <c r="I122" s="45" t="str">
        <f t="shared" si="37"/>
        <v/>
      </c>
      <c r="J122" s="27"/>
      <c r="K122" s="45" t="str">
        <f t="shared" si="38"/>
        <v/>
      </c>
      <c r="L122" s="45" t="str">
        <f t="shared" si="39"/>
        <v/>
      </c>
      <c r="M122" s="27"/>
      <c r="N122" s="27"/>
      <c r="O122" s="27"/>
      <c r="P122" s="27"/>
      <c r="Q122" s="27"/>
      <c r="R122" s="27"/>
      <c r="S122" s="27"/>
      <c r="T122" s="49" t="str">
        <f t="shared" si="33"/>
        <v/>
      </c>
      <c r="U122" s="13" t="str">
        <f>IF(A122="","",IF(T122="",INDEX(_翻訳マスタ!$B$89:$D$89,1,MATCH(言語切替!$B$3,_翻訳マスタ!$B$1:$D$1,0)),IF(T122&gt;=1,INDEX(_翻訳マスタ!$B$93:$D$93,1,MATCH(言語切替!$B$3,_翻訳マスタ!$B$1:$D$1,0)),IF(T122&gt;=0.8,INDEX(_翻訳マスタ!$B$91:$D$91,1,MATCH(言語切替!$B$3,_翻訳マスタ!$B$1:$D$1,0)),INDEX(_翻訳マスタ!$B$94:$D$94,1,MATCH(言語切替!$B$3,_翻訳マスタ!$B$1:$D$1,0))))))</f>
        <v/>
      </c>
      <c r="V122" s="28"/>
      <c r="W122" s="27"/>
      <c r="X122" s="45" t="str">
        <f t="shared" si="40"/>
        <v/>
      </c>
      <c r="Y122" s="45" t="str">
        <f t="shared" si="41"/>
        <v/>
      </c>
      <c r="Z122" s="36"/>
      <c r="AA122" s="53" t="str">
        <f t="shared" si="42"/>
        <v/>
      </c>
      <c r="AB122" s="53" t="str">
        <f t="shared" si="43"/>
        <v/>
      </c>
    </row>
    <row r="123" spans="1:28" s="22" customFormat="1" x14ac:dyDescent="0.25">
      <c r="A123" s="29"/>
      <c r="B123" s="30"/>
      <c r="C123" s="30"/>
      <c r="D123" s="30"/>
      <c r="E123" s="46" t="str">
        <f t="shared" si="34"/>
        <v/>
      </c>
      <c r="F123" s="46" t="str">
        <f t="shared" si="35"/>
        <v/>
      </c>
      <c r="G123" s="30"/>
      <c r="H123" s="46" t="str">
        <f t="shared" si="36"/>
        <v/>
      </c>
      <c r="I123" s="46" t="str">
        <f t="shared" si="37"/>
        <v/>
      </c>
      <c r="J123" s="30"/>
      <c r="K123" s="46" t="str">
        <f t="shared" si="38"/>
        <v/>
      </c>
      <c r="L123" s="46" t="str">
        <f t="shared" si="39"/>
        <v/>
      </c>
      <c r="M123" s="30"/>
      <c r="N123" s="30"/>
      <c r="O123" s="30"/>
      <c r="P123" s="30"/>
      <c r="Q123" s="30"/>
      <c r="R123" s="30"/>
      <c r="S123" s="30"/>
      <c r="T123" s="50" t="str">
        <f t="shared" si="33"/>
        <v/>
      </c>
      <c r="U123" s="16" t="str">
        <f>IF(A123="","",IF(T123="",INDEX(_翻訳マスタ!$B$89:$D$89,1,MATCH(言語切替!$B$3,_翻訳マスタ!$B$1:$D$1,0)),IF(T123&gt;=1,INDEX(_翻訳マスタ!$B$93:$D$93,1,MATCH(言語切替!$B$3,_翻訳マスタ!$B$1:$D$1,0)),IF(T123&gt;=0.8,INDEX(_翻訳マスタ!$B$91:$D$91,1,MATCH(言語切替!$B$3,_翻訳マスタ!$B$1:$D$1,0)),INDEX(_翻訳マスタ!$B$94:$D$94,1,MATCH(言語切替!$B$3,_翻訳マスタ!$B$1:$D$1,0))))))</f>
        <v/>
      </c>
      <c r="V123" s="31"/>
      <c r="W123" s="30"/>
      <c r="X123" s="46" t="str">
        <f t="shared" si="40"/>
        <v/>
      </c>
      <c r="Y123" s="46" t="str">
        <f t="shared" si="41"/>
        <v/>
      </c>
      <c r="Z123" s="37"/>
      <c r="AA123" s="52" t="str">
        <f t="shared" si="42"/>
        <v/>
      </c>
      <c r="AB123" s="52" t="str">
        <f t="shared" si="43"/>
        <v/>
      </c>
    </row>
    <row r="124" spans="1:28" s="22" customFormat="1" x14ac:dyDescent="0.25">
      <c r="A124" s="26"/>
      <c r="B124" s="27"/>
      <c r="C124" s="27"/>
      <c r="D124" s="27"/>
      <c r="E124" s="45" t="str">
        <f t="shared" si="34"/>
        <v/>
      </c>
      <c r="F124" s="45" t="str">
        <f t="shared" si="35"/>
        <v/>
      </c>
      <c r="G124" s="27"/>
      <c r="H124" s="45" t="str">
        <f t="shared" si="36"/>
        <v/>
      </c>
      <c r="I124" s="45" t="str">
        <f t="shared" si="37"/>
        <v/>
      </c>
      <c r="J124" s="27"/>
      <c r="K124" s="45" t="str">
        <f t="shared" si="38"/>
        <v/>
      </c>
      <c r="L124" s="45" t="str">
        <f t="shared" si="39"/>
        <v/>
      </c>
      <c r="M124" s="27"/>
      <c r="N124" s="27"/>
      <c r="O124" s="27"/>
      <c r="P124" s="27"/>
      <c r="Q124" s="27"/>
      <c r="R124" s="27"/>
      <c r="S124" s="27"/>
      <c r="T124" s="49" t="str">
        <f t="shared" si="33"/>
        <v/>
      </c>
      <c r="U124" s="13" t="str">
        <f>IF(A124="","",IF(T124="",INDEX(_翻訳マスタ!$B$89:$D$89,1,MATCH(言語切替!$B$3,_翻訳マスタ!$B$1:$D$1,0)),IF(T124&gt;=1,INDEX(_翻訳マスタ!$B$93:$D$93,1,MATCH(言語切替!$B$3,_翻訳マスタ!$B$1:$D$1,0)),IF(T124&gt;=0.8,INDEX(_翻訳マスタ!$B$91:$D$91,1,MATCH(言語切替!$B$3,_翻訳マスタ!$B$1:$D$1,0)),INDEX(_翻訳マスタ!$B$94:$D$94,1,MATCH(言語切替!$B$3,_翻訳マスタ!$B$1:$D$1,0))))))</f>
        <v/>
      </c>
      <c r="V124" s="28"/>
      <c r="W124" s="27"/>
      <c r="X124" s="45" t="str">
        <f t="shared" si="40"/>
        <v/>
      </c>
      <c r="Y124" s="45" t="str">
        <f t="shared" si="41"/>
        <v/>
      </c>
      <c r="Z124" s="36"/>
      <c r="AA124" s="53" t="str">
        <f t="shared" si="42"/>
        <v/>
      </c>
      <c r="AB124" s="53" t="str">
        <f t="shared" si="43"/>
        <v/>
      </c>
    </row>
    <row r="125" spans="1:28" s="22" customFormat="1" x14ac:dyDescent="0.25">
      <c r="A125" s="29"/>
      <c r="B125" s="30"/>
      <c r="C125" s="30"/>
      <c r="D125" s="30"/>
      <c r="E125" s="46" t="str">
        <f t="shared" si="34"/>
        <v/>
      </c>
      <c r="F125" s="46" t="str">
        <f t="shared" si="35"/>
        <v/>
      </c>
      <c r="G125" s="30"/>
      <c r="H125" s="46" t="str">
        <f t="shared" si="36"/>
        <v/>
      </c>
      <c r="I125" s="46" t="str">
        <f t="shared" si="37"/>
        <v/>
      </c>
      <c r="J125" s="30"/>
      <c r="K125" s="46" t="str">
        <f t="shared" si="38"/>
        <v/>
      </c>
      <c r="L125" s="46" t="str">
        <f t="shared" si="39"/>
        <v/>
      </c>
      <c r="M125" s="30"/>
      <c r="N125" s="30"/>
      <c r="O125" s="30"/>
      <c r="P125" s="30"/>
      <c r="Q125" s="30"/>
      <c r="R125" s="30"/>
      <c r="S125" s="30"/>
      <c r="T125" s="50" t="str">
        <f t="shared" si="33"/>
        <v/>
      </c>
      <c r="U125" s="16" t="str">
        <f>IF(A125="","",IF(T125="",INDEX(_翻訳マスタ!$B$89:$D$89,1,MATCH(言語切替!$B$3,_翻訳マスタ!$B$1:$D$1,0)),IF(T125&gt;=1,INDEX(_翻訳マスタ!$B$93:$D$93,1,MATCH(言語切替!$B$3,_翻訳マスタ!$B$1:$D$1,0)),IF(T125&gt;=0.8,INDEX(_翻訳マスタ!$B$91:$D$91,1,MATCH(言語切替!$B$3,_翻訳マスタ!$B$1:$D$1,0)),INDEX(_翻訳マスタ!$B$94:$D$94,1,MATCH(言語切替!$B$3,_翻訳マスタ!$B$1:$D$1,0))))))</f>
        <v/>
      </c>
      <c r="V125" s="31"/>
      <c r="W125" s="30"/>
      <c r="X125" s="46" t="str">
        <f t="shared" si="40"/>
        <v/>
      </c>
      <c r="Y125" s="46" t="str">
        <f t="shared" si="41"/>
        <v/>
      </c>
      <c r="Z125" s="37"/>
      <c r="AA125" s="52" t="str">
        <f t="shared" si="42"/>
        <v/>
      </c>
      <c r="AB125" s="52" t="str">
        <f t="shared" si="43"/>
        <v/>
      </c>
    </row>
    <row r="126" spans="1:28" s="22" customFormat="1" x14ac:dyDescent="0.25">
      <c r="A126" s="26"/>
      <c r="B126" s="27"/>
      <c r="C126" s="27"/>
      <c r="D126" s="27"/>
      <c r="E126" s="45" t="str">
        <f t="shared" si="34"/>
        <v/>
      </c>
      <c r="F126" s="45" t="str">
        <f t="shared" si="35"/>
        <v/>
      </c>
      <c r="G126" s="27"/>
      <c r="H126" s="45" t="str">
        <f t="shared" si="36"/>
        <v/>
      </c>
      <c r="I126" s="45" t="str">
        <f t="shared" si="37"/>
        <v/>
      </c>
      <c r="J126" s="27"/>
      <c r="K126" s="45" t="str">
        <f t="shared" si="38"/>
        <v/>
      </c>
      <c r="L126" s="45" t="str">
        <f t="shared" si="39"/>
        <v/>
      </c>
      <c r="M126" s="27"/>
      <c r="N126" s="27"/>
      <c r="O126" s="27"/>
      <c r="P126" s="27"/>
      <c r="Q126" s="27"/>
      <c r="R126" s="27"/>
      <c r="S126" s="27"/>
      <c r="T126" s="49" t="str">
        <f t="shared" si="33"/>
        <v/>
      </c>
      <c r="U126" s="13" t="str">
        <f>IF(A126="","",IF(T126="",INDEX(_翻訳マスタ!$B$89:$D$89,1,MATCH(言語切替!$B$3,_翻訳マスタ!$B$1:$D$1,0)),IF(T126&gt;=1,INDEX(_翻訳マスタ!$B$93:$D$93,1,MATCH(言語切替!$B$3,_翻訳マスタ!$B$1:$D$1,0)),IF(T126&gt;=0.8,INDEX(_翻訳マスタ!$B$91:$D$91,1,MATCH(言語切替!$B$3,_翻訳マスタ!$B$1:$D$1,0)),INDEX(_翻訳マスタ!$B$94:$D$94,1,MATCH(言語切替!$B$3,_翻訳マスタ!$B$1:$D$1,0))))))</f>
        <v/>
      </c>
      <c r="V126" s="28"/>
      <c r="W126" s="27"/>
      <c r="X126" s="45" t="str">
        <f t="shared" si="40"/>
        <v/>
      </c>
      <c r="Y126" s="45" t="str">
        <f t="shared" si="41"/>
        <v/>
      </c>
      <c r="Z126" s="36"/>
      <c r="AA126" s="53" t="str">
        <f t="shared" si="42"/>
        <v/>
      </c>
      <c r="AB126" s="53" t="str">
        <f t="shared" si="43"/>
        <v/>
      </c>
    </row>
    <row r="127" spans="1:28" s="22" customFormat="1" x14ac:dyDescent="0.25">
      <c r="A127" s="29"/>
      <c r="B127" s="30"/>
      <c r="C127" s="30"/>
      <c r="D127" s="30"/>
      <c r="E127" s="46" t="str">
        <f t="shared" si="34"/>
        <v/>
      </c>
      <c r="F127" s="46" t="str">
        <f t="shared" si="35"/>
        <v/>
      </c>
      <c r="G127" s="30"/>
      <c r="H127" s="46" t="str">
        <f t="shared" si="36"/>
        <v/>
      </c>
      <c r="I127" s="46" t="str">
        <f t="shared" si="37"/>
        <v/>
      </c>
      <c r="J127" s="30"/>
      <c r="K127" s="46" t="str">
        <f t="shared" si="38"/>
        <v/>
      </c>
      <c r="L127" s="46" t="str">
        <f t="shared" si="39"/>
        <v/>
      </c>
      <c r="M127" s="30"/>
      <c r="N127" s="30"/>
      <c r="O127" s="30"/>
      <c r="P127" s="30"/>
      <c r="Q127" s="30"/>
      <c r="R127" s="30"/>
      <c r="S127" s="30"/>
      <c r="T127" s="50" t="str">
        <f t="shared" si="33"/>
        <v/>
      </c>
      <c r="U127" s="16" t="str">
        <f>IF(A127="","",IF(T127="",INDEX(_翻訳マスタ!$B$89:$D$89,1,MATCH(言語切替!$B$3,_翻訳マスタ!$B$1:$D$1,0)),IF(T127&gt;=1,INDEX(_翻訳マスタ!$B$93:$D$93,1,MATCH(言語切替!$B$3,_翻訳マスタ!$B$1:$D$1,0)),IF(T127&gt;=0.8,INDEX(_翻訳マスタ!$B$91:$D$91,1,MATCH(言語切替!$B$3,_翻訳マスタ!$B$1:$D$1,0)),INDEX(_翻訳マスタ!$B$94:$D$94,1,MATCH(言語切替!$B$3,_翻訳マスタ!$B$1:$D$1,0))))))</f>
        <v/>
      </c>
      <c r="V127" s="31"/>
      <c r="W127" s="30"/>
      <c r="X127" s="46" t="str">
        <f t="shared" si="40"/>
        <v/>
      </c>
      <c r="Y127" s="46" t="str">
        <f t="shared" si="41"/>
        <v/>
      </c>
      <c r="Z127" s="37"/>
      <c r="AA127" s="52" t="str">
        <f t="shared" si="42"/>
        <v/>
      </c>
      <c r="AB127" s="52" t="str">
        <f t="shared" si="43"/>
        <v/>
      </c>
    </row>
    <row r="128" spans="1:28" s="22" customFormat="1" x14ac:dyDescent="0.25">
      <c r="A128" s="26"/>
      <c r="B128" s="27"/>
      <c r="C128" s="27"/>
      <c r="D128" s="27"/>
      <c r="E128" s="45" t="str">
        <f t="shared" si="34"/>
        <v/>
      </c>
      <c r="F128" s="45" t="str">
        <f t="shared" si="35"/>
        <v/>
      </c>
      <c r="G128" s="27"/>
      <c r="H128" s="45" t="str">
        <f t="shared" si="36"/>
        <v/>
      </c>
      <c r="I128" s="45" t="str">
        <f t="shared" si="37"/>
        <v/>
      </c>
      <c r="J128" s="27"/>
      <c r="K128" s="45" t="str">
        <f t="shared" si="38"/>
        <v/>
      </c>
      <c r="L128" s="45" t="str">
        <f t="shared" si="39"/>
        <v/>
      </c>
      <c r="M128" s="27"/>
      <c r="N128" s="27"/>
      <c r="O128" s="27"/>
      <c r="P128" s="27"/>
      <c r="Q128" s="27"/>
      <c r="R128" s="27"/>
      <c r="S128" s="27"/>
      <c r="T128" s="49" t="str">
        <f t="shared" si="33"/>
        <v/>
      </c>
      <c r="U128" s="13" t="str">
        <f>IF(A128="","",IF(T128="",INDEX(_翻訳マスタ!$B$89:$D$89,1,MATCH(言語切替!$B$3,_翻訳マスタ!$B$1:$D$1,0)),IF(T128&gt;=1,INDEX(_翻訳マスタ!$B$93:$D$93,1,MATCH(言語切替!$B$3,_翻訳マスタ!$B$1:$D$1,0)),IF(T128&gt;=0.8,INDEX(_翻訳マスタ!$B$91:$D$91,1,MATCH(言語切替!$B$3,_翻訳マスタ!$B$1:$D$1,0)),INDEX(_翻訳マスタ!$B$94:$D$94,1,MATCH(言語切替!$B$3,_翻訳マスタ!$B$1:$D$1,0))))))</f>
        <v/>
      </c>
      <c r="V128" s="28"/>
      <c r="W128" s="27"/>
      <c r="X128" s="45" t="str">
        <f t="shared" si="40"/>
        <v/>
      </c>
      <c r="Y128" s="45" t="str">
        <f t="shared" si="41"/>
        <v/>
      </c>
      <c r="Z128" s="36"/>
      <c r="AA128" s="53" t="str">
        <f t="shared" si="42"/>
        <v/>
      </c>
      <c r="AB128" s="53" t="str">
        <f t="shared" si="43"/>
        <v/>
      </c>
    </row>
    <row r="129" spans="1:28" s="22" customFormat="1" x14ac:dyDescent="0.25">
      <c r="A129" s="29"/>
      <c r="B129" s="30"/>
      <c r="C129" s="30"/>
      <c r="D129" s="30"/>
      <c r="E129" s="46" t="str">
        <f t="shared" si="34"/>
        <v/>
      </c>
      <c r="F129" s="46" t="str">
        <f t="shared" si="35"/>
        <v/>
      </c>
      <c r="G129" s="30"/>
      <c r="H129" s="46" t="str">
        <f t="shared" si="36"/>
        <v/>
      </c>
      <c r="I129" s="46" t="str">
        <f t="shared" si="37"/>
        <v/>
      </c>
      <c r="J129" s="30"/>
      <c r="K129" s="46" t="str">
        <f t="shared" si="38"/>
        <v/>
      </c>
      <c r="L129" s="46" t="str">
        <f t="shared" si="39"/>
        <v/>
      </c>
      <c r="M129" s="30"/>
      <c r="N129" s="30"/>
      <c r="O129" s="30"/>
      <c r="P129" s="30"/>
      <c r="Q129" s="30"/>
      <c r="R129" s="30"/>
      <c r="S129" s="30"/>
      <c r="T129" s="50" t="str">
        <f t="shared" si="33"/>
        <v/>
      </c>
      <c r="U129" s="16" t="str">
        <f>IF(A129="","",IF(T129="",INDEX(_翻訳マスタ!$B$89:$D$89,1,MATCH(言語切替!$B$3,_翻訳マスタ!$B$1:$D$1,0)),IF(T129&gt;=1,INDEX(_翻訳マスタ!$B$93:$D$93,1,MATCH(言語切替!$B$3,_翻訳マスタ!$B$1:$D$1,0)),IF(T129&gt;=0.8,INDEX(_翻訳マスタ!$B$91:$D$91,1,MATCH(言語切替!$B$3,_翻訳マスタ!$B$1:$D$1,0)),INDEX(_翻訳マスタ!$B$94:$D$94,1,MATCH(言語切替!$B$3,_翻訳マスタ!$B$1:$D$1,0))))))</f>
        <v/>
      </c>
      <c r="V129" s="31"/>
      <c r="W129" s="30"/>
      <c r="X129" s="46" t="str">
        <f t="shared" si="40"/>
        <v/>
      </c>
      <c r="Y129" s="46" t="str">
        <f t="shared" si="41"/>
        <v/>
      </c>
      <c r="Z129" s="37"/>
      <c r="AA129" s="52" t="str">
        <f t="shared" si="42"/>
        <v/>
      </c>
      <c r="AB129" s="52" t="str">
        <f t="shared" si="43"/>
        <v/>
      </c>
    </row>
    <row r="130" spans="1:28" s="22" customFormat="1" x14ac:dyDescent="0.25">
      <c r="A130" s="26"/>
      <c r="B130" s="27"/>
      <c r="C130" s="27"/>
      <c r="D130" s="27"/>
      <c r="E130" s="45" t="str">
        <f t="shared" si="34"/>
        <v/>
      </c>
      <c r="F130" s="45" t="str">
        <f t="shared" si="35"/>
        <v/>
      </c>
      <c r="G130" s="27"/>
      <c r="H130" s="45" t="str">
        <f t="shared" si="36"/>
        <v/>
      </c>
      <c r="I130" s="45" t="str">
        <f t="shared" si="37"/>
        <v/>
      </c>
      <c r="J130" s="27"/>
      <c r="K130" s="45" t="str">
        <f t="shared" si="38"/>
        <v/>
      </c>
      <c r="L130" s="45" t="str">
        <f t="shared" si="39"/>
        <v/>
      </c>
      <c r="M130" s="27"/>
      <c r="N130" s="27"/>
      <c r="O130" s="27"/>
      <c r="P130" s="27"/>
      <c r="Q130" s="27"/>
      <c r="R130" s="27"/>
      <c r="S130" s="27"/>
      <c r="T130" s="49" t="str">
        <f t="shared" si="33"/>
        <v/>
      </c>
      <c r="U130" s="13" t="str">
        <f>IF(A130="","",IF(T130="",INDEX(_翻訳マスタ!$B$89:$D$89,1,MATCH(言語切替!$B$3,_翻訳マスタ!$B$1:$D$1,0)),IF(T130&gt;=1,INDEX(_翻訳マスタ!$B$93:$D$93,1,MATCH(言語切替!$B$3,_翻訳マスタ!$B$1:$D$1,0)),IF(T130&gt;=0.8,INDEX(_翻訳マスタ!$B$91:$D$91,1,MATCH(言語切替!$B$3,_翻訳マスタ!$B$1:$D$1,0)),INDEX(_翻訳マスタ!$B$94:$D$94,1,MATCH(言語切替!$B$3,_翻訳マスタ!$B$1:$D$1,0))))))</f>
        <v/>
      </c>
      <c r="V130" s="28"/>
      <c r="W130" s="27"/>
      <c r="X130" s="45" t="str">
        <f t="shared" si="40"/>
        <v/>
      </c>
      <c r="Y130" s="45" t="str">
        <f t="shared" si="41"/>
        <v/>
      </c>
      <c r="Z130" s="36"/>
      <c r="AA130" s="53" t="str">
        <f t="shared" si="42"/>
        <v/>
      </c>
      <c r="AB130" s="53" t="str">
        <f t="shared" si="43"/>
        <v/>
      </c>
    </row>
    <row r="131" spans="1:28" s="22" customFormat="1" x14ac:dyDescent="0.25">
      <c r="A131" s="29"/>
      <c r="B131" s="30"/>
      <c r="C131" s="30"/>
      <c r="D131" s="30"/>
      <c r="E131" s="46" t="str">
        <f t="shared" si="34"/>
        <v/>
      </c>
      <c r="F131" s="46" t="str">
        <f t="shared" si="35"/>
        <v/>
      </c>
      <c r="G131" s="30"/>
      <c r="H131" s="46" t="str">
        <f t="shared" si="36"/>
        <v/>
      </c>
      <c r="I131" s="46" t="str">
        <f t="shared" si="37"/>
        <v/>
      </c>
      <c r="J131" s="30"/>
      <c r="K131" s="46" t="str">
        <f t="shared" si="38"/>
        <v/>
      </c>
      <c r="L131" s="46" t="str">
        <f t="shared" si="39"/>
        <v/>
      </c>
      <c r="M131" s="30"/>
      <c r="N131" s="30"/>
      <c r="O131" s="30"/>
      <c r="P131" s="30"/>
      <c r="Q131" s="30"/>
      <c r="R131" s="30"/>
      <c r="S131" s="30"/>
      <c r="T131" s="50" t="str">
        <f t="shared" si="33"/>
        <v/>
      </c>
      <c r="U131" s="16" t="str">
        <f>IF(A131="","",IF(T131="",INDEX(_翻訳マスタ!$B$89:$D$89,1,MATCH(言語切替!$B$3,_翻訳マスタ!$B$1:$D$1,0)),IF(T131&gt;=1,INDEX(_翻訳マスタ!$B$93:$D$93,1,MATCH(言語切替!$B$3,_翻訳マスタ!$B$1:$D$1,0)),IF(T131&gt;=0.8,INDEX(_翻訳マスタ!$B$91:$D$91,1,MATCH(言語切替!$B$3,_翻訳マスタ!$B$1:$D$1,0)),INDEX(_翻訳マスタ!$B$94:$D$94,1,MATCH(言語切替!$B$3,_翻訳マスタ!$B$1:$D$1,0))))))</f>
        <v/>
      </c>
      <c r="V131" s="31"/>
      <c r="W131" s="30"/>
      <c r="X131" s="46" t="str">
        <f t="shared" si="40"/>
        <v/>
      </c>
      <c r="Y131" s="46" t="str">
        <f t="shared" si="41"/>
        <v/>
      </c>
      <c r="Z131" s="37"/>
      <c r="AA131" s="52" t="str">
        <f t="shared" si="42"/>
        <v/>
      </c>
      <c r="AB131" s="52" t="str">
        <f t="shared" si="43"/>
        <v/>
      </c>
    </row>
    <row r="132" spans="1:28" s="22" customFormat="1" x14ac:dyDescent="0.25">
      <c r="A132" s="26"/>
      <c r="B132" s="27"/>
      <c r="C132" s="27"/>
      <c r="D132" s="27"/>
      <c r="E132" s="45" t="str">
        <f t="shared" si="34"/>
        <v/>
      </c>
      <c r="F132" s="45" t="str">
        <f t="shared" si="35"/>
        <v/>
      </c>
      <c r="G132" s="27"/>
      <c r="H132" s="45" t="str">
        <f t="shared" si="36"/>
        <v/>
      </c>
      <c r="I132" s="45" t="str">
        <f t="shared" si="37"/>
        <v/>
      </c>
      <c r="J132" s="27"/>
      <c r="K132" s="45" t="str">
        <f t="shared" si="38"/>
        <v/>
      </c>
      <c r="L132" s="45" t="str">
        <f t="shared" si="39"/>
        <v/>
      </c>
      <c r="M132" s="27"/>
      <c r="N132" s="27"/>
      <c r="O132" s="27"/>
      <c r="P132" s="27"/>
      <c r="Q132" s="27"/>
      <c r="R132" s="27"/>
      <c r="S132" s="27"/>
      <c r="T132" s="49" t="str">
        <f t="shared" si="33"/>
        <v/>
      </c>
      <c r="U132" s="13" t="str">
        <f>IF(A132="","",IF(T132="",INDEX(_翻訳マスタ!$B$89:$D$89,1,MATCH(言語切替!$B$3,_翻訳マスタ!$B$1:$D$1,0)),IF(T132&gt;=1,INDEX(_翻訳マスタ!$B$93:$D$93,1,MATCH(言語切替!$B$3,_翻訳マスタ!$B$1:$D$1,0)),IF(T132&gt;=0.8,INDEX(_翻訳マスタ!$B$91:$D$91,1,MATCH(言語切替!$B$3,_翻訳マスタ!$B$1:$D$1,0)),INDEX(_翻訳マスタ!$B$94:$D$94,1,MATCH(言語切替!$B$3,_翻訳マスタ!$B$1:$D$1,0))))))</f>
        <v/>
      </c>
      <c r="V132" s="28"/>
      <c r="W132" s="27"/>
      <c r="X132" s="45" t="str">
        <f t="shared" si="40"/>
        <v/>
      </c>
      <c r="Y132" s="45" t="str">
        <f t="shared" si="41"/>
        <v/>
      </c>
      <c r="Z132" s="36"/>
      <c r="AA132" s="53" t="str">
        <f t="shared" si="42"/>
        <v/>
      </c>
      <c r="AB132" s="53" t="str">
        <f t="shared" si="43"/>
        <v/>
      </c>
    </row>
    <row r="133" spans="1:28" s="22" customFormat="1" x14ac:dyDescent="0.25">
      <c r="A133" s="29"/>
      <c r="B133" s="30"/>
      <c r="C133" s="30"/>
      <c r="D133" s="30"/>
      <c r="E133" s="46" t="str">
        <f t="shared" si="34"/>
        <v/>
      </c>
      <c r="F133" s="46" t="str">
        <f t="shared" si="35"/>
        <v/>
      </c>
      <c r="G133" s="30"/>
      <c r="H133" s="46" t="str">
        <f t="shared" si="36"/>
        <v/>
      </c>
      <c r="I133" s="46" t="str">
        <f t="shared" si="37"/>
        <v/>
      </c>
      <c r="J133" s="30"/>
      <c r="K133" s="46" t="str">
        <f t="shared" si="38"/>
        <v/>
      </c>
      <c r="L133" s="46" t="str">
        <f t="shared" si="39"/>
        <v/>
      </c>
      <c r="M133" s="30"/>
      <c r="N133" s="30"/>
      <c r="O133" s="30"/>
      <c r="P133" s="30"/>
      <c r="Q133" s="30"/>
      <c r="R133" s="30"/>
      <c r="S133" s="30"/>
      <c r="T133" s="50" t="str">
        <f t="shared" ref="T133:T164" si="44">IF(OR(R133="",S133=""),"",IF(R133=0,"",S133/R133))</f>
        <v/>
      </c>
      <c r="U133" s="16" t="str">
        <f>IF(A133="","",IF(T133="",INDEX(_翻訳マスタ!$B$89:$D$89,1,MATCH(言語切替!$B$3,_翻訳マスタ!$B$1:$D$1,0)),IF(T133&gt;=1,INDEX(_翻訳マスタ!$B$93:$D$93,1,MATCH(言語切替!$B$3,_翻訳マスタ!$B$1:$D$1,0)),IF(T133&gt;=0.8,INDEX(_翻訳マスタ!$B$91:$D$91,1,MATCH(言語切替!$B$3,_翻訳マスタ!$B$1:$D$1,0)),INDEX(_翻訳マスタ!$B$94:$D$94,1,MATCH(言語切替!$B$3,_翻訳マスタ!$B$1:$D$1,0))))))</f>
        <v/>
      </c>
      <c r="V133" s="31"/>
      <c r="W133" s="30"/>
      <c r="X133" s="46" t="str">
        <f t="shared" si="40"/>
        <v/>
      </c>
      <c r="Y133" s="46" t="str">
        <f t="shared" si="41"/>
        <v/>
      </c>
      <c r="Z133" s="37"/>
      <c r="AA133" s="52" t="str">
        <f t="shared" si="42"/>
        <v/>
      </c>
      <c r="AB133" s="52" t="str">
        <f t="shared" si="43"/>
        <v/>
      </c>
    </row>
    <row r="134" spans="1:28" s="22" customFormat="1" x14ac:dyDescent="0.25">
      <c r="A134" s="26"/>
      <c r="B134" s="27"/>
      <c r="C134" s="27"/>
      <c r="D134" s="27"/>
      <c r="E134" s="45" t="str">
        <f t="shared" si="34"/>
        <v/>
      </c>
      <c r="F134" s="45" t="str">
        <f t="shared" si="35"/>
        <v/>
      </c>
      <c r="G134" s="27"/>
      <c r="H134" s="45" t="str">
        <f t="shared" si="36"/>
        <v/>
      </c>
      <c r="I134" s="45" t="str">
        <f t="shared" si="37"/>
        <v/>
      </c>
      <c r="J134" s="27"/>
      <c r="K134" s="45" t="str">
        <f t="shared" si="38"/>
        <v/>
      </c>
      <c r="L134" s="45" t="str">
        <f t="shared" si="39"/>
        <v/>
      </c>
      <c r="M134" s="27"/>
      <c r="N134" s="27"/>
      <c r="O134" s="27"/>
      <c r="P134" s="27"/>
      <c r="Q134" s="27"/>
      <c r="R134" s="27"/>
      <c r="S134" s="27"/>
      <c r="T134" s="49" t="str">
        <f t="shared" si="44"/>
        <v/>
      </c>
      <c r="U134" s="13" t="str">
        <f>IF(A134="","",IF(T134="",INDEX(_翻訳マスタ!$B$89:$D$89,1,MATCH(言語切替!$B$3,_翻訳マスタ!$B$1:$D$1,0)),IF(T134&gt;=1,INDEX(_翻訳マスタ!$B$93:$D$93,1,MATCH(言語切替!$B$3,_翻訳マスタ!$B$1:$D$1,0)),IF(T134&gt;=0.8,INDEX(_翻訳マスタ!$B$91:$D$91,1,MATCH(言語切替!$B$3,_翻訳マスタ!$B$1:$D$1,0)),INDEX(_翻訳マスタ!$B$94:$D$94,1,MATCH(言語切替!$B$3,_翻訳マスタ!$B$1:$D$1,0))))))</f>
        <v/>
      </c>
      <c r="V134" s="28"/>
      <c r="W134" s="27"/>
      <c r="X134" s="45" t="str">
        <f t="shared" si="40"/>
        <v/>
      </c>
      <c r="Y134" s="45" t="str">
        <f t="shared" si="41"/>
        <v/>
      </c>
      <c r="Z134" s="36"/>
      <c r="AA134" s="53" t="str">
        <f t="shared" si="42"/>
        <v/>
      </c>
      <c r="AB134" s="53" t="str">
        <f t="shared" si="43"/>
        <v/>
      </c>
    </row>
    <row r="135" spans="1:28" s="22" customFormat="1" x14ac:dyDescent="0.25">
      <c r="A135" s="29"/>
      <c r="B135" s="30"/>
      <c r="C135" s="30"/>
      <c r="D135" s="30"/>
      <c r="E135" s="46" t="str">
        <f t="shared" si="34"/>
        <v/>
      </c>
      <c r="F135" s="46" t="str">
        <f t="shared" si="35"/>
        <v/>
      </c>
      <c r="G135" s="30"/>
      <c r="H135" s="46" t="str">
        <f t="shared" si="36"/>
        <v/>
      </c>
      <c r="I135" s="46" t="str">
        <f t="shared" si="37"/>
        <v/>
      </c>
      <c r="J135" s="30"/>
      <c r="K135" s="46" t="str">
        <f t="shared" si="38"/>
        <v/>
      </c>
      <c r="L135" s="46" t="str">
        <f t="shared" si="39"/>
        <v/>
      </c>
      <c r="M135" s="30"/>
      <c r="N135" s="30"/>
      <c r="O135" s="30"/>
      <c r="P135" s="30"/>
      <c r="Q135" s="30"/>
      <c r="R135" s="30"/>
      <c r="S135" s="30"/>
      <c r="T135" s="50" t="str">
        <f t="shared" si="44"/>
        <v/>
      </c>
      <c r="U135" s="16" t="str">
        <f>IF(A135="","",IF(T135="",INDEX(_翻訳マスタ!$B$89:$D$89,1,MATCH(言語切替!$B$3,_翻訳マスタ!$B$1:$D$1,0)),IF(T135&gt;=1,INDEX(_翻訳マスタ!$B$93:$D$93,1,MATCH(言語切替!$B$3,_翻訳マスタ!$B$1:$D$1,0)),IF(T135&gt;=0.8,INDEX(_翻訳マスタ!$B$91:$D$91,1,MATCH(言語切替!$B$3,_翻訳マスタ!$B$1:$D$1,0)),INDEX(_翻訳マスタ!$B$94:$D$94,1,MATCH(言語切替!$B$3,_翻訳マスタ!$B$1:$D$1,0))))))</f>
        <v/>
      </c>
      <c r="V135" s="31"/>
      <c r="W135" s="30"/>
      <c r="X135" s="46" t="str">
        <f t="shared" si="40"/>
        <v/>
      </c>
      <c r="Y135" s="46" t="str">
        <f t="shared" si="41"/>
        <v/>
      </c>
      <c r="Z135" s="37"/>
      <c r="AA135" s="52" t="str">
        <f t="shared" si="42"/>
        <v/>
      </c>
      <c r="AB135" s="52" t="str">
        <f t="shared" si="43"/>
        <v/>
      </c>
    </row>
    <row r="136" spans="1:28" s="22" customFormat="1" x14ac:dyDescent="0.25">
      <c r="A136" s="26"/>
      <c r="B136" s="27"/>
      <c r="C136" s="27"/>
      <c r="D136" s="27"/>
      <c r="E136" s="45" t="str">
        <f t="shared" si="34"/>
        <v/>
      </c>
      <c r="F136" s="45" t="str">
        <f t="shared" si="35"/>
        <v/>
      </c>
      <c r="G136" s="27"/>
      <c r="H136" s="45" t="str">
        <f t="shared" si="36"/>
        <v/>
      </c>
      <c r="I136" s="45" t="str">
        <f t="shared" si="37"/>
        <v/>
      </c>
      <c r="J136" s="27"/>
      <c r="K136" s="45" t="str">
        <f t="shared" si="38"/>
        <v/>
      </c>
      <c r="L136" s="45" t="str">
        <f t="shared" si="39"/>
        <v/>
      </c>
      <c r="M136" s="27"/>
      <c r="N136" s="27"/>
      <c r="O136" s="27"/>
      <c r="P136" s="27"/>
      <c r="Q136" s="27"/>
      <c r="R136" s="27"/>
      <c r="S136" s="27"/>
      <c r="T136" s="49" t="str">
        <f t="shared" si="44"/>
        <v/>
      </c>
      <c r="U136" s="13" t="str">
        <f>IF(A136="","",IF(T136="",INDEX(_翻訳マスタ!$B$89:$D$89,1,MATCH(言語切替!$B$3,_翻訳マスタ!$B$1:$D$1,0)),IF(T136&gt;=1,INDEX(_翻訳マスタ!$B$93:$D$93,1,MATCH(言語切替!$B$3,_翻訳マスタ!$B$1:$D$1,0)),IF(T136&gt;=0.8,INDEX(_翻訳マスタ!$B$91:$D$91,1,MATCH(言語切替!$B$3,_翻訳マスタ!$B$1:$D$1,0)),INDEX(_翻訳マスタ!$B$94:$D$94,1,MATCH(言語切替!$B$3,_翻訳マスタ!$B$1:$D$1,0))))))</f>
        <v/>
      </c>
      <c r="V136" s="28"/>
      <c r="W136" s="27"/>
      <c r="X136" s="45" t="str">
        <f t="shared" si="40"/>
        <v/>
      </c>
      <c r="Y136" s="45" t="str">
        <f t="shared" si="41"/>
        <v/>
      </c>
      <c r="Z136" s="36"/>
      <c r="AA136" s="53" t="str">
        <f t="shared" si="42"/>
        <v/>
      </c>
      <c r="AB136" s="53" t="str">
        <f t="shared" si="43"/>
        <v/>
      </c>
    </row>
    <row r="137" spans="1:28" s="22" customFormat="1" x14ac:dyDescent="0.25">
      <c r="A137" s="29"/>
      <c r="B137" s="30"/>
      <c r="C137" s="30"/>
      <c r="D137" s="30"/>
      <c r="E137" s="46" t="str">
        <f t="shared" ref="E137:E168" si="45">IF(D137="","",_xlfn.TRANSLATE(D137,"vi","ja"))</f>
        <v/>
      </c>
      <c r="F137" s="46" t="str">
        <f t="shared" ref="F137:F168" si="46">IF(D137="","",_xlfn.TRANSLATE(D137,"vi","zh-Hans"))</f>
        <v/>
      </c>
      <c r="G137" s="30"/>
      <c r="H137" s="46" t="str">
        <f t="shared" ref="H137:H168" si="47">IF(G137="","",_xlfn.TRANSLATE(G137,"vi","ja"))</f>
        <v/>
      </c>
      <c r="I137" s="46" t="str">
        <f t="shared" ref="I137:I168" si="48">IF(G137="","",_xlfn.TRANSLATE(G137,"vi","zh-Hans"))</f>
        <v/>
      </c>
      <c r="J137" s="30"/>
      <c r="K137" s="46" t="str">
        <f t="shared" ref="K137:K168" si="49">IF(J137="","",_xlfn.TRANSLATE(J137,"vi","ja"))</f>
        <v/>
      </c>
      <c r="L137" s="46" t="str">
        <f t="shared" ref="L137:L168" si="50">IF(J137="","",_xlfn.TRANSLATE(J137,"vi","zh-Hans"))</f>
        <v/>
      </c>
      <c r="M137" s="30"/>
      <c r="N137" s="30"/>
      <c r="O137" s="30"/>
      <c r="P137" s="30"/>
      <c r="Q137" s="30"/>
      <c r="R137" s="30"/>
      <c r="S137" s="30"/>
      <c r="T137" s="50" t="str">
        <f t="shared" si="44"/>
        <v/>
      </c>
      <c r="U137" s="16" t="str">
        <f>IF(A137="","",IF(T137="",INDEX(_翻訳マスタ!$B$89:$D$89,1,MATCH(言語切替!$B$3,_翻訳マスタ!$B$1:$D$1,0)),IF(T137&gt;=1,INDEX(_翻訳マスタ!$B$93:$D$93,1,MATCH(言語切替!$B$3,_翻訳マスタ!$B$1:$D$1,0)),IF(T137&gt;=0.8,INDEX(_翻訳マスタ!$B$91:$D$91,1,MATCH(言語切替!$B$3,_翻訳マスタ!$B$1:$D$1,0)),INDEX(_翻訳マスタ!$B$94:$D$94,1,MATCH(言語切替!$B$3,_翻訳マスタ!$B$1:$D$1,0))))))</f>
        <v/>
      </c>
      <c r="V137" s="31"/>
      <c r="W137" s="30"/>
      <c r="X137" s="46" t="str">
        <f t="shared" ref="X137:X168" si="51">IF(W137="","",_xlfn.TRANSLATE(W137,"vi","ja"))</f>
        <v/>
      </c>
      <c r="Y137" s="46" t="str">
        <f t="shared" ref="Y137:Y168" si="52">IF(W137="","",_xlfn.TRANSLATE(W137,"vi","zh-Hans"))</f>
        <v/>
      </c>
      <c r="Z137" s="37"/>
      <c r="AA137" s="52" t="str">
        <f t="shared" ref="AA137:AA168" si="53">IF(Z137="","",_xlfn.TRANSLATE(Z137,"vi","ja"))</f>
        <v/>
      </c>
      <c r="AB137" s="52" t="str">
        <f t="shared" ref="AB137:AB168" si="54">IF(Z137="","",_xlfn.TRANSLATE(Z137,"vi","zh-Hans"))</f>
        <v/>
      </c>
    </row>
    <row r="138" spans="1:28" s="22" customFormat="1" x14ac:dyDescent="0.25">
      <c r="A138" s="26"/>
      <c r="B138" s="27"/>
      <c r="C138" s="27"/>
      <c r="D138" s="27"/>
      <c r="E138" s="45" t="str">
        <f t="shared" si="45"/>
        <v/>
      </c>
      <c r="F138" s="45" t="str">
        <f t="shared" si="46"/>
        <v/>
      </c>
      <c r="G138" s="27"/>
      <c r="H138" s="45" t="str">
        <f t="shared" si="47"/>
        <v/>
      </c>
      <c r="I138" s="45" t="str">
        <f t="shared" si="48"/>
        <v/>
      </c>
      <c r="J138" s="27"/>
      <c r="K138" s="45" t="str">
        <f t="shared" si="49"/>
        <v/>
      </c>
      <c r="L138" s="45" t="str">
        <f t="shared" si="50"/>
        <v/>
      </c>
      <c r="M138" s="27"/>
      <c r="N138" s="27"/>
      <c r="O138" s="27"/>
      <c r="P138" s="27"/>
      <c r="Q138" s="27"/>
      <c r="R138" s="27"/>
      <c r="S138" s="27"/>
      <c r="T138" s="49" t="str">
        <f t="shared" si="44"/>
        <v/>
      </c>
      <c r="U138" s="13" t="str">
        <f>IF(A138="","",IF(T138="",INDEX(_翻訳マスタ!$B$89:$D$89,1,MATCH(言語切替!$B$3,_翻訳マスタ!$B$1:$D$1,0)),IF(T138&gt;=1,INDEX(_翻訳マスタ!$B$93:$D$93,1,MATCH(言語切替!$B$3,_翻訳マスタ!$B$1:$D$1,0)),IF(T138&gt;=0.8,INDEX(_翻訳マスタ!$B$91:$D$91,1,MATCH(言語切替!$B$3,_翻訳マスタ!$B$1:$D$1,0)),INDEX(_翻訳マスタ!$B$94:$D$94,1,MATCH(言語切替!$B$3,_翻訳マスタ!$B$1:$D$1,0))))))</f>
        <v/>
      </c>
      <c r="V138" s="28"/>
      <c r="W138" s="27"/>
      <c r="X138" s="45" t="str">
        <f t="shared" si="51"/>
        <v/>
      </c>
      <c r="Y138" s="45" t="str">
        <f t="shared" si="52"/>
        <v/>
      </c>
      <c r="Z138" s="36"/>
      <c r="AA138" s="53" t="str">
        <f t="shared" si="53"/>
        <v/>
      </c>
      <c r="AB138" s="53" t="str">
        <f t="shared" si="54"/>
        <v/>
      </c>
    </row>
    <row r="139" spans="1:28" s="22" customFormat="1" x14ac:dyDescent="0.25">
      <c r="A139" s="29"/>
      <c r="B139" s="30"/>
      <c r="C139" s="30"/>
      <c r="D139" s="30"/>
      <c r="E139" s="46" t="str">
        <f t="shared" si="45"/>
        <v/>
      </c>
      <c r="F139" s="46" t="str">
        <f t="shared" si="46"/>
        <v/>
      </c>
      <c r="G139" s="30"/>
      <c r="H139" s="46" t="str">
        <f t="shared" si="47"/>
        <v/>
      </c>
      <c r="I139" s="46" t="str">
        <f t="shared" si="48"/>
        <v/>
      </c>
      <c r="J139" s="30"/>
      <c r="K139" s="46" t="str">
        <f t="shared" si="49"/>
        <v/>
      </c>
      <c r="L139" s="46" t="str">
        <f t="shared" si="50"/>
        <v/>
      </c>
      <c r="M139" s="30"/>
      <c r="N139" s="30"/>
      <c r="O139" s="30"/>
      <c r="P139" s="30"/>
      <c r="Q139" s="30"/>
      <c r="R139" s="30"/>
      <c r="S139" s="30"/>
      <c r="T139" s="50" t="str">
        <f t="shared" si="44"/>
        <v/>
      </c>
      <c r="U139" s="16" t="str">
        <f>IF(A139="","",IF(T139="",INDEX(_翻訳マスタ!$B$89:$D$89,1,MATCH(言語切替!$B$3,_翻訳マスタ!$B$1:$D$1,0)),IF(T139&gt;=1,INDEX(_翻訳マスタ!$B$93:$D$93,1,MATCH(言語切替!$B$3,_翻訳マスタ!$B$1:$D$1,0)),IF(T139&gt;=0.8,INDEX(_翻訳マスタ!$B$91:$D$91,1,MATCH(言語切替!$B$3,_翻訳マスタ!$B$1:$D$1,0)),INDEX(_翻訳マスタ!$B$94:$D$94,1,MATCH(言語切替!$B$3,_翻訳マスタ!$B$1:$D$1,0))))))</f>
        <v/>
      </c>
      <c r="V139" s="31"/>
      <c r="W139" s="30"/>
      <c r="X139" s="46" t="str">
        <f t="shared" si="51"/>
        <v/>
      </c>
      <c r="Y139" s="46" t="str">
        <f t="shared" si="52"/>
        <v/>
      </c>
      <c r="Z139" s="37"/>
      <c r="AA139" s="52" t="str">
        <f t="shared" si="53"/>
        <v/>
      </c>
      <c r="AB139" s="52" t="str">
        <f t="shared" si="54"/>
        <v/>
      </c>
    </row>
    <row r="140" spans="1:28" s="22" customFormat="1" x14ac:dyDescent="0.25">
      <c r="A140" s="26"/>
      <c r="B140" s="27"/>
      <c r="C140" s="27"/>
      <c r="D140" s="27"/>
      <c r="E140" s="45" t="str">
        <f t="shared" si="45"/>
        <v/>
      </c>
      <c r="F140" s="45" t="str">
        <f t="shared" si="46"/>
        <v/>
      </c>
      <c r="G140" s="27"/>
      <c r="H140" s="45" t="str">
        <f t="shared" si="47"/>
        <v/>
      </c>
      <c r="I140" s="45" t="str">
        <f t="shared" si="48"/>
        <v/>
      </c>
      <c r="J140" s="27"/>
      <c r="K140" s="45" t="str">
        <f t="shared" si="49"/>
        <v/>
      </c>
      <c r="L140" s="45" t="str">
        <f t="shared" si="50"/>
        <v/>
      </c>
      <c r="M140" s="27"/>
      <c r="N140" s="27"/>
      <c r="O140" s="27"/>
      <c r="P140" s="27"/>
      <c r="Q140" s="27"/>
      <c r="R140" s="27"/>
      <c r="S140" s="27"/>
      <c r="T140" s="49" t="str">
        <f t="shared" si="44"/>
        <v/>
      </c>
      <c r="U140" s="13" t="str">
        <f>IF(A140="","",IF(T140="",INDEX(_翻訳マスタ!$B$89:$D$89,1,MATCH(言語切替!$B$3,_翻訳マスタ!$B$1:$D$1,0)),IF(T140&gt;=1,INDEX(_翻訳マスタ!$B$93:$D$93,1,MATCH(言語切替!$B$3,_翻訳マスタ!$B$1:$D$1,0)),IF(T140&gt;=0.8,INDEX(_翻訳マスタ!$B$91:$D$91,1,MATCH(言語切替!$B$3,_翻訳マスタ!$B$1:$D$1,0)),INDEX(_翻訳マスタ!$B$94:$D$94,1,MATCH(言語切替!$B$3,_翻訳マスタ!$B$1:$D$1,0))))))</f>
        <v/>
      </c>
      <c r="V140" s="28"/>
      <c r="W140" s="27"/>
      <c r="X140" s="45" t="str">
        <f t="shared" si="51"/>
        <v/>
      </c>
      <c r="Y140" s="45" t="str">
        <f t="shared" si="52"/>
        <v/>
      </c>
      <c r="Z140" s="36"/>
      <c r="AA140" s="53" t="str">
        <f t="shared" si="53"/>
        <v/>
      </c>
      <c r="AB140" s="53" t="str">
        <f t="shared" si="54"/>
        <v/>
      </c>
    </row>
    <row r="141" spans="1:28" s="22" customFormat="1" x14ac:dyDescent="0.25">
      <c r="A141" s="29"/>
      <c r="B141" s="30"/>
      <c r="C141" s="30"/>
      <c r="D141" s="30"/>
      <c r="E141" s="46" t="str">
        <f t="shared" si="45"/>
        <v/>
      </c>
      <c r="F141" s="46" t="str">
        <f t="shared" si="46"/>
        <v/>
      </c>
      <c r="G141" s="30"/>
      <c r="H141" s="46" t="str">
        <f t="shared" si="47"/>
        <v/>
      </c>
      <c r="I141" s="46" t="str">
        <f t="shared" si="48"/>
        <v/>
      </c>
      <c r="J141" s="30"/>
      <c r="K141" s="46" t="str">
        <f t="shared" si="49"/>
        <v/>
      </c>
      <c r="L141" s="46" t="str">
        <f t="shared" si="50"/>
        <v/>
      </c>
      <c r="M141" s="30"/>
      <c r="N141" s="30"/>
      <c r="O141" s="30"/>
      <c r="P141" s="30"/>
      <c r="Q141" s="30"/>
      <c r="R141" s="30"/>
      <c r="S141" s="30"/>
      <c r="T141" s="50" t="str">
        <f t="shared" si="44"/>
        <v/>
      </c>
      <c r="U141" s="16" t="str">
        <f>IF(A141="","",IF(T141="",INDEX(_翻訳マスタ!$B$89:$D$89,1,MATCH(言語切替!$B$3,_翻訳マスタ!$B$1:$D$1,0)),IF(T141&gt;=1,INDEX(_翻訳マスタ!$B$93:$D$93,1,MATCH(言語切替!$B$3,_翻訳マスタ!$B$1:$D$1,0)),IF(T141&gt;=0.8,INDEX(_翻訳マスタ!$B$91:$D$91,1,MATCH(言語切替!$B$3,_翻訳マスタ!$B$1:$D$1,0)),INDEX(_翻訳マスタ!$B$94:$D$94,1,MATCH(言語切替!$B$3,_翻訳マスタ!$B$1:$D$1,0))))))</f>
        <v/>
      </c>
      <c r="V141" s="31"/>
      <c r="W141" s="30"/>
      <c r="X141" s="46" t="str">
        <f t="shared" si="51"/>
        <v/>
      </c>
      <c r="Y141" s="46" t="str">
        <f t="shared" si="52"/>
        <v/>
      </c>
      <c r="Z141" s="37"/>
      <c r="AA141" s="52" t="str">
        <f t="shared" si="53"/>
        <v/>
      </c>
      <c r="AB141" s="52" t="str">
        <f t="shared" si="54"/>
        <v/>
      </c>
    </row>
    <row r="142" spans="1:28" s="22" customFormat="1" x14ac:dyDescent="0.25">
      <c r="A142" s="26"/>
      <c r="B142" s="27"/>
      <c r="C142" s="27"/>
      <c r="D142" s="27"/>
      <c r="E142" s="45" t="str">
        <f t="shared" si="45"/>
        <v/>
      </c>
      <c r="F142" s="45" t="str">
        <f t="shared" si="46"/>
        <v/>
      </c>
      <c r="G142" s="27"/>
      <c r="H142" s="45" t="str">
        <f t="shared" si="47"/>
        <v/>
      </c>
      <c r="I142" s="45" t="str">
        <f t="shared" si="48"/>
        <v/>
      </c>
      <c r="J142" s="27"/>
      <c r="K142" s="45" t="str">
        <f t="shared" si="49"/>
        <v/>
      </c>
      <c r="L142" s="45" t="str">
        <f t="shared" si="50"/>
        <v/>
      </c>
      <c r="M142" s="27"/>
      <c r="N142" s="27"/>
      <c r="O142" s="27"/>
      <c r="P142" s="27"/>
      <c r="Q142" s="27"/>
      <c r="R142" s="27"/>
      <c r="S142" s="27"/>
      <c r="T142" s="49" t="str">
        <f t="shared" si="44"/>
        <v/>
      </c>
      <c r="U142" s="13" t="str">
        <f>IF(A142="","",IF(T142="",INDEX(_翻訳マスタ!$B$89:$D$89,1,MATCH(言語切替!$B$3,_翻訳マスタ!$B$1:$D$1,0)),IF(T142&gt;=1,INDEX(_翻訳マスタ!$B$93:$D$93,1,MATCH(言語切替!$B$3,_翻訳マスタ!$B$1:$D$1,0)),IF(T142&gt;=0.8,INDEX(_翻訳マスタ!$B$91:$D$91,1,MATCH(言語切替!$B$3,_翻訳マスタ!$B$1:$D$1,0)),INDEX(_翻訳マスタ!$B$94:$D$94,1,MATCH(言語切替!$B$3,_翻訳マスタ!$B$1:$D$1,0))))))</f>
        <v/>
      </c>
      <c r="V142" s="28"/>
      <c r="W142" s="27"/>
      <c r="X142" s="45" t="str">
        <f t="shared" si="51"/>
        <v/>
      </c>
      <c r="Y142" s="45" t="str">
        <f t="shared" si="52"/>
        <v/>
      </c>
      <c r="Z142" s="36"/>
      <c r="AA142" s="53" t="str">
        <f t="shared" si="53"/>
        <v/>
      </c>
      <c r="AB142" s="53" t="str">
        <f t="shared" si="54"/>
        <v/>
      </c>
    </row>
    <row r="143" spans="1:28" s="22" customFormat="1" x14ac:dyDescent="0.25">
      <c r="A143" s="29"/>
      <c r="B143" s="30"/>
      <c r="C143" s="30"/>
      <c r="D143" s="30"/>
      <c r="E143" s="46" t="str">
        <f t="shared" si="45"/>
        <v/>
      </c>
      <c r="F143" s="46" t="str">
        <f t="shared" si="46"/>
        <v/>
      </c>
      <c r="G143" s="30"/>
      <c r="H143" s="46" t="str">
        <f t="shared" si="47"/>
        <v/>
      </c>
      <c r="I143" s="46" t="str">
        <f t="shared" si="48"/>
        <v/>
      </c>
      <c r="J143" s="30"/>
      <c r="K143" s="46" t="str">
        <f t="shared" si="49"/>
        <v/>
      </c>
      <c r="L143" s="46" t="str">
        <f t="shared" si="50"/>
        <v/>
      </c>
      <c r="M143" s="30"/>
      <c r="N143" s="30"/>
      <c r="O143" s="30"/>
      <c r="P143" s="30"/>
      <c r="Q143" s="30"/>
      <c r="R143" s="30"/>
      <c r="S143" s="30"/>
      <c r="T143" s="50" t="str">
        <f t="shared" si="44"/>
        <v/>
      </c>
      <c r="U143" s="16" t="str">
        <f>IF(A143="","",IF(T143="",INDEX(_翻訳マスタ!$B$89:$D$89,1,MATCH(言語切替!$B$3,_翻訳マスタ!$B$1:$D$1,0)),IF(T143&gt;=1,INDEX(_翻訳マスタ!$B$93:$D$93,1,MATCH(言語切替!$B$3,_翻訳マスタ!$B$1:$D$1,0)),IF(T143&gt;=0.8,INDEX(_翻訳マスタ!$B$91:$D$91,1,MATCH(言語切替!$B$3,_翻訳マスタ!$B$1:$D$1,0)),INDEX(_翻訳マスタ!$B$94:$D$94,1,MATCH(言語切替!$B$3,_翻訳マスタ!$B$1:$D$1,0))))))</f>
        <v/>
      </c>
      <c r="V143" s="31"/>
      <c r="W143" s="30"/>
      <c r="X143" s="46" t="str">
        <f t="shared" si="51"/>
        <v/>
      </c>
      <c r="Y143" s="46" t="str">
        <f t="shared" si="52"/>
        <v/>
      </c>
      <c r="Z143" s="37"/>
      <c r="AA143" s="52" t="str">
        <f t="shared" si="53"/>
        <v/>
      </c>
      <c r="AB143" s="52" t="str">
        <f t="shared" si="54"/>
        <v/>
      </c>
    </row>
    <row r="144" spans="1:28" s="22" customFormat="1" x14ac:dyDescent="0.25">
      <c r="A144" s="26"/>
      <c r="B144" s="27"/>
      <c r="C144" s="27"/>
      <c r="D144" s="27"/>
      <c r="E144" s="45" t="str">
        <f t="shared" si="45"/>
        <v/>
      </c>
      <c r="F144" s="45" t="str">
        <f t="shared" si="46"/>
        <v/>
      </c>
      <c r="G144" s="27"/>
      <c r="H144" s="45" t="str">
        <f t="shared" si="47"/>
        <v/>
      </c>
      <c r="I144" s="45" t="str">
        <f t="shared" si="48"/>
        <v/>
      </c>
      <c r="J144" s="27"/>
      <c r="K144" s="45" t="str">
        <f t="shared" si="49"/>
        <v/>
      </c>
      <c r="L144" s="45" t="str">
        <f t="shared" si="50"/>
        <v/>
      </c>
      <c r="M144" s="27"/>
      <c r="N144" s="27"/>
      <c r="O144" s="27"/>
      <c r="P144" s="27"/>
      <c r="Q144" s="27"/>
      <c r="R144" s="27"/>
      <c r="S144" s="27"/>
      <c r="T144" s="49" t="str">
        <f t="shared" si="44"/>
        <v/>
      </c>
      <c r="U144" s="13" t="str">
        <f>IF(A144="","",IF(T144="",INDEX(_翻訳マスタ!$B$89:$D$89,1,MATCH(言語切替!$B$3,_翻訳マスタ!$B$1:$D$1,0)),IF(T144&gt;=1,INDEX(_翻訳マスタ!$B$93:$D$93,1,MATCH(言語切替!$B$3,_翻訳マスタ!$B$1:$D$1,0)),IF(T144&gt;=0.8,INDEX(_翻訳マスタ!$B$91:$D$91,1,MATCH(言語切替!$B$3,_翻訳マスタ!$B$1:$D$1,0)),INDEX(_翻訳マスタ!$B$94:$D$94,1,MATCH(言語切替!$B$3,_翻訳マスタ!$B$1:$D$1,0))))))</f>
        <v/>
      </c>
      <c r="V144" s="28"/>
      <c r="W144" s="27"/>
      <c r="X144" s="45" t="str">
        <f t="shared" si="51"/>
        <v/>
      </c>
      <c r="Y144" s="45" t="str">
        <f t="shared" si="52"/>
        <v/>
      </c>
      <c r="Z144" s="36"/>
      <c r="AA144" s="53" t="str">
        <f t="shared" si="53"/>
        <v/>
      </c>
      <c r="AB144" s="53" t="str">
        <f t="shared" si="54"/>
        <v/>
      </c>
    </row>
    <row r="145" spans="1:28" s="22" customFormat="1" x14ac:dyDescent="0.25">
      <c r="A145" s="29"/>
      <c r="B145" s="30"/>
      <c r="C145" s="30"/>
      <c r="D145" s="30"/>
      <c r="E145" s="46" t="str">
        <f t="shared" si="45"/>
        <v/>
      </c>
      <c r="F145" s="46" t="str">
        <f t="shared" si="46"/>
        <v/>
      </c>
      <c r="G145" s="30"/>
      <c r="H145" s="46" t="str">
        <f t="shared" si="47"/>
        <v/>
      </c>
      <c r="I145" s="46" t="str">
        <f t="shared" si="48"/>
        <v/>
      </c>
      <c r="J145" s="30"/>
      <c r="K145" s="46" t="str">
        <f t="shared" si="49"/>
        <v/>
      </c>
      <c r="L145" s="46" t="str">
        <f t="shared" si="50"/>
        <v/>
      </c>
      <c r="M145" s="30"/>
      <c r="N145" s="30"/>
      <c r="O145" s="30"/>
      <c r="P145" s="30"/>
      <c r="Q145" s="30"/>
      <c r="R145" s="30"/>
      <c r="S145" s="30"/>
      <c r="T145" s="50" t="str">
        <f t="shared" si="44"/>
        <v/>
      </c>
      <c r="U145" s="16" t="str">
        <f>IF(A145="","",IF(T145="",INDEX(_翻訳マスタ!$B$89:$D$89,1,MATCH(言語切替!$B$3,_翻訳マスタ!$B$1:$D$1,0)),IF(T145&gt;=1,INDEX(_翻訳マスタ!$B$93:$D$93,1,MATCH(言語切替!$B$3,_翻訳マスタ!$B$1:$D$1,0)),IF(T145&gt;=0.8,INDEX(_翻訳マスタ!$B$91:$D$91,1,MATCH(言語切替!$B$3,_翻訳マスタ!$B$1:$D$1,0)),INDEX(_翻訳マスタ!$B$94:$D$94,1,MATCH(言語切替!$B$3,_翻訳マスタ!$B$1:$D$1,0))))))</f>
        <v/>
      </c>
      <c r="V145" s="31"/>
      <c r="W145" s="30"/>
      <c r="X145" s="46" t="str">
        <f t="shared" si="51"/>
        <v/>
      </c>
      <c r="Y145" s="46" t="str">
        <f t="shared" si="52"/>
        <v/>
      </c>
      <c r="Z145" s="37"/>
      <c r="AA145" s="52" t="str">
        <f t="shared" si="53"/>
        <v/>
      </c>
      <c r="AB145" s="52" t="str">
        <f t="shared" si="54"/>
        <v/>
      </c>
    </row>
    <row r="146" spans="1:28" s="22" customFormat="1" x14ac:dyDescent="0.25">
      <c r="A146" s="26"/>
      <c r="B146" s="27"/>
      <c r="C146" s="27"/>
      <c r="D146" s="27"/>
      <c r="E146" s="45" t="str">
        <f t="shared" si="45"/>
        <v/>
      </c>
      <c r="F146" s="45" t="str">
        <f t="shared" si="46"/>
        <v/>
      </c>
      <c r="G146" s="27"/>
      <c r="H146" s="45" t="str">
        <f t="shared" si="47"/>
        <v/>
      </c>
      <c r="I146" s="45" t="str">
        <f t="shared" si="48"/>
        <v/>
      </c>
      <c r="J146" s="27"/>
      <c r="K146" s="45" t="str">
        <f t="shared" si="49"/>
        <v/>
      </c>
      <c r="L146" s="45" t="str">
        <f t="shared" si="50"/>
        <v/>
      </c>
      <c r="M146" s="27"/>
      <c r="N146" s="27"/>
      <c r="O146" s="27"/>
      <c r="P146" s="27"/>
      <c r="Q146" s="27"/>
      <c r="R146" s="27"/>
      <c r="S146" s="27"/>
      <c r="T146" s="49" t="str">
        <f t="shared" si="44"/>
        <v/>
      </c>
      <c r="U146" s="13" t="str">
        <f>IF(A146="","",IF(T146="",INDEX(_翻訳マスタ!$B$89:$D$89,1,MATCH(言語切替!$B$3,_翻訳マスタ!$B$1:$D$1,0)),IF(T146&gt;=1,INDEX(_翻訳マスタ!$B$93:$D$93,1,MATCH(言語切替!$B$3,_翻訳マスタ!$B$1:$D$1,0)),IF(T146&gt;=0.8,INDEX(_翻訳マスタ!$B$91:$D$91,1,MATCH(言語切替!$B$3,_翻訳マスタ!$B$1:$D$1,0)),INDEX(_翻訳マスタ!$B$94:$D$94,1,MATCH(言語切替!$B$3,_翻訳マスタ!$B$1:$D$1,0))))))</f>
        <v/>
      </c>
      <c r="V146" s="28"/>
      <c r="W146" s="27"/>
      <c r="X146" s="45" t="str">
        <f t="shared" si="51"/>
        <v/>
      </c>
      <c r="Y146" s="45" t="str">
        <f t="shared" si="52"/>
        <v/>
      </c>
      <c r="Z146" s="36"/>
      <c r="AA146" s="53" t="str">
        <f t="shared" si="53"/>
        <v/>
      </c>
      <c r="AB146" s="53" t="str">
        <f t="shared" si="54"/>
        <v/>
      </c>
    </row>
    <row r="147" spans="1:28" s="22" customFormat="1" x14ac:dyDescent="0.25">
      <c r="A147" s="29"/>
      <c r="B147" s="30"/>
      <c r="C147" s="30"/>
      <c r="D147" s="30"/>
      <c r="E147" s="46" t="str">
        <f t="shared" si="45"/>
        <v/>
      </c>
      <c r="F147" s="46" t="str">
        <f t="shared" si="46"/>
        <v/>
      </c>
      <c r="G147" s="30"/>
      <c r="H147" s="46" t="str">
        <f t="shared" si="47"/>
        <v/>
      </c>
      <c r="I147" s="46" t="str">
        <f t="shared" si="48"/>
        <v/>
      </c>
      <c r="J147" s="30"/>
      <c r="K147" s="46" t="str">
        <f t="shared" si="49"/>
        <v/>
      </c>
      <c r="L147" s="46" t="str">
        <f t="shared" si="50"/>
        <v/>
      </c>
      <c r="M147" s="30"/>
      <c r="N147" s="30"/>
      <c r="O147" s="30"/>
      <c r="P147" s="30"/>
      <c r="Q147" s="30"/>
      <c r="R147" s="30"/>
      <c r="S147" s="30"/>
      <c r="T147" s="50" t="str">
        <f t="shared" si="44"/>
        <v/>
      </c>
      <c r="U147" s="16" t="str">
        <f>IF(A147="","",IF(T147="",INDEX(_翻訳マスタ!$B$89:$D$89,1,MATCH(言語切替!$B$3,_翻訳マスタ!$B$1:$D$1,0)),IF(T147&gt;=1,INDEX(_翻訳マスタ!$B$93:$D$93,1,MATCH(言語切替!$B$3,_翻訳マスタ!$B$1:$D$1,0)),IF(T147&gt;=0.8,INDEX(_翻訳マスタ!$B$91:$D$91,1,MATCH(言語切替!$B$3,_翻訳マスタ!$B$1:$D$1,0)),INDEX(_翻訳マスタ!$B$94:$D$94,1,MATCH(言語切替!$B$3,_翻訳マスタ!$B$1:$D$1,0))))))</f>
        <v/>
      </c>
      <c r="V147" s="31"/>
      <c r="W147" s="30"/>
      <c r="X147" s="46" t="str">
        <f t="shared" si="51"/>
        <v/>
      </c>
      <c r="Y147" s="46" t="str">
        <f t="shared" si="52"/>
        <v/>
      </c>
      <c r="Z147" s="37"/>
      <c r="AA147" s="52" t="str">
        <f t="shared" si="53"/>
        <v/>
      </c>
      <c r="AB147" s="52" t="str">
        <f t="shared" si="54"/>
        <v/>
      </c>
    </row>
    <row r="148" spans="1:28" s="22" customFormat="1" x14ac:dyDescent="0.25">
      <c r="A148" s="26"/>
      <c r="B148" s="27"/>
      <c r="C148" s="27"/>
      <c r="D148" s="27"/>
      <c r="E148" s="45" t="str">
        <f t="shared" si="45"/>
        <v/>
      </c>
      <c r="F148" s="45" t="str">
        <f t="shared" si="46"/>
        <v/>
      </c>
      <c r="G148" s="27"/>
      <c r="H148" s="45" t="str">
        <f t="shared" si="47"/>
        <v/>
      </c>
      <c r="I148" s="45" t="str">
        <f t="shared" si="48"/>
        <v/>
      </c>
      <c r="J148" s="27"/>
      <c r="K148" s="45" t="str">
        <f t="shared" si="49"/>
        <v/>
      </c>
      <c r="L148" s="45" t="str">
        <f t="shared" si="50"/>
        <v/>
      </c>
      <c r="M148" s="27"/>
      <c r="N148" s="27"/>
      <c r="O148" s="27"/>
      <c r="P148" s="27"/>
      <c r="Q148" s="27"/>
      <c r="R148" s="27"/>
      <c r="S148" s="27"/>
      <c r="T148" s="49" t="str">
        <f t="shared" si="44"/>
        <v/>
      </c>
      <c r="U148" s="13" t="str">
        <f>IF(A148="","",IF(T148="",INDEX(_翻訳マスタ!$B$89:$D$89,1,MATCH(言語切替!$B$3,_翻訳マスタ!$B$1:$D$1,0)),IF(T148&gt;=1,INDEX(_翻訳マスタ!$B$93:$D$93,1,MATCH(言語切替!$B$3,_翻訳マスタ!$B$1:$D$1,0)),IF(T148&gt;=0.8,INDEX(_翻訳マスタ!$B$91:$D$91,1,MATCH(言語切替!$B$3,_翻訳マスタ!$B$1:$D$1,0)),INDEX(_翻訳マスタ!$B$94:$D$94,1,MATCH(言語切替!$B$3,_翻訳マスタ!$B$1:$D$1,0))))))</f>
        <v/>
      </c>
      <c r="V148" s="28"/>
      <c r="W148" s="27"/>
      <c r="X148" s="45" t="str">
        <f t="shared" si="51"/>
        <v/>
      </c>
      <c r="Y148" s="45" t="str">
        <f t="shared" si="52"/>
        <v/>
      </c>
      <c r="Z148" s="36"/>
      <c r="AA148" s="53" t="str">
        <f t="shared" si="53"/>
        <v/>
      </c>
      <c r="AB148" s="53" t="str">
        <f t="shared" si="54"/>
        <v/>
      </c>
    </row>
    <row r="149" spans="1:28" s="22" customFormat="1" x14ac:dyDescent="0.25">
      <c r="A149" s="29"/>
      <c r="B149" s="30"/>
      <c r="C149" s="30"/>
      <c r="D149" s="30"/>
      <c r="E149" s="46" t="str">
        <f t="shared" si="45"/>
        <v/>
      </c>
      <c r="F149" s="46" t="str">
        <f t="shared" si="46"/>
        <v/>
      </c>
      <c r="G149" s="30"/>
      <c r="H149" s="46" t="str">
        <f t="shared" si="47"/>
        <v/>
      </c>
      <c r="I149" s="46" t="str">
        <f t="shared" si="48"/>
        <v/>
      </c>
      <c r="J149" s="30"/>
      <c r="K149" s="46" t="str">
        <f t="shared" si="49"/>
        <v/>
      </c>
      <c r="L149" s="46" t="str">
        <f t="shared" si="50"/>
        <v/>
      </c>
      <c r="M149" s="30"/>
      <c r="N149" s="30"/>
      <c r="O149" s="30"/>
      <c r="P149" s="30"/>
      <c r="Q149" s="30"/>
      <c r="R149" s="30"/>
      <c r="S149" s="30"/>
      <c r="T149" s="50" t="str">
        <f t="shared" si="44"/>
        <v/>
      </c>
      <c r="U149" s="16" t="str">
        <f>IF(A149="","",IF(T149="",INDEX(_翻訳マスタ!$B$89:$D$89,1,MATCH(言語切替!$B$3,_翻訳マスタ!$B$1:$D$1,0)),IF(T149&gt;=1,INDEX(_翻訳マスタ!$B$93:$D$93,1,MATCH(言語切替!$B$3,_翻訳マスタ!$B$1:$D$1,0)),IF(T149&gt;=0.8,INDEX(_翻訳マスタ!$B$91:$D$91,1,MATCH(言語切替!$B$3,_翻訳マスタ!$B$1:$D$1,0)),INDEX(_翻訳マスタ!$B$94:$D$94,1,MATCH(言語切替!$B$3,_翻訳マスタ!$B$1:$D$1,0))))))</f>
        <v/>
      </c>
      <c r="V149" s="31"/>
      <c r="W149" s="30"/>
      <c r="X149" s="46" t="str">
        <f t="shared" si="51"/>
        <v/>
      </c>
      <c r="Y149" s="46" t="str">
        <f t="shared" si="52"/>
        <v/>
      </c>
      <c r="Z149" s="37"/>
      <c r="AA149" s="52" t="str">
        <f t="shared" si="53"/>
        <v/>
      </c>
      <c r="AB149" s="52" t="str">
        <f t="shared" si="54"/>
        <v/>
      </c>
    </row>
    <row r="150" spans="1:28" s="22" customFormat="1" x14ac:dyDescent="0.25">
      <c r="A150" s="26"/>
      <c r="B150" s="27"/>
      <c r="C150" s="27"/>
      <c r="D150" s="27"/>
      <c r="E150" s="45" t="str">
        <f t="shared" si="45"/>
        <v/>
      </c>
      <c r="F150" s="45" t="str">
        <f t="shared" si="46"/>
        <v/>
      </c>
      <c r="G150" s="27"/>
      <c r="H150" s="45" t="str">
        <f t="shared" si="47"/>
        <v/>
      </c>
      <c r="I150" s="45" t="str">
        <f t="shared" si="48"/>
        <v/>
      </c>
      <c r="J150" s="27"/>
      <c r="K150" s="45" t="str">
        <f t="shared" si="49"/>
        <v/>
      </c>
      <c r="L150" s="45" t="str">
        <f t="shared" si="50"/>
        <v/>
      </c>
      <c r="M150" s="27"/>
      <c r="N150" s="27"/>
      <c r="O150" s="27"/>
      <c r="P150" s="27"/>
      <c r="Q150" s="27"/>
      <c r="R150" s="27"/>
      <c r="S150" s="27"/>
      <c r="T150" s="49" t="str">
        <f t="shared" si="44"/>
        <v/>
      </c>
      <c r="U150" s="13" t="str">
        <f>IF(A150="","",IF(T150="",INDEX(_翻訳マスタ!$B$89:$D$89,1,MATCH(言語切替!$B$3,_翻訳マスタ!$B$1:$D$1,0)),IF(T150&gt;=1,INDEX(_翻訳マスタ!$B$93:$D$93,1,MATCH(言語切替!$B$3,_翻訳マスタ!$B$1:$D$1,0)),IF(T150&gt;=0.8,INDEX(_翻訳マスタ!$B$91:$D$91,1,MATCH(言語切替!$B$3,_翻訳マスタ!$B$1:$D$1,0)),INDEX(_翻訳マスタ!$B$94:$D$94,1,MATCH(言語切替!$B$3,_翻訳マスタ!$B$1:$D$1,0))))))</f>
        <v/>
      </c>
      <c r="V150" s="28"/>
      <c r="W150" s="27"/>
      <c r="X150" s="45" t="str">
        <f t="shared" si="51"/>
        <v/>
      </c>
      <c r="Y150" s="45" t="str">
        <f t="shared" si="52"/>
        <v/>
      </c>
      <c r="Z150" s="36"/>
      <c r="AA150" s="53" t="str">
        <f t="shared" si="53"/>
        <v/>
      </c>
      <c r="AB150" s="53" t="str">
        <f t="shared" si="54"/>
        <v/>
      </c>
    </row>
    <row r="151" spans="1:28" s="22" customFormat="1" x14ac:dyDescent="0.25">
      <c r="A151" s="29"/>
      <c r="B151" s="30"/>
      <c r="C151" s="30"/>
      <c r="D151" s="30"/>
      <c r="E151" s="46" t="str">
        <f t="shared" si="45"/>
        <v/>
      </c>
      <c r="F151" s="46" t="str">
        <f t="shared" si="46"/>
        <v/>
      </c>
      <c r="G151" s="30"/>
      <c r="H151" s="46" t="str">
        <f t="shared" si="47"/>
        <v/>
      </c>
      <c r="I151" s="46" t="str">
        <f t="shared" si="48"/>
        <v/>
      </c>
      <c r="J151" s="30"/>
      <c r="K151" s="46" t="str">
        <f t="shared" si="49"/>
        <v/>
      </c>
      <c r="L151" s="46" t="str">
        <f t="shared" si="50"/>
        <v/>
      </c>
      <c r="M151" s="30"/>
      <c r="N151" s="30"/>
      <c r="O151" s="30"/>
      <c r="P151" s="30"/>
      <c r="Q151" s="30"/>
      <c r="R151" s="30"/>
      <c r="S151" s="30"/>
      <c r="T151" s="50" t="str">
        <f t="shared" si="44"/>
        <v/>
      </c>
      <c r="U151" s="16" t="str">
        <f>IF(A151="","",IF(T151="",INDEX(_翻訳マスタ!$B$89:$D$89,1,MATCH(言語切替!$B$3,_翻訳マスタ!$B$1:$D$1,0)),IF(T151&gt;=1,INDEX(_翻訳マスタ!$B$93:$D$93,1,MATCH(言語切替!$B$3,_翻訳マスタ!$B$1:$D$1,0)),IF(T151&gt;=0.8,INDEX(_翻訳マスタ!$B$91:$D$91,1,MATCH(言語切替!$B$3,_翻訳マスタ!$B$1:$D$1,0)),INDEX(_翻訳マスタ!$B$94:$D$94,1,MATCH(言語切替!$B$3,_翻訳マスタ!$B$1:$D$1,0))))))</f>
        <v/>
      </c>
      <c r="V151" s="31"/>
      <c r="W151" s="30"/>
      <c r="X151" s="46" t="str">
        <f t="shared" si="51"/>
        <v/>
      </c>
      <c r="Y151" s="46" t="str">
        <f t="shared" si="52"/>
        <v/>
      </c>
      <c r="Z151" s="37"/>
      <c r="AA151" s="52" t="str">
        <f t="shared" si="53"/>
        <v/>
      </c>
      <c r="AB151" s="52" t="str">
        <f t="shared" si="54"/>
        <v/>
      </c>
    </row>
    <row r="152" spans="1:28" s="22" customFormat="1" x14ac:dyDescent="0.25">
      <c r="A152" s="26"/>
      <c r="B152" s="27"/>
      <c r="C152" s="27"/>
      <c r="D152" s="27"/>
      <c r="E152" s="45" t="str">
        <f t="shared" si="45"/>
        <v/>
      </c>
      <c r="F152" s="45" t="str">
        <f t="shared" si="46"/>
        <v/>
      </c>
      <c r="G152" s="27"/>
      <c r="H152" s="45" t="str">
        <f t="shared" si="47"/>
        <v/>
      </c>
      <c r="I152" s="45" t="str">
        <f t="shared" si="48"/>
        <v/>
      </c>
      <c r="J152" s="27"/>
      <c r="K152" s="45" t="str">
        <f t="shared" si="49"/>
        <v/>
      </c>
      <c r="L152" s="45" t="str">
        <f t="shared" si="50"/>
        <v/>
      </c>
      <c r="M152" s="27"/>
      <c r="N152" s="27"/>
      <c r="O152" s="27"/>
      <c r="P152" s="27"/>
      <c r="Q152" s="27"/>
      <c r="R152" s="27"/>
      <c r="S152" s="27"/>
      <c r="T152" s="49" t="str">
        <f t="shared" si="44"/>
        <v/>
      </c>
      <c r="U152" s="13" t="str">
        <f>IF(A152="","",IF(T152="",INDEX(_翻訳マスタ!$B$89:$D$89,1,MATCH(言語切替!$B$3,_翻訳マスタ!$B$1:$D$1,0)),IF(T152&gt;=1,INDEX(_翻訳マスタ!$B$93:$D$93,1,MATCH(言語切替!$B$3,_翻訳マスタ!$B$1:$D$1,0)),IF(T152&gt;=0.8,INDEX(_翻訳マスタ!$B$91:$D$91,1,MATCH(言語切替!$B$3,_翻訳マスタ!$B$1:$D$1,0)),INDEX(_翻訳マスタ!$B$94:$D$94,1,MATCH(言語切替!$B$3,_翻訳マスタ!$B$1:$D$1,0))))))</f>
        <v/>
      </c>
      <c r="V152" s="28"/>
      <c r="W152" s="27"/>
      <c r="X152" s="45" t="str">
        <f t="shared" si="51"/>
        <v/>
      </c>
      <c r="Y152" s="45" t="str">
        <f t="shared" si="52"/>
        <v/>
      </c>
      <c r="Z152" s="36"/>
      <c r="AA152" s="53" t="str">
        <f t="shared" si="53"/>
        <v/>
      </c>
      <c r="AB152" s="53" t="str">
        <f t="shared" si="54"/>
        <v/>
      </c>
    </row>
    <row r="153" spans="1:28" s="22" customFormat="1" x14ac:dyDescent="0.25">
      <c r="A153" s="29"/>
      <c r="B153" s="30"/>
      <c r="C153" s="30"/>
      <c r="D153" s="30"/>
      <c r="E153" s="46" t="str">
        <f t="shared" si="45"/>
        <v/>
      </c>
      <c r="F153" s="46" t="str">
        <f t="shared" si="46"/>
        <v/>
      </c>
      <c r="G153" s="30"/>
      <c r="H153" s="46" t="str">
        <f t="shared" si="47"/>
        <v/>
      </c>
      <c r="I153" s="46" t="str">
        <f t="shared" si="48"/>
        <v/>
      </c>
      <c r="J153" s="30"/>
      <c r="K153" s="46" t="str">
        <f t="shared" si="49"/>
        <v/>
      </c>
      <c r="L153" s="46" t="str">
        <f t="shared" si="50"/>
        <v/>
      </c>
      <c r="M153" s="30"/>
      <c r="N153" s="30"/>
      <c r="O153" s="30"/>
      <c r="P153" s="30"/>
      <c r="Q153" s="30"/>
      <c r="R153" s="30"/>
      <c r="S153" s="30"/>
      <c r="T153" s="50" t="str">
        <f t="shared" si="44"/>
        <v/>
      </c>
      <c r="U153" s="16" t="str">
        <f>IF(A153="","",IF(T153="",INDEX(_翻訳マスタ!$B$89:$D$89,1,MATCH(言語切替!$B$3,_翻訳マスタ!$B$1:$D$1,0)),IF(T153&gt;=1,INDEX(_翻訳マスタ!$B$93:$D$93,1,MATCH(言語切替!$B$3,_翻訳マスタ!$B$1:$D$1,0)),IF(T153&gt;=0.8,INDEX(_翻訳マスタ!$B$91:$D$91,1,MATCH(言語切替!$B$3,_翻訳マスタ!$B$1:$D$1,0)),INDEX(_翻訳マスタ!$B$94:$D$94,1,MATCH(言語切替!$B$3,_翻訳マスタ!$B$1:$D$1,0))))))</f>
        <v/>
      </c>
      <c r="V153" s="31"/>
      <c r="W153" s="30"/>
      <c r="X153" s="46" t="str">
        <f t="shared" si="51"/>
        <v/>
      </c>
      <c r="Y153" s="46" t="str">
        <f t="shared" si="52"/>
        <v/>
      </c>
      <c r="Z153" s="37"/>
      <c r="AA153" s="52" t="str">
        <f t="shared" si="53"/>
        <v/>
      </c>
      <c r="AB153" s="52" t="str">
        <f t="shared" si="54"/>
        <v/>
      </c>
    </row>
    <row r="154" spans="1:28" s="22" customFormat="1" x14ac:dyDescent="0.25">
      <c r="A154" s="26"/>
      <c r="B154" s="27"/>
      <c r="C154" s="27"/>
      <c r="D154" s="27"/>
      <c r="E154" s="45" t="str">
        <f t="shared" si="45"/>
        <v/>
      </c>
      <c r="F154" s="45" t="str">
        <f t="shared" si="46"/>
        <v/>
      </c>
      <c r="G154" s="27"/>
      <c r="H154" s="45" t="str">
        <f t="shared" si="47"/>
        <v/>
      </c>
      <c r="I154" s="45" t="str">
        <f t="shared" si="48"/>
        <v/>
      </c>
      <c r="J154" s="27"/>
      <c r="K154" s="45" t="str">
        <f t="shared" si="49"/>
        <v/>
      </c>
      <c r="L154" s="45" t="str">
        <f t="shared" si="50"/>
        <v/>
      </c>
      <c r="M154" s="27"/>
      <c r="N154" s="27"/>
      <c r="O154" s="27"/>
      <c r="P154" s="27"/>
      <c r="Q154" s="27"/>
      <c r="R154" s="27"/>
      <c r="S154" s="27"/>
      <c r="T154" s="49" t="str">
        <f t="shared" si="44"/>
        <v/>
      </c>
      <c r="U154" s="13" t="str">
        <f>IF(A154="","",IF(T154="",INDEX(_翻訳マスタ!$B$89:$D$89,1,MATCH(言語切替!$B$3,_翻訳マスタ!$B$1:$D$1,0)),IF(T154&gt;=1,INDEX(_翻訳マスタ!$B$93:$D$93,1,MATCH(言語切替!$B$3,_翻訳マスタ!$B$1:$D$1,0)),IF(T154&gt;=0.8,INDEX(_翻訳マスタ!$B$91:$D$91,1,MATCH(言語切替!$B$3,_翻訳マスタ!$B$1:$D$1,0)),INDEX(_翻訳マスタ!$B$94:$D$94,1,MATCH(言語切替!$B$3,_翻訳マスタ!$B$1:$D$1,0))))))</f>
        <v/>
      </c>
      <c r="V154" s="28"/>
      <c r="W154" s="27"/>
      <c r="X154" s="45" t="str">
        <f t="shared" si="51"/>
        <v/>
      </c>
      <c r="Y154" s="45" t="str">
        <f t="shared" si="52"/>
        <v/>
      </c>
      <c r="Z154" s="36"/>
      <c r="AA154" s="53" t="str">
        <f t="shared" si="53"/>
        <v/>
      </c>
      <c r="AB154" s="53" t="str">
        <f t="shared" si="54"/>
        <v/>
      </c>
    </row>
    <row r="155" spans="1:28" s="22" customFormat="1" x14ac:dyDescent="0.25">
      <c r="A155" s="29"/>
      <c r="B155" s="30"/>
      <c r="C155" s="30"/>
      <c r="D155" s="30"/>
      <c r="E155" s="46" t="str">
        <f t="shared" si="45"/>
        <v/>
      </c>
      <c r="F155" s="46" t="str">
        <f t="shared" si="46"/>
        <v/>
      </c>
      <c r="G155" s="30"/>
      <c r="H155" s="46" t="str">
        <f t="shared" si="47"/>
        <v/>
      </c>
      <c r="I155" s="46" t="str">
        <f t="shared" si="48"/>
        <v/>
      </c>
      <c r="J155" s="30"/>
      <c r="K155" s="46" t="str">
        <f t="shared" si="49"/>
        <v/>
      </c>
      <c r="L155" s="46" t="str">
        <f t="shared" si="50"/>
        <v/>
      </c>
      <c r="M155" s="30"/>
      <c r="N155" s="30"/>
      <c r="O155" s="30"/>
      <c r="P155" s="30"/>
      <c r="Q155" s="30"/>
      <c r="R155" s="30"/>
      <c r="S155" s="30"/>
      <c r="T155" s="50" t="str">
        <f t="shared" si="44"/>
        <v/>
      </c>
      <c r="U155" s="16" t="str">
        <f>IF(A155="","",IF(T155="",INDEX(_翻訳マスタ!$B$89:$D$89,1,MATCH(言語切替!$B$3,_翻訳マスタ!$B$1:$D$1,0)),IF(T155&gt;=1,INDEX(_翻訳マスタ!$B$93:$D$93,1,MATCH(言語切替!$B$3,_翻訳マスタ!$B$1:$D$1,0)),IF(T155&gt;=0.8,INDEX(_翻訳マスタ!$B$91:$D$91,1,MATCH(言語切替!$B$3,_翻訳マスタ!$B$1:$D$1,0)),INDEX(_翻訳マスタ!$B$94:$D$94,1,MATCH(言語切替!$B$3,_翻訳マスタ!$B$1:$D$1,0))))))</f>
        <v/>
      </c>
      <c r="V155" s="31"/>
      <c r="W155" s="30"/>
      <c r="X155" s="46" t="str">
        <f t="shared" si="51"/>
        <v/>
      </c>
      <c r="Y155" s="46" t="str">
        <f t="shared" si="52"/>
        <v/>
      </c>
      <c r="Z155" s="37"/>
      <c r="AA155" s="52" t="str">
        <f t="shared" si="53"/>
        <v/>
      </c>
      <c r="AB155" s="52" t="str">
        <f t="shared" si="54"/>
        <v/>
      </c>
    </row>
    <row r="156" spans="1:28" s="22" customFormat="1" x14ac:dyDescent="0.25">
      <c r="A156" s="26"/>
      <c r="B156" s="27"/>
      <c r="C156" s="27"/>
      <c r="D156" s="27"/>
      <c r="E156" s="45" t="str">
        <f t="shared" si="45"/>
        <v/>
      </c>
      <c r="F156" s="45" t="str">
        <f t="shared" si="46"/>
        <v/>
      </c>
      <c r="G156" s="27"/>
      <c r="H156" s="45" t="str">
        <f t="shared" si="47"/>
        <v/>
      </c>
      <c r="I156" s="45" t="str">
        <f t="shared" si="48"/>
        <v/>
      </c>
      <c r="J156" s="27"/>
      <c r="K156" s="45" t="str">
        <f t="shared" si="49"/>
        <v/>
      </c>
      <c r="L156" s="45" t="str">
        <f t="shared" si="50"/>
        <v/>
      </c>
      <c r="M156" s="27"/>
      <c r="N156" s="27"/>
      <c r="O156" s="27"/>
      <c r="P156" s="27"/>
      <c r="Q156" s="27"/>
      <c r="R156" s="27"/>
      <c r="S156" s="27"/>
      <c r="T156" s="49" t="str">
        <f t="shared" si="44"/>
        <v/>
      </c>
      <c r="U156" s="13" t="str">
        <f>IF(A156="","",IF(T156="",INDEX(_翻訳マスタ!$B$89:$D$89,1,MATCH(言語切替!$B$3,_翻訳マスタ!$B$1:$D$1,0)),IF(T156&gt;=1,INDEX(_翻訳マスタ!$B$93:$D$93,1,MATCH(言語切替!$B$3,_翻訳マスタ!$B$1:$D$1,0)),IF(T156&gt;=0.8,INDEX(_翻訳マスタ!$B$91:$D$91,1,MATCH(言語切替!$B$3,_翻訳マスタ!$B$1:$D$1,0)),INDEX(_翻訳マスタ!$B$94:$D$94,1,MATCH(言語切替!$B$3,_翻訳マスタ!$B$1:$D$1,0))))))</f>
        <v/>
      </c>
      <c r="V156" s="28"/>
      <c r="W156" s="27"/>
      <c r="X156" s="45" t="str">
        <f t="shared" si="51"/>
        <v/>
      </c>
      <c r="Y156" s="45" t="str">
        <f t="shared" si="52"/>
        <v/>
      </c>
      <c r="Z156" s="36"/>
      <c r="AA156" s="53" t="str">
        <f t="shared" si="53"/>
        <v/>
      </c>
      <c r="AB156" s="53" t="str">
        <f t="shared" si="54"/>
        <v/>
      </c>
    </row>
    <row r="157" spans="1:28" s="22" customFormat="1" x14ac:dyDescent="0.25">
      <c r="A157" s="29"/>
      <c r="B157" s="30"/>
      <c r="C157" s="30"/>
      <c r="D157" s="30"/>
      <c r="E157" s="46" t="str">
        <f t="shared" si="45"/>
        <v/>
      </c>
      <c r="F157" s="46" t="str">
        <f t="shared" si="46"/>
        <v/>
      </c>
      <c r="G157" s="30"/>
      <c r="H157" s="46" t="str">
        <f t="shared" si="47"/>
        <v/>
      </c>
      <c r="I157" s="46" t="str">
        <f t="shared" si="48"/>
        <v/>
      </c>
      <c r="J157" s="30"/>
      <c r="K157" s="46" t="str">
        <f t="shared" si="49"/>
        <v/>
      </c>
      <c r="L157" s="46" t="str">
        <f t="shared" si="50"/>
        <v/>
      </c>
      <c r="M157" s="30"/>
      <c r="N157" s="30"/>
      <c r="O157" s="30"/>
      <c r="P157" s="30"/>
      <c r="Q157" s="30"/>
      <c r="R157" s="30"/>
      <c r="S157" s="30"/>
      <c r="T157" s="50" t="str">
        <f t="shared" si="44"/>
        <v/>
      </c>
      <c r="U157" s="16" t="str">
        <f>IF(A157="","",IF(T157="",INDEX(_翻訳マスタ!$B$89:$D$89,1,MATCH(言語切替!$B$3,_翻訳マスタ!$B$1:$D$1,0)),IF(T157&gt;=1,INDEX(_翻訳マスタ!$B$93:$D$93,1,MATCH(言語切替!$B$3,_翻訳マスタ!$B$1:$D$1,0)),IF(T157&gt;=0.8,INDEX(_翻訳マスタ!$B$91:$D$91,1,MATCH(言語切替!$B$3,_翻訳マスタ!$B$1:$D$1,0)),INDEX(_翻訳マスタ!$B$94:$D$94,1,MATCH(言語切替!$B$3,_翻訳マスタ!$B$1:$D$1,0))))))</f>
        <v/>
      </c>
      <c r="V157" s="31"/>
      <c r="W157" s="30"/>
      <c r="X157" s="46" t="str">
        <f t="shared" si="51"/>
        <v/>
      </c>
      <c r="Y157" s="46" t="str">
        <f t="shared" si="52"/>
        <v/>
      </c>
      <c r="Z157" s="37"/>
      <c r="AA157" s="52" t="str">
        <f t="shared" si="53"/>
        <v/>
      </c>
      <c r="AB157" s="52" t="str">
        <f t="shared" si="54"/>
        <v/>
      </c>
    </row>
    <row r="158" spans="1:28" s="22" customFormat="1" x14ac:dyDescent="0.25">
      <c r="A158" s="26"/>
      <c r="B158" s="27"/>
      <c r="C158" s="27"/>
      <c r="D158" s="27"/>
      <c r="E158" s="45" t="str">
        <f t="shared" si="45"/>
        <v/>
      </c>
      <c r="F158" s="45" t="str">
        <f t="shared" si="46"/>
        <v/>
      </c>
      <c r="G158" s="27"/>
      <c r="H158" s="45" t="str">
        <f t="shared" si="47"/>
        <v/>
      </c>
      <c r="I158" s="45" t="str">
        <f t="shared" si="48"/>
        <v/>
      </c>
      <c r="J158" s="27"/>
      <c r="K158" s="45" t="str">
        <f t="shared" si="49"/>
        <v/>
      </c>
      <c r="L158" s="45" t="str">
        <f t="shared" si="50"/>
        <v/>
      </c>
      <c r="M158" s="27"/>
      <c r="N158" s="27"/>
      <c r="O158" s="27"/>
      <c r="P158" s="27"/>
      <c r="Q158" s="27"/>
      <c r="R158" s="27"/>
      <c r="S158" s="27"/>
      <c r="T158" s="49" t="str">
        <f t="shared" si="44"/>
        <v/>
      </c>
      <c r="U158" s="13" t="str">
        <f>IF(A158="","",IF(T158="",INDEX(_翻訳マスタ!$B$89:$D$89,1,MATCH(言語切替!$B$3,_翻訳マスタ!$B$1:$D$1,0)),IF(T158&gt;=1,INDEX(_翻訳マスタ!$B$93:$D$93,1,MATCH(言語切替!$B$3,_翻訳マスタ!$B$1:$D$1,0)),IF(T158&gt;=0.8,INDEX(_翻訳マスタ!$B$91:$D$91,1,MATCH(言語切替!$B$3,_翻訳マスタ!$B$1:$D$1,0)),INDEX(_翻訳マスタ!$B$94:$D$94,1,MATCH(言語切替!$B$3,_翻訳マスタ!$B$1:$D$1,0))))))</f>
        <v/>
      </c>
      <c r="V158" s="28"/>
      <c r="W158" s="27"/>
      <c r="X158" s="45" t="str">
        <f t="shared" si="51"/>
        <v/>
      </c>
      <c r="Y158" s="45" t="str">
        <f t="shared" si="52"/>
        <v/>
      </c>
      <c r="Z158" s="36"/>
      <c r="AA158" s="53" t="str">
        <f t="shared" si="53"/>
        <v/>
      </c>
      <c r="AB158" s="53" t="str">
        <f t="shared" si="54"/>
        <v/>
      </c>
    </row>
    <row r="159" spans="1:28" s="22" customFormat="1" x14ac:dyDescent="0.25">
      <c r="A159" s="29"/>
      <c r="B159" s="30"/>
      <c r="C159" s="30"/>
      <c r="D159" s="30"/>
      <c r="E159" s="46" t="str">
        <f t="shared" si="45"/>
        <v/>
      </c>
      <c r="F159" s="46" t="str">
        <f t="shared" si="46"/>
        <v/>
      </c>
      <c r="G159" s="30"/>
      <c r="H159" s="46" t="str">
        <f t="shared" si="47"/>
        <v/>
      </c>
      <c r="I159" s="46" t="str">
        <f t="shared" si="48"/>
        <v/>
      </c>
      <c r="J159" s="30"/>
      <c r="K159" s="46" t="str">
        <f t="shared" si="49"/>
        <v/>
      </c>
      <c r="L159" s="46" t="str">
        <f t="shared" si="50"/>
        <v/>
      </c>
      <c r="M159" s="30"/>
      <c r="N159" s="30"/>
      <c r="O159" s="30"/>
      <c r="P159" s="30"/>
      <c r="Q159" s="30"/>
      <c r="R159" s="30"/>
      <c r="S159" s="30"/>
      <c r="T159" s="50" t="str">
        <f t="shared" si="44"/>
        <v/>
      </c>
      <c r="U159" s="16" t="str">
        <f>IF(A159="","",IF(T159="",INDEX(_翻訳マスタ!$B$89:$D$89,1,MATCH(言語切替!$B$3,_翻訳マスタ!$B$1:$D$1,0)),IF(T159&gt;=1,INDEX(_翻訳マスタ!$B$93:$D$93,1,MATCH(言語切替!$B$3,_翻訳マスタ!$B$1:$D$1,0)),IF(T159&gt;=0.8,INDEX(_翻訳マスタ!$B$91:$D$91,1,MATCH(言語切替!$B$3,_翻訳マスタ!$B$1:$D$1,0)),INDEX(_翻訳マスタ!$B$94:$D$94,1,MATCH(言語切替!$B$3,_翻訳マスタ!$B$1:$D$1,0))))))</f>
        <v/>
      </c>
      <c r="V159" s="31"/>
      <c r="W159" s="30"/>
      <c r="X159" s="46" t="str">
        <f t="shared" si="51"/>
        <v/>
      </c>
      <c r="Y159" s="46" t="str">
        <f t="shared" si="52"/>
        <v/>
      </c>
      <c r="Z159" s="37"/>
      <c r="AA159" s="52" t="str">
        <f t="shared" si="53"/>
        <v/>
      </c>
      <c r="AB159" s="52" t="str">
        <f t="shared" si="54"/>
        <v/>
      </c>
    </row>
    <row r="160" spans="1:28" s="22" customFormat="1" x14ac:dyDescent="0.25">
      <c r="A160" s="26"/>
      <c r="B160" s="27"/>
      <c r="C160" s="27"/>
      <c r="D160" s="27"/>
      <c r="E160" s="45" t="str">
        <f t="shared" si="45"/>
        <v/>
      </c>
      <c r="F160" s="45" t="str">
        <f t="shared" si="46"/>
        <v/>
      </c>
      <c r="G160" s="27"/>
      <c r="H160" s="45" t="str">
        <f t="shared" si="47"/>
        <v/>
      </c>
      <c r="I160" s="45" t="str">
        <f t="shared" si="48"/>
        <v/>
      </c>
      <c r="J160" s="27"/>
      <c r="K160" s="45" t="str">
        <f t="shared" si="49"/>
        <v/>
      </c>
      <c r="L160" s="45" t="str">
        <f t="shared" si="50"/>
        <v/>
      </c>
      <c r="M160" s="27"/>
      <c r="N160" s="27"/>
      <c r="O160" s="27"/>
      <c r="P160" s="27"/>
      <c r="Q160" s="27"/>
      <c r="R160" s="27"/>
      <c r="S160" s="27"/>
      <c r="T160" s="49" t="str">
        <f t="shared" si="44"/>
        <v/>
      </c>
      <c r="U160" s="13" t="str">
        <f>IF(A160="","",IF(T160="",INDEX(_翻訳マスタ!$B$89:$D$89,1,MATCH(言語切替!$B$3,_翻訳マスタ!$B$1:$D$1,0)),IF(T160&gt;=1,INDEX(_翻訳マスタ!$B$93:$D$93,1,MATCH(言語切替!$B$3,_翻訳マスタ!$B$1:$D$1,0)),IF(T160&gt;=0.8,INDEX(_翻訳マスタ!$B$91:$D$91,1,MATCH(言語切替!$B$3,_翻訳マスタ!$B$1:$D$1,0)),INDEX(_翻訳マスタ!$B$94:$D$94,1,MATCH(言語切替!$B$3,_翻訳マスタ!$B$1:$D$1,0))))))</f>
        <v/>
      </c>
      <c r="V160" s="28"/>
      <c r="W160" s="27"/>
      <c r="X160" s="45" t="str">
        <f t="shared" si="51"/>
        <v/>
      </c>
      <c r="Y160" s="45" t="str">
        <f t="shared" si="52"/>
        <v/>
      </c>
      <c r="Z160" s="36"/>
      <c r="AA160" s="53" t="str">
        <f t="shared" si="53"/>
        <v/>
      </c>
      <c r="AB160" s="53" t="str">
        <f t="shared" si="54"/>
        <v/>
      </c>
    </row>
    <row r="161" spans="1:28" s="22" customFormat="1" x14ac:dyDescent="0.25">
      <c r="A161" s="29"/>
      <c r="B161" s="30"/>
      <c r="C161" s="30"/>
      <c r="D161" s="30"/>
      <c r="E161" s="46" t="str">
        <f t="shared" si="45"/>
        <v/>
      </c>
      <c r="F161" s="46" t="str">
        <f t="shared" si="46"/>
        <v/>
      </c>
      <c r="G161" s="30"/>
      <c r="H161" s="46" t="str">
        <f t="shared" si="47"/>
        <v/>
      </c>
      <c r="I161" s="46" t="str">
        <f t="shared" si="48"/>
        <v/>
      </c>
      <c r="J161" s="30"/>
      <c r="K161" s="46" t="str">
        <f t="shared" si="49"/>
        <v/>
      </c>
      <c r="L161" s="46" t="str">
        <f t="shared" si="50"/>
        <v/>
      </c>
      <c r="M161" s="30"/>
      <c r="N161" s="30"/>
      <c r="O161" s="30"/>
      <c r="P161" s="30"/>
      <c r="Q161" s="30"/>
      <c r="R161" s="30"/>
      <c r="S161" s="30"/>
      <c r="T161" s="50" t="str">
        <f t="shared" si="44"/>
        <v/>
      </c>
      <c r="U161" s="16" t="str">
        <f>IF(A161="","",IF(T161="",INDEX(_翻訳マスタ!$B$89:$D$89,1,MATCH(言語切替!$B$3,_翻訳マスタ!$B$1:$D$1,0)),IF(T161&gt;=1,INDEX(_翻訳マスタ!$B$93:$D$93,1,MATCH(言語切替!$B$3,_翻訳マスタ!$B$1:$D$1,0)),IF(T161&gt;=0.8,INDEX(_翻訳マスタ!$B$91:$D$91,1,MATCH(言語切替!$B$3,_翻訳マスタ!$B$1:$D$1,0)),INDEX(_翻訳マスタ!$B$94:$D$94,1,MATCH(言語切替!$B$3,_翻訳マスタ!$B$1:$D$1,0))))))</f>
        <v/>
      </c>
      <c r="V161" s="31"/>
      <c r="W161" s="30"/>
      <c r="X161" s="46" t="str">
        <f t="shared" si="51"/>
        <v/>
      </c>
      <c r="Y161" s="46" t="str">
        <f t="shared" si="52"/>
        <v/>
      </c>
      <c r="Z161" s="37"/>
      <c r="AA161" s="52" t="str">
        <f t="shared" si="53"/>
        <v/>
      </c>
      <c r="AB161" s="52" t="str">
        <f t="shared" si="54"/>
        <v/>
      </c>
    </row>
    <row r="162" spans="1:28" s="22" customFormat="1" x14ac:dyDescent="0.25">
      <c r="A162" s="26"/>
      <c r="B162" s="27"/>
      <c r="C162" s="27"/>
      <c r="D162" s="27"/>
      <c r="E162" s="45" t="str">
        <f t="shared" si="45"/>
        <v/>
      </c>
      <c r="F162" s="45" t="str">
        <f t="shared" si="46"/>
        <v/>
      </c>
      <c r="G162" s="27"/>
      <c r="H162" s="45" t="str">
        <f t="shared" si="47"/>
        <v/>
      </c>
      <c r="I162" s="45" t="str">
        <f t="shared" si="48"/>
        <v/>
      </c>
      <c r="J162" s="27"/>
      <c r="K162" s="45" t="str">
        <f t="shared" si="49"/>
        <v/>
      </c>
      <c r="L162" s="45" t="str">
        <f t="shared" si="50"/>
        <v/>
      </c>
      <c r="M162" s="27"/>
      <c r="N162" s="27"/>
      <c r="O162" s="27"/>
      <c r="P162" s="27"/>
      <c r="Q162" s="27"/>
      <c r="R162" s="27"/>
      <c r="S162" s="27"/>
      <c r="T162" s="49" t="str">
        <f t="shared" si="44"/>
        <v/>
      </c>
      <c r="U162" s="13" t="str">
        <f>IF(A162="","",IF(T162="",INDEX(_翻訳マスタ!$B$89:$D$89,1,MATCH(言語切替!$B$3,_翻訳マスタ!$B$1:$D$1,0)),IF(T162&gt;=1,INDEX(_翻訳マスタ!$B$93:$D$93,1,MATCH(言語切替!$B$3,_翻訳マスタ!$B$1:$D$1,0)),IF(T162&gt;=0.8,INDEX(_翻訳マスタ!$B$91:$D$91,1,MATCH(言語切替!$B$3,_翻訳マスタ!$B$1:$D$1,0)),INDEX(_翻訳マスタ!$B$94:$D$94,1,MATCH(言語切替!$B$3,_翻訳マスタ!$B$1:$D$1,0))))))</f>
        <v/>
      </c>
      <c r="V162" s="28"/>
      <c r="W162" s="27"/>
      <c r="X162" s="45" t="str">
        <f t="shared" si="51"/>
        <v/>
      </c>
      <c r="Y162" s="45" t="str">
        <f t="shared" si="52"/>
        <v/>
      </c>
      <c r="Z162" s="36"/>
      <c r="AA162" s="53" t="str">
        <f t="shared" si="53"/>
        <v/>
      </c>
      <c r="AB162" s="53" t="str">
        <f t="shared" si="54"/>
        <v/>
      </c>
    </row>
    <row r="163" spans="1:28" s="22" customFormat="1" x14ac:dyDescent="0.25">
      <c r="A163" s="29"/>
      <c r="B163" s="30"/>
      <c r="C163" s="30"/>
      <c r="D163" s="30"/>
      <c r="E163" s="46" t="str">
        <f t="shared" si="45"/>
        <v/>
      </c>
      <c r="F163" s="46" t="str">
        <f t="shared" si="46"/>
        <v/>
      </c>
      <c r="G163" s="30"/>
      <c r="H163" s="46" t="str">
        <f t="shared" si="47"/>
        <v/>
      </c>
      <c r="I163" s="46" t="str">
        <f t="shared" si="48"/>
        <v/>
      </c>
      <c r="J163" s="30"/>
      <c r="K163" s="46" t="str">
        <f t="shared" si="49"/>
        <v/>
      </c>
      <c r="L163" s="46" t="str">
        <f t="shared" si="50"/>
        <v/>
      </c>
      <c r="M163" s="30"/>
      <c r="N163" s="30"/>
      <c r="O163" s="30"/>
      <c r="P163" s="30"/>
      <c r="Q163" s="30"/>
      <c r="R163" s="30"/>
      <c r="S163" s="30"/>
      <c r="T163" s="50" t="str">
        <f t="shared" si="44"/>
        <v/>
      </c>
      <c r="U163" s="16" t="str">
        <f>IF(A163="","",IF(T163="",INDEX(_翻訳マスタ!$B$89:$D$89,1,MATCH(言語切替!$B$3,_翻訳マスタ!$B$1:$D$1,0)),IF(T163&gt;=1,INDEX(_翻訳マスタ!$B$93:$D$93,1,MATCH(言語切替!$B$3,_翻訳マスタ!$B$1:$D$1,0)),IF(T163&gt;=0.8,INDEX(_翻訳マスタ!$B$91:$D$91,1,MATCH(言語切替!$B$3,_翻訳マスタ!$B$1:$D$1,0)),INDEX(_翻訳マスタ!$B$94:$D$94,1,MATCH(言語切替!$B$3,_翻訳マスタ!$B$1:$D$1,0))))))</f>
        <v/>
      </c>
      <c r="V163" s="31"/>
      <c r="W163" s="30"/>
      <c r="X163" s="46" t="str">
        <f t="shared" si="51"/>
        <v/>
      </c>
      <c r="Y163" s="46" t="str">
        <f t="shared" si="52"/>
        <v/>
      </c>
      <c r="Z163" s="37"/>
      <c r="AA163" s="52" t="str">
        <f t="shared" si="53"/>
        <v/>
      </c>
      <c r="AB163" s="52" t="str">
        <f t="shared" si="54"/>
        <v/>
      </c>
    </row>
    <row r="164" spans="1:28" s="22" customFormat="1" x14ac:dyDescent="0.25">
      <c r="A164" s="26"/>
      <c r="B164" s="27"/>
      <c r="C164" s="27"/>
      <c r="D164" s="27"/>
      <c r="E164" s="45" t="str">
        <f t="shared" si="45"/>
        <v/>
      </c>
      <c r="F164" s="45" t="str">
        <f t="shared" si="46"/>
        <v/>
      </c>
      <c r="G164" s="27"/>
      <c r="H164" s="45" t="str">
        <f t="shared" si="47"/>
        <v/>
      </c>
      <c r="I164" s="45" t="str">
        <f t="shared" si="48"/>
        <v/>
      </c>
      <c r="J164" s="27"/>
      <c r="K164" s="45" t="str">
        <f t="shared" si="49"/>
        <v/>
      </c>
      <c r="L164" s="45" t="str">
        <f t="shared" si="50"/>
        <v/>
      </c>
      <c r="M164" s="27"/>
      <c r="N164" s="27"/>
      <c r="O164" s="27"/>
      <c r="P164" s="27"/>
      <c r="Q164" s="27"/>
      <c r="R164" s="27"/>
      <c r="S164" s="27"/>
      <c r="T164" s="49" t="str">
        <f t="shared" si="44"/>
        <v/>
      </c>
      <c r="U164" s="13" t="str">
        <f>IF(A164="","",IF(T164="",INDEX(_翻訳マスタ!$B$89:$D$89,1,MATCH(言語切替!$B$3,_翻訳マスタ!$B$1:$D$1,0)),IF(T164&gt;=1,INDEX(_翻訳マスタ!$B$93:$D$93,1,MATCH(言語切替!$B$3,_翻訳マスタ!$B$1:$D$1,0)),IF(T164&gt;=0.8,INDEX(_翻訳マスタ!$B$91:$D$91,1,MATCH(言語切替!$B$3,_翻訳マスタ!$B$1:$D$1,0)),INDEX(_翻訳マスタ!$B$94:$D$94,1,MATCH(言語切替!$B$3,_翻訳マスタ!$B$1:$D$1,0))))))</f>
        <v/>
      </c>
      <c r="V164" s="28"/>
      <c r="W164" s="27"/>
      <c r="X164" s="45" t="str">
        <f t="shared" si="51"/>
        <v/>
      </c>
      <c r="Y164" s="45" t="str">
        <f t="shared" si="52"/>
        <v/>
      </c>
      <c r="Z164" s="36"/>
      <c r="AA164" s="53" t="str">
        <f t="shared" si="53"/>
        <v/>
      </c>
      <c r="AB164" s="53" t="str">
        <f t="shared" si="54"/>
        <v/>
      </c>
    </row>
    <row r="165" spans="1:28" s="22" customFormat="1" x14ac:dyDescent="0.25">
      <c r="A165" s="29"/>
      <c r="B165" s="30"/>
      <c r="C165" s="30"/>
      <c r="D165" s="30"/>
      <c r="E165" s="46" t="str">
        <f t="shared" si="45"/>
        <v/>
      </c>
      <c r="F165" s="46" t="str">
        <f t="shared" si="46"/>
        <v/>
      </c>
      <c r="G165" s="30"/>
      <c r="H165" s="46" t="str">
        <f t="shared" si="47"/>
        <v/>
      </c>
      <c r="I165" s="46" t="str">
        <f t="shared" si="48"/>
        <v/>
      </c>
      <c r="J165" s="30"/>
      <c r="K165" s="46" t="str">
        <f t="shared" si="49"/>
        <v/>
      </c>
      <c r="L165" s="46" t="str">
        <f t="shared" si="50"/>
        <v/>
      </c>
      <c r="M165" s="30"/>
      <c r="N165" s="30"/>
      <c r="O165" s="30"/>
      <c r="P165" s="30"/>
      <c r="Q165" s="30"/>
      <c r="R165" s="30"/>
      <c r="S165" s="30"/>
      <c r="T165" s="50" t="str">
        <f t="shared" ref="T165:T196" si="55">IF(OR(R165="",S165=""),"",IF(R165=0,"",S165/R165))</f>
        <v/>
      </c>
      <c r="U165" s="16" t="str">
        <f>IF(A165="","",IF(T165="",INDEX(_翻訳マスタ!$B$89:$D$89,1,MATCH(言語切替!$B$3,_翻訳マスタ!$B$1:$D$1,0)),IF(T165&gt;=1,INDEX(_翻訳マスタ!$B$93:$D$93,1,MATCH(言語切替!$B$3,_翻訳マスタ!$B$1:$D$1,0)),IF(T165&gt;=0.8,INDEX(_翻訳マスタ!$B$91:$D$91,1,MATCH(言語切替!$B$3,_翻訳マスタ!$B$1:$D$1,0)),INDEX(_翻訳マスタ!$B$94:$D$94,1,MATCH(言語切替!$B$3,_翻訳マスタ!$B$1:$D$1,0))))))</f>
        <v/>
      </c>
      <c r="V165" s="31"/>
      <c r="W165" s="30"/>
      <c r="X165" s="46" t="str">
        <f t="shared" si="51"/>
        <v/>
      </c>
      <c r="Y165" s="46" t="str">
        <f t="shared" si="52"/>
        <v/>
      </c>
      <c r="Z165" s="37"/>
      <c r="AA165" s="52" t="str">
        <f t="shared" si="53"/>
        <v/>
      </c>
      <c r="AB165" s="52" t="str">
        <f t="shared" si="54"/>
        <v/>
      </c>
    </row>
    <row r="166" spans="1:28" s="22" customFormat="1" x14ac:dyDescent="0.25">
      <c r="A166" s="26"/>
      <c r="B166" s="27"/>
      <c r="C166" s="27"/>
      <c r="D166" s="27"/>
      <c r="E166" s="45" t="str">
        <f t="shared" si="45"/>
        <v/>
      </c>
      <c r="F166" s="45" t="str">
        <f t="shared" si="46"/>
        <v/>
      </c>
      <c r="G166" s="27"/>
      <c r="H166" s="45" t="str">
        <f t="shared" si="47"/>
        <v/>
      </c>
      <c r="I166" s="45" t="str">
        <f t="shared" si="48"/>
        <v/>
      </c>
      <c r="J166" s="27"/>
      <c r="K166" s="45" t="str">
        <f t="shared" si="49"/>
        <v/>
      </c>
      <c r="L166" s="45" t="str">
        <f t="shared" si="50"/>
        <v/>
      </c>
      <c r="M166" s="27"/>
      <c r="N166" s="27"/>
      <c r="O166" s="27"/>
      <c r="P166" s="27"/>
      <c r="Q166" s="27"/>
      <c r="R166" s="27"/>
      <c r="S166" s="27"/>
      <c r="T166" s="49" t="str">
        <f t="shared" si="55"/>
        <v/>
      </c>
      <c r="U166" s="13" t="str">
        <f>IF(A166="","",IF(T166="",INDEX(_翻訳マスタ!$B$89:$D$89,1,MATCH(言語切替!$B$3,_翻訳マスタ!$B$1:$D$1,0)),IF(T166&gt;=1,INDEX(_翻訳マスタ!$B$93:$D$93,1,MATCH(言語切替!$B$3,_翻訳マスタ!$B$1:$D$1,0)),IF(T166&gt;=0.8,INDEX(_翻訳マスタ!$B$91:$D$91,1,MATCH(言語切替!$B$3,_翻訳マスタ!$B$1:$D$1,0)),INDEX(_翻訳マスタ!$B$94:$D$94,1,MATCH(言語切替!$B$3,_翻訳マスタ!$B$1:$D$1,0))))))</f>
        <v/>
      </c>
      <c r="V166" s="28"/>
      <c r="W166" s="27"/>
      <c r="X166" s="45" t="str">
        <f t="shared" si="51"/>
        <v/>
      </c>
      <c r="Y166" s="45" t="str">
        <f t="shared" si="52"/>
        <v/>
      </c>
      <c r="Z166" s="36"/>
      <c r="AA166" s="53" t="str">
        <f t="shared" si="53"/>
        <v/>
      </c>
      <c r="AB166" s="53" t="str">
        <f t="shared" si="54"/>
        <v/>
      </c>
    </row>
    <row r="167" spans="1:28" s="22" customFormat="1" x14ac:dyDescent="0.25">
      <c r="A167" s="29"/>
      <c r="B167" s="30"/>
      <c r="C167" s="30"/>
      <c r="D167" s="30"/>
      <c r="E167" s="46" t="str">
        <f t="shared" si="45"/>
        <v/>
      </c>
      <c r="F167" s="46" t="str">
        <f t="shared" si="46"/>
        <v/>
      </c>
      <c r="G167" s="30"/>
      <c r="H167" s="46" t="str">
        <f t="shared" si="47"/>
        <v/>
      </c>
      <c r="I167" s="46" t="str">
        <f t="shared" si="48"/>
        <v/>
      </c>
      <c r="J167" s="30"/>
      <c r="K167" s="46" t="str">
        <f t="shared" si="49"/>
        <v/>
      </c>
      <c r="L167" s="46" t="str">
        <f t="shared" si="50"/>
        <v/>
      </c>
      <c r="M167" s="30"/>
      <c r="N167" s="30"/>
      <c r="O167" s="30"/>
      <c r="P167" s="30"/>
      <c r="Q167" s="30"/>
      <c r="R167" s="30"/>
      <c r="S167" s="30"/>
      <c r="T167" s="50" t="str">
        <f t="shared" si="55"/>
        <v/>
      </c>
      <c r="U167" s="16" t="str">
        <f>IF(A167="","",IF(T167="",INDEX(_翻訳マスタ!$B$89:$D$89,1,MATCH(言語切替!$B$3,_翻訳マスタ!$B$1:$D$1,0)),IF(T167&gt;=1,INDEX(_翻訳マスタ!$B$93:$D$93,1,MATCH(言語切替!$B$3,_翻訳マスタ!$B$1:$D$1,0)),IF(T167&gt;=0.8,INDEX(_翻訳マスタ!$B$91:$D$91,1,MATCH(言語切替!$B$3,_翻訳マスタ!$B$1:$D$1,0)),INDEX(_翻訳マスタ!$B$94:$D$94,1,MATCH(言語切替!$B$3,_翻訳マスタ!$B$1:$D$1,0))))))</f>
        <v/>
      </c>
      <c r="V167" s="31"/>
      <c r="W167" s="30"/>
      <c r="X167" s="46" t="str">
        <f t="shared" si="51"/>
        <v/>
      </c>
      <c r="Y167" s="46" t="str">
        <f t="shared" si="52"/>
        <v/>
      </c>
      <c r="Z167" s="37"/>
      <c r="AA167" s="52" t="str">
        <f t="shared" si="53"/>
        <v/>
      </c>
      <c r="AB167" s="52" t="str">
        <f t="shared" si="54"/>
        <v/>
      </c>
    </row>
    <row r="168" spans="1:28" s="22" customFormat="1" x14ac:dyDescent="0.25">
      <c r="A168" s="26"/>
      <c r="B168" s="27"/>
      <c r="C168" s="27"/>
      <c r="D168" s="27"/>
      <c r="E168" s="45" t="str">
        <f t="shared" si="45"/>
        <v/>
      </c>
      <c r="F168" s="45" t="str">
        <f t="shared" si="46"/>
        <v/>
      </c>
      <c r="G168" s="27"/>
      <c r="H168" s="45" t="str">
        <f t="shared" si="47"/>
        <v/>
      </c>
      <c r="I168" s="45" t="str">
        <f t="shared" si="48"/>
        <v/>
      </c>
      <c r="J168" s="27"/>
      <c r="K168" s="45" t="str">
        <f t="shared" si="49"/>
        <v/>
      </c>
      <c r="L168" s="45" t="str">
        <f t="shared" si="50"/>
        <v/>
      </c>
      <c r="M168" s="27"/>
      <c r="N168" s="27"/>
      <c r="O168" s="27"/>
      <c r="P168" s="27"/>
      <c r="Q168" s="27"/>
      <c r="R168" s="27"/>
      <c r="S168" s="27"/>
      <c r="T168" s="49" t="str">
        <f t="shared" si="55"/>
        <v/>
      </c>
      <c r="U168" s="13" t="str">
        <f>IF(A168="","",IF(T168="",INDEX(_翻訳マスタ!$B$89:$D$89,1,MATCH(言語切替!$B$3,_翻訳マスタ!$B$1:$D$1,0)),IF(T168&gt;=1,INDEX(_翻訳マスタ!$B$93:$D$93,1,MATCH(言語切替!$B$3,_翻訳マスタ!$B$1:$D$1,0)),IF(T168&gt;=0.8,INDEX(_翻訳マスタ!$B$91:$D$91,1,MATCH(言語切替!$B$3,_翻訳マスタ!$B$1:$D$1,0)),INDEX(_翻訳マスタ!$B$94:$D$94,1,MATCH(言語切替!$B$3,_翻訳マスタ!$B$1:$D$1,0))))))</f>
        <v/>
      </c>
      <c r="V168" s="28"/>
      <c r="W168" s="27"/>
      <c r="X168" s="45" t="str">
        <f t="shared" si="51"/>
        <v/>
      </c>
      <c r="Y168" s="45" t="str">
        <f t="shared" si="52"/>
        <v/>
      </c>
      <c r="Z168" s="36"/>
      <c r="AA168" s="53" t="str">
        <f t="shared" si="53"/>
        <v/>
      </c>
      <c r="AB168" s="53" t="str">
        <f t="shared" si="54"/>
        <v/>
      </c>
    </row>
    <row r="169" spans="1:28" s="22" customFormat="1" x14ac:dyDescent="0.25">
      <c r="A169" s="29"/>
      <c r="B169" s="30"/>
      <c r="C169" s="30"/>
      <c r="D169" s="30"/>
      <c r="E169" s="46" t="str">
        <f t="shared" ref="E169:E200" si="56">IF(D169="","",_xlfn.TRANSLATE(D169,"vi","ja"))</f>
        <v/>
      </c>
      <c r="F169" s="46" t="str">
        <f t="shared" ref="F169:F204" si="57">IF(D169="","",_xlfn.TRANSLATE(D169,"vi","zh-Hans"))</f>
        <v/>
      </c>
      <c r="G169" s="30"/>
      <c r="H169" s="46" t="str">
        <f t="shared" ref="H169:H200" si="58">IF(G169="","",_xlfn.TRANSLATE(G169,"vi","ja"))</f>
        <v/>
      </c>
      <c r="I169" s="46" t="str">
        <f t="shared" ref="I169:I204" si="59">IF(G169="","",_xlfn.TRANSLATE(G169,"vi","zh-Hans"))</f>
        <v/>
      </c>
      <c r="J169" s="30"/>
      <c r="K169" s="46" t="str">
        <f t="shared" ref="K169:K200" si="60">IF(J169="","",_xlfn.TRANSLATE(J169,"vi","ja"))</f>
        <v/>
      </c>
      <c r="L169" s="46" t="str">
        <f t="shared" ref="L169:L204" si="61">IF(J169="","",_xlfn.TRANSLATE(J169,"vi","zh-Hans"))</f>
        <v/>
      </c>
      <c r="M169" s="30"/>
      <c r="N169" s="30"/>
      <c r="O169" s="30"/>
      <c r="P169" s="30"/>
      <c r="Q169" s="30"/>
      <c r="R169" s="30"/>
      <c r="S169" s="30"/>
      <c r="T169" s="50" t="str">
        <f t="shared" si="55"/>
        <v/>
      </c>
      <c r="U169" s="16" t="str">
        <f>IF(A169="","",IF(T169="",INDEX(_翻訳マスタ!$B$89:$D$89,1,MATCH(言語切替!$B$3,_翻訳マスタ!$B$1:$D$1,0)),IF(T169&gt;=1,INDEX(_翻訳マスタ!$B$93:$D$93,1,MATCH(言語切替!$B$3,_翻訳マスタ!$B$1:$D$1,0)),IF(T169&gt;=0.8,INDEX(_翻訳マスタ!$B$91:$D$91,1,MATCH(言語切替!$B$3,_翻訳マスタ!$B$1:$D$1,0)),INDEX(_翻訳マスタ!$B$94:$D$94,1,MATCH(言語切替!$B$3,_翻訳マスタ!$B$1:$D$1,0))))))</f>
        <v/>
      </c>
      <c r="V169" s="31"/>
      <c r="W169" s="30"/>
      <c r="X169" s="46" t="str">
        <f t="shared" ref="X169:X200" si="62">IF(W169="","",_xlfn.TRANSLATE(W169,"vi","ja"))</f>
        <v/>
      </c>
      <c r="Y169" s="46" t="str">
        <f t="shared" ref="Y169:Y204" si="63">IF(W169="","",_xlfn.TRANSLATE(W169,"vi","zh-Hans"))</f>
        <v/>
      </c>
      <c r="Z169" s="37"/>
      <c r="AA169" s="52" t="str">
        <f t="shared" ref="AA169:AA200" si="64">IF(Z169="","",_xlfn.TRANSLATE(Z169,"vi","ja"))</f>
        <v/>
      </c>
      <c r="AB169" s="52" t="str">
        <f t="shared" ref="AB169:AB204" si="65">IF(Z169="","",_xlfn.TRANSLATE(Z169,"vi","zh-Hans"))</f>
        <v/>
      </c>
    </row>
    <row r="170" spans="1:28" s="22" customFormat="1" x14ac:dyDescent="0.25">
      <c r="A170" s="26"/>
      <c r="B170" s="27"/>
      <c r="C170" s="27"/>
      <c r="D170" s="27"/>
      <c r="E170" s="45" t="str">
        <f t="shared" si="56"/>
        <v/>
      </c>
      <c r="F170" s="45" t="str">
        <f t="shared" si="57"/>
        <v/>
      </c>
      <c r="G170" s="27"/>
      <c r="H170" s="45" t="str">
        <f t="shared" si="58"/>
        <v/>
      </c>
      <c r="I170" s="45" t="str">
        <f t="shared" si="59"/>
        <v/>
      </c>
      <c r="J170" s="27"/>
      <c r="K170" s="45" t="str">
        <f t="shared" si="60"/>
        <v/>
      </c>
      <c r="L170" s="45" t="str">
        <f t="shared" si="61"/>
        <v/>
      </c>
      <c r="M170" s="27"/>
      <c r="N170" s="27"/>
      <c r="O170" s="27"/>
      <c r="P170" s="27"/>
      <c r="Q170" s="27"/>
      <c r="R170" s="27"/>
      <c r="S170" s="27"/>
      <c r="T170" s="49" t="str">
        <f t="shared" si="55"/>
        <v/>
      </c>
      <c r="U170" s="13" t="str">
        <f>IF(A170="","",IF(T170="",INDEX(_翻訳マスタ!$B$89:$D$89,1,MATCH(言語切替!$B$3,_翻訳マスタ!$B$1:$D$1,0)),IF(T170&gt;=1,INDEX(_翻訳マスタ!$B$93:$D$93,1,MATCH(言語切替!$B$3,_翻訳マスタ!$B$1:$D$1,0)),IF(T170&gt;=0.8,INDEX(_翻訳マスタ!$B$91:$D$91,1,MATCH(言語切替!$B$3,_翻訳マスタ!$B$1:$D$1,0)),INDEX(_翻訳マスタ!$B$94:$D$94,1,MATCH(言語切替!$B$3,_翻訳マスタ!$B$1:$D$1,0))))))</f>
        <v/>
      </c>
      <c r="V170" s="28"/>
      <c r="W170" s="27"/>
      <c r="X170" s="45" t="str">
        <f t="shared" si="62"/>
        <v/>
      </c>
      <c r="Y170" s="45" t="str">
        <f t="shared" si="63"/>
        <v/>
      </c>
      <c r="Z170" s="36"/>
      <c r="AA170" s="53" t="str">
        <f t="shared" si="64"/>
        <v/>
      </c>
      <c r="AB170" s="53" t="str">
        <f t="shared" si="65"/>
        <v/>
      </c>
    </row>
    <row r="171" spans="1:28" s="22" customFormat="1" x14ac:dyDescent="0.25">
      <c r="A171" s="29"/>
      <c r="B171" s="30"/>
      <c r="C171" s="30"/>
      <c r="D171" s="30"/>
      <c r="E171" s="46" t="str">
        <f t="shared" si="56"/>
        <v/>
      </c>
      <c r="F171" s="46" t="str">
        <f t="shared" si="57"/>
        <v/>
      </c>
      <c r="G171" s="30"/>
      <c r="H171" s="46" t="str">
        <f t="shared" si="58"/>
        <v/>
      </c>
      <c r="I171" s="46" t="str">
        <f t="shared" si="59"/>
        <v/>
      </c>
      <c r="J171" s="30"/>
      <c r="K171" s="46" t="str">
        <f t="shared" si="60"/>
        <v/>
      </c>
      <c r="L171" s="46" t="str">
        <f t="shared" si="61"/>
        <v/>
      </c>
      <c r="M171" s="30"/>
      <c r="N171" s="30"/>
      <c r="O171" s="30"/>
      <c r="P171" s="30"/>
      <c r="Q171" s="30"/>
      <c r="R171" s="30"/>
      <c r="S171" s="30"/>
      <c r="T171" s="50" t="str">
        <f t="shared" si="55"/>
        <v/>
      </c>
      <c r="U171" s="16" t="str">
        <f>IF(A171="","",IF(T171="",INDEX(_翻訳マスタ!$B$89:$D$89,1,MATCH(言語切替!$B$3,_翻訳マスタ!$B$1:$D$1,0)),IF(T171&gt;=1,INDEX(_翻訳マスタ!$B$93:$D$93,1,MATCH(言語切替!$B$3,_翻訳マスタ!$B$1:$D$1,0)),IF(T171&gt;=0.8,INDEX(_翻訳マスタ!$B$91:$D$91,1,MATCH(言語切替!$B$3,_翻訳マスタ!$B$1:$D$1,0)),INDEX(_翻訳マスタ!$B$94:$D$94,1,MATCH(言語切替!$B$3,_翻訳マスタ!$B$1:$D$1,0))))))</f>
        <v/>
      </c>
      <c r="V171" s="31"/>
      <c r="W171" s="30"/>
      <c r="X171" s="46" t="str">
        <f t="shared" si="62"/>
        <v/>
      </c>
      <c r="Y171" s="46" t="str">
        <f t="shared" si="63"/>
        <v/>
      </c>
      <c r="Z171" s="37"/>
      <c r="AA171" s="52" t="str">
        <f t="shared" si="64"/>
        <v/>
      </c>
      <c r="AB171" s="52" t="str">
        <f t="shared" si="65"/>
        <v/>
      </c>
    </row>
    <row r="172" spans="1:28" s="22" customFormat="1" x14ac:dyDescent="0.25">
      <c r="A172" s="26"/>
      <c r="B172" s="27"/>
      <c r="C172" s="27"/>
      <c r="D172" s="27"/>
      <c r="E172" s="45" t="str">
        <f t="shared" si="56"/>
        <v/>
      </c>
      <c r="F172" s="45" t="str">
        <f t="shared" si="57"/>
        <v/>
      </c>
      <c r="G172" s="27"/>
      <c r="H172" s="45" t="str">
        <f t="shared" si="58"/>
        <v/>
      </c>
      <c r="I172" s="45" t="str">
        <f t="shared" si="59"/>
        <v/>
      </c>
      <c r="J172" s="27"/>
      <c r="K172" s="45" t="str">
        <f t="shared" si="60"/>
        <v/>
      </c>
      <c r="L172" s="45" t="str">
        <f t="shared" si="61"/>
        <v/>
      </c>
      <c r="M172" s="27"/>
      <c r="N172" s="27"/>
      <c r="O172" s="27"/>
      <c r="P172" s="27"/>
      <c r="Q172" s="27"/>
      <c r="R172" s="27"/>
      <c r="S172" s="27"/>
      <c r="T172" s="49" t="str">
        <f t="shared" si="55"/>
        <v/>
      </c>
      <c r="U172" s="13" t="str">
        <f>IF(A172="","",IF(T172="",INDEX(_翻訳マスタ!$B$89:$D$89,1,MATCH(言語切替!$B$3,_翻訳マスタ!$B$1:$D$1,0)),IF(T172&gt;=1,INDEX(_翻訳マスタ!$B$93:$D$93,1,MATCH(言語切替!$B$3,_翻訳マスタ!$B$1:$D$1,0)),IF(T172&gt;=0.8,INDEX(_翻訳マスタ!$B$91:$D$91,1,MATCH(言語切替!$B$3,_翻訳マスタ!$B$1:$D$1,0)),INDEX(_翻訳マスタ!$B$94:$D$94,1,MATCH(言語切替!$B$3,_翻訳マスタ!$B$1:$D$1,0))))))</f>
        <v/>
      </c>
      <c r="V172" s="28"/>
      <c r="W172" s="27"/>
      <c r="X172" s="45" t="str">
        <f t="shared" si="62"/>
        <v/>
      </c>
      <c r="Y172" s="45" t="str">
        <f t="shared" si="63"/>
        <v/>
      </c>
      <c r="Z172" s="36"/>
      <c r="AA172" s="53" t="str">
        <f t="shared" si="64"/>
        <v/>
      </c>
      <c r="AB172" s="53" t="str">
        <f t="shared" si="65"/>
        <v/>
      </c>
    </row>
    <row r="173" spans="1:28" s="22" customFormat="1" x14ac:dyDescent="0.25">
      <c r="A173" s="29"/>
      <c r="B173" s="30"/>
      <c r="C173" s="30"/>
      <c r="D173" s="30"/>
      <c r="E173" s="46" t="str">
        <f t="shared" si="56"/>
        <v/>
      </c>
      <c r="F173" s="46" t="str">
        <f t="shared" si="57"/>
        <v/>
      </c>
      <c r="G173" s="30"/>
      <c r="H173" s="46" t="str">
        <f t="shared" si="58"/>
        <v/>
      </c>
      <c r="I173" s="46" t="str">
        <f t="shared" si="59"/>
        <v/>
      </c>
      <c r="J173" s="30"/>
      <c r="K173" s="46" t="str">
        <f t="shared" si="60"/>
        <v/>
      </c>
      <c r="L173" s="46" t="str">
        <f t="shared" si="61"/>
        <v/>
      </c>
      <c r="M173" s="30"/>
      <c r="N173" s="30"/>
      <c r="O173" s="30"/>
      <c r="P173" s="30"/>
      <c r="Q173" s="30"/>
      <c r="R173" s="30"/>
      <c r="S173" s="30"/>
      <c r="T173" s="50" t="str">
        <f t="shared" si="55"/>
        <v/>
      </c>
      <c r="U173" s="16" t="str">
        <f>IF(A173="","",IF(T173="",INDEX(_翻訳マスタ!$B$89:$D$89,1,MATCH(言語切替!$B$3,_翻訳マスタ!$B$1:$D$1,0)),IF(T173&gt;=1,INDEX(_翻訳マスタ!$B$93:$D$93,1,MATCH(言語切替!$B$3,_翻訳マスタ!$B$1:$D$1,0)),IF(T173&gt;=0.8,INDEX(_翻訳マスタ!$B$91:$D$91,1,MATCH(言語切替!$B$3,_翻訳マスタ!$B$1:$D$1,0)),INDEX(_翻訳マスタ!$B$94:$D$94,1,MATCH(言語切替!$B$3,_翻訳マスタ!$B$1:$D$1,0))))))</f>
        <v/>
      </c>
      <c r="V173" s="31"/>
      <c r="W173" s="30"/>
      <c r="X173" s="46" t="str">
        <f t="shared" si="62"/>
        <v/>
      </c>
      <c r="Y173" s="46" t="str">
        <f t="shared" si="63"/>
        <v/>
      </c>
      <c r="Z173" s="37"/>
      <c r="AA173" s="52" t="str">
        <f t="shared" si="64"/>
        <v/>
      </c>
      <c r="AB173" s="52" t="str">
        <f t="shared" si="65"/>
        <v/>
      </c>
    </row>
    <row r="174" spans="1:28" s="22" customFormat="1" x14ac:dyDescent="0.25">
      <c r="A174" s="26"/>
      <c r="B174" s="27"/>
      <c r="C174" s="27"/>
      <c r="D174" s="27"/>
      <c r="E174" s="45" t="str">
        <f t="shared" si="56"/>
        <v/>
      </c>
      <c r="F174" s="45" t="str">
        <f t="shared" si="57"/>
        <v/>
      </c>
      <c r="G174" s="27"/>
      <c r="H174" s="45" t="str">
        <f t="shared" si="58"/>
        <v/>
      </c>
      <c r="I174" s="45" t="str">
        <f t="shared" si="59"/>
        <v/>
      </c>
      <c r="J174" s="27"/>
      <c r="K174" s="45" t="str">
        <f t="shared" si="60"/>
        <v/>
      </c>
      <c r="L174" s="45" t="str">
        <f t="shared" si="61"/>
        <v/>
      </c>
      <c r="M174" s="27"/>
      <c r="N174" s="27"/>
      <c r="O174" s="27"/>
      <c r="P174" s="27"/>
      <c r="Q174" s="27"/>
      <c r="R174" s="27"/>
      <c r="S174" s="27"/>
      <c r="T174" s="49" t="str">
        <f t="shared" si="55"/>
        <v/>
      </c>
      <c r="U174" s="13" t="str">
        <f>IF(A174="","",IF(T174="",INDEX(_翻訳マスタ!$B$89:$D$89,1,MATCH(言語切替!$B$3,_翻訳マスタ!$B$1:$D$1,0)),IF(T174&gt;=1,INDEX(_翻訳マスタ!$B$93:$D$93,1,MATCH(言語切替!$B$3,_翻訳マスタ!$B$1:$D$1,0)),IF(T174&gt;=0.8,INDEX(_翻訳マスタ!$B$91:$D$91,1,MATCH(言語切替!$B$3,_翻訳マスタ!$B$1:$D$1,0)),INDEX(_翻訳マスタ!$B$94:$D$94,1,MATCH(言語切替!$B$3,_翻訳マスタ!$B$1:$D$1,0))))))</f>
        <v/>
      </c>
      <c r="V174" s="28"/>
      <c r="W174" s="27"/>
      <c r="X174" s="45" t="str">
        <f t="shared" si="62"/>
        <v/>
      </c>
      <c r="Y174" s="45" t="str">
        <f t="shared" si="63"/>
        <v/>
      </c>
      <c r="Z174" s="36"/>
      <c r="AA174" s="53" t="str">
        <f t="shared" si="64"/>
        <v/>
      </c>
      <c r="AB174" s="53" t="str">
        <f t="shared" si="65"/>
        <v/>
      </c>
    </row>
    <row r="175" spans="1:28" s="22" customFormat="1" x14ac:dyDescent="0.25">
      <c r="A175" s="29"/>
      <c r="B175" s="30"/>
      <c r="C175" s="30"/>
      <c r="D175" s="30"/>
      <c r="E175" s="46" t="str">
        <f t="shared" si="56"/>
        <v/>
      </c>
      <c r="F175" s="46" t="str">
        <f t="shared" si="57"/>
        <v/>
      </c>
      <c r="G175" s="30"/>
      <c r="H175" s="46" t="str">
        <f t="shared" si="58"/>
        <v/>
      </c>
      <c r="I175" s="46" t="str">
        <f t="shared" si="59"/>
        <v/>
      </c>
      <c r="J175" s="30"/>
      <c r="K175" s="46" t="str">
        <f t="shared" si="60"/>
        <v/>
      </c>
      <c r="L175" s="46" t="str">
        <f t="shared" si="61"/>
        <v/>
      </c>
      <c r="M175" s="30"/>
      <c r="N175" s="30"/>
      <c r="O175" s="30"/>
      <c r="P175" s="30"/>
      <c r="Q175" s="30"/>
      <c r="R175" s="30"/>
      <c r="S175" s="30"/>
      <c r="T175" s="50" t="str">
        <f t="shared" si="55"/>
        <v/>
      </c>
      <c r="U175" s="16" t="str">
        <f>IF(A175="","",IF(T175="",INDEX(_翻訳マスタ!$B$89:$D$89,1,MATCH(言語切替!$B$3,_翻訳マスタ!$B$1:$D$1,0)),IF(T175&gt;=1,INDEX(_翻訳マスタ!$B$93:$D$93,1,MATCH(言語切替!$B$3,_翻訳マスタ!$B$1:$D$1,0)),IF(T175&gt;=0.8,INDEX(_翻訳マスタ!$B$91:$D$91,1,MATCH(言語切替!$B$3,_翻訳マスタ!$B$1:$D$1,0)),INDEX(_翻訳マスタ!$B$94:$D$94,1,MATCH(言語切替!$B$3,_翻訳マスタ!$B$1:$D$1,0))))))</f>
        <v/>
      </c>
      <c r="V175" s="31"/>
      <c r="W175" s="30"/>
      <c r="X175" s="46" t="str">
        <f t="shared" si="62"/>
        <v/>
      </c>
      <c r="Y175" s="46" t="str">
        <f t="shared" si="63"/>
        <v/>
      </c>
      <c r="Z175" s="37"/>
      <c r="AA175" s="52" t="str">
        <f t="shared" si="64"/>
        <v/>
      </c>
      <c r="AB175" s="52" t="str">
        <f t="shared" si="65"/>
        <v/>
      </c>
    </row>
    <row r="176" spans="1:28" s="22" customFormat="1" x14ac:dyDescent="0.25">
      <c r="A176" s="26"/>
      <c r="B176" s="27"/>
      <c r="C176" s="27"/>
      <c r="D176" s="27"/>
      <c r="E176" s="45" t="str">
        <f t="shared" si="56"/>
        <v/>
      </c>
      <c r="F176" s="45" t="str">
        <f t="shared" si="57"/>
        <v/>
      </c>
      <c r="G176" s="27"/>
      <c r="H176" s="45" t="str">
        <f t="shared" si="58"/>
        <v/>
      </c>
      <c r="I176" s="45" t="str">
        <f t="shared" si="59"/>
        <v/>
      </c>
      <c r="J176" s="27"/>
      <c r="K176" s="45" t="str">
        <f t="shared" si="60"/>
        <v/>
      </c>
      <c r="L176" s="45" t="str">
        <f t="shared" si="61"/>
        <v/>
      </c>
      <c r="M176" s="27"/>
      <c r="N176" s="27"/>
      <c r="O176" s="27"/>
      <c r="P176" s="27"/>
      <c r="Q176" s="27"/>
      <c r="R176" s="27"/>
      <c r="S176" s="27"/>
      <c r="T176" s="49" t="str">
        <f t="shared" si="55"/>
        <v/>
      </c>
      <c r="U176" s="13" t="str">
        <f>IF(A176="","",IF(T176="",INDEX(_翻訳マスタ!$B$89:$D$89,1,MATCH(言語切替!$B$3,_翻訳マスタ!$B$1:$D$1,0)),IF(T176&gt;=1,INDEX(_翻訳マスタ!$B$93:$D$93,1,MATCH(言語切替!$B$3,_翻訳マスタ!$B$1:$D$1,0)),IF(T176&gt;=0.8,INDEX(_翻訳マスタ!$B$91:$D$91,1,MATCH(言語切替!$B$3,_翻訳マスタ!$B$1:$D$1,0)),INDEX(_翻訳マスタ!$B$94:$D$94,1,MATCH(言語切替!$B$3,_翻訳マスタ!$B$1:$D$1,0))))))</f>
        <v/>
      </c>
      <c r="V176" s="28"/>
      <c r="W176" s="27"/>
      <c r="X176" s="45" t="str">
        <f t="shared" si="62"/>
        <v/>
      </c>
      <c r="Y176" s="45" t="str">
        <f t="shared" si="63"/>
        <v/>
      </c>
      <c r="Z176" s="36"/>
      <c r="AA176" s="53" t="str">
        <f t="shared" si="64"/>
        <v/>
      </c>
      <c r="AB176" s="53" t="str">
        <f t="shared" si="65"/>
        <v/>
      </c>
    </row>
    <row r="177" spans="1:28" s="22" customFormat="1" x14ac:dyDescent="0.25">
      <c r="A177" s="29"/>
      <c r="B177" s="30"/>
      <c r="C177" s="30"/>
      <c r="D177" s="30"/>
      <c r="E177" s="46" t="str">
        <f t="shared" si="56"/>
        <v/>
      </c>
      <c r="F177" s="46" t="str">
        <f t="shared" si="57"/>
        <v/>
      </c>
      <c r="G177" s="30"/>
      <c r="H177" s="46" t="str">
        <f t="shared" si="58"/>
        <v/>
      </c>
      <c r="I177" s="46" t="str">
        <f t="shared" si="59"/>
        <v/>
      </c>
      <c r="J177" s="30"/>
      <c r="K177" s="46" t="str">
        <f t="shared" si="60"/>
        <v/>
      </c>
      <c r="L177" s="46" t="str">
        <f t="shared" si="61"/>
        <v/>
      </c>
      <c r="M177" s="30"/>
      <c r="N177" s="30"/>
      <c r="O177" s="30"/>
      <c r="P177" s="30"/>
      <c r="Q177" s="30"/>
      <c r="R177" s="30"/>
      <c r="S177" s="30"/>
      <c r="T177" s="50" t="str">
        <f t="shared" si="55"/>
        <v/>
      </c>
      <c r="U177" s="16" t="str">
        <f>IF(A177="","",IF(T177="",INDEX(_翻訳マスタ!$B$89:$D$89,1,MATCH(言語切替!$B$3,_翻訳マスタ!$B$1:$D$1,0)),IF(T177&gt;=1,INDEX(_翻訳マスタ!$B$93:$D$93,1,MATCH(言語切替!$B$3,_翻訳マスタ!$B$1:$D$1,0)),IF(T177&gt;=0.8,INDEX(_翻訳マスタ!$B$91:$D$91,1,MATCH(言語切替!$B$3,_翻訳マスタ!$B$1:$D$1,0)),INDEX(_翻訳マスタ!$B$94:$D$94,1,MATCH(言語切替!$B$3,_翻訳マスタ!$B$1:$D$1,0))))))</f>
        <v/>
      </c>
      <c r="V177" s="31"/>
      <c r="W177" s="30"/>
      <c r="X177" s="46" t="str">
        <f t="shared" si="62"/>
        <v/>
      </c>
      <c r="Y177" s="46" t="str">
        <f t="shared" si="63"/>
        <v/>
      </c>
      <c r="Z177" s="37"/>
      <c r="AA177" s="52" t="str">
        <f t="shared" si="64"/>
        <v/>
      </c>
      <c r="AB177" s="52" t="str">
        <f t="shared" si="65"/>
        <v/>
      </c>
    </row>
    <row r="178" spans="1:28" s="22" customFormat="1" x14ac:dyDescent="0.25">
      <c r="A178" s="26"/>
      <c r="B178" s="27"/>
      <c r="C178" s="27"/>
      <c r="D178" s="27"/>
      <c r="E178" s="45" t="str">
        <f t="shared" si="56"/>
        <v/>
      </c>
      <c r="F178" s="45" t="str">
        <f t="shared" si="57"/>
        <v/>
      </c>
      <c r="G178" s="27"/>
      <c r="H178" s="45" t="str">
        <f t="shared" si="58"/>
        <v/>
      </c>
      <c r="I178" s="45" t="str">
        <f t="shared" si="59"/>
        <v/>
      </c>
      <c r="J178" s="27"/>
      <c r="K178" s="45" t="str">
        <f t="shared" si="60"/>
        <v/>
      </c>
      <c r="L178" s="45" t="str">
        <f t="shared" si="61"/>
        <v/>
      </c>
      <c r="M178" s="27"/>
      <c r="N178" s="27"/>
      <c r="O178" s="27"/>
      <c r="P178" s="27"/>
      <c r="Q178" s="27"/>
      <c r="R178" s="27"/>
      <c r="S178" s="27"/>
      <c r="T178" s="49" t="str">
        <f t="shared" si="55"/>
        <v/>
      </c>
      <c r="U178" s="13" t="str">
        <f>IF(A178="","",IF(T178="",INDEX(_翻訳マスタ!$B$89:$D$89,1,MATCH(言語切替!$B$3,_翻訳マスタ!$B$1:$D$1,0)),IF(T178&gt;=1,INDEX(_翻訳マスタ!$B$93:$D$93,1,MATCH(言語切替!$B$3,_翻訳マスタ!$B$1:$D$1,0)),IF(T178&gt;=0.8,INDEX(_翻訳マスタ!$B$91:$D$91,1,MATCH(言語切替!$B$3,_翻訳マスタ!$B$1:$D$1,0)),INDEX(_翻訳マスタ!$B$94:$D$94,1,MATCH(言語切替!$B$3,_翻訳マスタ!$B$1:$D$1,0))))))</f>
        <v/>
      </c>
      <c r="V178" s="28"/>
      <c r="W178" s="27"/>
      <c r="X178" s="45" t="str">
        <f t="shared" si="62"/>
        <v/>
      </c>
      <c r="Y178" s="45" t="str">
        <f t="shared" si="63"/>
        <v/>
      </c>
      <c r="Z178" s="36"/>
      <c r="AA178" s="53" t="str">
        <f t="shared" si="64"/>
        <v/>
      </c>
      <c r="AB178" s="53" t="str">
        <f t="shared" si="65"/>
        <v/>
      </c>
    </row>
    <row r="179" spans="1:28" s="22" customFormat="1" x14ac:dyDescent="0.25">
      <c r="A179" s="29"/>
      <c r="B179" s="30"/>
      <c r="C179" s="30"/>
      <c r="D179" s="30"/>
      <c r="E179" s="46" t="str">
        <f t="shared" si="56"/>
        <v/>
      </c>
      <c r="F179" s="46" t="str">
        <f t="shared" si="57"/>
        <v/>
      </c>
      <c r="G179" s="30"/>
      <c r="H179" s="46" t="str">
        <f t="shared" si="58"/>
        <v/>
      </c>
      <c r="I179" s="46" t="str">
        <f t="shared" si="59"/>
        <v/>
      </c>
      <c r="J179" s="30"/>
      <c r="K179" s="46" t="str">
        <f t="shared" si="60"/>
        <v/>
      </c>
      <c r="L179" s="46" t="str">
        <f t="shared" si="61"/>
        <v/>
      </c>
      <c r="M179" s="30"/>
      <c r="N179" s="30"/>
      <c r="O179" s="30"/>
      <c r="P179" s="30"/>
      <c r="Q179" s="30"/>
      <c r="R179" s="30"/>
      <c r="S179" s="30"/>
      <c r="T179" s="50" t="str">
        <f t="shared" si="55"/>
        <v/>
      </c>
      <c r="U179" s="16" t="str">
        <f>IF(A179="","",IF(T179="",INDEX(_翻訳マスタ!$B$89:$D$89,1,MATCH(言語切替!$B$3,_翻訳マスタ!$B$1:$D$1,0)),IF(T179&gt;=1,INDEX(_翻訳マスタ!$B$93:$D$93,1,MATCH(言語切替!$B$3,_翻訳マスタ!$B$1:$D$1,0)),IF(T179&gt;=0.8,INDEX(_翻訳マスタ!$B$91:$D$91,1,MATCH(言語切替!$B$3,_翻訳マスタ!$B$1:$D$1,0)),INDEX(_翻訳マスタ!$B$94:$D$94,1,MATCH(言語切替!$B$3,_翻訳マスタ!$B$1:$D$1,0))))))</f>
        <v/>
      </c>
      <c r="V179" s="31"/>
      <c r="W179" s="30"/>
      <c r="X179" s="46" t="str">
        <f t="shared" si="62"/>
        <v/>
      </c>
      <c r="Y179" s="46" t="str">
        <f t="shared" si="63"/>
        <v/>
      </c>
      <c r="Z179" s="37"/>
      <c r="AA179" s="52" t="str">
        <f t="shared" si="64"/>
        <v/>
      </c>
      <c r="AB179" s="52" t="str">
        <f t="shared" si="65"/>
        <v/>
      </c>
    </row>
    <row r="180" spans="1:28" s="22" customFormat="1" x14ac:dyDescent="0.25">
      <c r="A180" s="26"/>
      <c r="B180" s="27"/>
      <c r="C180" s="27"/>
      <c r="D180" s="27"/>
      <c r="E180" s="45" t="str">
        <f t="shared" si="56"/>
        <v/>
      </c>
      <c r="F180" s="45" t="str">
        <f t="shared" si="57"/>
        <v/>
      </c>
      <c r="G180" s="27"/>
      <c r="H180" s="45" t="str">
        <f t="shared" si="58"/>
        <v/>
      </c>
      <c r="I180" s="45" t="str">
        <f t="shared" si="59"/>
        <v/>
      </c>
      <c r="J180" s="27"/>
      <c r="K180" s="45" t="str">
        <f t="shared" si="60"/>
        <v/>
      </c>
      <c r="L180" s="45" t="str">
        <f t="shared" si="61"/>
        <v/>
      </c>
      <c r="M180" s="27"/>
      <c r="N180" s="27"/>
      <c r="O180" s="27"/>
      <c r="P180" s="27"/>
      <c r="Q180" s="27"/>
      <c r="R180" s="27"/>
      <c r="S180" s="27"/>
      <c r="T180" s="49" t="str">
        <f t="shared" si="55"/>
        <v/>
      </c>
      <c r="U180" s="13" t="str">
        <f>IF(A180="","",IF(T180="",INDEX(_翻訳マスタ!$B$89:$D$89,1,MATCH(言語切替!$B$3,_翻訳マスタ!$B$1:$D$1,0)),IF(T180&gt;=1,INDEX(_翻訳マスタ!$B$93:$D$93,1,MATCH(言語切替!$B$3,_翻訳マスタ!$B$1:$D$1,0)),IF(T180&gt;=0.8,INDEX(_翻訳マスタ!$B$91:$D$91,1,MATCH(言語切替!$B$3,_翻訳マスタ!$B$1:$D$1,0)),INDEX(_翻訳マスタ!$B$94:$D$94,1,MATCH(言語切替!$B$3,_翻訳マスタ!$B$1:$D$1,0))))))</f>
        <v/>
      </c>
      <c r="V180" s="28"/>
      <c r="W180" s="27"/>
      <c r="X180" s="45" t="str">
        <f t="shared" si="62"/>
        <v/>
      </c>
      <c r="Y180" s="45" t="str">
        <f t="shared" si="63"/>
        <v/>
      </c>
      <c r="Z180" s="36"/>
      <c r="AA180" s="53" t="str">
        <f t="shared" si="64"/>
        <v/>
      </c>
      <c r="AB180" s="53" t="str">
        <f t="shared" si="65"/>
        <v/>
      </c>
    </row>
    <row r="181" spans="1:28" s="22" customFormat="1" x14ac:dyDescent="0.25">
      <c r="A181" s="29"/>
      <c r="B181" s="30"/>
      <c r="C181" s="30"/>
      <c r="D181" s="30"/>
      <c r="E181" s="46" t="str">
        <f t="shared" si="56"/>
        <v/>
      </c>
      <c r="F181" s="46" t="str">
        <f t="shared" si="57"/>
        <v/>
      </c>
      <c r="G181" s="30"/>
      <c r="H181" s="46" t="str">
        <f t="shared" si="58"/>
        <v/>
      </c>
      <c r="I181" s="46" t="str">
        <f t="shared" si="59"/>
        <v/>
      </c>
      <c r="J181" s="30"/>
      <c r="K181" s="46" t="str">
        <f t="shared" si="60"/>
        <v/>
      </c>
      <c r="L181" s="46" t="str">
        <f t="shared" si="61"/>
        <v/>
      </c>
      <c r="M181" s="30"/>
      <c r="N181" s="30"/>
      <c r="O181" s="30"/>
      <c r="P181" s="30"/>
      <c r="Q181" s="30"/>
      <c r="R181" s="30"/>
      <c r="S181" s="30"/>
      <c r="T181" s="50" t="str">
        <f t="shared" si="55"/>
        <v/>
      </c>
      <c r="U181" s="16" t="str">
        <f>IF(A181="","",IF(T181="",INDEX(_翻訳マスタ!$B$89:$D$89,1,MATCH(言語切替!$B$3,_翻訳マスタ!$B$1:$D$1,0)),IF(T181&gt;=1,INDEX(_翻訳マスタ!$B$93:$D$93,1,MATCH(言語切替!$B$3,_翻訳マスタ!$B$1:$D$1,0)),IF(T181&gt;=0.8,INDEX(_翻訳マスタ!$B$91:$D$91,1,MATCH(言語切替!$B$3,_翻訳マスタ!$B$1:$D$1,0)),INDEX(_翻訳マスタ!$B$94:$D$94,1,MATCH(言語切替!$B$3,_翻訳マスタ!$B$1:$D$1,0))))))</f>
        <v/>
      </c>
      <c r="V181" s="31"/>
      <c r="W181" s="30"/>
      <c r="X181" s="46" t="str">
        <f t="shared" si="62"/>
        <v/>
      </c>
      <c r="Y181" s="46" t="str">
        <f t="shared" si="63"/>
        <v/>
      </c>
      <c r="Z181" s="37"/>
      <c r="AA181" s="52" t="str">
        <f t="shared" si="64"/>
        <v/>
      </c>
      <c r="AB181" s="52" t="str">
        <f t="shared" si="65"/>
        <v/>
      </c>
    </row>
    <row r="182" spans="1:28" s="22" customFormat="1" x14ac:dyDescent="0.25">
      <c r="A182" s="26"/>
      <c r="B182" s="27"/>
      <c r="C182" s="27"/>
      <c r="D182" s="27"/>
      <c r="E182" s="45" t="str">
        <f t="shared" si="56"/>
        <v/>
      </c>
      <c r="F182" s="45" t="str">
        <f t="shared" si="57"/>
        <v/>
      </c>
      <c r="G182" s="27"/>
      <c r="H182" s="45" t="str">
        <f t="shared" si="58"/>
        <v/>
      </c>
      <c r="I182" s="45" t="str">
        <f t="shared" si="59"/>
        <v/>
      </c>
      <c r="J182" s="27"/>
      <c r="K182" s="45" t="str">
        <f t="shared" si="60"/>
        <v/>
      </c>
      <c r="L182" s="45" t="str">
        <f t="shared" si="61"/>
        <v/>
      </c>
      <c r="M182" s="27"/>
      <c r="N182" s="27"/>
      <c r="O182" s="27"/>
      <c r="P182" s="27"/>
      <c r="Q182" s="27"/>
      <c r="R182" s="27"/>
      <c r="S182" s="27"/>
      <c r="T182" s="49" t="str">
        <f t="shared" si="55"/>
        <v/>
      </c>
      <c r="U182" s="13" t="str">
        <f>IF(A182="","",IF(T182="",INDEX(_翻訳マスタ!$B$89:$D$89,1,MATCH(言語切替!$B$3,_翻訳マスタ!$B$1:$D$1,0)),IF(T182&gt;=1,INDEX(_翻訳マスタ!$B$93:$D$93,1,MATCH(言語切替!$B$3,_翻訳マスタ!$B$1:$D$1,0)),IF(T182&gt;=0.8,INDEX(_翻訳マスタ!$B$91:$D$91,1,MATCH(言語切替!$B$3,_翻訳マスタ!$B$1:$D$1,0)),INDEX(_翻訳マスタ!$B$94:$D$94,1,MATCH(言語切替!$B$3,_翻訳マスタ!$B$1:$D$1,0))))))</f>
        <v/>
      </c>
      <c r="V182" s="28"/>
      <c r="W182" s="27"/>
      <c r="X182" s="45" t="str">
        <f t="shared" si="62"/>
        <v/>
      </c>
      <c r="Y182" s="45" t="str">
        <f t="shared" si="63"/>
        <v/>
      </c>
      <c r="Z182" s="36"/>
      <c r="AA182" s="53" t="str">
        <f t="shared" si="64"/>
        <v/>
      </c>
      <c r="AB182" s="53" t="str">
        <f t="shared" si="65"/>
        <v/>
      </c>
    </row>
    <row r="183" spans="1:28" s="22" customFormat="1" x14ac:dyDescent="0.25">
      <c r="A183" s="29"/>
      <c r="B183" s="30"/>
      <c r="C183" s="30"/>
      <c r="D183" s="30"/>
      <c r="E183" s="46" t="str">
        <f t="shared" si="56"/>
        <v/>
      </c>
      <c r="F183" s="46" t="str">
        <f t="shared" si="57"/>
        <v/>
      </c>
      <c r="G183" s="30"/>
      <c r="H183" s="46" t="str">
        <f t="shared" si="58"/>
        <v/>
      </c>
      <c r="I183" s="46" t="str">
        <f t="shared" si="59"/>
        <v/>
      </c>
      <c r="J183" s="30"/>
      <c r="K183" s="46" t="str">
        <f t="shared" si="60"/>
        <v/>
      </c>
      <c r="L183" s="46" t="str">
        <f t="shared" si="61"/>
        <v/>
      </c>
      <c r="M183" s="30"/>
      <c r="N183" s="30"/>
      <c r="O183" s="30"/>
      <c r="P183" s="30"/>
      <c r="Q183" s="30"/>
      <c r="R183" s="30"/>
      <c r="S183" s="30"/>
      <c r="T183" s="50" t="str">
        <f t="shared" si="55"/>
        <v/>
      </c>
      <c r="U183" s="16" t="str">
        <f>IF(A183="","",IF(T183="",INDEX(_翻訳マスタ!$B$89:$D$89,1,MATCH(言語切替!$B$3,_翻訳マスタ!$B$1:$D$1,0)),IF(T183&gt;=1,INDEX(_翻訳マスタ!$B$93:$D$93,1,MATCH(言語切替!$B$3,_翻訳マスタ!$B$1:$D$1,0)),IF(T183&gt;=0.8,INDEX(_翻訳マスタ!$B$91:$D$91,1,MATCH(言語切替!$B$3,_翻訳マスタ!$B$1:$D$1,0)),INDEX(_翻訳マスタ!$B$94:$D$94,1,MATCH(言語切替!$B$3,_翻訳マスタ!$B$1:$D$1,0))))))</f>
        <v/>
      </c>
      <c r="V183" s="31"/>
      <c r="W183" s="30"/>
      <c r="X183" s="46" t="str">
        <f t="shared" si="62"/>
        <v/>
      </c>
      <c r="Y183" s="46" t="str">
        <f t="shared" si="63"/>
        <v/>
      </c>
      <c r="Z183" s="37"/>
      <c r="AA183" s="52" t="str">
        <f t="shared" si="64"/>
        <v/>
      </c>
      <c r="AB183" s="52" t="str">
        <f t="shared" si="65"/>
        <v/>
      </c>
    </row>
    <row r="184" spans="1:28" s="22" customFormat="1" x14ac:dyDescent="0.25">
      <c r="A184" s="26"/>
      <c r="B184" s="27"/>
      <c r="C184" s="27"/>
      <c r="D184" s="27"/>
      <c r="E184" s="45" t="str">
        <f t="shared" si="56"/>
        <v/>
      </c>
      <c r="F184" s="45" t="str">
        <f t="shared" si="57"/>
        <v/>
      </c>
      <c r="G184" s="27"/>
      <c r="H184" s="45" t="str">
        <f t="shared" si="58"/>
        <v/>
      </c>
      <c r="I184" s="45" t="str">
        <f t="shared" si="59"/>
        <v/>
      </c>
      <c r="J184" s="27"/>
      <c r="K184" s="45" t="str">
        <f t="shared" si="60"/>
        <v/>
      </c>
      <c r="L184" s="45" t="str">
        <f t="shared" si="61"/>
        <v/>
      </c>
      <c r="M184" s="27"/>
      <c r="N184" s="27"/>
      <c r="O184" s="27"/>
      <c r="P184" s="27"/>
      <c r="Q184" s="27"/>
      <c r="R184" s="27"/>
      <c r="S184" s="27"/>
      <c r="T184" s="49" t="str">
        <f t="shared" si="55"/>
        <v/>
      </c>
      <c r="U184" s="13" t="str">
        <f>IF(A184="","",IF(T184="",INDEX(_翻訳マスタ!$B$89:$D$89,1,MATCH(言語切替!$B$3,_翻訳マスタ!$B$1:$D$1,0)),IF(T184&gt;=1,INDEX(_翻訳マスタ!$B$93:$D$93,1,MATCH(言語切替!$B$3,_翻訳マスタ!$B$1:$D$1,0)),IF(T184&gt;=0.8,INDEX(_翻訳マスタ!$B$91:$D$91,1,MATCH(言語切替!$B$3,_翻訳マスタ!$B$1:$D$1,0)),INDEX(_翻訳マスタ!$B$94:$D$94,1,MATCH(言語切替!$B$3,_翻訳マスタ!$B$1:$D$1,0))))))</f>
        <v/>
      </c>
      <c r="V184" s="28"/>
      <c r="W184" s="27"/>
      <c r="X184" s="45" t="str">
        <f t="shared" si="62"/>
        <v/>
      </c>
      <c r="Y184" s="45" t="str">
        <f t="shared" si="63"/>
        <v/>
      </c>
      <c r="Z184" s="36"/>
      <c r="AA184" s="53" t="str">
        <f t="shared" si="64"/>
        <v/>
      </c>
      <c r="AB184" s="53" t="str">
        <f t="shared" si="65"/>
        <v/>
      </c>
    </row>
    <row r="185" spans="1:28" s="22" customFormat="1" x14ac:dyDescent="0.25">
      <c r="A185" s="29"/>
      <c r="B185" s="30"/>
      <c r="C185" s="30"/>
      <c r="D185" s="30"/>
      <c r="E185" s="46" t="str">
        <f t="shared" si="56"/>
        <v/>
      </c>
      <c r="F185" s="46" t="str">
        <f t="shared" si="57"/>
        <v/>
      </c>
      <c r="G185" s="30"/>
      <c r="H185" s="46" t="str">
        <f t="shared" si="58"/>
        <v/>
      </c>
      <c r="I185" s="46" t="str">
        <f t="shared" si="59"/>
        <v/>
      </c>
      <c r="J185" s="30"/>
      <c r="K185" s="46" t="str">
        <f t="shared" si="60"/>
        <v/>
      </c>
      <c r="L185" s="46" t="str">
        <f t="shared" si="61"/>
        <v/>
      </c>
      <c r="M185" s="30"/>
      <c r="N185" s="30"/>
      <c r="O185" s="30"/>
      <c r="P185" s="30"/>
      <c r="Q185" s="30"/>
      <c r="R185" s="30"/>
      <c r="S185" s="30"/>
      <c r="T185" s="50" t="str">
        <f t="shared" si="55"/>
        <v/>
      </c>
      <c r="U185" s="16" t="str">
        <f>IF(A185="","",IF(T185="",INDEX(_翻訳マスタ!$B$89:$D$89,1,MATCH(言語切替!$B$3,_翻訳マスタ!$B$1:$D$1,0)),IF(T185&gt;=1,INDEX(_翻訳マスタ!$B$93:$D$93,1,MATCH(言語切替!$B$3,_翻訳マスタ!$B$1:$D$1,0)),IF(T185&gt;=0.8,INDEX(_翻訳マスタ!$B$91:$D$91,1,MATCH(言語切替!$B$3,_翻訳マスタ!$B$1:$D$1,0)),INDEX(_翻訳マスタ!$B$94:$D$94,1,MATCH(言語切替!$B$3,_翻訳マスタ!$B$1:$D$1,0))))))</f>
        <v/>
      </c>
      <c r="V185" s="31"/>
      <c r="W185" s="30"/>
      <c r="X185" s="46" t="str">
        <f t="shared" si="62"/>
        <v/>
      </c>
      <c r="Y185" s="46" t="str">
        <f t="shared" si="63"/>
        <v/>
      </c>
      <c r="Z185" s="37"/>
      <c r="AA185" s="52" t="str">
        <f t="shared" si="64"/>
        <v/>
      </c>
      <c r="AB185" s="52" t="str">
        <f t="shared" si="65"/>
        <v/>
      </c>
    </row>
    <row r="186" spans="1:28" s="22" customFormat="1" x14ac:dyDescent="0.25">
      <c r="A186" s="26"/>
      <c r="B186" s="27"/>
      <c r="C186" s="27"/>
      <c r="D186" s="27"/>
      <c r="E186" s="45" t="str">
        <f t="shared" si="56"/>
        <v/>
      </c>
      <c r="F186" s="45" t="str">
        <f t="shared" si="57"/>
        <v/>
      </c>
      <c r="G186" s="27"/>
      <c r="H186" s="45" t="str">
        <f t="shared" si="58"/>
        <v/>
      </c>
      <c r="I186" s="45" t="str">
        <f t="shared" si="59"/>
        <v/>
      </c>
      <c r="J186" s="27"/>
      <c r="K186" s="45" t="str">
        <f t="shared" si="60"/>
        <v/>
      </c>
      <c r="L186" s="45" t="str">
        <f t="shared" si="61"/>
        <v/>
      </c>
      <c r="M186" s="27"/>
      <c r="N186" s="27"/>
      <c r="O186" s="27"/>
      <c r="P186" s="27"/>
      <c r="Q186" s="27"/>
      <c r="R186" s="27"/>
      <c r="S186" s="27"/>
      <c r="T186" s="49" t="str">
        <f t="shared" si="55"/>
        <v/>
      </c>
      <c r="U186" s="13" t="str">
        <f>IF(A186="","",IF(T186="",INDEX(_翻訳マスタ!$B$89:$D$89,1,MATCH(言語切替!$B$3,_翻訳マスタ!$B$1:$D$1,0)),IF(T186&gt;=1,INDEX(_翻訳マスタ!$B$93:$D$93,1,MATCH(言語切替!$B$3,_翻訳マスタ!$B$1:$D$1,0)),IF(T186&gt;=0.8,INDEX(_翻訳マスタ!$B$91:$D$91,1,MATCH(言語切替!$B$3,_翻訳マスタ!$B$1:$D$1,0)),INDEX(_翻訳マスタ!$B$94:$D$94,1,MATCH(言語切替!$B$3,_翻訳マスタ!$B$1:$D$1,0))))))</f>
        <v/>
      </c>
      <c r="V186" s="28"/>
      <c r="W186" s="27"/>
      <c r="X186" s="45" t="str">
        <f t="shared" si="62"/>
        <v/>
      </c>
      <c r="Y186" s="45" t="str">
        <f t="shared" si="63"/>
        <v/>
      </c>
      <c r="Z186" s="36"/>
      <c r="AA186" s="53" t="str">
        <f t="shared" si="64"/>
        <v/>
      </c>
      <c r="AB186" s="53" t="str">
        <f t="shared" si="65"/>
        <v/>
      </c>
    </row>
    <row r="187" spans="1:28" s="22" customFormat="1" x14ac:dyDescent="0.25">
      <c r="A187" s="29"/>
      <c r="B187" s="30"/>
      <c r="C187" s="30"/>
      <c r="D187" s="30"/>
      <c r="E187" s="46" t="str">
        <f t="shared" si="56"/>
        <v/>
      </c>
      <c r="F187" s="46" t="str">
        <f t="shared" si="57"/>
        <v/>
      </c>
      <c r="G187" s="30"/>
      <c r="H187" s="46" t="str">
        <f t="shared" si="58"/>
        <v/>
      </c>
      <c r="I187" s="46" t="str">
        <f t="shared" si="59"/>
        <v/>
      </c>
      <c r="J187" s="30"/>
      <c r="K187" s="46" t="str">
        <f t="shared" si="60"/>
        <v/>
      </c>
      <c r="L187" s="46" t="str">
        <f t="shared" si="61"/>
        <v/>
      </c>
      <c r="M187" s="30"/>
      <c r="N187" s="30"/>
      <c r="O187" s="30"/>
      <c r="P187" s="30"/>
      <c r="Q187" s="30"/>
      <c r="R187" s="30"/>
      <c r="S187" s="30"/>
      <c r="T187" s="50" t="str">
        <f t="shared" si="55"/>
        <v/>
      </c>
      <c r="U187" s="16" t="str">
        <f>IF(A187="","",IF(T187="",INDEX(_翻訳マスタ!$B$89:$D$89,1,MATCH(言語切替!$B$3,_翻訳マスタ!$B$1:$D$1,0)),IF(T187&gt;=1,INDEX(_翻訳マスタ!$B$93:$D$93,1,MATCH(言語切替!$B$3,_翻訳マスタ!$B$1:$D$1,0)),IF(T187&gt;=0.8,INDEX(_翻訳マスタ!$B$91:$D$91,1,MATCH(言語切替!$B$3,_翻訳マスタ!$B$1:$D$1,0)),INDEX(_翻訳マスタ!$B$94:$D$94,1,MATCH(言語切替!$B$3,_翻訳マスタ!$B$1:$D$1,0))))))</f>
        <v/>
      </c>
      <c r="V187" s="31"/>
      <c r="W187" s="30"/>
      <c r="X187" s="46" t="str">
        <f t="shared" si="62"/>
        <v/>
      </c>
      <c r="Y187" s="46" t="str">
        <f t="shared" si="63"/>
        <v/>
      </c>
      <c r="Z187" s="37"/>
      <c r="AA187" s="52" t="str">
        <f t="shared" si="64"/>
        <v/>
      </c>
      <c r="AB187" s="52" t="str">
        <f t="shared" si="65"/>
        <v/>
      </c>
    </row>
    <row r="188" spans="1:28" s="22" customFormat="1" x14ac:dyDescent="0.25">
      <c r="A188" s="26"/>
      <c r="B188" s="27"/>
      <c r="C188" s="27"/>
      <c r="D188" s="27"/>
      <c r="E188" s="45" t="str">
        <f t="shared" si="56"/>
        <v/>
      </c>
      <c r="F188" s="45" t="str">
        <f t="shared" si="57"/>
        <v/>
      </c>
      <c r="G188" s="27"/>
      <c r="H188" s="45" t="str">
        <f t="shared" si="58"/>
        <v/>
      </c>
      <c r="I188" s="45" t="str">
        <f t="shared" si="59"/>
        <v/>
      </c>
      <c r="J188" s="27"/>
      <c r="K188" s="45" t="str">
        <f t="shared" si="60"/>
        <v/>
      </c>
      <c r="L188" s="45" t="str">
        <f t="shared" si="61"/>
        <v/>
      </c>
      <c r="M188" s="27"/>
      <c r="N188" s="27"/>
      <c r="O188" s="27"/>
      <c r="P188" s="27"/>
      <c r="Q188" s="27"/>
      <c r="R188" s="27"/>
      <c r="S188" s="27"/>
      <c r="T188" s="49" t="str">
        <f t="shared" si="55"/>
        <v/>
      </c>
      <c r="U188" s="13" t="str">
        <f>IF(A188="","",IF(T188="",INDEX(_翻訳マスタ!$B$89:$D$89,1,MATCH(言語切替!$B$3,_翻訳マスタ!$B$1:$D$1,0)),IF(T188&gt;=1,INDEX(_翻訳マスタ!$B$93:$D$93,1,MATCH(言語切替!$B$3,_翻訳マスタ!$B$1:$D$1,0)),IF(T188&gt;=0.8,INDEX(_翻訳マスタ!$B$91:$D$91,1,MATCH(言語切替!$B$3,_翻訳マスタ!$B$1:$D$1,0)),INDEX(_翻訳マスタ!$B$94:$D$94,1,MATCH(言語切替!$B$3,_翻訳マスタ!$B$1:$D$1,0))))))</f>
        <v/>
      </c>
      <c r="V188" s="28"/>
      <c r="W188" s="27"/>
      <c r="X188" s="45" t="str">
        <f t="shared" si="62"/>
        <v/>
      </c>
      <c r="Y188" s="45" t="str">
        <f t="shared" si="63"/>
        <v/>
      </c>
      <c r="Z188" s="36"/>
      <c r="AA188" s="53" t="str">
        <f t="shared" si="64"/>
        <v/>
      </c>
      <c r="AB188" s="53" t="str">
        <f t="shared" si="65"/>
        <v/>
      </c>
    </row>
    <row r="189" spans="1:28" s="22" customFormat="1" x14ac:dyDescent="0.25">
      <c r="A189" s="29"/>
      <c r="B189" s="30"/>
      <c r="C189" s="30"/>
      <c r="D189" s="30"/>
      <c r="E189" s="46" t="str">
        <f t="shared" si="56"/>
        <v/>
      </c>
      <c r="F189" s="46" t="str">
        <f t="shared" si="57"/>
        <v/>
      </c>
      <c r="G189" s="30"/>
      <c r="H189" s="46" t="str">
        <f t="shared" si="58"/>
        <v/>
      </c>
      <c r="I189" s="46" t="str">
        <f t="shared" si="59"/>
        <v/>
      </c>
      <c r="J189" s="30"/>
      <c r="K189" s="46" t="str">
        <f t="shared" si="60"/>
        <v/>
      </c>
      <c r="L189" s="46" t="str">
        <f t="shared" si="61"/>
        <v/>
      </c>
      <c r="M189" s="30"/>
      <c r="N189" s="30"/>
      <c r="O189" s="30"/>
      <c r="P189" s="30"/>
      <c r="Q189" s="30"/>
      <c r="R189" s="30"/>
      <c r="S189" s="30"/>
      <c r="T189" s="50" t="str">
        <f t="shared" si="55"/>
        <v/>
      </c>
      <c r="U189" s="16" t="str">
        <f>IF(A189="","",IF(T189="",INDEX(_翻訳マスタ!$B$89:$D$89,1,MATCH(言語切替!$B$3,_翻訳マスタ!$B$1:$D$1,0)),IF(T189&gt;=1,INDEX(_翻訳マスタ!$B$93:$D$93,1,MATCH(言語切替!$B$3,_翻訳マスタ!$B$1:$D$1,0)),IF(T189&gt;=0.8,INDEX(_翻訳マスタ!$B$91:$D$91,1,MATCH(言語切替!$B$3,_翻訳マスタ!$B$1:$D$1,0)),INDEX(_翻訳マスタ!$B$94:$D$94,1,MATCH(言語切替!$B$3,_翻訳マスタ!$B$1:$D$1,0))))))</f>
        <v/>
      </c>
      <c r="V189" s="31"/>
      <c r="W189" s="30"/>
      <c r="X189" s="46" t="str">
        <f t="shared" si="62"/>
        <v/>
      </c>
      <c r="Y189" s="46" t="str">
        <f t="shared" si="63"/>
        <v/>
      </c>
      <c r="Z189" s="37"/>
      <c r="AA189" s="52" t="str">
        <f t="shared" si="64"/>
        <v/>
      </c>
      <c r="AB189" s="52" t="str">
        <f t="shared" si="65"/>
        <v/>
      </c>
    </row>
    <row r="190" spans="1:28" s="22" customFormat="1" x14ac:dyDescent="0.25">
      <c r="A190" s="26"/>
      <c r="B190" s="27"/>
      <c r="C190" s="27"/>
      <c r="D190" s="27"/>
      <c r="E190" s="45" t="str">
        <f t="shared" si="56"/>
        <v/>
      </c>
      <c r="F190" s="45" t="str">
        <f t="shared" si="57"/>
        <v/>
      </c>
      <c r="G190" s="27"/>
      <c r="H190" s="45" t="str">
        <f t="shared" si="58"/>
        <v/>
      </c>
      <c r="I190" s="45" t="str">
        <f t="shared" si="59"/>
        <v/>
      </c>
      <c r="J190" s="27"/>
      <c r="K190" s="45" t="str">
        <f t="shared" si="60"/>
        <v/>
      </c>
      <c r="L190" s="45" t="str">
        <f t="shared" si="61"/>
        <v/>
      </c>
      <c r="M190" s="27"/>
      <c r="N190" s="27"/>
      <c r="O190" s="27"/>
      <c r="P190" s="27"/>
      <c r="Q190" s="27"/>
      <c r="R190" s="27"/>
      <c r="S190" s="27"/>
      <c r="T190" s="49" t="str">
        <f t="shared" si="55"/>
        <v/>
      </c>
      <c r="U190" s="13" t="str">
        <f>IF(A190="","",IF(T190="",INDEX(_翻訳マスタ!$B$89:$D$89,1,MATCH(言語切替!$B$3,_翻訳マスタ!$B$1:$D$1,0)),IF(T190&gt;=1,INDEX(_翻訳マスタ!$B$93:$D$93,1,MATCH(言語切替!$B$3,_翻訳マスタ!$B$1:$D$1,0)),IF(T190&gt;=0.8,INDEX(_翻訳マスタ!$B$91:$D$91,1,MATCH(言語切替!$B$3,_翻訳マスタ!$B$1:$D$1,0)),INDEX(_翻訳マスタ!$B$94:$D$94,1,MATCH(言語切替!$B$3,_翻訳マスタ!$B$1:$D$1,0))))))</f>
        <v/>
      </c>
      <c r="V190" s="28"/>
      <c r="W190" s="27"/>
      <c r="X190" s="45" t="str">
        <f t="shared" si="62"/>
        <v/>
      </c>
      <c r="Y190" s="45" t="str">
        <f t="shared" si="63"/>
        <v/>
      </c>
      <c r="Z190" s="36"/>
      <c r="AA190" s="53" t="str">
        <f t="shared" si="64"/>
        <v/>
      </c>
      <c r="AB190" s="53" t="str">
        <f t="shared" si="65"/>
        <v/>
      </c>
    </row>
    <row r="191" spans="1:28" s="22" customFormat="1" x14ac:dyDescent="0.25">
      <c r="A191" s="29"/>
      <c r="B191" s="30"/>
      <c r="C191" s="30"/>
      <c r="D191" s="30"/>
      <c r="E191" s="46" t="str">
        <f t="shared" si="56"/>
        <v/>
      </c>
      <c r="F191" s="46" t="str">
        <f t="shared" si="57"/>
        <v/>
      </c>
      <c r="G191" s="30"/>
      <c r="H191" s="46" t="str">
        <f t="shared" si="58"/>
        <v/>
      </c>
      <c r="I191" s="46" t="str">
        <f t="shared" si="59"/>
        <v/>
      </c>
      <c r="J191" s="30"/>
      <c r="K191" s="46" t="str">
        <f t="shared" si="60"/>
        <v/>
      </c>
      <c r="L191" s="46" t="str">
        <f t="shared" si="61"/>
        <v/>
      </c>
      <c r="M191" s="30"/>
      <c r="N191" s="30"/>
      <c r="O191" s="30"/>
      <c r="P191" s="30"/>
      <c r="Q191" s="30"/>
      <c r="R191" s="30"/>
      <c r="S191" s="30"/>
      <c r="T191" s="50" t="str">
        <f t="shared" si="55"/>
        <v/>
      </c>
      <c r="U191" s="16" t="str">
        <f>IF(A191="","",IF(T191="",INDEX(_翻訳マスタ!$B$89:$D$89,1,MATCH(言語切替!$B$3,_翻訳マスタ!$B$1:$D$1,0)),IF(T191&gt;=1,INDEX(_翻訳マスタ!$B$93:$D$93,1,MATCH(言語切替!$B$3,_翻訳マスタ!$B$1:$D$1,0)),IF(T191&gt;=0.8,INDEX(_翻訳マスタ!$B$91:$D$91,1,MATCH(言語切替!$B$3,_翻訳マスタ!$B$1:$D$1,0)),INDEX(_翻訳マスタ!$B$94:$D$94,1,MATCH(言語切替!$B$3,_翻訳マスタ!$B$1:$D$1,0))))))</f>
        <v/>
      </c>
      <c r="V191" s="31"/>
      <c r="W191" s="30"/>
      <c r="X191" s="46" t="str">
        <f t="shared" si="62"/>
        <v/>
      </c>
      <c r="Y191" s="46" t="str">
        <f t="shared" si="63"/>
        <v/>
      </c>
      <c r="Z191" s="37"/>
      <c r="AA191" s="52" t="str">
        <f t="shared" si="64"/>
        <v/>
      </c>
      <c r="AB191" s="52" t="str">
        <f t="shared" si="65"/>
        <v/>
      </c>
    </row>
    <row r="192" spans="1:28" s="22" customFormat="1" x14ac:dyDescent="0.25">
      <c r="A192" s="26"/>
      <c r="B192" s="27"/>
      <c r="C192" s="27"/>
      <c r="D192" s="27"/>
      <c r="E192" s="45" t="str">
        <f t="shared" si="56"/>
        <v/>
      </c>
      <c r="F192" s="45" t="str">
        <f t="shared" si="57"/>
        <v/>
      </c>
      <c r="G192" s="27"/>
      <c r="H192" s="45" t="str">
        <f t="shared" si="58"/>
        <v/>
      </c>
      <c r="I192" s="45" t="str">
        <f t="shared" si="59"/>
        <v/>
      </c>
      <c r="J192" s="27"/>
      <c r="K192" s="45" t="str">
        <f t="shared" si="60"/>
        <v/>
      </c>
      <c r="L192" s="45" t="str">
        <f t="shared" si="61"/>
        <v/>
      </c>
      <c r="M192" s="27"/>
      <c r="N192" s="27"/>
      <c r="O192" s="27"/>
      <c r="P192" s="27"/>
      <c r="Q192" s="27"/>
      <c r="R192" s="27"/>
      <c r="S192" s="27"/>
      <c r="T192" s="49" t="str">
        <f t="shared" si="55"/>
        <v/>
      </c>
      <c r="U192" s="13" t="str">
        <f>IF(A192="","",IF(T192="",INDEX(_翻訳マスタ!$B$89:$D$89,1,MATCH(言語切替!$B$3,_翻訳マスタ!$B$1:$D$1,0)),IF(T192&gt;=1,INDEX(_翻訳マスタ!$B$93:$D$93,1,MATCH(言語切替!$B$3,_翻訳マスタ!$B$1:$D$1,0)),IF(T192&gt;=0.8,INDEX(_翻訳マスタ!$B$91:$D$91,1,MATCH(言語切替!$B$3,_翻訳マスタ!$B$1:$D$1,0)),INDEX(_翻訳マスタ!$B$94:$D$94,1,MATCH(言語切替!$B$3,_翻訳マスタ!$B$1:$D$1,0))))))</f>
        <v/>
      </c>
      <c r="V192" s="28"/>
      <c r="W192" s="27"/>
      <c r="X192" s="45" t="str">
        <f t="shared" si="62"/>
        <v/>
      </c>
      <c r="Y192" s="45" t="str">
        <f t="shared" si="63"/>
        <v/>
      </c>
      <c r="Z192" s="36"/>
      <c r="AA192" s="53" t="str">
        <f t="shared" si="64"/>
        <v/>
      </c>
      <c r="AB192" s="53" t="str">
        <f t="shared" si="65"/>
        <v/>
      </c>
    </row>
    <row r="193" spans="1:28" s="22" customFormat="1" x14ac:dyDescent="0.25">
      <c r="A193" s="29"/>
      <c r="B193" s="30"/>
      <c r="C193" s="30"/>
      <c r="D193" s="30"/>
      <c r="E193" s="46" t="str">
        <f t="shared" si="56"/>
        <v/>
      </c>
      <c r="F193" s="46" t="str">
        <f t="shared" si="57"/>
        <v/>
      </c>
      <c r="G193" s="30"/>
      <c r="H193" s="46" t="str">
        <f t="shared" si="58"/>
        <v/>
      </c>
      <c r="I193" s="46" t="str">
        <f t="shared" si="59"/>
        <v/>
      </c>
      <c r="J193" s="30"/>
      <c r="K193" s="46" t="str">
        <f t="shared" si="60"/>
        <v/>
      </c>
      <c r="L193" s="46" t="str">
        <f t="shared" si="61"/>
        <v/>
      </c>
      <c r="M193" s="30"/>
      <c r="N193" s="30"/>
      <c r="O193" s="30"/>
      <c r="P193" s="30"/>
      <c r="Q193" s="30"/>
      <c r="R193" s="30"/>
      <c r="S193" s="30"/>
      <c r="T193" s="50" t="str">
        <f t="shared" si="55"/>
        <v/>
      </c>
      <c r="U193" s="16" t="str">
        <f>IF(A193="","",IF(T193="",INDEX(_翻訳マスタ!$B$89:$D$89,1,MATCH(言語切替!$B$3,_翻訳マスタ!$B$1:$D$1,0)),IF(T193&gt;=1,INDEX(_翻訳マスタ!$B$93:$D$93,1,MATCH(言語切替!$B$3,_翻訳マスタ!$B$1:$D$1,0)),IF(T193&gt;=0.8,INDEX(_翻訳マスタ!$B$91:$D$91,1,MATCH(言語切替!$B$3,_翻訳マスタ!$B$1:$D$1,0)),INDEX(_翻訳マスタ!$B$94:$D$94,1,MATCH(言語切替!$B$3,_翻訳マスタ!$B$1:$D$1,0))))))</f>
        <v/>
      </c>
      <c r="V193" s="31"/>
      <c r="W193" s="30"/>
      <c r="X193" s="46" t="str">
        <f t="shared" si="62"/>
        <v/>
      </c>
      <c r="Y193" s="46" t="str">
        <f t="shared" si="63"/>
        <v/>
      </c>
      <c r="Z193" s="37"/>
      <c r="AA193" s="52" t="str">
        <f t="shared" si="64"/>
        <v/>
      </c>
      <c r="AB193" s="52" t="str">
        <f t="shared" si="65"/>
        <v/>
      </c>
    </row>
    <row r="194" spans="1:28" s="22" customFormat="1" x14ac:dyDescent="0.25">
      <c r="A194" s="26"/>
      <c r="B194" s="27"/>
      <c r="C194" s="27"/>
      <c r="D194" s="27"/>
      <c r="E194" s="45" t="str">
        <f t="shared" si="56"/>
        <v/>
      </c>
      <c r="F194" s="45" t="str">
        <f t="shared" si="57"/>
        <v/>
      </c>
      <c r="G194" s="27"/>
      <c r="H194" s="45" t="str">
        <f t="shared" si="58"/>
        <v/>
      </c>
      <c r="I194" s="45" t="str">
        <f t="shared" si="59"/>
        <v/>
      </c>
      <c r="J194" s="27"/>
      <c r="K194" s="45" t="str">
        <f t="shared" si="60"/>
        <v/>
      </c>
      <c r="L194" s="45" t="str">
        <f t="shared" si="61"/>
        <v/>
      </c>
      <c r="M194" s="27"/>
      <c r="N194" s="27"/>
      <c r="O194" s="27"/>
      <c r="P194" s="27"/>
      <c r="Q194" s="27"/>
      <c r="R194" s="27"/>
      <c r="S194" s="27"/>
      <c r="T194" s="49" t="str">
        <f t="shared" si="55"/>
        <v/>
      </c>
      <c r="U194" s="13" t="str">
        <f>IF(A194="","",IF(T194="",INDEX(_翻訳マスタ!$B$89:$D$89,1,MATCH(言語切替!$B$3,_翻訳マスタ!$B$1:$D$1,0)),IF(T194&gt;=1,INDEX(_翻訳マスタ!$B$93:$D$93,1,MATCH(言語切替!$B$3,_翻訳マスタ!$B$1:$D$1,0)),IF(T194&gt;=0.8,INDEX(_翻訳マスタ!$B$91:$D$91,1,MATCH(言語切替!$B$3,_翻訳マスタ!$B$1:$D$1,0)),INDEX(_翻訳マスタ!$B$94:$D$94,1,MATCH(言語切替!$B$3,_翻訳マスタ!$B$1:$D$1,0))))))</f>
        <v/>
      </c>
      <c r="V194" s="28"/>
      <c r="W194" s="27"/>
      <c r="X194" s="45" t="str">
        <f t="shared" si="62"/>
        <v/>
      </c>
      <c r="Y194" s="45" t="str">
        <f t="shared" si="63"/>
        <v/>
      </c>
      <c r="Z194" s="36"/>
      <c r="AA194" s="53" t="str">
        <f t="shared" si="64"/>
        <v/>
      </c>
      <c r="AB194" s="53" t="str">
        <f t="shared" si="65"/>
        <v/>
      </c>
    </row>
    <row r="195" spans="1:28" s="22" customFormat="1" x14ac:dyDescent="0.25">
      <c r="A195" s="29"/>
      <c r="B195" s="30"/>
      <c r="C195" s="30"/>
      <c r="D195" s="30"/>
      <c r="E195" s="46" t="str">
        <f t="shared" si="56"/>
        <v/>
      </c>
      <c r="F195" s="46" t="str">
        <f t="shared" si="57"/>
        <v/>
      </c>
      <c r="G195" s="30"/>
      <c r="H195" s="46" t="str">
        <f t="shared" si="58"/>
        <v/>
      </c>
      <c r="I195" s="46" t="str">
        <f t="shared" si="59"/>
        <v/>
      </c>
      <c r="J195" s="30"/>
      <c r="K195" s="46" t="str">
        <f t="shared" si="60"/>
        <v/>
      </c>
      <c r="L195" s="46" t="str">
        <f t="shared" si="61"/>
        <v/>
      </c>
      <c r="M195" s="30"/>
      <c r="N195" s="30"/>
      <c r="O195" s="30"/>
      <c r="P195" s="30"/>
      <c r="Q195" s="30"/>
      <c r="R195" s="30"/>
      <c r="S195" s="30"/>
      <c r="T195" s="50" t="str">
        <f t="shared" si="55"/>
        <v/>
      </c>
      <c r="U195" s="16" t="str">
        <f>IF(A195="","",IF(T195="",INDEX(_翻訳マスタ!$B$89:$D$89,1,MATCH(言語切替!$B$3,_翻訳マスタ!$B$1:$D$1,0)),IF(T195&gt;=1,INDEX(_翻訳マスタ!$B$93:$D$93,1,MATCH(言語切替!$B$3,_翻訳マスタ!$B$1:$D$1,0)),IF(T195&gt;=0.8,INDEX(_翻訳マスタ!$B$91:$D$91,1,MATCH(言語切替!$B$3,_翻訳マスタ!$B$1:$D$1,0)),INDEX(_翻訳マスタ!$B$94:$D$94,1,MATCH(言語切替!$B$3,_翻訳マスタ!$B$1:$D$1,0))))))</f>
        <v/>
      </c>
      <c r="V195" s="31"/>
      <c r="W195" s="30"/>
      <c r="X195" s="46" t="str">
        <f t="shared" si="62"/>
        <v/>
      </c>
      <c r="Y195" s="46" t="str">
        <f t="shared" si="63"/>
        <v/>
      </c>
      <c r="Z195" s="37"/>
      <c r="AA195" s="52" t="str">
        <f t="shared" si="64"/>
        <v/>
      </c>
      <c r="AB195" s="52" t="str">
        <f t="shared" si="65"/>
        <v/>
      </c>
    </row>
    <row r="196" spans="1:28" s="22" customFormat="1" x14ac:dyDescent="0.25">
      <c r="A196" s="26"/>
      <c r="B196" s="27"/>
      <c r="C196" s="27"/>
      <c r="D196" s="27"/>
      <c r="E196" s="45" t="str">
        <f t="shared" si="56"/>
        <v/>
      </c>
      <c r="F196" s="45" t="str">
        <f t="shared" si="57"/>
        <v/>
      </c>
      <c r="G196" s="27"/>
      <c r="H196" s="45" t="str">
        <f t="shared" si="58"/>
        <v/>
      </c>
      <c r="I196" s="45" t="str">
        <f t="shared" si="59"/>
        <v/>
      </c>
      <c r="J196" s="27"/>
      <c r="K196" s="45" t="str">
        <f t="shared" si="60"/>
        <v/>
      </c>
      <c r="L196" s="45" t="str">
        <f t="shared" si="61"/>
        <v/>
      </c>
      <c r="M196" s="27"/>
      <c r="N196" s="27"/>
      <c r="O196" s="27"/>
      <c r="P196" s="27"/>
      <c r="Q196" s="27"/>
      <c r="R196" s="27"/>
      <c r="S196" s="27"/>
      <c r="T196" s="49" t="str">
        <f t="shared" si="55"/>
        <v/>
      </c>
      <c r="U196" s="13" t="str">
        <f>IF(A196="","",IF(T196="",INDEX(_翻訳マスタ!$B$89:$D$89,1,MATCH(言語切替!$B$3,_翻訳マスタ!$B$1:$D$1,0)),IF(T196&gt;=1,INDEX(_翻訳マスタ!$B$93:$D$93,1,MATCH(言語切替!$B$3,_翻訳マスタ!$B$1:$D$1,0)),IF(T196&gt;=0.8,INDEX(_翻訳マスタ!$B$91:$D$91,1,MATCH(言語切替!$B$3,_翻訳マスタ!$B$1:$D$1,0)),INDEX(_翻訳マスタ!$B$94:$D$94,1,MATCH(言語切替!$B$3,_翻訳マスタ!$B$1:$D$1,0))))))</f>
        <v/>
      </c>
      <c r="V196" s="28"/>
      <c r="W196" s="27"/>
      <c r="X196" s="45" t="str">
        <f t="shared" si="62"/>
        <v/>
      </c>
      <c r="Y196" s="45" t="str">
        <f t="shared" si="63"/>
        <v/>
      </c>
      <c r="Z196" s="36"/>
      <c r="AA196" s="53" t="str">
        <f t="shared" si="64"/>
        <v/>
      </c>
      <c r="AB196" s="53" t="str">
        <f t="shared" si="65"/>
        <v/>
      </c>
    </row>
    <row r="197" spans="1:28" s="22" customFormat="1" x14ac:dyDescent="0.25">
      <c r="A197" s="29"/>
      <c r="B197" s="30"/>
      <c r="C197" s="30"/>
      <c r="D197" s="30"/>
      <c r="E197" s="46" t="str">
        <f t="shared" si="56"/>
        <v/>
      </c>
      <c r="F197" s="46" t="str">
        <f t="shared" si="57"/>
        <v/>
      </c>
      <c r="G197" s="30"/>
      <c r="H197" s="46" t="str">
        <f t="shared" si="58"/>
        <v/>
      </c>
      <c r="I197" s="46" t="str">
        <f t="shared" si="59"/>
        <v/>
      </c>
      <c r="J197" s="30"/>
      <c r="K197" s="46" t="str">
        <f t="shared" si="60"/>
        <v/>
      </c>
      <c r="L197" s="46" t="str">
        <f t="shared" si="61"/>
        <v/>
      </c>
      <c r="M197" s="30"/>
      <c r="N197" s="30"/>
      <c r="O197" s="30"/>
      <c r="P197" s="30"/>
      <c r="Q197" s="30"/>
      <c r="R197" s="30"/>
      <c r="S197" s="30"/>
      <c r="T197" s="50" t="str">
        <f t="shared" ref="T197:T204" si="66">IF(OR(R197="",S197=""),"",IF(R197=0,"",S197/R197))</f>
        <v/>
      </c>
      <c r="U197" s="16" t="str">
        <f>IF(A197="","",IF(T197="",INDEX(_翻訳マスタ!$B$89:$D$89,1,MATCH(言語切替!$B$3,_翻訳マスタ!$B$1:$D$1,0)),IF(T197&gt;=1,INDEX(_翻訳マスタ!$B$93:$D$93,1,MATCH(言語切替!$B$3,_翻訳マスタ!$B$1:$D$1,0)),IF(T197&gt;=0.8,INDEX(_翻訳マスタ!$B$91:$D$91,1,MATCH(言語切替!$B$3,_翻訳マスタ!$B$1:$D$1,0)),INDEX(_翻訳マスタ!$B$94:$D$94,1,MATCH(言語切替!$B$3,_翻訳マスタ!$B$1:$D$1,0))))))</f>
        <v/>
      </c>
      <c r="V197" s="31"/>
      <c r="W197" s="30"/>
      <c r="X197" s="46" t="str">
        <f t="shared" si="62"/>
        <v/>
      </c>
      <c r="Y197" s="46" t="str">
        <f t="shared" si="63"/>
        <v/>
      </c>
      <c r="Z197" s="37"/>
      <c r="AA197" s="52" t="str">
        <f t="shared" si="64"/>
        <v/>
      </c>
      <c r="AB197" s="52" t="str">
        <f t="shared" si="65"/>
        <v/>
      </c>
    </row>
    <row r="198" spans="1:28" s="22" customFormat="1" x14ac:dyDescent="0.25">
      <c r="A198" s="26"/>
      <c r="B198" s="27"/>
      <c r="C198" s="27"/>
      <c r="D198" s="27"/>
      <c r="E198" s="45" t="str">
        <f t="shared" si="56"/>
        <v/>
      </c>
      <c r="F198" s="45" t="str">
        <f t="shared" si="57"/>
        <v/>
      </c>
      <c r="G198" s="27"/>
      <c r="H198" s="45" t="str">
        <f t="shared" si="58"/>
        <v/>
      </c>
      <c r="I198" s="45" t="str">
        <f t="shared" si="59"/>
        <v/>
      </c>
      <c r="J198" s="27"/>
      <c r="K198" s="45" t="str">
        <f t="shared" si="60"/>
        <v/>
      </c>
      <c r="L198" s="45" t="str">
        <f t="shared" si="61"/>
        <v/>
      </c>
      <c r="M198" s="27"/>
      <c r="N198" s="27"/>
      <c r="O198" s="27"/>
      <c r="P198" s="27"/>
      <c r="Q198" s="27"/>
      <c r="R198" s="27"/>
      <c r="S198" s="27"/>
      <c r="T198" s="49" t="str">
        <f t="shared" si="66"/>
        <v/>
      </c>
      <c r="U198" s="13" t="str">
        <f>IF(A198="","",IF(T198="",INDEX(_翻訳マスタ!$B$89:$D$89,1,MATCH(言語切替!$B$3,_翻訳マスタ!$B$1:$D$1,0)),IF(T198&gt;=1,INDEX(_翻訳マスタ!$B$93:$D$93,1,MATCH(言語切替!$B$3,_翻訳マスタ!$B$1:$D$1,0)),IF(T198&gt;=0.8,INDEX(_翻訳マスタ!$B$91:$D$91,1,MATCH(言語切替!$B$3,_翻訳マスタ!$B$1:$D$1,0)),INDEX(_翻訳マスタ!$B$94:$D$94,1,MATCH(言語切替!$B$3,_翻訳マスタ!$B$1:$D$1,0))))))</f>
        <v/>
      </c>
      <c r="V198" s="28"/>
      <c r="W198" s="27"/>
      <c r="X198" s="45" t="str">
        <f t="shared" si="62"/>
        <v/>
      </c>
      <c r="Y198" s="45" t="str">
        <f t="shared" si="63"/>
        <v/>
      </c>
      <c r="Z198" s="36"/>
      <c r="AA198" s="53" t="str">
        <f t="shared" si="64"/>
        <v/>
      </c>
      <c r="AB198" s="53" t="str">
        <f t="shared" si="65"/>
        <v/>
      </c>
    </row>
    <row r="199" spans="1:28" s="22" customFormat="1" x14ac:dyDescent="0.25">
      <c r="A199" s="29"/>
      <c r="B199" s="30"/>
      <c r="C199" s="30"/>
      <c r="D199" s="30"/>
      <c r="E199" s="46" t="str">
        <f t="shared" si="56"/>
        <v/>
      </c>
      <c r="F199" s="46" t="str">
        <f t="shared" si="57"/>
        <v/>
      </c>
      <c r="G199" s="30"/>
      <c r="H199" s="46" t="str">
        <f t="shared" si="58"/>
        <v/>
      </c>
      <c r="I199" s="46" t="str">
        <f t="shared" si="59"/>
        <v/>
      </c>
      <c r="J199" s="30"/>
      <c r="K199" s="46" t="str">
        <f t="shared" si="60"/>
        <v/>
      </c>
      <c r="L199" s="46" t="str">
        <f t="shared" si="61"/>
        <v/>
      </c>
      <c r="M199" s="30"/>
      <c r="N199" s="30"/>
      <c r="O199" s="30"/>
      <c r="P199" s="30"/>
      <c r="Q199" s="30"/>
      <c r="R199" s="30"/>
      <c r="S199" s="30"/>
      <c r="T199" s="50" t="str">
        <f t="shared" si="66"/>
        <v/>
      </c>
      <c r="U199" s="16" t="str">
        <f>IF(A199="","",IF(T199="",INDEX(_翻訳マスタ!$B$89:$D$89,1,MATCH(言語切替!$B$3,_翻訳マスタ!$B$1:$D$1,0)),IF(T199&gt;=1,INDEX(_翻訳マスタ!$B$93:$D$93,1,MATCH(言語切替!$B$3,_翻訳マスタ!$B$1:$D$1,0)),IF(T199&gt;=0.8,INDEX(_翻訳マスタ!$B$91:$D$91,1,MATCH(言語切替!$B$3,_翻訳マスタ!$B$1:$D$1,0)),INDEX(_翻訳マスタ!$B$94:$D$94,1,MATCH(言語切替!$B$3,_翻訳マスタ!$B$1:$D$1,0))))))</f>
        <v/>
      </c>
      <c r="V199" s="31"/>
      <c r="W199" s="30"/>
      <c r="X199" s="46" t="str">
        <f t="shared" si="62"/>
        <v/>
      </c>
      <c r="Y199" s="46" t="str">
        <f t="shared" si="63"/>
        <v/>
      </c>
      <c r="Z199" s="37"/>
      <c r="AA199" s="52" t="str">
        <f t="shared" si="64"/>
        <v/>
      </c>
      <c r="AB199" s="52" t="str">
        <f t="shared" si="65"/>
        <v/>
      </c>
    </row>
    <row r="200" spans="1:28" s="22" customFormat="1" x14ac:dyDescent="0.25">
      <c r="A200" s="26"/>
      <c r="B200" s="27"/>
      <c r="C200" s="27"/>
      <c r="D200" s="27"/>
      <c r="E200" s="45" t="str">
        <f t="shared" si="56"/>
        <v/>
      </c>
      <c r="F200" s="45" t="str">
        <f t="shared" si="57"/>
        <v/>
      </c>
      <c r="G200" s="27"/>
      <c r="H200" s="45" t="str">
        <f t="shared" si="58"/>
        <v/>
      </c>
      <c r="I200" s="45" t="str">
        <f t="shared" si="59"/>
        <v/>
      </c>
      <c r="J200" s="27"/>
      <c r="K200" s="45" t="str">
        <f t="shared" si="60"/>
        <v/>
      </c>
      <c r="L200" s="45" t="str">
        <f t="shared" si="61"/>
        <v/>
      </c>
      <c r="M200" s="27"/>
      <c r="N200" s="27"/>
      <c r="O200" s="27"/>
      <c r="P200" s="27"/>
      <c r="Q200" s="27"/>
      <c r="R200" s="27"/>
      <c r="S200" s="27"/>
      <c r="T200" s="49" t="str">
        <f t="shared" si="66"/>
        <v/>
      </c>
      <c r="U200" s="13" t="str">
        <f>IF(A200="","",IF(T200="",INDEX(_翻訳マスタ!$B$89:$D$89,1,MATCH(言語切替!$B$3,_翻訳マスタ!$B$1:$D$1,0)),IF(T200&gt;=1,INDEX(_翻訳マスタ!$B$93:$D$93,1,MATCH(言語切替!$B$3,_翻訳マスタ!$B$1:$D$1,0)),IF(T200&gt;=0.8,INDEX(_翻訳マスタ!$B$91:$D$91,1,MATCH(言語切替!$B$3,_翻訳マスタ!$B$1:$D$1,0)),INDEX(_翻訳マスタ!$B$94:$D$94,1,MATCH(言語切替!$B$3,_翻訳マスタ!$B$1:$D$1,0))))))</f>
        <v/>
      </c>
      <c r="V200" s="28"/>
      <c r="W200" s="27"/>
      <c r="X200" s="45" t="str">
        <f t="shared" si="62"/>
        <v/>
      </c>
      <c r="Y200" s="45" t="str">
        <f t="shared" si="63"/>
        <v/>
      </c>
      <c r="Z200" s="36"/>
      <c r="AA200" s="53" t="str">
        <f t="shared" si="64"/>
        <v/>
      </c>
      <c r="AB200" s="53" t="str">
        <f t="shared" si="65"/>
        <v/>
      </c>
    </row>
    <row r="201" spans="1:28" s="22" customFormat="1" x14ac:dyDescent="0.25">
      <c r="A201" s="29"/>
      <c r="B201" s="30"/>
      <c r="C201" s="30"/>
      <c r="D201" s="30"/>
      <c r="E201" s="46" t="str">
        <f t="shared" ref="E201:E204" si="67">IF(D201="","",_xlfn.TRANSLATE(D201,"vi","ja"))</f>
        <v/>
      </c>
      <c r="F201" s="46" t="str">
        <f t="shared" si="57"/>
        <v/>
      </c>
      <c r="G201" s="30"/>
      <c r="H201" s="46" t="str">
        <f t="shared" ref="H201:H204" si="68">IF(G201="","",_xlfn.TRANSLATE(G201,"vi","ja"))</f>
        <v/>
      </c>
      <c r="I201" s="46" t="str">
        <f t="shared" si="59"/>
        <v/>
      </c>
      <c r="J201" s="30"/>
      <c r="K201" s="46" t="str">
        <f t="shared" ref="K201:K204" si="69">IF(J201="","",_xlfn.TRANSLATE(J201,"vi","ja"))</f>
        <v/>
      </c>
      <c r="L201" s="46" t="str">
        <f t="shared" si="61"/>
        <v/>
      </c>
      <c r="M201" s="30"/>
      <c r="N201" s="30"/>
      <c r="O201" s="30"/>
      <c r="P201" s="30"/>
      <c r="Q201" s="30"/>
      <c r="R201" s="30"/>
      <c r="S201" s="30"/>
      <c r="T201" s="50" t="str">
        <f t="shared" si="66"/>
        <v/>
      </c>
      <c r="U201" s="16" t="str">
        <f>IF(A201="","",IF(T201="",INDEX(_翻訳マスタ!$B$89:$D$89,1,MATCH(言語切替!$B$3,_翻訳マスタ!$B$1:$D$1,0)),IF(T201&gt;=1,INDEX(_翻訳マスタ!$B$93:$D$93,1,MATCH(言語切替!$B$3,_翻訳マスタ!$B$1:$D$1,0)),IF(T201&gt;=0.8,INDEX(_翻訳マスタ!$B$91:$D$91,1,MATCH(言語切替!$B$3,_翻訳マスタ!$B$1:$D$1,0)),INDEX(_翻訳マスタ!$B$94:$D$94,1,MATCH(言語切替!$B$3,_翻訳マスタ!$B$1:$D$1,0))))))</f>
        <v/>
      </c>
      <c r="V201" s="31"/>
      <c r="W201" s="30"/>
      <c r="X201" s="46" t="str">
        <f t="shared" ref="X201:X204" si="70">IF(W201="","",_xlfn.TRANSLATE(W201,"vi","ja"))</f>
        <v/>
      </c>
      <c r="Y201" s="46" t="str">
        <f t="shared" si="63"/>
        <v/>
      </c>
      <c r="Z201" s="37"/>
      <c r="AA201" s="52" t="str">
        <f t="shared" ref="AA201:AA204" si="71">IF(Z201="","",_xlfn.TRANSLATE(Z201,"vi","ja"))</f>
        <v/>
      </c>
      <c r="AB201" s="52" t="str">
        <f t="shared" si="65"/>
        <v/>
      </c>
    </row>
    <row r="202" spans="1:28" s="22" customFormat="1" x14ac:dyDescent="0.25">
      <c r="A202" s="26"/>
      <c r="B202" s="27"/>
      <c r="C202" s="27"/>
      <c r="D202" s="27"/>
      <c r="E202" s="45" t="str">
        <f t="shared" si="67"/>
        <v/>
      </c>
      <c r="F202" s="45" t="str">
        <f t="shared" si="57"/>
        <v/>
      </c>
      <c r="G202" s="27"/>
      <c r="H202" s="45" t="str">
        <f t="shared" si="68"/>
        <v/>
      </c>
      <c r="I202" s="45" t="str">
        <f t="shared" si="59"/>
        <v/>
      </c>
      <c r="J202" s="27"/>
      <c r="K202" s="45" t="str">
        <f t="shared" si="69"/>
        <v/>
      </c>
      <c r="L202" s="45" t="str">
        <f t="shared" si="61"/>
        <v/>
      </c>
      <c r="M202" s="27"/>
      <c r="N202" s="27"/>
      <c r="O202" s="27"/>
      <c r="P202" s="27"/>
      <c r="Q202" s="27"/>
      <c r="R202" s="27"/>
      <c r="S202" s="27"/>
      <c r="T202" s="49" t="str">
        <f t="shared" si="66"/>
        <v/>
      </c>
      <c r="U202" s="13" t="str">
        <f>IF(A202="","",IF(T202="",INDEX(_翻訳マスタ!$B$89:$D$89,1,MATCH(言語切替!$B$3,_翻訳マスタ!$B$1:$D$1,0)),IF(T202&gt;=1,INDEX(_翻訳マスタ!$B$93:$D$93,1,MATCH(言語切替!$B$3,_翻訳マスタ!$B$1:$D$1,0)),IF(T202&gt;=0.8,INDEX(_翻訳マスタ!$B$91:$D$91,1,MATCH(言語切替!$B$3,_翻訳マスタ!$B$1:$D$1,0)),INDEX(_翻訳マスタ!$B$94:$D$94,1,MATCH(言語切替!$B$3,_翻訳マスタ!$B$1:$D$1,0))))))</f>
        <v/>
      </c>
      <c r="V202" s="28"/>
      <c r="W202" s="27"/>
      <c r="X202" s="45" t="str">
        <f t="shared" si="70"/>
        <v/>
      </c>
      <c r="Y202" s="45" t="str">
        <f t="shared" si="63"/>
        <v/>
      </c>
      <c r="Z202" s="36"/>
      <c r="AA202" s="53" t="str">
        <f t="shared" si="71"/>
        <v/>
      </c>
      <c r="AB202" s="53" t="str">
        <f t="shared" si="65"/>
        <v/>
      </c>
    </row>
    <row r="203" spans="1:28" s="22" customFormat="1" x14ac:dyDescent="0.25">
      <c r="A203" s="29"/>
      <c r="B203" s="30"/>
      <c r="C203" s="30"/>
      <c r="D203" s="30"/>
      <c r="E203" s="46" t="str">
        <f t="shared" si="67"/>
        <v/>
      </c>
      <c r="F203" s="46" t="str">
        <f t="shared" si="57"/>
        <v/>
      </c>
      <c r="G203" s="30"/>
      <c r="H203" s="46" t="str">
        <f t="shared" si="68"/>
        <v/>
      </c>
      <c r="I203" s="46" t="str">
        <f t="shared" si="59"/>
        <v/>
      </c>
      <c r="J203" s="30"/>
      <c r="K203" s="46" t="str">
        <f t="shared" si="69"/>
        <v/>
      </c>
      <c r="L203" s="46" t="str">
        <f t="shared" si="61"/>
        <v/>
      </c>
      <c r="M203" s="30"/>
      <c r="N203" s="30"/>
      <c r="O203" s="30"/>
      <c r="P203" s="30"/>
      <c r="Q203" s="30"/>
      <c r="R203" s="30"/>
      <c r="S203" s="30"/>
      <c r="T203" s="50" t="str">
        <f t="shared" si="66"/>
        <v/>
      </c>
      <c r="U203" s="16" t="str">
        <f>IF(A203="","",IF(T203="",INDEX(_翻訳マスタ!$B$89:$D$89,1,MATCH(言語切替!$B$3,_翻訳マスタ!$B$1:$D$1,0)),IF(T203&gt;=1,INDEX(_翻訳マスタ!$B$93:$D$93,1,MATCH(言語切替!$B$3,_翻訳マスタ!$B$1:$D$1,0)),IF(T203&gt;=0.8,INDEX(_翻訳マスタ!$B$91:$D$91,1,MATCH(言語切替!$B$3,_翻訳マスタ!$B$1:$D$1,0)),INDEX(_翻訳マスタ!$B$94:$D$94,1,MATCH(言語切替!$B$3,_翻訳マスタ!$B$1:$D$1,0))))))</f>
        <v/>
      </c>
      <c r="V203" s="31"/>
      <c r="W203" s="30"/>
      <c r="X203" s="46" t="str">
        <f t="shared" si="70"/>
        <v/>
      </c>
      <c r="Y203" s="46" t="str">
        <f t="shared" si="63"/>
        <v/>
      </c>
      <c r="Z203" s="37"/>
      <c r="AA203" s="52" t="str">
        <f t="shared" si="71"/>
        <v/>
      </c>
      <c r="AB203" s="52" t="str">
        <f t="shared" si="65"/>
        <v/>
      </c>
    </row>
    <row r="204" spans="1:28" s="22" customFormat="1" x14ac:dyDescent="0.25">
      <c r="A204" s="32"/>
      <c r="B204" s="33"/>
      <c r="C204" s="33"/>
      <c r="D204" s="33"/>
      <c r="E204" s="47" t="str">
        <f t="shared" si="67"/>
        <v/>
      </c>
      <c r="F204" s="47" t="str">
        <f t="shared" si="57"/>
        <v/>
      </c>
      <c r="G204" s="33"/>
      <c r="H204" s="47" t="str">
        <f t="shared" si="68"/>
        <v/>
      </c>
      <c r="I204" s="47" t="str">
        <f t="shared" si="59"/>
        <v/>
      </c>
      <c r="J204" s="33"/>
      <c r="K204" s="47" t="str">
        <f t="shared" si="69"/>
        <v/>
      </c>
      <c r="L204" s="47" t="str">
        <f t="shared" si="61"/>
        <v/>
      </c>
      <c r="M204" s="33"/>
      <c r="N204" s="33"/>
      <c r="O204" s="33"/>
      <c r="P204" s="33"/>
      <c r="Q204" s="33"/>
      <c r="R204" s="33"/>
      <c r="S204" s="33"/>
      <c r="T204" s="51" t="str">
        <f t="shared" si="66"/>
        <v/>
      </c>
      <c r="U204" s="19" t="str">
        <f>IF(A204="","",IF(T204="",INDEX(_翻訳マスタ!$B$89:$D$89,1,MATCH(言語切替!$B$3,_翻訳マスタ!$B$1:$D$1,0)),IF(T204&gt;=1,INDEX(_翻訳マスタ!$B$93:$D$93,1,MATCH(言語切替!$B$3,_翻訳マスタ!$B$1:$D$1,0)),IF(T204&gt;=0.8,INDEX(_翻訳マスタ!$B$91:$D$91,1,MATCH(言語切替!$B$3,_翻訳マスタ!$B$1:$D$1,0)),INDEX(_翻訳マスタ!$B$94:$D$94,1,MATCH(言語切替!$B$3,_翻訳マスタ!$B$1:$D$1,0))))))</f>
        <v/>
      </c>
      <c r="V204" s="34"/>
      <c r="W204" s="33"/>
      <c r="X204" s="47" t="str">
        <f t="shared" si="70"/>
        <v/>
      </c>
      <c r="Y204" s="47" t="str">
        <f t="shared" si="63"/>
        <v/>
      </c>
      <c r="Z204" s="38"/>
      <c r="AA204" s="53" t="str">
        <f t="shared" si="71"/>
        <v/>
      </c>
      <c r="AB204" s="53" t="str">
        <f t="shared" si="65"/>
        <v/>
      </c>
    </row>
  </sheetData>
  <sheetProtection sheet="1" scenarios="1"/>
  <autoFilter ref="A4:Z204" xr:uid="{00000000-0001-0000-0600-000000000000}"/>
  <mergeCells count="2">
    <mergeCell ref="A2:T2"/>
    <mergeCell ref="A1:T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2" width="12" style="1" customWidth="1"/>
    <col min="3" max="3" width="18" style="1" customWidth="1"/>
    <col min="4" max="4" width="22" style="1" customWidth="1"/>
    <col min="5" max="7" width="50" style="1" customWidth="1"/>
    <col min="8" max="10" width="36" style="1" customWidth="1"/>
    <col min="11" max="11" width="18" style="1" customWidth="1"/>
    <col min="12" max="14" width="24" style="1" customWidth="1"/>
    <col min="15" max="16384" width="8.75" style="1"/>
  </cols>
  <sheetData>
    <row r="1" spans="1:14" ht="27.95" customHeight="1" x14ac:dyDescent="0.25">
      <c r="A1" s="64" t="str">
        <f>INDEX(_翻訳マスタ!$B$117:$D$247,MATCH("REV_TITLE",_翻訳マスタ!$A$117:$A$247,0),MATCH(言語切替!$B$3,_翻訳マスタ!$B$1:$D$1,0))</f>
        <v>Lịch sử cập nhật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27.95" customHeight="1" x14ac:dyDescent="0.25">
      <c r="A2" s="65" t="str">
        <f>INDEX(_翻訳マスタ!$B$117:$D$247,MATCH("REV_DESC",_翻訳マスタ!$A$117:$A$247,0),MATCH(言語切替!$B$3,_翻訳マスタ!$B$1:$D$1,0))</f>
        <v>Ghi lại các thay đổi quan trọng về quy tắc, dữ liệu danh mục và thay đổi cấu trúc.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x14ac:dyDescent="0.25">
      <c r="A3" s="1" t="str">
        <f>INDEX(_翻訳マスタ!$B$2:$D$300,MATCH("PARA_HOWTO",_翻訳マスタ!$A$2:$A$300,0),MATCH(言語切替!$B$3,_翻訳マスタ!$B$1:$D$1,0))</f>
        <v>Cách dùng: Nhập tiếng mẹ đẻ → đọc cột khác → ô trống không dịch → dưới 3000 ký tự</v>
      </c>
    </row>
    <row r="4" spans="1:14" ht="45" customHeight="1" x14ac:dyDescent="0.25">
      <c r="A4" s="6" t="str">
        <f>INDEX(_翻訳マスタ!$B$117:$D$247,MATCH("REV_COL_NO",_翻訳マスタ!$A$117:$A$247,0),MATCH(言語切替!$B$3,_翻訳マスタ!$B$1:$D$1,0))</f>
        <v>Số cập nhật</v>
      </c>
      <c r="B4" s="7" t="str">
        <f>INDEX(_翻訳マスタ!$B$117:$D$247,MATCH("REV_COL_DATE",_翻訳マスタ!$A$117:$A$247,0),MATCH(言語切替!$B$3,_翻訳マスタ!$B$1:$D$1,0))</f>
        <v>Ngày cập nhật</v>
      </c>
      <c r="C4" s="7" t="str">
        <f>INDEX(_翻訳マスタ!$B$117:$D$247,MATCH("REV_COL_AUTHOR",_翻訳マスタ!$A$117:$A$247,0),MATCH(言語切替!$B$3,_翻訳マスタ!$B$1:$D$1,0))</f>
        <v>Người cập nhật</v>
      </c>
      <c r="D4" s="7" t="str">
        <f>INDEX(_翻訳マスタ!$B$117:$D$247,MATCH("REV_COL_TARGET",_翻訳マスタ!$A$117:$A$247,0),MATCH(言語切替!$B$3,_翻訳マスタ!$B$1:$D$1,0))</f>
        <v>Trang tính áp dụng</v>
      </c>
      <c r="E4" s="7" t="str">
        <f>INDEX(_翻訳マスタ!$B$2:$D$300,MATCH("REV_COL_CONTENT",_翻訳マスタ!$A$2:$A$300,0),MATCH(言語切替!$B$3,_翻訳マスタ!$B$1:$D$1,0))&amp;INDEX(_翻訳マスタ!$B$2:$D$300,MATCH("NEW_VI_SUFFIX",_翻訳マスタ!$A$2:$A$300,0),MATCH(言語切替!$B$3,_翻訳マスタ!$B$1:$D$1,0))</f>
        <v>Nội dung thay đổi (VI)</v>
      </c>
      <c r="F4" s="7" t="str">
        <f>INDEX(_翻訳マスタ!$B$2:$D$300,MATCH("REV_COL_CONTENT",_翻訳マスタ!$A$2:$A$300,0),MATCH(言語切替!$B$3,_翻訳マスタ!$B$1:$D$1,0))&amp;INDEX(_翻訳マスタ!$B$2:$D$300,MATCH("NEW_JP_SUFFIX",_翻訳マスタ!$A$2:$A$300,0),MATCH(言語切替!$B$3,_翻訳マスタ!$B$1:$D$1,0))</f>
        <v>Nội dung thay đổi (JP)</v>
      </c>
      <c r="G4" s="7" t="str">
        <f>INDEX(_翻訳マスタ!$B$2:$D$300,MATCH("REV_COL_CONTENT",_翻訳マスタ!$A$2:$A$300,0),MATCH(言語切替!$B$3,_翻訳マスタ!$B$1:$D$1,0))&amp;INDEX(_翻訳マスタ!$B$2:$D$300,MATCH("NEW_CN_SUFFIX",_翻訳マスタ!$A$2:$A$300,0),MATCH(言語切替!$B$3,_翻訳マスタ!$B$1:$D$1,0))</f>
        <v>Nội dung thay đổi (CN)</v>
      </c>
      <c r="H4" s="7" t="str">
        <f>INDEX(_翻訳マスタ!$B$2:$D$300,MATCH("REV_COL_REASON",_翻訳マスタ!$A$2:$A$300,0),MATCH(言語切替!$B$3,_翻訳マスタ!$B$1:$D$1,0))&amp;INDEX(_翻訳マスタ!$B$2:$D$300,MATCH("NEW_VI_SUFFIX",_翻訳マスタ!$A$2:$A$300,0),MATCH(言語切替!$B$3,_翻訳マスタ!$B$1:$D$1,0))</f>
        <v>Lý do thay đổi (VI)</v>
      </c>
      <c r="I4" s="7" t="str">
        <f>INDEX(_翻訳マスタ!$B$2:$D$300,MATCH("REV_COL_REASON",_翻訳マスタ!$A$2:$A$300,0),MATCH(言語切替!$B$3,_翻訳マスタ!$B$1:$D$1,0))&amp;INDEX(_翻訳マスタ!$B$2:$D$300,MATCH("NEW_JP_SUFFIX",_翻訳マスタ!$A$2:$A$300,0),MATCH(言語切替!$B$3,_翻訳マスタ!$B$1:$D$1,0))</f>
        <v>Lý do thay đổi (JP)</v>
      </c>
      <c r="J4" s="7" t="str">
        <f>INDEX(_翻訳マスタ!$B$2:$D$300,MATCH("REV_COL_REASON",_翻訳マスタ!$A$2:$A$300,0),MATCH(言語切替!$B$3,_翻訳マスタ!$B$1:$D$1,0))&amp;INDEX(_翻訳マスタ!$B$2:$D$300,MATCH("NEW_CN_SUFFIX",_翻訳マスタ!$A$2:$A$300,0),MATCH(言語切替!$B$3,_翻訳マスタ!$B$1:$D$1,0))</f>
        <v>Lý do thay đổi (CN)</v>
      </c>
      <c r="K4" s="7" t="str">
        <f>INDEX(_翻訳マスタ!$B$117:$D$247,MATCH("REV_COL_APPROVER",_翻訳マスタ!$A$117:$A$247,0),MATCH(言語切替!$B$3,_翻訳マスタ!$B$1:$D$1,0))</f>
        <v>Người phê duyệt</v>
      </c>
      <c r="L4" s="8" t="str">
        <f>INDEX(_翻訳マスタ!$B$2:$D$300,MATCH("REV_COL_NOTE",_翻訳マスタ!$A$2:$A$300,0),MATCH(言語切替!$B$3,_翻訳マスタ!$B$1:$D$1,0))&amp;INDEX(_翻訳マスタ!$B$2:$D$300,MATCH("NEW_VI_SUFFIX",_翻訳マスタ!$A$2:$A$300,0),MATCH(言語切替!$B$3,_翻訳マスタ!$B$1:$D$1,0))</f>
        <v>Ghi chú (VI)</v>
      </c>
      <c r="M4" s="43" t="str">
        <f>INDEX(_翻訳マスタ!$B$2:$D$300,MATCH("REV_COL_NOTE",_翻訳マスタ!$A$2:$A$300,0),MATCH(言語切替!$B$3,_翻訳マスタ!$B$1:$D$1,0))&amp;INDEX(_翻訳マスタ!$B$2:$D$300,MATCH("NEW_JP_SUFFIX",_翻訳マスタ!$A$2:$A$300,0),MATCH(言語切替!$B$3,_翻訳マスタ!$B$1:$D$1,0))</f>
        <v>Ghi chú (JP)</v>
      </c>
      <c r="N4" s="43" t="str">
        <f>INDEX(_翻訳マスタ!$B$2:$D$300,MATCH("REV_COL_NOTE",_翻訳マスタ!$A$2:$A$300,0),MATCH(言語切替!$B$3,_翻訳マスタ!$B$1:$D$1,0))&amp;INDEX(_翻訳マスタ!$B$2:$D$300,MATCH("NEW_CN_SUFFIX",_翻訳マスタ!$A$2:$A$300,0),MATCH(言語切替!$B$3,_翻訳マスタ!$B$1:$D$1,0))</f>
        <v>Ghi chú (CN)</v>
      </c>
    </row>
    <row r="5" spans="1:14" s="22" customFormat="1" ht="31.5" customHeight="1" x14ac:dyDescent="0.25">
      <c r="A5" s="23" t="s">
        <v>228</v>
      </c>
      <c r="B5" s="25">
        <v>46288</v>
      </c>
      <c r="C5" s="24" t="str">
        <f>INDEX(_翻訳マスタ!$B$117:$D$247,MATCH("ROLE_PMO",_翻訳マスタ!$A$117:$A$247,0),MATCH(言語切替!$B$3,_翻訳マスタ!$B$1:$D$1,0))</f>
        <v>Ban điều hành</v>
      </c>
      <c r="D5" s="24" t="str">
        <f>'02_マスタ'!$A$5</f>
        <v>Toàn bộ</v>
      </c>
      <c r="E5" s="24" t="str">
        <f>INDEX(_翻訳マスタ!$D$2:$D$300,MATCH("REV_EX1_CONTENT",_翻訳マスタ!$A$2:$A$300,0))</f>
        <v>Tạo bản dự thảo đầu tiên của công cụ quản lý</v>
      </c>
      <c r="F5" s="44" t="e" vm="1">
        <f>IF(E5="","",_xlfn.TRANSLATE(E5,"","ja"))</f>
        <v>#VALUE!</v>
      </c>
      <c r="G5" s="44" t="e" vm="1">
        <f>IF(E5="","",_xlfn.TRANSLATE(E5,"","zh-Hans"))</f>
        <v>#VALUE!</v>
      </c>
      <c r="H5" s="24" t="str">
        <f>INDEX(_翻訳マスタ!$D$2:$D$300,MATCH("REV_EX1_REASON",_翻訳マスタ!$A$2:$A$300,0))</f>
        <v>Cụ thể hóa phương án vận hành trong tài liệu giải trình của ban điều hành</v>
      </c>
      <c r="I5" s="44" t="e" vm="1">
        <f>IF(H5="","",_xlfn.TRANSLATE(H5,"","ja"))</f>
        <v>#VALUE!</v>
      </c>
      <c r="J5" s="44" t="e" vm="1">
        <f>IF(H5="","",_xlfn.TRANSLATE(H5,"","zh-Hans"))</f>
        <v>#VALUE!</v>
      </c>
      <c r="K5" s="24"/>
      <c r="L5" s="35" t="str">
        <f>INDEX(_翻訳マスタ!$D$2:$D$300,MATCH("COMMON_EXAMPLE",_翻訳マスタ!$A$2:$A$300,0))</f>
        <v>Ví dụ nhập liệu</v>
      </c>
      <c r="M5" s="52" t="e" vm="1">
        <f>IF(L5="","",_xlfn.TRANSLATE(L5,"","ja"))</f>
        <v>#VALUE!</v>
      </c>
      <c r="N5" s="52" t="e" vm="1">
        <f>IF(L5="","",_xlfn.TRANSLATE(L5,"","zh-Hans"))</f>
        <v>#VALUE!</v>
      </c>
    </row>
    <row r="6" spans="1:14" s="22" customFormat="1" ht="31.5" customHeight="1" x14ac:dyDescent="0.25">
      <c r="A6" s="26"/>
      <c r="B6" s="28"/>
      <c r="C6" s="27"/>
      <c r="D6" s="27"/>
      <c r="E6" s="27"/>
      <c r="F6" s="45" t="str">
        <f>IF(E6="","",_xlfn.TRANSLATE(E6,"","ja"))</f>
        <v/>
      </c>
      <c r="G6" s="45" t="str">
        <f>IF(E6="","",_xlfn.TRANSLATE(E6,"","zh-Hans"))</f>
        <v/>
      </c>
      <c r="H6" s="27"/>
      <c r="I6" s="45" t="str">
        <f>IF(H6="","",_xlfn.TRANSLATE(H6,"","ja"))</f>
        <v/>
      </c>
      <c r="J6" s="45" t="str">
        <f>IF(H6="","",_xlfn.TRANSLATE(H6,"","zh-Hans"))</f>
        <v/>
      </c>
      <c r="K6" s="27"/>
      <c r="L6" s="36"/>
      <c r="M6" s="53" t="str">
        <f>IF(L6="","",_xlfn.TRANSLATE(L6,"","ja"))</f>
        <v/>
      </c>
      <c r="N6" s="53" t="str">
        <f>IF(L6="","",_xlfn.TRANSLATE(L6,"","zh-Hans"))</f>
        <v/>
      </c>
    </row>
    <row r="7" spans="1:14" s="22" customFormat="1" ht="31.5" customHeight="1" x14ac:dyDescent="0.25">
      <c r="A7" s="29"/>
      <c r="B7" s="31"/>
      <c r="C7" s="30"/>
      <c r="D7" s="30"/>
      <c r="E7" s="30"/>
      <c r="F7" s="46" t="str">
        <f>IF(E7="","",_xlfn.TRANSLATE(E7,"","ja"))</f>
        <v/>
      </c>
      <c r="G7" s="46" t="str">
        <f>IF(E7="","",_xlfn.TRANSLATE(E7,"","zh-Hans"))</f>
        <v/>
      </c>
      <c r="H7" s="30"/>
      <c r="I7" s="46" t="str">
        <f>IF(H7="","",_xlfn.TRANSLATE(H7,"","ja"))</f>
        <v/>
      </c>
      <c r="J7" s="46" t="str">
        <f>IF(H7="","",_xlfn.TRANSLATE(H7,"","zh-Hans"))</f>
        <v/>
      </c>
      <c r="K7" s="30"/>
      <c r="L7" s="37"/>
      <c r="M7" s="52" t="str">
        <f>IF(L7="","",_xlfn.TRANSLATE(L7,"","ja"))</f>
        <v/>
      </c>
      <c r="N7" s="52" t="str">
        <f>IF(L7="","",_xlfn.TRANSLATE(L7,"","zh-Hans"))</f>
        <v/>
      </c>
    </row>
    <row r="8" spans="1:14" s="22" customFormat="1" ht="31.5" customHeight="1" x14ac:dyDescent="0.25">
      <c r="A8" s="26"/>
      <c r="B8" s="28"/>
      <c r="C8" s="27"/>
      <c r="D8" s="27"/>
      <c r="E8" s="27"/>
      <c r="F8" s="45" t="str">
        <f>IF(E8="","",_xlfn.TRANSLATE(E8,"","ja"))</f>
        <v/>
      </c>
      <c r="G8" s="45" t="str">
        <f>IF(E8="","",_xlfn.TRANSLATE(E8,"","zh-Hans"))</f>
        <v/>
      </c>
      <c r="H8" s="27"/>
      <c r="I8" s="45" t="str">
        <f>IF(H8="","",_xlfn.TRANSLATE(H8,"","ja"))</f>
        <v/>
      </c>
      <c r="J8" s="45" t="str">
        <f>IF(H8="","",_xlfn.TRANSLATE(H8,"","zh-Hans"))</f>
        <v/>
      </c>
      <c r="K8" s="27"/>
      <c r="L8" s="36"/>
      <c r="M8" s="53" t="str">
        <f>IF(L8="","",_xlfn.TRANSLATE(L8,"","ja"))</f>
        <v/>
      </c>
      <c r="N8" s="53" t="str">
        <f>IF(L8="","",_xlfn.TRANSLATE(L8,"","zh-Hans"))</f>
        <v/>
      </c>
    </row>
    <row r="9" spans="1:14" s="22" customFormat="1" ht="15" customHeight="1" x14ac:dyDescent="0.25">
      <c r="A9" s="29"/>
      <c r="B9" s="31"/>
      <c r="C9" s="30"/>
      <c r="D9" s="30"/>
      <c r="E9" s="30"/>
      <c r="F9" s="46" t="str">
        <f>IF(E9="","",_xlfn.TRANSLATE(E9,"","ja"))</f>
        <v/>
      </c>
      <c r="G9" s="46" t="str">
        <f>IF(E9="","",_xlfn.TRANSLATE(E9,"","zh-Hans"))</f>
        <v/>
      </c>
      <c r="H9" s="30"/>
      <c r="I9" s="46" t="str">
        <f>IF(H9="","",_xlfn.TRANSLATE(H9,"","ja"))</f>
        <v/>
      </c>
      <c r="J9" s="46" t="str">
        <f>IF(H9="","",_xlfn.TRANSLATE(H9,"","zh-Hans"))</f>
        <v/>
      </c>
      <c r="K9" s="30"/>
      <c r="L9" s="37"/>
      <c r="M9" s="52" t="str">
        <f>IF(L9="","",_xlfn.TRANSLATE(L9,"","ja"))</f>
        <v/>
      </c>
      <c r="N9" s="52" t="str">
        <f>IF(L9="","",_xlfn.TRANSLATE(L9,"","zh-Hans"))</f>
        <v/>
      </c>
    </row>
    <row r="10" spans="1:14" s="22" customFormat="1" ht="15" customHeight="1" x14ac:dyDescent="0.25">
      <c r="A10" s="26"/>
      <c r="B10" s="28"/>
      <c r="C10" s="27"/>
      <c r="D10" s="27"/>
      <c r="E10" s="27"/>
      <c r="F10" s="45" t="str">
        <f>IF(E10="","",_xlfn.TRANSLATE(E10,"","ja"))</f>
        <v/>
      </c>
      <c r="G10" s="45" t="str">
        <f>IF(E10="","",_xlfn.TRANSLATE(E10,"","zh-Hans"))</f>
        <v/>
      </c>
      <c r="H10" s="27"/>
      <c r="I10" s="45" t="str">
        <f>IF(H10="","",_xlfn.TRANSLATE(H10,"","ja"))</f>
        <v/>
      </c>
      <c r="J10" s="45" t="str">
        <f>IF(H10="","",_xlfn.TRANSLATE(H10,"","zh-Hans"))</f>
        <v/>
      </c>
      <c r="K10" s="27"/>
      <c r="L10" s="36"/>
      <c r="M10" s="53" t="str">
        <f>IF(L10="","",_xlfn.TRANSLATE(L10,"","ja"))</f>
        <v/>
      </c>
      <c r="N10" s="53" t="str">
        <f>IF(L10="","",_xlfn.TRANSLATE(L10,"","zh-Hans"))</f>
        <v/>
      </c>
    </row>
    <row r="11" spans="1:14" s="22" customFormat="1" ht="15" customHeight="1" x14ac:dyDescent="0.25">
      <c r="A11" s="29"/>
      <c r="B11" s="31"/>
      <c r="C11" s="30"/>
      <c r="D11" s="30"/>
      <c r="E11" s="30"/>
      <c r="F11" s="46" t="str">
        <f>IF(E11="","",_xlfn.TRANSLATE(E11,"","ja"))</f>
        <v/>
      </c>
      <c r="G11" s="46" t="str">
        <f>IF(E11="","",_xlfn.TRANSLATE(E11,"","zh-Hans"))</f>
        <v/>
      </c>
      <c r="H11" s="30"/>
      <c r="I11" s="46" t="str">
        <f>IF(H11="","",_xlfn.TRANSLATE(H11,"","ja"))</f>
        <v/>
      </c>
      <c r="J11" s="46" t="str">
        <f>IF(H11="","",_xlfn.TRANSLATE(H11,"","zh-Hans"))</f>
        <v/>
      </c>
      <c r="K11" s="30"/>
      <c r="L11" s="37"/>
      <c r="M11" s="52" t="str">
        <f>IF(L11="","",_xlfn.TRANSLATE(L11,"","ja"))</f>
        <v/>
      </c>
      <c r="N11" s="52" t="str">
        <f>IF(L11="","",_xlfn.TRANSLATE(L11,"","zh-Hans"))</f>
        <v/>
      </c>
    </row>
    <row r="12" spans="1:14" s="22" customFormat="1" ht="15" customHeight="1" x14ac:dyDescent="0.25">
      <c r="A12" s="26"/>
      <c r="B12" s="28"/>
      <c r="C12" s="27"/>
      <c r="D12" s="27"/>
      <c r="E12" s="27"/>
      <c r="F12" s="45" t="str">
        <f>IF(E12="","",_xlfn.TRANSLATE(E12,"","ja"))</f>
        <v/>
      </c>
      <c r="G12" s="45" t="str">
        <f>IF(E12="","",_xlfn.TRANSLATE(E12,"","zh-Hans"))</f>
        <v/>
      </c>
      <c r="H12" s="27"/>
      <c r="I12" s="45" t="str">
        <f>IF(H12="","",_xlfn.TRANSLATE(H12,"","ja"))</f>
        <v/>
      </c>
      <c r="J12" s="45" t="str">
        <f>IF(H12="","",_xlfn.TRANSLATE(H12,"","zh-Hans"))</f>
        <v/>
      </c>
      <c r="K12" s="27"/>
      <c r="L12" s="36"/>
      <c r="M12" s="53" t="str">
        <f>IF(L12="","",_xlfn.TRANSLATE(L12,"","ja"))</f>
        <v/>
      </c>
      <c r="N12" s="53" t="str">
        <f>IF(L12="","",_xlfn.TRANSLATE(L12,"","zh-Hans"))</f>
        <v/>
      </c>
    </row>
    <row r="13" spans="1:14" s="22" customFormat="1" ht="15" customHeight="1" x14ac:dyDescent="0.25">
      <c r="A13" s="29"/>
      <c r="B13" s="31"/>
      <c r="C13" s="30"/>
      <c r="D13" s="30"/>
      <c r="E13" s="30"/>
      <c r="F13" s="46" t="str">
        <f>IF(E13="","",_xlfn.TRANSLATE(E13,"","ja"))</f>
        <v/>
      </c>
      <c r="G13" s="46" t="str">
        <f>IF(E13="","",_xlfn.TRANSLATE(E13,"","zh-Hans"))</f>
        <v/>
      </c>
      <c r="H13" s="30"/>
      <c r="I13" s="46" t="str">
        <f>IF(H13="","",_xlfn.TRANSLATE(H13,"","ja"))</f>
        <v/>
      </c>
      <c r="J13" s="46" t="str">
        <f>IF(H13="","",_xlfn.TRANSLATE(H13,"","zh-Hans"))</f>
        <v/>
      </c>
      <c r="K13" s="30"/>
      <c r="L13" s="37"/>
      <c r="M13" s="52" t="str">
        <f>IF(L13="","",_xlfn.TRANSLATE(L13,"","ja"))</f>
        <v/>
      </c>
      <c r="N13" s="52" t="str">
        <f>IF(L13="","",_xlfn.TRANSLATE(L13,"","zh-Hans"))</f>
        <v/>
      </c>
    </row>
    <row r="14" spans="1:14" s="22" customFormat="1" ht="15" customHeight="1" x14ac:dyDescent="0.25">
      <c r="A14" s="26"/>
      <c r="B14" s="28"/>
      <c r="C14" s="27"/>
      <c r="D14" s="27"/>
      <c r="E14" s="27"/>
      <c r="F14" s="45" t="str">
        <f>IF(E14="","",_xlfn.TRANSLATE(E14,"","ja"))</f>
        <v/>
      </c>
      <c r="G14" s="45" t="str">
        <f>IF(E14="","",_xlfn.TRANSLATE(E14,"","zh-Hans"))</f>
        <v/>
      </c>
      <c r="H14" s="27"/>
      <c r="I14" s="45" t="str">
        <f>IF(H14="","",_xlfn.TRANSLATE(H14,"","ja"))</f>
        <v/>
      </c>
      <c r="J14" s="45" t="str">
        <f>IF(H14="","",_xlfn.TRANSLATE(H14,"","zh-Hans"))</f>
        <v/>
      </c>
      <c r="K14" s="27"/>
      <c r="L14" s="36"/>
      <c r="M14" s="53" t="str">
        <f>IF(L14="","",_xlfn.TRANSLATE(L14,"","ja"))</f>
        <v/>
      </c>
      <c r="N14" s="53" t="str">
        <f>IF(L14="","",_xlfn.TRANSLATE(L14,"","zh-Hans"))</f>
        <v/>
      </c>
    </row>
    <row r="15" spans="1:14" s="22" customFormat="1" ht="15" customHeight="1" x14ac:dyDescent="0.25">
      <c r="A15" s="29"/>
      <c r="B15" s="31"/>
      <c r="C15" s="30"/>
      <c r="D15" s="30"/>
      <c r="E15" s="30"/>
      <c r="F15" s="46" t="str">
        <f>IF(E15="","",_xlfn.TRANSLATE(E15,"","ja"))</f>
        <v/>
      </c>
      <c r="G15" s="46" t="str">
        <f>IF(E15="","",_xlfn.TRANSLATE(E15,"","zh-Hans"))</f>
        <v/>
      </c>
      <c r="H15" s="30"/>
      <c r="I15" s="46" t="str">
        <f>IF(H15="","",_xlfn.TRANSLATE(H15,"","ja"))</f>
        <v/>
      </c>
      <c r="J15" s="46" t="str">
        <f>IF(H15="","",_xlfn.TRANSLATE(H15,"","zh-Hans"))</f>
        <v/>
      </c>
      <c r="K15" s="30"/>
      <c r="L15" s="37"/>
      <c r="M15" s="52" t="str">
        <f>IF(L15="","",_xlfn.TRANSLATE(L15,"","ja"))</f>
        <v/>
      </c>
      <c r="N15" s="52" t="str">
        <f>IF(L15="","",_xlfn.TRANSLATE(L15,"","zh-Hans"))</f>
        <v/>
      </c>
    </row>
    <row r="16" spans="1:14" s="22" customFormat="1" ht="15" customHeight="1" x14ac:dyDescent="0.25">
      <c r="A16" s="26"/>
      <c r="B16" s="28"/>
      <c r="C16" s="27"/>
      <c r="D16" s="27"/>
      <c r="E16" s="27"/>
      <c r="F16" s="45" t="str">
        <f>IF(E16="","",_xlfn.TRANSLATE(E16,"","ja"))</f>
        <v/>
      </c>
      <c r="G16" s="45" t="str">
        <f>IF(E16="","",_xlfn.TRANSLATE(E16,"","zh-Hans"))</f>
        <v/>
      </c>
      <c r="H16" s="27"/>
      <c r="I16" s="45" t="str">
        <f>IF(H16="","",_xlfn.TRANSLATE(H16,"","ja"))</f>
        <v/>
      </c>
      <c r="J16" s="45" t="str">
        <f>IF(H16="","",_xlfn.TRANSLATE(H16,"","zh-Hans"))</f>
        <v/>
      </c>
      <c r="K16" s="27"/>
      <c r="L16" s="36"/>
      <c r="M16" s="53" t="str">
        <f>IF(L16="","",_xlfn.TRANSLATE(L16,"","ja"))</f>
        <v/>
      </c>
      <c r="N16" s="53" t="str">
        <f>IF(L16="","",_xlfn.TRANSLATE(L16,"","zh-Hans"))</f>
        <v/>
      </c>
    </row>
    <row r="17" spans="1:14" s="22" customFormat="1" ht="15" customHeight="1" x14ac:dyDescent="0.25">
      <c r="A17" s="29"/>
      <c r="B17" s="31"/>
      <c r="C17" s="30"/>
      <c r="D17" s="30"/>
      <c r="E17" s="30"/>
      <c r="F17" s="46" t="str">
        <f>IF(E17="","",_xlfn.TRANSLATE(E17,"","ja"))</f>
        <v/>
      </c>
      <c r="G17" s="46" t="str">
        <f>IF(E17="","",_xlfn.TRANSLATE(E17,"","zh-Hans"))</f>
        <v/>
      </c>
      <c r="H17" s="30"/>
      <c r="I17" s="46" t="str">
        <f>IF(H17="","",_xlfn.TRANSLATE(H17,"","ja"))</f>
        <v/>
      </c>
      <c r="J17" s="46" t="str">
        <f>IF(H17="","",_xlfn.TRANSLATE(H17,"","zh-Hans"))</f>
        <v/>
      </c>
      <c r="K17" s="30"/>
      <c r="L17" s="37"/>
      <c r="M17" s="52" t="str">
        <f>IF(L17="","",_xlfn.TRANSLATE(L17,"","ja"))</f>
        <v/>
      </c>
      <c r="N17" s="52" t="str">
        <f>IF(L17="","",_xlfn.TRANSLATE(L17,"","zh-Hans"))</f>
        <v/>
      </c>
    </row>
    <row r="18" spans="1:14" s="22" customFormat="1" ht="15" customHeight="1" x14ac:dyDescent="0.25">
      <c r="A18" s="26"/>
      <c r="B18" s="28"/>
      <c r="C18" s="27"/>
      <c r="D18" s="27"/>
      <c r="E18" s="27"/>
      <c r="F18" s="45" t="str">
        <f>IF(E18="","",_xlfn.TRANSLATE(E18,"","ja"))</f>
        <v/>
      </c>
      <c r="G18" s="45" t="str">
        <f>IF(E18="","",_xlfn.TRANSLATE(E18,"","zh-Hans"))</f>
        <v/>
      </c>
      <c r="H18" s="27"/>
      <c r="I18" s="45" t="str">
        <f>IF(H18="","",_xlfn.TRANSLATE(H18,"","ja"))</f>
        <v/>
      </c>
      <c r="J18" s="45" t="str">
        <f>IF(H18="","",_xlfn.TRANSLATE(H18,"","zh-Hans"))</f>
        <v/>
      </c>
      <c r="K18" s="27"/>
      <c r="L18" s="36"/>
      <c r="M18" s="53" t="str">
        <f>IF(L18="","",_xlfn.TRANSLATE(L18,"","ja"))</f>
        <v/>
      </c>
      <c r="N18" s="53" t="str">
        <f>IF(L18="","",_xlfn.TRANSLATE(L18,"","zh-Hans"))</f>
        <v/>
      </c>
    </row>
    <row r="19" spans="1:14" s="22" customFormat="1" ht="15" customHeight="1" x14ac:dyDescent="0.25">
      <c r="A19" s="29"/>
      <c r="B19" s="31"/>
      <c r="C19" s="30"/>
      <c r="D19" s="30"/>
      <c r="E19" s="30"/>
      <c r="F19" s="46" t="str">
        <f>IF(E19="","",_xlfn.TRANSLATE(E19,"","ja"))</f>
        <v/>
      </c>
      <c r="G19" s="46" t="str">
        <f>IF(E19="","",_xlfn.TRANSLATE(E19,"","zh-Hans"))</f>
        <v/>
      </c>
      <c r="H19" s="30"/>
      <c r="I19" s="46" t="str">
        <f>IF(H19="","",_xlfn.TRANSLATE(H19,"","ja"))</f>
        <v/>
      </c>
      <c r="J19" s="46" t="str">
        <f>IF(H19="","",_xlfn.TRANSLATE(H19,"","zh-Hans"))</f>
        <v/>
      </c>
      <c r="K19" s="30"/>
      <c r="L19" s="37"/>
      <c r="M19" s="52" t="str">
        <f>IF(L19="","",_xlfn.TRANSLATE(L19,"","ja"))</f>
        <v/>
      </c>
      <c r="N19" s="52" t="str">
        <f>IF(L19="","",_xlfn.TRANSLATE(L19,"","zh-Hans"))</f>
        <v/>
      </c>
    </row>
    <row r="20" spans="1:14" s="22" customFormat="1" ht="15" customHeight="1" x14ac:dyDescent="0.25">
      <c r="A20" s="26"/>
      <c r="B20" s="28"/>
      <c r="C20" s="27"/>
      <c r="D20" s="27"/>
      <c r="E20" s="27"/>
      <c r="F20" s="45" t="str">
        <f>IF(E20="","",_xlfn.TRANSLATE(E20,"","ja"))</f>
        <v/>
      </c>
      <c r="G20" s="45" t="str">
        <f>IF(E20="","",_xlfn.TRANSLATE(E20,"","zh-Hans"))</f>
        <v/>
      </c>
      <c r="H20" s="27"/>
      <c r="I20" s="45" t="str">
        <f>IF(H20="","",_xlfn.TRANSLATE(H20,"","ja"))</f>
        <v/>
      </c>
      <c r="J20" s="45" t="str">
        <f>IF(H20="","",_xlfn.TRANSLATE(H20,"","zh-Hans"))</f>
        <v/>
      </c>
      <c r="K20" s="27"/>
      <c r="L20" s="36"/>
      <c r="M20" s="53" t="str">
        <f>IF(L20="","",_xlfn.TRANSLATE(L20,"","ja"))</f>
        <v/>
      </c>
      <c r="N20" s="53" t="str">
        <f>IF(L20="","",_xlfn.TRANSLATE(L20,"","zh-Hans"))</f>
        <v/>
      </c>
    </row>
    <row r="21" spans="1:14" s="22" customFormat="1" ht="15" customHeight="1" x14ac:dyDescent="0.25">
      <c r="A21" s="29"/>
      <c r="B21" s="31"/>
      <c r="C21" s="30"/>
      <c r="D21" s="30"/>
      <c r="E21" s="30"/>
      <c r="F21" s="46" t="str">
        <f>IF(E21="","",_xlfn.TRANSLATE(E21,"","ja"))</f>
        <v/>
      </c>
      <c r="G21" s="46" t="str">
        <f>IF(E21="","",_xlfn.TRANSLATE(E21,"","zh-Hans"))</f>
        <v/>
      </c>
      <c r="H21" s="30"/>
      <c r="I21" s="46" t="str">
        <f>IF(H21="","",_xlfn.TRANSLATE(H21,"","ja"))</f>
        <v/>
      </c>
      <c r="J21" s="46" t="str">
        <f>IF(H21="","",_xlfn.TRANSLATE(H21,"","zh-Hans"))</f>
        <v/>
      </c>
      <c r="K21" s="30"/>
      <c r="L21" s="37"/>
      <c r="M21" s="52" t="str">
        <f>IF(L21="","",_xlfn.TRANSLATE(L21,"","ja"))</f>
        <v/>
      </c>
      <c r="N21" s="52" t="str">
        <f>IF(L21="","",_xlfn.TRANSLATE(L21,"","zh-Hans"))</f>
        <v/>
      </c>
    </row>
    <row r="22" spans="1:14" s="22" customFormat="1" ht="15" customHeight="1" x14ac:dyDescent="0.25">
      <c r="A22" s="26"/>
      <c r="B22" s="28"/>
      <c r="C22" s="27"/>
      <c r="D22" s="27"/>
      <c r="E22" s="27"/>
      <c r="F22" s="45" t="str">
        <f>IF(E22="","",_xlfn.TRANSLATE(E22,"","ja"))</f>
        <v/>
      </c>
      <c r="G22" s="45" t="str">
        <f>IF(E22="","",_xlfn.TRANSLATE(E22,"","zh-Hans"))</f>
        <v/>
      </c>
      <c r="H22" s="27"/>
      <c r="I22" s="45" t="str">
        <f>IF(H22="","",_xlfn.TRANSLATE(H22,"","ja"))</f>
        <v/>
      </c>
      <c r="J22" s="45" t="str">
        <f>IF(H22="","",_xlfn.TRANSLATE(H22,"","zh-Hans"))</f>
        <v/>
      </c>
      <c r="K22" s="27"/>
      <c r="L22" s="36"/>
      <c r="M22" s="53" t="str">
        <f>IF(L22="","",_xlfn.TRANSLATE(L22,"","ja"))</f>
        <v/>
      </c>
      <c r="N22" s="53" t="str">
        <f>IF(L22="","",_xlfn.TRANSLATE(L22,"","zh-Hans"))</f>
        <v/>
      </c>
    </row>
    <row r="23" spans="1:14" s="22" customFormat="1" ht="15" customHeight="1" x14ac:dyDescent="0.25">
      <c r="A23" s="29"/>
      <c r="B23" s="31"/>
      <c r="C23" s="30"/>
      <c r="D23" s="30"/>
      <c r="E23" s="30"/>
      <c r="F23" s="46" t="str">
        <f>IF(E23="","",_xlfn.TRANSLATE(E23,"","ja"))</f>
        <v/>
      </c>
      <c r="G23" s="46" t="str">
        <f>IF(E23="","",_xlfn.TRANSLATE(E23,"","zh-Hans"))</f>
        <v/>
      </c>
      <c r="H23" s="30"/>
      <c r="I23" s="46" t="str">
        <f>IF(H23="","",_xlfn.TRANSLATE(H23,"","ja"))</f>
        <v/>
      </c>
      <c r="J23" s="46" t="str">
        <f>IF(H23="","",_xlfn.TRANSLATE(H23,"","zh-Hans"))</f>
        <v/>
      </c>
      <c r="K23" s="30"/>
      <c r="L23" s="37"/>
      <c r="M23" s="52" t="str">
        <f>IF(L23="","",_xlfn.TRANSLATE(L23,"","ja"))</f>
        <v/>
      </c>
      <c r="N23" s="52" t="str">
        <f>IF(L23="","",_xlfn.TRANSLATE(L23,"","zh-Hans"))</f>
        <v/>
      </c>
    </row>
    <row r="24" spans="1:14" s="22" customFormat="1" ht="15" customHeight="1" x14ac:dyDescent="0.25">
      <c r="A24" s="26"/>
      <c r="B24" s="28"/>
      <c r="C24" s="27"/>
      <c r="D24" s="27"/>
      <c r="E24" s="27"/>
      <c r="F24" s="45" t="str">
        <f>IF(E24="","",_xlfn.TRANSLATE(E24,"","ja"))</f>
        <v/>
      </c>
      <c r="G24" s="45" t="str">
        <f>IF(E24="","",_xlfn.TRANSLATE(E24,"","zh-Hans"))</f>
        <v/>
      </c>
      <c r="H24" s="27"/>
      <c r="I24" s="45" t="str">
        <f>IF(H24="","",_xlfn.TRANSLATE(H24,"","ja"))</f>
        <v/>
      </c>
      <c r="J24" s="45" t="str">
        <f>IF(H24="","",_xlfn.TRANSLATE(H24,"","zh-Hans"))</f>
        <v/>
      </c>
      <c r="K24" s="27"/>
      <c r="L24" s="36"/>
      <c r="M24" s="53" t="str">
        <f>IF(L24="","",_xlfn.TRANSLATE(L24,"","ja"))</f>
        <v/>
      </c>
      <c r="N24" s="53" t="str">
        <f>IF(L24="","",_xlfn.TRANSLATE(L24,"","zh-Hans"))</f>
        <v/>
      </c>
    </row>
    <row r="25" spans="1:14" s="22" customFormat="1" ht="15" customHeight="1" x14ac:dyDescent="0.25">
      <c r="A25" s="29"/>
      <c r="B25" s="31"/>
      <c r="C25" s="30"/>
      <c r="D25" s="30"/>
      <c r="E25" s="30"/>
      <c r="F25" s="46" t="str">
        <f t="shared" ref="F6:F37" si="0">IF(E25="","",_xlfn.TRANSLATE(E25,"vi","ja"))</f>
        <v/>
      </c>
      <c r="G25" s="46" t="str">
        <f t="shared" ref="G6:G37" si="1">IF(E25="","",_xlfn.TRANSLATE(E25,"vi","zh-Hans"))</f>
        <v/>
      </c>
      <c r="H25" s="30"/>
      <c r="I25" s="46" t="str">
        <f t="shared" ref="I6:I37" si="2">IF(H25="","",_xlfn.TRANSLATE(H25,"vi","ja"))</f>
        <v/>
      </c>
      <c r="J25" s="46" t="str">
        <f t="shared" ref="J6:J37" si="3">IF(H25="","",_xlfn.TRANSLATE(H25,"vi","zh-Hans"))</f>
        <v/>
      </c>
      <c r="K25" s="30"/>
      <c r="L25" s="37"/>
      <c r="M25" s="52" t="str">
        <f t="shared" ref="M6:M37" si="4">IF(L25="","",_xlfn.TRANSLATE(L25,"vi","ja"))</f>
        <v/>
      </c>
      <c r="N25" s="52" t="str">
        <f t="shared" ref="N6:N37" si="5">IF(L25="","",_xlfn.TRANSLATE(L25,"vi","zh-Hans"))</f>
        <v/>
      </c>
    </row>
    <row r="26" spans="1:14" s="22" customFormat="1" ht="15" customHeight="1" x14ac:dyDescent="0.25">
      <c r="A26" s="26"/>
      <c r="B26" s="28"/>
      <c r="C26" s="27"/>
      <c r="D26" s="27"/>
      <c r="E26" s="27"/>
      <c r="F26" s="45" t="str">
        <f t="shared" si="0"/>
        <v/>
      </c>
      <c r="G26" s="45" t="str">
        <f t="shared" si="1"/>
        <v/>
      </c>
      <c r="H26" s="27"/>
      <c r="I26" s="45" t="str">
        <f t="shared" si="2"/>
        <v/>
      </c>
      <c r="J26" s="45" t="str">
        <f t="shared" si="3"/>
        <v/>
      </c>
      <c r="K26" s="27"/>
      <c r="L26" s="36"/>
      <c r="M26" s="53" t="str">
        <f t="shared" si="4"/>
        <v/>
      </c>
      <c r="N26" s="53" t="str">
        <f t="shared" si="5"/>
        <v/>
      </c>
    </row>
    <row r="27" spans="1:14" s="22" customFormat="1" ht="15" customHeight="1" x14ac:dyDescent="0.25">
      <c r="A27" s="29"/>
      <c r="B27" s="31"/>
      <c r="C27" s="30"/>
      <c r="D27" s="30"/>
      <c r="E27" s="30"/>
      <c r="F27" s="46" t="str">
        <f t="shared" si="0"/>
        <v/>
      </c>
      <c r="G27" s="46" t="str">
        <f t="shared" si="1"/>
        <v/>
      </c>
      <c r="H27" s="30"/>
      <c r="I27" s="46" t="str">
        <f t="shared" si="2"/>
        <v/>
      </c>
      <c r="J27" s="46" t="str">
        <f t="shared" si="3"/>
        <v/>
      </c>
      <c r="K27" s="30"/>
      <c r="L27" s="37"/>
      <c r="M27" s="52" t="str">
        <f t="shared" si="4"/>
        <v/>
      </c>
      <c r="N27" s="52" t="str">
        <f t="shared" si="5"/>
        <v/>
      </c>
    </row>
    <row r="28" spans="1:14" s="22" customFormat="1" x14ac:dyDescent="0.25">
      <c r="A28" s="26"/>
      <c r="B28" s="28"/>
      <c r="C28" s="27"/>
      <c r="D28" s="27"/>
      <c r="E28" s="27"/>
      <c r="F28" s="45" t="str">
        <f t="shared" si="0"/>
        <v/>
      </c>
      <c r="G28" s="45" t="str">
        <f t="shared" si="1"/>
        <v/>
      </c>
      <c r="H28" s="27"/>
      <c r="I28" s="45" t="str">
        <f t="shared" si="2"/>
        <v/>
      </c>
      <c r="J28" s="45" t="str">
        <f t="shared" si="3"/>
        <v/>
      </c>
      <c r="K28" s="27"/>
      <c r="L28" s="36"/>
      <c r="M28" s="53" t="str">
        <f t="shared" si="4"/>
        <v/>
      </c>
      <c r="N28" s="53" t="str">
        <f t="shared" si="5"/>
        <v/>
      </c>
    </row>
    <row r="29" spans="1:14" s="22" customFormat="1" ht="15" customHeight="1" x14ac:dyDescent="0.25">
      <c r="A29" s="29"/>
      <c r="B29" s="31"/>
      <c r="C29" s="30"/>
      <c r="D29" s="30"/>
      <c r="E29" s="30"/>
      <c r="F29" s="46" t="str">
        <f t="shared" si="0"/>
        <v/>
      </c>
      <c r="G29" s="46" t="str">
        <f t="shared" si="1"/>
        <v/>
      </c>
      <c r="H29" s="30"/>
      <c r="I29" s="46" t="str">
        <f t="shared" si="2"/>
        <v/>
      </c>
      <c r="J29" s="46" t="str">
        <f t="shared" si="3"/>
        <v/>
      </c>
      <c r="K29" s="30"/>
      <c r="L29" s="37"/>
      <c r="M29" s="52" t="str">
        <f t="shared" si="4"/>
        <v/>
      </c>
      <c r="N29" s="52" t="str">
        <f t="shared" si="5"/>
        <v/>
      </c>
    </row>
    <row r="30" spans="1:14" s="22" customFormat="1" ht="15" customHeight="1" x14ac:dyDescent="0.25">
      <c r="A30" s="26"/>
      <c r="B30" s="28"/>
      <c r="C30" s="27"/>
      <c r="D30" s="27"/>
      <c r="E30" s="27"/>
      <c r="F30" s="45" t="str">
        <f t="shared" si="0"/>
        <v/>
      </c>
      <c r="G30" s="45" t="str">
        <f t="shared" si="1"/>
        <v/>
      </c>
      <c r="H30" s="27"/>
      <c r="I30" s="45" t="str">
        <f t="shared" si="2"/>
        <v/>
      </c>
      <c r="J30" s="45" t="str">
        <f t="shared" si="3"/>
        <v/>
      </c>
      <c r="K30" s="27"/>
      <c r="L30" s="36"/>
      <c r="M30" s="53" t="str">
        <f t="shared" si="4"/>
        <v/>
      </c>
      <c r="N30" s="53" t="str">
        <f t="shared" si="5"/>
        <v/>
      </c>
    </row>
    <row r="31" spans="1:14" s="22" customFormat="1" ht="15" customHeight="1" x14ac:dyDescent="0.25">
      <c r="A31" s="29"/>
      <c r="B31" s="31"/>
      <c r="C31" s="30"/>
      <c r="D31" s="30"/>
      <c r="E31" s="30"/>
      <c r="F31" s="46" t="str">
        <f t="shared" si="0"/>
        <v/>
      </c>
      <c r="G31" s="46" t="str">
        <f t="shared" si="1"/>
        <v/>
      </c>
      <c r="H31" s="30"/>
      <c r="I31" s="46" t="str">
        <f t="shared" si="2"/>
        <v/>
      </c>
      <c r="J31" s="46" t="str">
        <f t="shared" si="3"/>
        <v/>
      </c>
      <c r="K31" s="30"/>
      <c r="L31" s="37"/>
      <c r="M31" s="52" t="str">
        <f t="shared" si="4"/>
        <v/>
      </c>
      <c r="N31" s="52" t="str">
        <f t="shared" si="5"/>
        <v/>
      </c>
    </row>
    <row r="32" spans="1:14" s="22" customFormat="1" ht="15" customHeight="1" x14ac:dyDescent="0.25">
      <c r="A32" s="26"/>
      <c r="B32" s="28"/>
      <c r="C32" s="27"/>
      <c r="D32" s="27"/>
      <c r="E32" s="27"/>
      <c r="F32" s="45" t="str">
        <f t="shared" si="0"/>
        <v/>
      </c>
      <c r="G32" s="45" t="str">
        <f t="shared" si="1"/>
        <v/>
      </c>
      <c r="H32" s="27"/>
      <c r="I32" s="45" t="str">
        <f t="shared" si="2"/>
        <v/>
      </c>
      <c r="J32" s="45" t="str">
        <f t="shared" si="3"/>
        <v/>
      </c>
      <c r="K32" s="27"/>
      <c r="L32" s="36"/>
      <c r="M32" s="53" t="str">
        <f t="shared" si="4"/>
        <v/>
      </c>
      <c r="N32" s="53" t="str">
        <f t="shared" si="5"/>
        <v/>
      </c>
    </row>
    <row r="33" spans="1:14" s="22" customFormat="1" ht="15" customHeight="1" x14ac:dyDescent="0.25">
      <c r="A33" s="29"/>
      <c r="B33" s="31"/>
      <c r="C33" s="30"/>
      <c r="D33" s="30"/>
      <c r="E33" s="30"/>
      <c r="F33" s="46" t="str">
        <f t="shared" si="0"/>
        <v/>
      </c>
      <c r="G33" s="46" t="str">
        <f t="shared" si="1"/>
        <v/>
      </c>
      <c r="H33" s="30"/>
      <c r="I33" s="46" t="str">
        <f t="shared" si="2"/>
        <v/>
      </c>
      <c r="J33" s="46" t="str">
        <f t="shared" si="3"/>
        <v/>
      </c>
      <c r="K33" s="30"/>
      <c r="L33" s="37"/>
      <c r="M33" s="52" t="str">
        <f t="shared" si="4"/>
        <v/>
      </c>
      <c r="N33" s="52" t="str">
        <f t="shared" si="5"/>
        <v/>
      </c>
    </row>
    <row r="34" spans="1:14" s="22" customFormat="1" ht="15" customHeight="1" x14ac:dyDescent="0.25">
      <c r="A34" s="26"/>
      <c r="B34" s="28"/>
      <c r="C34" s="27"/>
      <c r="D34" s="27"/>
      <c r="E34" s="27"/>
      <c r="F34" s="45" t="str">
        <f t="shared" si="0"/>
        <v/>
      </c>
      <c r="G34" s="45" t="str">
        <f t="shared" si="1"/>
        <v/>
      </c>
      <c r="H34" s="27"/>
      <c r="I34" s="45" t="str">
        <f t="shared" si="2"/>
        <v/>
      </c>
      <c r="J34" s="45" t="str">
        <f t="shared" si="3"/>
        <v/>
      </c>
      <c r="K34" s="27"/>
      <c r="L34" s="36"/>
      <c r="M34" s="53" t="str">
        <f t="shared" si="4"/>
        <v/>
      </c>
      <c r="N34" s="53" t="str">
        <f t="shared" si="5"/>
        <v/>
      </c>
    </row>
    <row r="35" spans="1:14" s="22" customFormat="1" ht="15" customHeight="1" x14ac:dyDescent="0.25">
      <c r="A35" s="29"/>
      <c r="B35" s="31"/>
      <c r="C35" s="30"/>
      <c r="D35" s="30"/>
      <c r="E35" s="30"/>
      <c r="F35" s="46" t="str">
        <f t="shared" si="0"/>
        <v/>
      </c>
      <c r="G35" s="46" t="str">
        <f t="shared" si="1"/>
        <v/>
      </c>
      <c r="H35" s="30"/>
      <c r="I35" s="46" t="str">
        <f t="shared" si="2"/>
        <v/>
      </c>
      <c r="J35" s="46" t="str">
        <f t="shared" si="3"/>
        <v/>
      </c>
      <c r="K35" s="30"/>
      <c r="L35" s="37"/>
      <c r="M35" s="52" t="str">
        <f t="shared" si="4"/>
        <v/>
      </c>
      <c r="N35" s="52" t="str">
        <f t="shared" si="5"/>
        <v/>
      </c>
    </row>
    <row r="36" spans="1:14" s="22" customFormat="1" ht="15" customHeight="1" x14ac:dyDescent="0.25">
      <c r="A36" s="26"/>
      <c r="B36" s="28"/>
      <c r="C36" s="27"/>
      <c r="D36" s="27"/>
      <c r="E36" s="27"/>
      <c r="F36" s="45" t="str">
        <f t="shared" si="0"/>
        <v/>
      </c>
      <c r="G36" s="45" t="str">
        <f t="shared" si="1"/>
        <v/>
      </c>
      <c r="H36" s="27"/>
      <c r="I36" s="45" t="str">
        <f t="shared" si="2"/>
        <v/>
      </c>
      <c r="J36" s="45" t="str">
        <f t="shared" si="3"/>
        <v/>
      </c>
      <c r="K36" s="27"/>
      <c r="L36" s="36"/>
      <c r="M36" s="53" t="str">
        <f t="shared" si="4"/>
        <v/>
      </c>
      <c r="N36" s="53" t="str">
        <f t="shared" si="5"/>
        <v/>
      </c>
    </row>
    <row r="37" spans="1:14" s="22" customFormat="1" ht="15" customHeight="1" x14ac:dyDescent="0.25">
      <c r="A37" s="29"/>
      <c r="B37" s="31"/>
      <c r="C37" s="30"/>
      <c r="D37" s="30"/>
      <c r="E37" s="30"/>
      <c r="F37" s="46" t="str">
        <f t="shared" si="0"/>
        <v/>
      </c>
      <c r="G37" s="46" t="str">
        <f t="shared" si="1"/>
        <v/>
      </c>
      <c r="H37" s="30"/>
      <c r="I37" s="46" t="str">
        <f t="shared" si="2"/>
        <v/>
      </c>
      <c r="J37" s="46" t="str">
        <f t="shared" si="3"/>
        <v/>
      </c>
      <c r="K37" s="30"/>
      <c r="L37" s="37"/>
      <c r="M37" s="52" t="str">
        <f t="shared" si="4"/>
        <v/>
      </c>
      <c r="N37" s="52" t="str">
        <f t="shared" si="5"/>
        <v/>
      </c>
    </row>
    <row r="38" spans="1:14" s="22" customFormat="1" ht="15" customHeight="1" x14ac:dyDescent="0.25">
      <c r="A38" s="26"/>
      <c r="B38" s="28"/>
      <c r="C38" s="27"/>
      <c r="D38" s="27"/>
      <c r="E38" s="27"/>
      <c r="F38" s="45" t="str">
        <f t="shared" ref="F38:F69" si="6">IF(E38="","",_xlfn.TRANSLATE(E38,"vi","ja"))</f>
        <v/>
      </c>
      <c r="G38" s="45" t="str">
        <f t="shared" ref="G38:G69" si="7">IF(E38="","",_xlfn.TRANSLATE(E38,"vi","zh-Hans"))</f>
        <v/>
      </c>
      <c r="H38" s="27"/>
      <c r="I38" s="45" t="str">
        <f t="shared" ref="I38:I69" si="8">IF(H38="","",_xlfn.TRANSLATE(H38,"vi","ja"))</f>
        <v/>
      </c>
      <c r="J38" s="45" t="str">
        <f t="shared" ref="J38:J69" si="9">IF(H38="","",_xlfn.TRANSLATE(H38,"vi","zh-Hans"))</f>
        <v/>
      </c>
      <c r="K38" s="27"/>
      <c r="L38" s="36"/>
      <c r="M38" s="53" t="str">
        <f t="shared" ref="M38:M69" si="10">IF(L38="","",_xlfn.TRANSLATE(L38,"vi","ja"))</f>
        <v/>
      </c>
      <c r="N38" s="53" t="str">
        <f t="shared" ref="N38:N69" si="11">IF(L38="","",_xlfn.TRANSLATE(L38,"vi","zh-Hans"))</f>
        <v/>
      </c>
    </row>
    <row r="39" spans="1:14" s="22" customFormat="1" ht="15" customHeight="1" x14ac:dyDescent="0.25">
      <c r="A39" s="29"/>
      <c r="B39" s="31"/>
      <c r="C39" s="30"/>
      <c r="D39" s="30"/>
      <c r="E39" s="30"/>
      <c r="F39" s="46" t="str">
        <f t="shared" si="6"/>
        <v/>
      </c>
      <c r="G39" s="46" t="str">
        <f t="shared" si="7"/>
        <v/>
      </c>
      <c r="H39" s="30"/>
      <c r="I39" s="46" t="str">
        <f t="shared" si="8"/>
        <v/>
      </c>
      <c r="J39" s="46" t="str">
        <f t="shared" si="9"/>
        <v/>
      </c>
      <c r="K39" s="30"/>
      <c r="L39" s="37"/>
      <c r="M39" s="52" t="str">
        <f t="shared" si="10"/>
        <v/>
      </c>
      <c r="N39" s="52" t="str">
        <f t="shared" si="11"/>
        <v/>
      </c>
    </row>
    <row r="40" spans="1:14" s="22" customFormat="1" ht="15" customHeight="1" x14ac:dyDescent="0.25">
      <c r="A40" s="26"/>
      <c r="B40" s="28"/>
      <c r="C40" s="27"/>
      <c r="D40" s="27"/>
      <c r="E40" s="27"/>
      <c r="F40" s="45" t="str">
        <f t="shared" si="6"/>
        <v/>
      </c>
      <c r="G40" s="45" t="str">
        <f t="shared" si="7"/>
        <v/>
      </c>
      <c r="H40" s="27"/>
      <c r="I40" s="45" t="str">
        <f t="shared" si="8"/>
        <v/>
      </c>
      <c r="J40" s="45" t="str">
        <f t="shared" si="9"/>
        <v/>
      </c>
      <c r="K40" s="27"/>
      <c r="L40" s="36"/>
      <c r="M40" s="53" t="str">
        <f t="shared" si="10"/>
        <v/>
      </c>
      <c r="N40" s="53" t="str">
        <f t="shared" si="11"/>
        <v/>
      </c>
    </row>
    <row r="41" spans="1:14" s="22" customFormat="1" ht="15" customHeight="1" x14ac:dyDescent="0.25">
      <c r="A41" s="29"/>
      <c r="B41" s="31"/>
      <c r="C41" s="30"/>
      <c r="D41" s="30"/>
      <c r="E41" s="30"/>
      <c r="F41" s="46" t="str">
        <f t="shared" si="6"/>
        <v/>
      </c>
      <c r="G41" s="46" t="str">
        <f t="shared" si="7"/>
        <v/>
      </c>
      <c r="H41" s="30"/>
      <c r="I41" s="46" t="str">
        <f t="shared" si="8"/>
        <v/>
      </c>
      <c r="J41" s="46" t="str">
        <f t="shared" si="9"/>
        <v/>
      </c>
      <c r="K41" s="30"/>
      <c r="L41" s="37"/>
      <c r="M41" s="52" t="str">
        <f t="shared" si="10"/>
        <v/>
      </c>
      <c r="N41" s="52" t="str">
        <f t="shared" si="11"/>
        <v/>
      </c>
    </row>
    <row r="42" spans="1:14" s="22" customFormat="1" ht="15" customHeight="1" x14ac:dyDescent="0.25">
      <c r="A42" s="26"/>
      <c r="B42" s="28"/>
      <c r="C42" s="27"/>
      <c r="D42" s="27"/>
      <c r="E42" s="27"/>
      <c r="F42" s="45" t="str">
        <f t="shared" si="6"/>
        <v/>
      </c>
      <c r="G42" s="45" t="str">
        <f t="shared" si="7"/>
        <v/>
      </c>
      <c r="H42" s="27"/>
      <c r="I42" s="45" t="str">
        <f t="shared" si="8"/>
        <v/>
      </c>
      <c r="J42" s="45" t="str">
        <f t="shared" si="9"/>
        <v/>
      </c>
      <c r="K42" s="27"/>
      <c r="L42" s="36"/>
      <c r="M42" s="53" t="str">
        <f t="shared" si="10"/>
        <v/>
      </c>
      <c r="N42" s="53" t="str">
        <f t="shared" si="11"/>
        <v/>
      </c>
    </row>
    <row r="43" spans="1:14" s="22" customFormat="1" ht="15" customHeight="1" x14ac:dyDescent="0.25">
      <c r="A43" s="29"/>
      <c r="B43" s="31"/>
      <c r="C43" s="30"/>
      <c r="D43" s="30"/>
      <c r="E43" s="30"/>
      <c r="F43" s="46" t="str">
        <f t="shared" si="6"/>
        <v/>
      </c>
      <c r="G43" s="46" t="str">
        <f t="shared" si="7"/>
        <v/>
      </c>
      <c r="H43" s="30"/>
      <c r="I43" s="46" t="str">
        <f t="shared" si="8"/>
        <v/>
      </c>
      <c r="J43" s="46" t="str">
        <f t="shared" si="9"/>
        <v/>
      </c>
      <c r="K43" s="30"/>
      <c r="L43" s="37"/>
      <c r="M43" s="52" t="str">
        <f t="shared" si="10"/>
        <v/>
      </c>
      <c r="N43" s="52" t="str">
        <f t="shared" si="11"/>
        <v/>
      </c>
    </row>
    <row r="44" spans="1:14" s="22" customFormat="1" ht="15" customHeight="1" x14ac:dyDescent="0.25">
      <c r="A44" s="26"/>
      <c r="B44" s="28"/>
      <c r="C44" s="27"/>
      <c r="D44" s="27"/>
      <c r="E44" s="27"/>
      <c r="F44" s="45" t="str">
        <f t="shared" si="6"/>
        <v/>
      </c>
      <c r="G44" s="45" t="str">
        <f t="shared" si="7"/>
        <v/>
      </c>
      <c r="H44" s="27"/>
      <c r="I44" s="45" t="str">
        <f t="shared" si="8"/>
        <v/>
      </c>
      <c r="J44" s="45" t="str">
        <f t="shared" si="9"/>
        <v/>
      </c>
      <c r="K44" s="27"/>
      <c r="L44" s="36"/>
      <c r="M44" s="53" t="str">
        <f t="shared" si="10"/>
        <v/>
      </c>
      <c r="N44" s="53" t="str">
        <f t="shared" si="11"/>
        <v/>
      </c>
    </row>
    <row r="45" spans="1:14" s="22" customFormat="1" ht="15" customHeight="1" x14ac:dyDescent="0.25">
      <c r="A45" s="29"/>
      <c r="B45" s="31"/>
      <c r="C45" s="30"/>
      <c r="D45" s="30"/>
      <c r="E45" s="30"/>
      <c r="F45" s="46" t="str">
        <f t="shared" si="6"/>
        <v/>
      </c>
      <c r="G45" s="46" t="str">
        <f t="shared" si="7"/>
        <v/>
      </c>
      <c r="H45" s="30"/>
      <c r="I45" s="46" t="str">
        <f t="shared" si="8"/>
        <v/>
      </c>
      <c r="J45" s="46" t="str">
        <f t="shared" si="9"/>
        <v/>
      </c>
      <c r="K45" s="30"/>
      <c r="L45" s="37"/>
      <c r="M45" s="52" t="str">
        <f t="shared" si="10"/>
        <v/>
      </c>
      <c r="N45" s="52" t="str">
        <f t="shared" si="11"/>
        <v/>
      </c>
    </row>
    <row r="46" spans="1:14" s="22" customFormat="1" ht="15" customHeight="1" x14ac:dyDescent="0.25">
      <c r="A46" s="26"/>
      <c r="B46" s="28"/>
      <c r="C46" s="27"/>
      <c r="D46" s="27"/>
      <c r="E46" s="27"/>
      <c r="F46" s="45" t="str">
        <f t="shared" si="6"/>
        <v/>
      </c>
      <c r="G46" s="45" t="str">
        <f t="shared" si="7"/>
        <v/>
      </c>
      <c r="H46" s="27"/>
      <c r="I46" s="45" t="str">
        <f t="shared" si="8"/>
        <v/>
      </c>
      <c r="J46" s="45" t="str">
        <f t="shared" si="9"/>
        <v/>
      </c>
      <c r="K46" s="27"/>
      <c r="L46" s="36"/>
      <c r="M46" s="53" t="str">
        <f t="shared" si="10"/>
        <v/>
      </c>
      <c r="N46" s="53" t="str">
        <f t="shared" si="11"/>
        <v/>
      </c>
    </row>
    <row r="47" spans="1:14" s="22" customFormat="1" ht="15" customHeight="1" x14ac:dyDescent="0.25">
      <c r="A47" s="29"/>
      <c r="B47" s="31"/>
      <c r="C47" s="30"/>
      <c r="D47" s="30"/>
      <c r="E47" s="30"/>
      <c r="F47" s="46" t="str">
        <f t="shared" si="6"/>
        <v/>
      </c>
      <c r="G47" s="46" t="str">
        <f t="shared" si="7"/>
        <v/>
      </c>
      <c r="H47" s="30"/>
      <c r="I47" s="46" t="str">
        <f t="shared" si="8"/>
        <v/>
      </c>
      <c r="J47" s="46" t="str">
        <f t="shared" si="9"/>
        <v/>
      </c>
      <c r="K47" s="30"/>
      <c r="L47" s="37"/>
      <c r="M47" s="52" t="str">
        <f t="shared" si="10"/>
        <v/>
      </c>
      <c r="N47" s="52" t="str">
        <f t="shared" si="11"/>
        <v/>
      </c>
    </row>
    <row r="48" spans="1:14" s="22" customFormat="1" ht="15" customHeight="1" x14ac:dyDescent="0.25">
      <c r="A48" s="26"/>
      <c r="B48" s="28"/>
      <c r="C48" s="27"/>
      <c r="D48" s="27"/>
      <c r="E48" s="27"/>
      <c r="F48" s="45" t="str">
        <f t="shared" si="6"/>
        <v/>
      </c>
      <c r="G48" s="45" t="str">
        <f t="shared" si="7"/>
        <v/>
      </c>
      <c r="H48" s="27"/>
      <c r="I48" s="45" t="str">
        <f t="shared" si="8"/>
        <v/>
      </c>
      <c r="J48" s="45" t="str">
        <f t="shared" si="9"/>
        <v/>
      </c>
      <c r="K48" s="27"/>
      <c r="L48" s="36"/>
      <c r="M48" s="53" t="str">
        <f t="shared" si="10"/>
        <v/>
      </c>
      <c r="N48" s="53" t="str">
        <f t="shared" si="11"/>
        <v/>
      </c>
    </row>
    <row r="49" spans="1:14" s="22" customFormat="1" ht="15" customHeight="1" x14ac:dyDescent="0.25">
      <c r="A49" s="29"/>
      <c r="B49" s="31"/>
      <c r="C49" s="30"/>
      <c r="D49" s="30"/>
      <c r="E49" s="30"/>
      <c r="F49" s="46" t="str">
        <f t="shared" si="6"/>
        <v/>
      </c>
      <c r="G49" s="46" t="str">
        <f t="shared" si="7"/>
        <v/>
      </c>
      <c r="H49" s="30"/>
      <c r="I49" s="46" t="str">
        <f t="shared" si="8"/>
        <v/>
      </c>
      <c r="J49" s="46" t="str">
        <f t="shared" si="9"/>
        <v/>
      </c>
      <c r="K49" s="30"/>
      <c r="L49" s="37"/>
      <c r="M49" s="52" t="str">
        <f t="shared" si="10"/>
        <v/>
      </c>
      <c r="N49" s="52" t="str">
        <f t="shared" si="11"/>
        <v/>
      </c>
    </row>
    <row r="50" spans="1:14" s="22" customFormat="1" ht="15" customHeight="1" x14ac:dyDescent="0.25">
      <c r="A50" s="26"/>
      <c r="B50" s="28"/>
      <c r="C50" s="27"/>
      <c r="D50" s="27"/>
      <c r="E50" s="27"/>
      <c r="F50" s="45" t="str">
        <f t="shared" si="6"/>
        <v/>
      </c>
      <c r="G50" s="45" t="str">
        <f t="shared" si="7"/>
        <v/>
      </c>
      <c r="H50" s="27"/>
      <c r="I50" s="45" t="str">
        <f t="shared" si="8"/>
        <v/>
      </c>
      <c r="J50" s="45" t="str">
        <f t="shared" si="9"/>
        <v/>
      </c>
      <c r="K50" s="27"/>
      <c r="L50" s="36"/>
      <c r="M50" s="53" t="str">
        <f t="shared" si="10"/>
        <v/>
      </c>
      <c r="N50" s="53" t="str">
        <f t="shared" si="11"/>
        <v/>
      </c>
    </row>
    <row r="51" spans="1:14" s="22" customFormat="1" ht="15" customHeight="1" x14ac:dyDescent="0.25">
      <c r="A51" s="29"/>
      <c r="B51" s="31"/>
      <c r="C51" s="30"/>
      <c r="D51" s="30"/>
      <c r="E51" s="30"/>
      <c r="F51" s="46" t="str">
        <f t="shared" si="6"/>
        <v/>
      </c>
      <c r="G51" s="46" t="str">
        <f t="shared" si="7"/>
        <v/>
      </c>
      <c r="H51" s="30"/>
      <c r="I51" s="46" t="str">
        <f t="shared" si="8"/>
        <v/>
      </c>
      <c r="J51" s="46" t="str">
        <f t="shared" si="9"/>
        <v/>
      </c>
      <c r="K51" s="30"/>
      <c r="L51" s="37"/>
      <c r="M51" s="52" t="str">
        <f t="shared" si="10"/>
        <v/>
      </c>
      <c r="N51" s="52" t="str">
        <f t="shared" si="11"/>
        <v/>
      </c>
    </row>
    <row r="52" spans="1:14" s="22" customFormat="1" ht="15" customHeight="1" x14ac:dyDescent="0.25">
      <c r="A52" s="26"/>
      <c r="B52" s="28"/>
      <c r="C52" s="27"/>
      <c r="D52" s="27"/>
      <c r="E52" s="27"/>
      <c r="F52" s="45" t="str">
        <f t="shared" si="6"/>
        <v/>
      </c>
      <c r="G52" s="45" t="str">
        <f t="shared" si="7"/>
        <v/>
      </c>
      <c r="H52" s="27"/>
      <c r="I52" s="45" t="str">
        <f t="shared" si="8"/>
        <v/>
      </c>
      <c r="J52" s="45" t="str">
        <f t="shared" si="9"/>
        <v/>
      </c>
      <c r="K52" s="27"/>
      <c r="L52" s="36"/>
      <c r="M52" s="53" t="str">
        <f t="shared" si="10"/>
        <v/>
      </c>
      <c r="N52" s="53" t="str">
        <f t="shared" si="11"/>
        <v/>
      </c>
    </row>
    <row r="53" spans="1:14" s="22" customFormat="1" ht="15" customHeight="1" x14ac:dyDescent="0.25">
      <c r="A53" s="29"/>
      <c r="B53" s="31"/>
      <c r="C53" s="30"/>
      <c r="D53" s="30"/>
      <c r="E53" s="30"/>
      <c r="F53" s="46" t="str">
        <f t="shared" si="6"/>
        <v/>
      </c>
      <c r="G53" s="46" t="str">
        <f t="shared" si="7"/>
        <v/>
      </c>
      <c r="H53" s="30"/>
      <c r="I53" s="46" t="str">
        <f t="shared" si="8"/>
        <v/>
      </c>
      <c r="J53" s="46" t="str">
        <f t="shared" si="9"/>
        <v/>
      </c>
      <c r="K53" s="30"/>
      <c r="L53" s="37"/>
      <c r="M53" s="52" t="str">
        <f t="shared" si="10"/>
        <v/>
      </c>
      <c r="N53" s="52" t="str">
        <f t="shared" si="11"/>
        <v/>
      </c>
    </row>
    <row r="54" spans="1:14" s="22" customFormat="1" ht="15" customHeight="1" x14ac:dyDescent="0.25">
      <c r="A54" s="26"/>
      <c r="B54" s="28"/>
      <c r="C54" s="27"/>
      <c r="D54" s="27"/>
      <c r="E54" s="27"/>
      <c r="F54" s="45" t="str">
        <f t="shared" si="6"/>
        <v/>
      </c>
      <c r="G54" s="45" t="str">
        <f t="shared" si="7"/>
        <v/>
      </c>
      <c r="H54" s="27"/>
      <c r="I54" s="45" t="str">
        <f t="shared" si="8"/>
        <v/>
      </c>
      <c r="J54" s="45" t="str">
        <f t="shared" si="9"/>
        <v/>
      </c>
      <c r="K54" s="27"/>
      <c r="L54" s="36"/>
      <c r="M54" s="53" t="str">
        <f t="shared" si="10"/>
        <v/>
      </c>
      <c r="N54" s="53" t="str">
        <f t="shared" si="11"/>
        <v/>
      </c>
    </row>
    <row r="55" spans="1:14" s="22" customFormat="1" ht="15" customHeight="1" x14ac:dyDescent="0.25">
      <c r="A55" s="29"/>
      <c r="B55" s="31"/>
      <c r="C55" s="30"/>
      <c r="D55" s="30"/>
      <c r="E55" s="30"/>
      <c r="F55" s="46" t="str">
        <f t="shared" si="6"/>
        <v/>
      </c>
      <c r="G55" s="46" t="str">
        <f t="shared" si="7"/>
        <v/>
      </c>
      <c r="H55" s="30"/>
      <c r="I55" s="46" t="str">
        <f t="shared" si="8"/>
        <v/>
      </c>
      <c r="J55" s="46" t="str">
        <f t="shared" si="9"/>
        <v/>
      </c>
      <c r="K55" s="30"/>
      <c r="L55" s="37"/>
      <c r="M55" s="52" t="str">
        <f t="shared" si="10"/>
        <v/>
      </c>
      <c r="N55" s="52" t="str">
        <f t="shared" si="11"/>
        <v/>
      </c>
    </row>
    <row r="56" spans="1:14" s="22" customFormat="1" ht="15" customHeight="1" x14ac:dyDescent="0.25">
      <c r="A56" s="26"/>
      <c r="B56" s="28"/>
      <c r="C56" s="27"/>
      <c r="D56" s="27"/>
      <c r="E56" s="27"/>
      <c r="F56" s="45" t="str">
        <f t="shared" si="6"/>
        <v/>
      </c>
      <c r="G56" s="45" t="str">
        <f t="shared" si="7"/>
        <v/>
      </c>
      <c r="H56" s="27"/>
      <c r="I56" s="45" t="str">
        <f t="shared" si="8"/>
        <v/>
      </c>
      <c r="J56" s="45" t="str">
        <f t="shared" si="9"/>
        <v/>
      </c>
      <c r="K56" s="27"/>
      <c r="L56" s="36"/>
      <c r="M56" s="53" t="str">
        <f t="shared" si="10"/>
        <v/>
      </c>
      <c r="N56" s="53" t="str">
        <f t="shared" si="11"/>
        <v/>
      </c>
    </row>
    <row r="57" spans="1:14" s="22" customFormat="1" ht="15" customHeight="1" x14ac:dyDescent="0.25">
      <c r="A57" s="29"/>
      <c r="B57" s="31"/>
      <c r="C57" s="30"/>
      <c r="D57" s="30"/>
      <c r="E57" s="30"/>
      <c r="F57" s="46" t="str">
        <f t="shared" si="6"/>
        <v/>
      </c>
      <c r="G57" s="46" t="str">
        <f t="shared" si="7"/>
        <v/>
      </c>
      <c r="H57" s="30"/>
      <c r="I57" s="46" t="str">
        <f t="shared" si="8"/>
        <v/>
      </c>
      <c r="J57" s="46" t="str">
        <f t="shared" si="9"/>
        <v/>
      </c>
      <c r="K57" s="30"/>
      <c r="L57" s="37"/>
      <c r="M57" s="52" t="str">
        <f t="shared" si="10"/>
        <v/>
      </c>
      <c r="N57" s="52" t="str">
        <f t="shared" si="11"/>
        <v/>
      </c>
    </row>
    <row r="58" spans="1:14" s="22" customFormat="1" ht="15" customHeight="1" x14ac:dyDescent="0.25">
      <c r="A58" s="26"/>
      <c r="B58" s="28"/>
      <c r="C58" s="27"/>
      <c r="D58" s="27"/>
      <c r="E58" s="27"/>
      <c r="F58" s="45" t="str">
        <f t="shared" si="6"/>
        <v/>
      </c>
      <c r="G58" s="45" t="str">
        <f t="shared" si="7"/>
        <v/>
      </c>
      <c r="H58" s="27"/>
      <c r="I58" s="45" t="str">
        <f t="shared" si="8"/>
        <v/>
      </c>
      <c r="J58" s="45" t="str">
        <f t="shared" si="9"/>
        <v/>
      </c>
      <c r="K58" s="27"/>
      <c r="L58" s="36"/>
      <c r="M58" s="53" t="str">
        <f t="shared" si="10"/>
        <v/>
      </c>
      <c r="N58" s="53" t="str">
        <f t="shared" si="11"/>
        <v/>
      </c>
    </row>
    <row r="59" spans="1:14" s="22" customFormat="1" ht="15" customHeight="1" x14ac:dyDescent="0.25">
      <c r="A59" s="29"/>
      <c r="B59" s="31"/>
      <c r="C59" s="30"/>
      <c r="D59" s="30"/>
      <c r="E59" s="30"/>
      <c r="F59" s="46" t="str">
        <f t="shared" si="6"/>
        <v/>
      </c>
      <c r="G59" s="46" t="str">
        <f t="shared" si="7"/>
        <v/>
      </c>
      <c r="H59" s="30"/>
      <c r="I59" s="46" t="str">
        <f t="shared" si="8"/>
        <v/>
      </c>
      <c r="J59" s="46" t="str">
        <f t="shared" si="9"/>
        <v/>
      </c>
      <c r="K59" s="30"/>
      <c r="L59" s="37"/>
      <c r="M59" s="52" t="str">
        <f t="shared" si="10"/>
        <v/>
      </c>
      <c r="N59" s="52" t="str">
        <f t="shared" si="11"/>
        <v/>
      </c>
    </row>
    <row r="60" spans="1:14" s="22" customFormat="1" ht="15" customHeight="1" x14ac:dyDescent="0.25">
      <c r="A60" s="26"/>
      <c r="B60" s="28"/>
      <c r="C60" s="27"/>
      <c r="D60" s="27"/>
      <c r="E60" s="27"/>
      <c r="F60" s="45" t="str">
        <f t="shared" si="6"/>
        <v/>
      </c>
      <c r="G60" s="45" t="str">
        <f t="shared" si="7"/>
        <v/>
      </c>
      <c r="H60" s="27"/>
      <c r="I60" s="45" t="str">
        <f t="shared" si="8"/>
        <v/>
      </c>
      <c r="J60" s="45" t="str">
        <f t="shared" si="9"/>
        <v/>
      </c>
      <c r="K60" s="27"/>
      <c r="L60" s="36"/>
      <c r="M60" s="53" t="str">
        <f t="shared" si="10"/>
        <v/>
      </c>
      <c r="N60" s="53" t="str">
        <f t="shared" si="11"/>
        <v/>
      </c>
    </row>
    <row r="61" spans="1:14" s="22" customFormat="1" ht="15" customHeight="1" x14ac:dyDescent="0.25">
      <c r="A61" s="29"/>
      <c r="B61" s="31"/>
      <c r="C61" s="30"/>
      <c r="D61" s="30"/>
      <c r="E61" s="30"/>
      <c r="F61" s="46" t="str">
        <f t="shared" si="6"/>
        <v/>
      </c>
      <c r="G61" s="46" t="str">
        <f t="shared" si="7"/>
        <v/>
      </c>
      <c r="H61" s="30"/>
      <c r="I61" s="46" t="str">
        <f t="shared" si="8"/>
        <v/>
      </c>
      <c r="J61" s="46" t="str">
        <f t="shared" si="9"/>
        <v/>
      </c>
      <c r="K61" s="30"/>
      <c r="L61" s="37"/>
      <c r="M61" s="52" t="str">
        <f t="shared" si="10"/>
        <v/>
      </c>
      <c r="N61" s="52" t="str">
        <f t="shared" si="11"/>
        <v/>
      </c>
    </row>
    <row r="62" spans="1:14" s="22" customFormat="1" ht="15" customHeight="1" x14ac:dyDescent="0.25">
      <c r="A62" s="26"/>
      <c r="B62" s="28"/>
      <c r="C62" s="27"/>
      <c r="D62" s="27"/>
      <c r="E62" s="27"/>
      <c r="F62" s="45" t="str">
        <f t="shared" si="6"/>
        <v/>
      </c>
      <c r="G62" s="45" t="str">
        <f t="shared" si="7"/>
        <v/>
      </c>
      <c r="H62" s="27"/>
      <c r="I62" s="45" t="str">
        <f t="shared" si="8"/>
        <v/>
      </c>
      <c r="J62" s="45" t="str">
        <f t="shared" si="9"/>
        <v/>
      </c>
      <c r="K62" s="27"/>
      <c r="L62" s="36"/>
      <c r="M62" s="53" t="str">
        <f t="shared" si="10"/>
        <v/>
      </c>
      <c r="N62" s="53" t="str">
        <f t="shared" si="11"/>
        <v/>
      </c>
    </row>
    <row r="63" spans="1:14" s="22" customFormat="1" ht="15" customHeight="1" x14ac:dyDescent="0.25">
      <c r="A63" s="29"/>
      <c r="B63" s="31"/>
      <c r="C63" s="30"/>
      <c r="D63" s="30"/>
      <c r="E63" s="30"/>
      <c r="F63" s="46" t="str">
        <f t="shared" si="6"/>
        <v/>
      </c>
      <c r="G63" s="46" t="str">
        <f t="shared" si="7"/>
        <v/>
      </c>
      <c r="H63" s="30"/>
      <c r="I63" s="46" t="str">
        <f t="shared" si="8"/>
        <v/>
      </c>
      <c r="J63" s="46" t="str">
        <f t="shared" si="9"/>
        <v/>
      </c>
      <c r="K63" s="30"/>
      <c r="L63" s="37"/>
      <c r="M63" s="52" t="str">
        <f t="shared" si="10"/>
        <v/>
      </c>
      <c r="N63" s="52" t="str">
        <f t="shared" si="11"/>
        <v/>
      </c>
    </row>
    <row r="64" spans="1:14" s="22" customFormat="1" ht="15" customHeight="1" x14ac:dyDescent="0.25">
      <c r="A64" s="26"/>
      <c r="B64" s="28"/>
      <c r="C64" s="27"/>
      <c r="D64" s="27"/>
      <c r="E64" s="27"/>
      <c r="F64" s="45" t="str">
        <f t="shared" si="6"/>
        <v/>
      </c>
      <c r="G64" s="45" t="str">
        <f t="shared" si="7"/>
        <v/>
      </c>
      <c r="H64" s="27"/>
      <c r="I64" s="45" t="str">
        <f t="shared" si="8"/>
        <v/>
      </c>
      <c r="J64" s="45" t="str">
        <f t="shared" si="9"/>
        <v/>
      </c>
      <c r="K64" s="27"/>
      <c r="L64" s="36"/>
      <c r="M64" s="53" t="str">
        <f t="shared" si="10"/>
        <v/>
      </c>
      <c r="N64" s="53" t="str">
        <f t="shared" si="11"/>
        <v/>
      </c>
    </row>
    <row r="65" spans="1:14" s="22" customFormat="1" ht="15" customHeight="1" x14ac:dyDescent="0.25">
      <c r="A65" s="29"/>
      <c r="B65" s="31"/>
      <c r="C65" s="30"/>
      <c r="D65" s="30"/>
      <c r="E65" s="30"/>
      <c r="F65" s="46" t="str">
        <f t="shared" si="6"/>
        <v/>
      </c>
      <c r="G65" s="46" t="str">
        <f t="shared" si="7"/>
        <v/>
      </c>
      <c r="H65" s="30"/>
      <c r="I65" s="46" t="str">
        <f t="shared" si="8"/>
        <v/>
      </c>
      <c r="J65" s="46" t="str">
        <f t="shared" si="9"/>
        <v/>
      </c>
      <c r="K65" s="30"/>
      <c r="L65" s="37"/>
      <c r="M65" s="52" t="str">
        <f t="shared" si="10"/>
        <v/>
      </c>
      <c r="N65" s="52" t="str">
        <f t="shared" si="11"/>
        <v/>
      </c>
    </row>
    <row r="66" spans="1:14" s="22" customFormat="1" x14ac:dyDescent="0.25">
      <c r="A66" s="26"/>
      <c r="B66" s="28"/>
      <c r="C66" s="27"/>
      <c r="D66" s="27"/>
      <c r="E66" s="27"/>
      <c r="F66" s="45" t="str">
        <f t="shared" si="6"/>
        <v/>
      </c>
      <c r="G66" s="45" t="str">
        <f t="shared" si="7"/>
        <v/>
      </c>
      <c r="H66" s="27"/>
      <c r="I66" s="45" t="str">
        <f t="shared" si="8"/>
        <v/>
      </c>
      <c r="J66" s="45" t="str">
        <f t="shared" si="9"/>
        <v/>
      </c>
      <c r="K66" s="27"/>
      <c r="L66" s="36"/>
      <c r="M66" s="53" t="str">
        <f t="shared" si="10"/>
        <v/>
      </c>
      <c r="N66" s="53" t="str">
        <f t="shared" si="11"/>
        <v/>
      </c>
    </row>
    <row r="67" spans="1:14" s="22" customFormat="1" x14ac:dyDescent="0.25">
      <c r="A67" s="29"/>
      <c r="B67" s="31"/>
      <c r="C67" s="30"/>
      <c r="D67" s="30"/>
      <c r="E67" s="30"/>
      <c r="F67" s="46" t="str">
        <f t="shared" si="6"/>
        <v/>
      </c>
      <c r="G67" s="46" t="str">
        <f t="shared" si="7"/>
        <v/>
      </c>
      <c r="H67" s="30"/>
      <c r="I67" s="46" t="str">
        <f t="shared" si="8"/>
        <v/>
      </c>
      <c r="J67" s="46" t="str">
        <f t="shared" si="9"/>
        <v/>
      </c>
      <c r="K67" s="30"/>
      <c r="L67" s="37"/>
      <c r="M67" s="52" t="str">
        <f t="shared" si="10"/>
        <v/>
      </c>
      <c r="N67" s="52" t="str">
        <f t="shared" si="11"/>
        <v/>
      </c>
    </row>
    <row r="68" spans="1:14" s="22" customFormat="1" x14ac:dyDescent="0.25">
      <c r="A68" s="26"/>
      <c r="B68" s="28"/>
      <c r="C68" s="27"/>
      <c r="D68" s="27"/>
      <c r="E68" s="27"/>
      <c r="F68" s="45" t="str">
        <f t="shared" si="6"/>
        <v/>
      </c>
      <c r="G68" s="45" t="str">
        <f t="shared" si="7"/>
        <v/>
      </c>
      <c r="H68" s="27"/>
      <c r="I68" s="45" t="str">
        <f t="shared" si="8"/>
        <v/>
      </c>
      <c r="J68" s="45" t="str">
        <f t="shared" si="9"/>
        <v/>
      </c>
      <c r="K68" s="27"/>
      <c r="L68" s="36"/>
      <c r="M68" s="53" t="str">
        <f t="shared" si="10"/>
        <v/>
      </c>
      <c r="N68" s="53" t="str">
        <f t="shared" si="11"/>
        <v/>
      </c>
    </row>
    <row r="69" spans="1:14" s="22" customFormat="1" x14ac:dyDescent="0.25">
      <c r="A69" s="29"/>
      <c r="B69" s="31"/>
      <c r="C69" s="30"/>
      <c r="D69" s="30"/>
      <c r="E69" s="30"/>
      <c r="F69" s="46" t="str">
        <f t="shared" si="6"/>
        <v/>
      </c>
      <c r="G69" s="46" t="str">
        <f t="shared" si="7"/>
        <v/>
      </c>
      <c r="H69" s="30"/>
      <c r="I69" s="46" t="str">
        <f t="shared" si="8"/>
        <v/>
      </c>
      <c r="J69" s="46" t="str">
        <f t="shared" si="9"/>
        <v/>
      </c>
      <c r="K69" s="30"/>
      <c r="L69" s="37"/>
      <c r="M69" s="52" t="str">
        <f t="shared" si="10"/>
        <v/>
      </c>
      <c r="N69" s="52" t="str">
        <f t="shared" si="11"/>
        <v/>
      </c>
    </row>
    <row r="70" spans="1:14" s="22" customFormat="1" x14ac:dyDescent="0.25">
      <c r="A70" s="26"/>
      <c r="B70" s="28"/>
      <c r="C70" s="27"/>
      <c r="D70" s="27"/>
      <c r="E70" s="27"/>
      <c r="F70" s="45" t="str">
        <f t="shared" ref="F70:F101" si="12">IF(E70="","",_xlfn.TRANSLATE(E70,"vi","ja"))</f>
        <v/>
      </c>
      <c r="G70" s="45" t="str">
        <f t="shared" ref="G70:G104" si="13">IF(E70="","",_xlfn.TRANSLATE(E70,"vi","zh-Hans"))</f>
        <v/>
      </c>
      <c r="H70" s="27"/>
      <c r="I70" s="45" t="str">
        <f t="shared" ref="I70:I101" si="14">IF(H70="","",_xlfn.TRANSLATE(H70,"vi","ja"))</f>
        <v/>
      </c>
      <c r="J70" s="45" t="str">
        <f t="shared" ref="J70:J104" si="15">IF(H70="","",_xlfn.TRANSLATE(H70,"vi","zh-Hans"))</f>
        <v/>
      </c>
      <c r="K70" s="27"/>
      <c r="L70" s="36"/>
      <c r="M70" s="53" t="str">
        <f t="shared" ref="M70:M101" si="16">IF(L70="","",_xlfn.TRANSLATE(L70,"vi","ja"))</f>
        <v/>
      </c>
      <c r="N70" s="53" t="str">
        <f t="shared" ref="N70:N104" si="17">IF(L70="","",_xlfn.TRANSLATE(L70,"vi","zh-Hans"))</f>
        <v/>
      </c>
    </row>
    <row r="71" spans="1:14" s="22" customFormat="1" x14ac:dyDescent="0.25">
      <c r="A71" s="29"/>
      <c r="B71" s="31"/>
      <c r="C71" s="30"/>
      <c r="D71" s="30"/>
      <c r="E71" s="30"/>
      <c r="F71" s="46" t="str">
        <f t="shared" si="12"/>
        <v/>
      </c>
      <c r="G71" s="46" t="str">
        <f t="shared" si="13"/>
        <v/>
      </c>
      <c r="H71" s="30"/>
      <c r="I71" s="46" t="str">
        <f t="shared" si="14"/>
        <v/>
      </c>
      <c r="J71" s="46" t="str">
        <f t="shared" si="15"/>
        <v/>
      </c>
      <c r="K71" s="30"/>
      <c r="L71" s="37"/>
      <c r="M71" s="52" t="str">
        <f t="shared" si="16"/>
        <v/>
      </c>
      <c r="N71" s="52" t="str">
        <f t="shared" si="17"/>
        <v/>
      </c>
    </row>
    <row r="72" spans="1:14" s="22" customFormat="1" x14ac:dyDescent="0.25">
      <c r="A72" s="26"/>
      <c r="B72" s="28"/>
      <c r="C72" s="27"/>
      <c r="D72" s="27"/>
      <c r="E72" s="27"/>
      <c r="F72" s="45" t="str">
        <f t="shared" si="12"/>
        <v/>
      </c>
      <c r="G72" s="45" t="str">
        <f t="shared" si="13"/>
        <v/>
      </c>
      <c r="H72" s="27"/>
      <c r="I72" s="45" t="str">
        <f t="shared" si="14"/>
        <v/>
      </c>
      <c r="J72" s="45" t="str">
        <f t="shared" si="15"/>
        <v/>
      </c>
      <c r="K72" s="27"/>
      <c r="L72" s="36"/>
      <c r="M72" s="53" t="str">
        <f t="shared" si="16"/>
        <v/>
      </c>
      <c r="N72" s="53" t="str">
        <f t="shared" si="17"/>
        <v/>
      </c>
    </row>
    <row r="73" spans="1:14" s="22" customFormat="1" x14ac:dyDescent="0.25">
      <c r="A73" s="29"/>
      <c r="B73" s="31"/>
      <c r="C73" s="30"/>
      <c r="D73" s="30"/>
      <c r="E73" s="30"/>
      <c r="F73" s="46" t="str">
        <f t="shared" si="12"/>
        <v/>
      </c>
      <c r="G73" s="46" t="str">
        <f t="shared" si="13"/>
        <v/>
      </c>
      <c r="H73" s="30"/>
      <c r="I73" s="46" t="str">
        <f t="shared" si="14"/>
        <v/>
      </c>
      <c r="J73" s="46" t="str">
        <f t="shared" si="15"/>
        <v/>
      </c>
      <c r="K73" s="30"/>
      <c r="L73" s="37"/>
      <c r="M73" s="52" t="str">
        <f t="shared" si="16"/>
        <v/>
      </c>
      <c r="N73" s="52" t="str">
        <f t="shared" si="17"/>
        <v/>
      </c>
    </row>
    <row r="74" spans="1:14" s="22" customFormat="1" x14ac:dyDescent="0.25">
      <c r="A74" s="26"/>
      <c r="B74" s="28"/>
      <c r="C74" s="27"/>
      <c r="D74" s="27"/>
      <c r="E74" s="27"/>
      <c r="F74" s="45" t="str">
        <f t="shared" si="12"/>
        <v/>
      </c>
      <c r="G74" s="45" t="str">
        <f t="shared" si="13"/>
        <v/>
      </c>
      <c r="H74" s="27"/>
      <c r="I74" s="45" t="str">
        <f t="shared" si="14"/>
        <v/>
      </c>
      <c r="J74" s="45" t="str">
        <f t="shared" si="15"/>
        <v/>
      </c>
      <c r="K74" s="27"/>
      <c r="L74" s="36"/>
      <c r="M74" s="53" t="str">
        <f t="shared" si="16"/>
        <v/>
      </c>
      <c r="N74" s="53" t="str">
        <f t="shared" si="17"/>
        <v/>
      </c>
    </row>
    <row r="75" spans="1:14" s="22" customFormat="1" x14ac:dyDescent="0.25">
      <c r="A75" s="29"/>
      <c r="B75" s="31"/>
      <c r="C75" s="30"/>
      <c r="D75" s="30"/>
      <c r="E75" s="30"/>
      <c r="F75" s="46" t="str">
        <f t="shared" si="12"/>
        <v/>
      </c>
      <c r="G75" s="46" t="str">
        <f t="shared" si="13"/>
        <v/>
      </c>
      <c r="H75" s="30"/>
      <c r="I75" s="46" t="str">
        <f t="shared" si="14"/>
        <v/>
      </c>
      <c r="J75" s="46" t="str">
        <f t="shared" si="15"/>
        <v/>
      </c>
      <c r="K75" s="30"/>
      <c r="L75" s="37"/>
      <c r="M75" s="52" t="str">
        <f t="shared" si="16"/>
        <v/>
      </c>
      <c r="N75" s="52" t="str">
        <f t="shared" si="17"/>
        <v/>
      </c>
    </row>
    <row r="76" spans="1:14" s="22" customFormat="1" x14ac:dyDescent="0.25">
      <c r="A76" s="26"/>
      <c r="B76" s="28"/>
      <c r="C76" s="27"/>
      <c r="D76" s="27"/>
      <c r="E76" s="27"/>
      <c r="F76" s="45" t="str">
        <f t="shared" si="12"/>
        <v/>
      </c>
      <c r="G76" s="45" t="str">
        <f t="shared" si="13"/>
        <v/>
      </c>
      <c r="H76" s="27"/>
      <c r="I76" s="45" t="str">
        <f t="shared" si="14"/>
        <v/>
      </c>
      <c r="J76" s="45" t="str">
        <f t="shared" si="15"/>
        <v/>
      </c>
      <c r="K76" s="27"/>
      <c r="L76" s="36"/>
      <c r="M76" s="53" t="str">
        <f t="shared" si="16"/>
        <v/>
      </c>
      <c r="N76" s="53" t="str">
        <f t="shared" si="17"/>
        <v/>
      </c>
    </row>
    <row r="77" spans="1:14" s="22" customFormat="1" x14ac:dyDescent="0.25">
      <c r="A77" s="29"/>
      <c r="B77" s="31"/>
      <c r="C77" s="30"/>
      <c r="D77" s="30"/>
      <c r="E77" s="30"/>
      <c r="F77" s="46" t="str">
        <f t="shared" si="12"/>
        <v/>
      </c>
      <c r="G77" s="46" t="str">
        <f t="shared" si="13"/>
        <v/>
      </c>
      <c r="H77" s="30"/>
      <c r="I77" s="46" t="str">
        <f t="shared" si="14"/>
        <v/>
      </c>
      <c r="J77" s="46" t="str">
        <f t="shared" si="15"/>
        <v/>
      </c>
      <c r="K77" s="30"/>
      <c r="L77" s="37"/>
      <c r="M77" s="52" t="str">
        <f t="shared" si="16"/>
        <v/>
      </c>
      <c r="N77" s="52" t="str">
        <f t="shared" si="17"/>
        <v/>
      </c>
    </row>
    <row r="78" spans="1:14" s="22" customFormat="1" x14ac:dyDescent="0.25">
      <c r="A78" s="26"/>
      <c r="B78" s="28"/>
      <c r="C78" s="27"/>
      <c r="D78" s="27"/>
      <c r="E78" s="27"/>
      <c r="F78" s="45" t="str">
        <f t="shared" si="12"/>
        <v/>
      </c>
      <c r="G78" s="45" t="str">
        <f t="shared" si="13"/>
        <v/>
      </c>
      <c r="H78" s="27"/>
      <c r="I78" s="45" t="str">
        <f t="shared" si="14"/>
        <v/>
      </c>
      <c r="J78" s="45" t="str">
        <f t="shared" si="15"/>
        <v/>
      </c>
      <c r="K78" s="27"/>
      <c r="L78" s="36"/>
      <c r="M78" s="53" t="str">
        <f t="shared" si="16"/>
        <v/>
      </c>
      <c r="N78" s="53" t="str">
        <f t="shared" si="17"/>
        <v/>
      </c>
    </row>
    <row r="79" spans="1:14" s="22" customFormat="1" x14ac:dyDescent="0.25">
      <c r="A79" s="29"/>
      <c r="B79" s="31"/>
      <c r="C79" s="30"/>
      <c r="D79" s="30"/>
      <c r="E79" s="30"/>
      <c r="F79" s="46" t="str">
        <f t="shared" si="12"/>
        <v/>
      </c>
      <c r="G79" s="46" t="str">
        <f t="shared" si="13"/>
        <v/>
      </c>
      <c r="H79" s="30"/>
      <c r="I79" s="46" t="str">
        <f t="shared" si="14"/>
        <v/>
      </c>
      <c r="J79" s="46" t="str">
        <f t="shared" si="15"/>
        <v/>
      </c>
      <c r="K79" s="30"/>
      <c r="L79" s="37"/>
      <c r="M79" s="52" t="str">
        <f t="shared" si="16"/>
        <v/>
      </c>
      <c r="N79" s="52" t="str">
        <f t="shared" si="17"/>
        <v/>
      </c>
    </row>
    <row r="80" spans="1:14" s="22" customFormat="1" x14ac:dyDescent="0.25">
      <c r="A80" s="26"/>
      <c r="B80" s="28"/>
      <c r="C80" s="27"/>
      <c r="D80" s="27"/>
      <c r="E80" s="27"/>
      <c r="F80" s="45" t="str">
        <f t="shared" si="12"/>
        <v/>
      </c>
      <c r="G80" s="45" t="str">
        <f t="shared" si="13"/>
        <v/>
      </c>
      <c r="H80" s="27"/>
      <c r="I80" s="45" t="str">
        <f t="shared" si="14"/>
        <v/>
      </c>
      <c r="J80" s="45" t="str">
        <f t="shared" si="15"/>
        <v/>
      </c>
      <c r="K80" s="27"/>
      <c r="L80" s="36"/>
      <c r="M80" s="53" t="str">
        <f t="shared" si="16"/>
        <v/>
      </c>
      <c r="N80" s="53" t="str">
        <f t="shared" si="17"/>
        <v/>
      </c>
    </row>
    <row r="81" spans="1:14" s="22" customFormat="1" x14ac:dyDescent="0.25">
      <c r="A81" s="29"/>
      <c r="B81" s="31"/>
      <c r="C81" s="30"/>
      <c r="D81" s="30"/>
      <c r="E81" s="30"/>
      <c r="F81" s="46" t="str">
        <f t="shared" si="12"/>
        <v/>
      </c>
      <c r="G81" s="46" t="str">
        <f t="shared" si="13"/>
        <v/>
      </c>
      <c r="H81" s="30"/>
      <c r="I81" s="46" t="str">
        <f t="shared" si="14"/>
        <v/>
      </c>
      <c r="J81" s="46" t="str">
        <f t="shared" si="15"/>
        <v/>
      </c>
      <c r="K81" s="30"/>
      <c r="L81" s="37"/>
      <c r="M81" s="52" t="str">
        <f t="shared" si="16"/>
        <v/>
      </c>
      <c r="N81" s="52" t="str">
        <f t="shared" si="17"/>
        <v/>
      </c>
    </row>
    <row r="82" spans="1:14" s="22" customFormat="1" x14ac:dyDescent="0.25">
      <c r="A82" s="26"/>
      <c r="B82" s="28"/>
      <c r="C82" s="27"/>
      <c r="D82" s="27"/>
      <c r="E82" s="27"/>
      <c r="F82" s="45" t="str">
        <f t="shared" si="12"/>
        <v/>
      </c>
      <c r="G82" s="45" t="str">
        <f t="shared" si="13"/>
        <v/>
      </c>
      <c r="H82" s="27"/>
      <c r="I82" s="45" t="str">
        <f t="shared" si="14"/>
        <v/>
      </c>
      <c r="J82" s="45" t="str">
        <f t="shared" si="15"/>
        <v/>
      </c>
      <c r="K82" s="27"/>
      <c r="L82" s="36"/>
      <c r="M82" s="53" t="str">
        <f t="shared" si="16"/>
        <v/>
      </c>
      <c r="N82" s="53" t="str">
        <f t="shared" si="17"/>
        <v/>
      </c>
    </row>
    <row r="83" spans="1:14" s="22" customFormat="1" x14ac:dyDescent="0.25">
      <c r="A83" s="29"/>
      <c r="B83" s="31"/>
      <c r="C83" s="30"/>
      <c r="D83" s="30"/>
      <c r="E83" s="30"/>
      <c r="F83" s="46" t="str">
        <f t="shared" si="12"/>
        <v/>
      </c>
      <c r="G83" s="46" t="str">
        <f t="shared" si="13"/>
        <v/>
      </c>
      <c r="H83" s="30"/>
      <c r="I83" s="46" t="str">
        <f t="shared" si="14"/>
        <v/>
      </c>
      <c r="J83" s="46" t="str">
        <f t="shared" si="15"/>
        <v/>
      </c>
      <c r="K83" s="30"/>
      <c r="L83" s="37"/>
      <c r="M83" s="52" t="str">
        <f t="shared" si="16"/>
        <v/>
      </c>
      <c r="N83" s="52" t="str">
        <f t="shared" si="17"/>
        <v/>
      </c>
    </row>
    <row r="84" spans="1:14" s="22" customFormat="1" x14ac:dyDescent="0.25">
      <c r="A84" s="26"/>
      <c r="B84" s="28"/>
      <c r="C84" s="27"/>
      <c r="D84" s="27"/>
      <c r="E84" s="27"/>
      <c r="F84" s="45" t="str">
        <f t="shared" si="12"/>
        <v/>
      </c>
      <c r="G84" s="45" t="str">
        <f t="shared" si="13"/>
        <v/>
      </c>
      <c r="H84" s="27"/>
      <c r="I84" s="45" t="str">
        <f t="shared" si="14"/>
        <v/>
      </c>
      <c r="J84" s="45" t="str">
        <f t="shared" si="15"/>
        <v/>
      </c>
      <c r="K84" s="27"/>
      <c r="L84" s="36"/>
      <c r="M84" s="53" t="str">
        <f t="shared" si="16"/>
        <v/>
      </c>
      <c r="N84" s="53" t="str">
        <f t="shared" si="17"/>
        <v/>
      </c>
    </row>
    <row r="85" spans="1:14" s="22" customFormat="1" x14ac:dyDescent="0.25">
      <c r="A85" s="29"/>
      <c r="B85" s="31"/>
      <c r="C85" s="30"/>
      <c r="D85" s="30"/>
      <c r="E85" s="30"/>
      <c r="F85" s="46" t="str">
        <f t="shared" si="12"/>
        <v/>
      </c>
      <c r="G85" s="46" t="str">
        <f t="shared" si="13"/>
        <v/>
      </c>
      <c r="H85" s="30"/>
      <c r="I85" s="46" t="str">
        <f t="shared" si="14"/>
        <v/>
      </c>
      <c r="J85" s="46" t="str">
        <f t="shared" si="15"/>
        <v/>
      </c>
      <c r="K85" s="30"/>
      <c r="L85" s="37"/>
      <c r="M85" s="52" t="str">
        <f t="shared" si="16"/>
        <v/>
      </c>
      <c r="N85" s="52" t="str">
        <f t="shared" si="17"/>
        <v/>
      </c>
    </row>
    <row r="86" spans="1:14" s="22" customFormat="1" x14ac:dyDescent="0.25">
      <c r="A86" s="26"/>
      <c r="B86" s="28"/>
      <c r="C86" s="27"/>
      <c r="D86" s="27"/>
      <c r="E86" s="27"/>
      <c r="F86" s="45" t="str">
        <f t="shared" si="12"/>
        <v/>
      </c>
      <c r="G86" s="45" t="str">
        <f t="shared" si="13"/>
        <v/>
      </c>
      <c r="H86" s="27"/>
      <c r="I86" s="45" t="str">
        <f t="shared" si="14"/>
        <v/>
      </c>
      <c r="J86" s="45" t="str">
        <f t="shared" si="15"/>
        <v/>
      </c>
      <c r="K86" s="27"/>
      <c r="L86" s="36"/>
      <c r="M86" s="53" t="str">
        <f t="shared" si="16"/>
        <v/>
      </c>
      <c r="N86" s="53" t="str">
        <f t="shared" si="17"/>
        <v/>
      </c>
    </row>
    <row r="87" spans="1:14" s="22" customFormat="1" x14ac:dyDescent="0.25">
      <c r="A87" s="29"/>
      <c r="B87" s="31"/>
      <c r="C87" s="30"/>
      <c r="D87" s="30"/>
      <c r="E87" s="30"/>
      <c r="F87" s="46" t="str">
        <f t="shared" si="12"/>
        <v/>
      </c>
      <c r="G87" s="46" t="str">
        <f t="shared" si="13"/>
        <v/>
      </c>
      <c r="H87" s="30"/>
      <c r="I87" s="46" t="str">
        <f t="shared" si="14"/>
        <v/>
      </c>
      <c r="J87" s="46" t="str">
        <f t="shared" si="15"/>
        <v/>
      </c>
      <c r="K87" s="30"/>
      <c r="L87" s="37"/>
      <c r="M87" s="52" t="str">
        <f t="shared" si="16"/>
        <v/>
      </c>
      <c r="N87" s="52" t="str">
        <f t="shared" si="17"/>
        <v/>
      </c>
    </row>
    <row r="88" spans="1:14" s="22" customFormat="1" x14ac:dyDescent="0.25">
      <c r="A88" s="26"/>
      <c r="B88" s="28"/>
      <c r="C88" s="27"/>
      <c r="D88" s="27"/>
      <c r="E88" s="27"/>
      <c r="F88" s="45" t="str">
        <f t="shared" si="12"/>
        <v/>
      </c>
      <c r="G88" s="45" t="str">
        <f t="shared" si="13"/>
        <v/>
      </c>
      <c r="H88" s="27"/>
      <c r="I88" s="45" t="str">
        <f t="shared" si="14"/>
        <v/>
      </c>
      <c r="J88" s="45" t="str">
        <f t="shared" si="15"/>
        <v/>
      </c>
      <c r="K88" s="27"/>
      <c r="L88" s="36"/>
      <c r="M88" s="53" t="str">
        <f t="shared" si="16"/>
        <v/>
      </c>
      <c r="N88" s="53" t="str">
        <f t="shared" si="17"/>
        <v/>
      </c>
    </row>
    <row r="89" spans="1:14" s="22" customFormat="1" x14ac:dyDescent="0.25">
      <c r="A89" s="29"/>
      <c r="B89" s="31"/>
      <c r="C89" s="30"/>
      <c r="D89" s="30"/>
      <c r="E89" s="30"/>
      <c r="F89" s="46" t="str">
        <f t="shared" si="12"/>
        <v/>
      </c>
      <c r="G89" s="46" t="str">
        <f t="shared" si="13"/>
        <v/>
      </c>
      <c r="H89" s="30"/>
      <c r="I89" s="46" t="str">
        <f t="shared" si="14"/>
        <v/>
      </c>
      <c r="J89" s="46" t="str">
        <f t="shared" si="15"/>
        <v/>
      </c>
      <c r="K89" s="30"/>
      <c r="L89" s="37"/>
      <c r="M89" s="52" t="str">
        <f t="shared" si="16"/>
        <v/>
      </c>
      <c r="N89" s="52" t="str">
        <f t="shared" si="17"/>
        <v/>
      </c>
    </row>
    <row r="90" spans="1:14" s="22" customFormat="1" x14ac:dyDescent="0.25">
      <c r="A90" s="26"/>
      <c r="B90" s="28"/>
      <c r="C90" s="27"/>
      <c r="D90" s="27"/>
      <c r="E90" s="27"/>
      <c r="F90" s="45" t="str">
        <f t="shared" si="12"/>
        <v/>
      </c>
      <c r="G90" s="45" t="str">
        <f t="shared" si="13"/>
        <v/>
      </c>
      <c r="H90" s="27"/>
      <c r="I90" s="45" t="str">
        <f t="shared" si="14"/>
        <v/>
      </c>
      <c r="J90" s="45" t="str">
        <f t="shared" si="15"/>
        <v/>
      </c>
      <c r="K90" s="27"/>
      <c r="L90" s="36"/>
      <c r="M90" s="53" t="str">
        <f t="shared" si="16"/>
        <v/>
      </c>
      <c r="N90" s="53" t="str">
        <f t="shared" si="17"/>
        <v/>
      </c>
    </row>
    <row r="91" spans="1:14" s="22" customFormat="1" x14ac:dyDescent="0.25">
      <c r="A91" s="29"/>
      <c r="B91" s="31"/>
      <c r="C91" s="30"/>
      <c r="D91" s="30"/>
      <c r="E91" s="30"/>
      <c r="F91" s="46" t="str">
        <f t="shared" si="12"/>
        <v/>
      </c>
      <c r="G91" s="46" t="str">
        <f t="shared" si="13"/>
        <v/>
      </c>
      <c r="H91" s="30"/>
      <c r="I91" s="46" t="str">
        <f t="shared" si="14"/>
        <v/>
      </c>
      <c r="J91" s="46" t="str">
        <f t="shared" si="15"/>
        <v/>
      </c>
      <c r="K91" s="30"/>
      <c r="L91" s="37"/>
      <c r="M91" s="52" t="str">
        <f t="shared" si="16"/>
        <v/>
      </c>
      <c r="N91" s="52" t="str">
        <f t="shared" si="17"/>
        <v/>
      </c>
    </row>
    <row r="92" spans="1:14" s="22" customFormat="1" x14ac:dyDescent="0.25">
      <c r="A92" s="26"/>
      <c r="B92" s="28"/>
      <c r="C92" s="27"/>
      <c r="D92" s="27"/>
      <c r="E92" s="27"/>
      <c r="F92" s="45" t="str">
        <f t="shared" si="12"/>
        <v/>
      </c>
      <c r="G92" s="45" t="str">
        <f t="shared" si="13"/>
        <v/>
      </c>
      <c r="H92" s="27"/>
      <c r="I92" s="45" t="str">
        <f t="shared" si="14"/>
        <v/>
      </c>
      <c r="J92" s="45" t="str">
        <f t="shared" si="15"/>
        <v/>
      </c>
      <c r="K92" s="27"/>
      <c r="L92" s="36"/>
      <c r="M92" s="53" t="str">
        <f t="shared" si="16"/>
        <v/>
      </c>
      <c r="N92" s="53" t="str">
        <f t="shared" si="17"/>
        <v/>
      </c>
    </row>
    <row r="93" spans="1:14" s="22" customFormat="1" x14ac:dyDescent="0.25">
      <c r="A93" s="29"/>
      <c r="B93" s="31"/>
      <c r="C93" s="30"/>
      <c r="D93" s="30"/>
      <c r="E93" s="30"/>
      <c r="F93" s="46" t="str">
        <f t="shared" si="12"/>
        <v/>
      </c>
      <c r="G93" s="46" t="str">
        <f t="shared" si="13"/>
        <v/>
      </c>
      <c r="H93" s="30"/>
      <c r="I93" s="46" t="str">
        <f t="shared" si="14"/>
        <v/>
      </c>
      <c r="J93" s="46" t="str">
        <f t="shared" si="15"/>
        <v/>
      </c>
      <c r="K93" s="30"/>
      <c r="L93" s="37"/>
      <c r="M93" s="52" t="str">
        <f t="shared" si="16"/>
        <v/>
      </c>
      <c r="N93" s="52" t="str">
        <f t="shared" si="17"/>
        <v/>
      </c>
    </row>
    <row r="94" spans="1:14" s="22" customFormat="1" x14ac:dyDescent="0.25">
      <c r="A94" s="26"/>
      <c r="B94" s="28"/>
      <c r="C94" s="27"/>
      <c r="D94" s="27"/>
      <c r="E94" s="27"/>
      <c r="F94" s="45" t="str">
        <f t="shared" si="12"/>
        <v/>
      </c>
      <c r="G94" s="45" t="str">
        <f t="shared" si="13"/>
        <v/>
      </c>
      <c r="H94" s="27"/>
      <c r="I94" s="45" t="str">
        <f t="shared" si="14"/>
        <v/>
      </c>
      <c r="J94" s="45" t="str">
        <f t="shared" si="15"/>
        <v/>
      </c>
      <c r="K94" s="27"/>
      <c r="L94" s="36"/>
      <c r="M94" s="53" t="str">
        <f t="shared" si="16"/>
        <v/>
      </c>
      <c r="N94" s="53" t="str">
        <f t="shared" si="17"/>
        <v/>
      </c>
    </row>
    <row r="95" spans="1:14" s="22" customFormat="1" x14ac:dyDescent="0.25">
      <c r="A95" s="29"/>
      <c r="B95" s="31"/>
      <c r="C95" s="30"/>
      <c r="D95" s="30"/>
      <c r="E95" s="30"/>
      <c r="F95" s="46" t="str">
        <f t="shared" si="12"/>
        <v/>
      </c>
      <c r="G95" s="46" t="str">
        <f t="shared" si="13"/>
        <v/>
      </c>
      <c r="H95" s="30"/>
      <c r="I95" s="46" t="str">
        <f t="shared" si="14"/>
        <v/>
      </c>
      <c r="J95" s="46" t="str">
        <f t="shared" si="15"/>
        <v/>
      </c>
      <c r="K95" s="30"/>
      <c r="L95" s="37"/>
      <c r="M95" s="52" t="str">
        <f t="shared" si="16"/>
        <v/>
      </c>
      <c r="N95" s="52" t="str">
        <f t="shared" si="17"/>
        <v/>
      </c>
    </row>
    <row r="96" spans="1:14" s="22" customFormat="1" x14ac:dyDescent="0.25">
      <c r="A96" s="26"/>
      <c r="B96" s="28"/>
      <c r="C96" s="27"/>
      <c r="D96" s="27"/>
      <c r="E96" s="27"/>
      <c r="F96" s="45" t="str">
        <f t="shared" si="12"/>
        <v/>
      </c>
      <c r="G96" s="45" t="str">
        <f t="shared" si="13"/>
        <v/>
      </c>
      <c r="H96" s="27"/>
      <c r="I96" s="45" t="str">
        <f t="shared" si="14"/>
        <v/>
      </c>
      <c r="J96" s="45" t="str">
        <f t="shared" si="15"/>
        <v/>
      </c>
      <c r="K96" s="27"/>
      <c r="L96" s="36"/>
      <c r="M96" s="53" t="str">
        <f t="shared" si="16"/>
        <v/>
      </c>
      <c r="N96" s="53" t="str">
        <f t="shared" si="17"/>
        <v/>
      </c>
    </row>
    <row r="97" spans="1:14" s="22" customFormat="1" x14ac:dyDescent="0.25">
      <c r="A97" s="29"/>
      <c r="B97" s="31"/>
      <c r="C97" s="30"/>
      <c r="D97" s="30"/>
      <c r="E97" s="30"/>
      <c r="F97" s="46" t="str">
        <f t="shared" si="12"/>
        <v/>
      </c>
      <c r="G97" s="46" t="str">
        <f t="shared" si="13"/>
        <v/>
      </c>
      <c r="H97" s="30"/>
      <c r="I97" s="46" t="str">
        <f t="shared" si="14"/>
        <v/>
      </c>
      <c r="J97" s="46" t="str">
        <f t="shared" si="15"/>
        <v/>
      </c>
      <c r="K97" s="30"/>
      <c r="L97" s="37"/>
      <c r="M97" s="52" t="str">
        <f t="shared" si="16"/>
        <v/>
      </c>
      <c r="N97" s="52" t="str">
        <f t="shared" si="17"/>
        <v/>
      </c>
    </row>
    <row r="98" spans="1:14" s="22" customFormat="1" x14ac:dyDescent="0.25">
      <c r="A98" s="26"/>
      <c r="B98" s="28"/>
      <c r="C98" s="27"/>
      <c r="D98" s="27"/>
      <c r="E98" s="27"/>
      <c r="F98" s="45" t="str">
        <f t="shared" si="12"/>
        <v/>
      </c>
      <c r="G98" s="45" t="str">
        <f t="shared" si="13"/>
        <v/>
      </c>
      <c r="H98" s="27"/>
      <c r="I98" s="45" t="str">
        <f t="shared" si="14"/>
        <v/>
      </c>
      <c r="J98" s="45" t="str">
        <f t="shared" si="15"/>
        <v/>
      </c>
      <c r="K98" s="27"/>
      <c r="L98" s="36"/>
      <c r="M98" s="53" t="str">
        <f t="shared" si="16"/>
        <v/>
      </c>
      <c r="N98" s="53" t="str">
        <f t="shared" si="17"/>
        <v/>
      </c>
    </row>
    <row r="99" spans="1:14" s="22" customFormat="1" x14ac:dyDescent="0.25">
      <c r="A99" s="29"/>
      <c r="B99" s="31"/>
      <c r="C99" s="30"/>
      <c r="D99" s="30"/>
      <c r="E99" s="30"/>
      <c r="F99" s="46" t="str">
        <f t="shared" si="12"/>
        <v/>
      </c>
      <c r="G99" s="46" t="str">
        <f t="shared" si="13"/>
        <v/>
      </c>
      <c r="H99" s="30"/>
      <c r="I99" s="46" t="str">
        <f t="shared" si="14"/>
        <v/>
      </c>
      <c r="J99" s="46" t="str">
        <f t="shared" si="15"/>
        <v/>
      </c>
      <c r="K99" s="30"/>
      <c r="L99" s="37"/>
      <c r="M99" s="52" t="str">
        <f t="shared" si="16"/>
        <v/>
      </c>
      <c r="N99" s="52" t="str">
        <f t="shared" si="17"/>
        <v/>
      </c>
    </row>
    <row r="100" spans="1:14" s="22" customFormat="1" x14ac:dyDescent="0.25">
      <c r="A100" s="26"/>
      <c r="B100" s="28"/>
      <c r="C100" s="27"/>
      <c r="D100" s="27"/>
      <c r="E100" s="27"/>
      <c r="F100" s="45" t="str">
        <f t="shared" si="12"/>
        <v/>
      </c>
      <c r="G100" s="45" t="str">
        <f t="shared" si="13"/>
        <v/>
      </c>
      <c r="H100" s="27"/>
      <c r="I100" s="45" t="str">
        <f t="shared" si="14"/>
        <v/>
      </c>
      <c r="J100" s="45" t="str">
        <f t="shared" si="15"/>
        <v/>
      </c>
      <c r="K100" s="27"/>
      <c r="L100" s="36"/>
      <c r="M100" s="53" t="str">
        <f t="shared" si="16"/>
        <v/>
      </c>
      <c r="N100" s="53" t="str">
        <f t="shared" si="17"/>
        <v/>
      </c>
    </row>
    <row r="101" spans="1:14" s="22" customFormat="1" x14ac:dyDescent="0.25">
      <c r="A101" s="29"/>
      <c r="B101" s="31"/>
      <c r="C101" s="30"/>
      <c r="D101" s="30"/>
      <c r="E101" s="30"/>
      <c r="F101" s="46" t="str">
        <f t="shared" si="12"/>
        <v/>
      </c>
      <c r="G101" s="46" t="str">
        <f t="shared" si="13"/>
        <v/>
      </c>
      <c r="H101" s="30"/>
      <c r="I101" s="46" t="str">
        <f t="shared" si="14"/>
        <v/>
      </c>
      <c r="J101" s="46" t="str">
        <f t="shared" si="15"/>
        <v/>
      </c>
      <c r="K101" s="30"/>
      <c r="L101" s="37"/>
      <c r="M101" s="52" t="str">
        <f t="shared" si="16"/>
        <v/>
      </c>
      <c r="N101" s="52" t="str">
        <f t="shared" si="17"/>
        <v/>
      </c>
    </row>
    <row r="102" spans="1:14" s="22" customFormat="1" x14ac:dyDescent="0.25">
      <c r="A102" s="26"/>
      <c r="B102" s="28"/>
      <c r="C102" s="27"/>
      <c r="D102" s="27"/>
      <c r="E102" s="27"/>
      <c r="F102" s="45" t="str">
        <f t="shared" ref="F102:F104" si="18">IF(E102="","",_xlfn.TRANSLATE(E102,"vi","ja"))</f>
        <v/>
      </c>
      <c r="G102" s="45" t="str">
        <f t="shared" si="13"/>
        <v/>
      </c>
      <c r="H102" s="27"/>
      <c r="I102" s="45" t="str">
        <f t="shared" ref="I102:I104" si="19">IF(H102="","",_xlfn.TRANSLATE(H102,"vi","ja"))</f>
        <v/>
      </c>
      <c r="J102" s="45" t="str">
        <f t="shared" si="15"/>
        <v/>
      </c>
      <c r="K102" s="27"/>
      <c r="L102" s="36"/>
      <c r="M102" s="53" t="str">
        <f t="shared" ref="M102:M104" si="20">IF(L102="","",_xlfn.TRANSLATE(L102,"vi","ja"))</f>
        <v/>
      </c>
      <c r="N102" s="53" t="str">
        <f t="shared" si="17"/>
        <v/>
      </c>
    </row>
    <row r="103" spans="1:14" s="22" customFormat="1" x14ac:dyDescent="0.25">
      <c r="A103" s="29"/>
      <c r="B103" s="31"/>
      <c r="C103" s="30"/>
      <c r="D103" s="30"/>
      <c r="E103" s="30"/>
      <c r="F103" s="46" t="str">
        <f t="shared" si="18"/>
        <v/>
      </c>
      <c r="G103" s="46" t="str">
        <f t="shared" si="13"/>
        <v/>
      </c>
      <c r="H103" s="30"/>
      <c r="I103" s="46" t="str">
        <f t="shared" si="19"/>
        <v/>
      </c>
      <c r="J103" s="46" t="str">
        <f t="shared" si="15"/>
        <v/>
      </c>
      <c r="K103" s="30"/>
      <c r="L103" s="37"/>
      <c r="M103" s="52" t="str">
        <f t="shared" si="20"/>
        <v/>
      </c>
      <c r="N103" s="52" t="str">
        <f t="shared" si="17"/>
        <v/>
      </c>
    </row>
    <row r="104" spans="1:14" s="22" customFormat="1" x14ac:dyDescent="0.25">
      <c r="A104" s="32"/>
      <c r="B104" s="34"/>
      <c r="C104" s="33"/>
      <c r="D104" s="33"/>
      <c r="E104" s="33"/>
      <c r="F104" s="47" t="str">
        <f t="shared" si="18"/>
        <v/>
      </c>
      <c r="G104" s="47" t="str">
        <f t="shared" si="13"/>
        <v/>
      </c>
      <c r="H104" s="33"/>
      <c r="I104" s="47" t="str">
        <f t="shared" si="19"/>
        <v/>
      </c>
      <c r="J104" s="47" t="str">
        <f t="shared" si="15"/>
        <v/>
      </c>
      <c r="K104" s="33"/>
      <c r="L104" s="38"/>
      <c r="M104" s="53" t="str">
        <f t="shared" si="20"/>
        <v/>
      </c>
      <c r="N104" s="53" t="str">
        <f t="shared" si="17"/>
        <v/>
      </c>
    </row>
  </sheetData>
  <sheetProtection sheet="1" scenarios="1"/>
  <autoFilter ref="A4:L104" xr:uid="{00000000-0001-0000-0700-000000000000}"/>
  <mergeCells count="2">
    <mergeCell ref="A2:N2"/>
    <mergeCell ref="A1:N1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CBB-9938-46CE-A1D3-0DCDE5B82A65}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4" width="20.625" customWidth="1"/>
    <col min="5" max="5" width="60.625" customWidth="1"/>
    <col min="6" max="7" width="20.625" customWidth="1"/>
  </cols>
  <sheetData>
    <row r="1" spans="1:7" ht="27.95" customHeight="1" x14ac:dyDescent="0.15">
      <c r="A1" s="21" t="str">
        <f>INDEX(_翻訳マスタ!$B$2:$D$300,MATCH("GOMI_NO",_翻訳マスタ!$A$2:$A$300,0),MATCH(言語切替!$B$3,_翻訳マスタ!$B$1:$D$1,0))</f>
        <v>Số</v>
      </c>
      <c r="B1" s="21" t="str">
        <f>INDEX(_翻訳マスタ!$B$2:$D$300,MATCH("GOMI_DATE",_翻訳マスタ!$A$2:$A$300,0),MATCH(言語切替!$B$3,_翻訳マスタ!$B$1:$D$1,0))</f>
        <v>Ngày xóa</v>
      </c>
      <c r="C1" s="21" t="str">
        <f>INDEX(_翻訳マスタ!$B$2:$D$300,MATCH("GOMI_SHEET",_翻訳マスタ!$A$2:$A$300,0),MATCH(言語切替!$B$3,_翻訳マスタ!$B$1:$D$1,0))</f>
        <v>Trang tính</v>
      </c>
      <c r="D1" s="21" t="str">
        <f>INDEX(_翻訳マスタ!$B$2:$D$300,MATCH("GOMI_ID",_翻訳マスタ!$A$2:$A$300,0),MATCH(言語切替!$B$3,_翻訳マスタ!$B$1:$D$1,0))</f>
        <v>Mã</v>
      </c>
      <c r="E1" s="21" t="str">
        <f>INDEX(_翻訳マスタ!$B$2:$D$300,MATCH("GOMI_SNAP",_翻訳マスタ!$A$2:$A$300,0),MATCH(言語切替!$B$3,_翻訳マスタ!$B$1:$D$1,0))</f>
        <v>Nội dung snapshot</v>
      </c>
      <c r="F1" s="21" t="str">
        <f>INDEX(_翻訳マスタ!$B$2:$D$300,MATCH("GOMI_BY",_翻訳マスタ!$A$2:$A$300,0),MATCH(言語切替!$B$3,_翻訳マスタ!$B$1:$D$1,0))</f>
        <v>Người xóa</v>
      </c>
      <c r="G1" s="21" t="str">
        <f>INDEX(_翻訳マスタ!$B$2:$D$300,MATCH("GOMI_REASON",_翻訳マスタ!$A$2:$A$300,0),MATCH(言語切替!$B$3,_翻訳マスタ!$B$1:$D$1,0))</f>
        <v>Lý do</v>
      </c>
    </row>
    <row r="2" spans="1:7" ht="31.5" customHeight="1" x14ac:dyDescent="0.15">
      <c r="A2" t="s">
        <v>959</v>
      </c>
      <c r="C2" t="s">
        <v>14</v>
      </c>
      <c r="D2" t="s">
        <v>136</v>
      </c>
      <c r="E2" t="s">
        <v>960</v>
      </c>
      <c r="F2" t="s">
        <v>961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62"/>
  <sheetViews>
    <sheetView topLeftCell="A100" workbookViewId="0">
      <selection activeCell="J108" sqref="J108"/>
    </sheetView>
  </sheetViews>
  <sheetFormatPr defaultRowHeight="13.5" x14ac:dyDescent="0.15"/>
  <sheetData>
    <row r="1" spans="1:4" x14ac:dyDescent="0.15">
      <c r="A1" t="s">
        <v>233</v>
      </c>
      <c r="B1" t="s">
        <v>232</v>
      </c>
      <c r="C1" t="s">
        <v>234</v>
      </c>
      <c r="D1" t="s">
        <v>235</v>
      </c>
    </row>
    <row r="2" spans="1:4" x14ac:dyDescent="0.15">
      <c r="A2" t="s">
        <v>236</v>
      </c>
      <c r="B2" t="s">
        <v>0</v>
      </c>
      <c r="C2" t="s">
        <v>237</v>
      </c>
      <c r="D2" t="s">
        <v>238</v>
      </c>
    </row>
    <row r="3" spans="1:4" x14ac:dyDescent="0.15">
      <c r="A3" t="s">
        <v>239</v>
      </c>
      <c r="B3" t="s">
        <v>1</v>
      </c>
      <c r="C3" t="s">
        <v>240</v>
      </c>
      <c r="D3" t="s">
        <v>241</v>
      </c>
    </row>
    <row r="4" spans="1:4" x14ac:dyDescent="0.15">
      <c r="A4" t="s">
        <v>242</v>
      </c>
      <c r="B4" t="s">
        <v>2</v>
      </c>
      <c r="C4" t="s">
        <v>243</v>
      </c>
      <c r="D4" t="s">
        <v>244</v>
      </c>
    </row>
    <row r="5" spans="1:4" x14ac:dyDescent="0.15">
      <c r="A5" t="s">
        <v>245</v>
      </c>
      <c r="B5" t="s">
        <v>5</v>
      </c>
      <c r="C5" t="s">
        <v>246</v>
      </c>
      <c r="D5" t="s">
        <v>247</v>
      </c>
    </row>
    <row r="6" spans="1:4" x14ac:dyDescent="0.15">
      <c r="A6" t="s">
        <v>248</v>
      </c>
      <c r="B6" t="s">
        <v>8</v>
      </c>
      <c r="C6" t="s">
        <v>249</v>
      </c>
      <c r="D6" t="s">
        <v>250</v>
      </c>
    </row>
    <row r="7" spans="1:4" x14ac:dyDescent="0.15">
      <c r="A7" t="s">
        <v>251</v>
      </c>
      <c r="B7" t="s">
        <v>11</v>
      </c>
      <c r="C7" t="s">
        <v>252</v>
      </c>
      <c r="D7" t="s">
        <v>253</v>
      </c>
    </row>
    <row r="8" spans="1:4" x14ac:dyDescent="0.15">
      <c r="A8" t="s">
        <v>254</v>
      </c>
      <c r="B8" t="s">
        <v>13</v>
      </c>
      <c r="C8" t="s">
        <v>255</v>
      </c>
      <c r="D8" t="s">
        <v>256</v>
      </c>
    </row>
    <row r="9" spans="1:4" x14ac:dyDescent="0.15">
      <c r="A9" t="s">
        <v>257</v>
      </c>
      <c r="B9" t="s">
        <v>3</v>
      </c>
      <c r="C9" t="s">
        <v>258</v>
      </c>
      <c r="D9" t="s">
        <v>259</v>
      </c>
    </row>
    <row r="10" spans="1:4" x14ac:dyDescent="0.15">
      <c r="A10" t="s">
        <v>260</v>
      </c>
      <c r="B10" t="s">
        <v>4</v>
      </c>
      <c r="C10" t="s">
        <v>4</v>
      </c>
      <c r="D10" t="s">
        <v>261</v>
      </c>
    </row>
    <row r="11" spans="1:4" x14ac:dyDescent="0.15">
      <c r="A11" t="s">
        <v>262</v>
      </c>
      <c r="B11" t="s">
        <v>7</v>
      </c>
      <c r="C11" t="s">
        <v>263</v>
      </c>
      <c r="D11" t="s">
        <v>264</v>
      </c>
    </row>
    <row r="12" spans="1:4" x14ac:dyDescent="0.15">
      <c r="A12" t="s">
        <v>265</v>
      </c>
      <c r="B12" t="s">
        <v>10</v>
      </c>
      <c r="C12" t="s">
        <v>266</v>
      </c>
      <c r="D12" t="s">
        <v>267</v>
      </c>
    </row>
    <row r="13" spans="1:4" x14ac:dyDescent="0.15">
      <c r="A13" t="s">
        <v>268</v>
      </c>
      <c r="B13" t="s">
        <v>12</v>
      </c>
      <c r="C13" t="s">
        <v>269</v>
      </c>
      <c r="D13" t="s">
        <v>270</v>
      </c>
    </row>
    <row r="14" spans="1:4" x14ac:dyDescent="0.15">
      <c r="A14" t="s">
        <v>271</v>
      </c>
      <c r="B14" t="s">
        <v>15</v>
      </c>
      <c r="C14" t="s">
        <v>272</v>
      </c>
      <c r="D14" t="s">
        <v>273</v>
      </c>
    </row>
    <row r="15" spans="1:4" x14ac:dyDescent="0.15">
      <c r="A15" t="s">
        <v>274</v>
      </c>
      <c r="B15" t="s">
        <v>17</v>
      </c>
      <c r="C15" t="s">
        <v>275</v>
      </c>
      <c r="D15" t="s">
        <v>276</v>
      </c>
    </row>
    <row r="16" spans="1:4" x14ac:dyDescent="0.15">
      <c r="A16" t="s">
        <v>277</v>
      </c>
      <c r="B16" t="s">
        <v>20</v>
      </c>
      <c r="C16" t="s">
        <v>278</v>
      </c>
      <c r="D16" t="s">
        <v>279</v>
      </c>
    </row>
    <row r="17" spans="1:4" x14ac:dyDescent="0.15">
      <c r="A17" t="s">
        <v>280</v>
      </c>
      <c r="B17" t="s">
        <v>23</v>
      </c>
      <c r="C17" t="s">
        <v>281</v>
      </c>
      <c r="D17" t="s">
        <v>282</v>
      </c>
    </row>
    <row r="18" spans="1:4" x14ac:dyDescent="0.15">
      <c r="A18" t="s">
        <v>283</v>
      </c>
      <c r="B18" t="s">
        <v>18</v>
      </c>
      <c r="C18" t="s">
        <v>284</v>
      </c>
      <c r="D18" t="s">
        <v>285</v>
      </c>
    </row>
    <row r="19" spans="1:4" x14ac:dyDescent="0.15">
      <c r="A19" t="s">
        <v>286</v>
      </c>
      <c r="B19" t="s">
        <v>21</v>
      </c>
      <c r="C19" t="s">
        <v>287</v>
      </c>
      <c r="D19" t="s">
        <v>288</v>
      </c>
    </row>
    <row r="20" spans="1:4" x14ac:dyDescent="0.15">
      <c r="A20" t="s">
        <v>289</v>
      </c>
      <c r="B20" t="s">
        <v>24</v>
      </c>
      <c r="C20" t="s">
        <v>290</v>
      </c>
      <c r="D20" t="s">
        <v>291</v>
      </c>
    </row>
    <row r="21" spans="1:4" x14ac:dyDescent="0.15">
      <c r="A21" t="s">
        <v>292</v>
      </c>
      <c r="B21" t="s">
        <v>25</v>
      </c>
      <c r="C21" t="s">
        <v>293</v>
      </c>
      <c r="D21" t="s">
        <v>294</v>
      </c>
    </row>
    <row r="22" spans="1:4" x14ac:dyDescent="0.15">
      <c r="A22" t="s">
        <v>295</v>
      </c>
      <c r="B22" t="s">
        <v>26</v>
      </c>
      <c r="C22" t="s">
        <v>296</v>
      </c>
      <c r="D22" t="s">
        <v>297</v>
      </c>
    </row>
    <row r="23" spans="1:4" x14ac:dyDescent="0.15">
      <c r="A23" t="s">
        <v>298</v>
      </c>
      <c r="B23" t="s">
        <v>27</v>
      </c>
      <c r="C23" t="s">
        <v>299</v>
      </c>
      <c r="D23" t="s">
        <v>300</v>
      </c>
    </row>
    <row r="24" spans="1:4" x14ac:dyDescent="0.15">
      <c r="A24" t="s">
        <v>301</v>
      </c>
      <c r="B24" t="s">
        <v>28</v>
      </c>
      <c r="C24" t="s">
        <v>302</v>
      </c>
      <c r="D24" t="s">
        <v>303</v>
      </c>
    </row>
    <row r="25" spans="1:4" x14ac:dyDescent="0.15">
      <c r="A25" t="s">
        <v>304</v>
      </c>
      <c r="B25" t="s">
        <v>29</v>
      </c>
      <c r="C25" t="s">
        <v>305</v>
      </c>
      <c r="D25" t="s">
        <v>306</v>
      </c>
    </row>
    <row r="26" spans="1:4" x14ac:dyDescent="0.15">
      <c r="A26" t="s">
        <v>307</v>
      </c>
      <c r="B26" t="s">
        <v>30</v>
      </c>
      <c r="C26" t="s">
        <v>308</v>
      </c>
      <c r="D26" t="s">
        <v>309</v>
      </c>
    </row>
    <row r="27" spans="1:4" x14ac:dyDescent="0.15">
      <c r="A27" t="s">
        <v>310</v>
      </c>
      <c r="B27" t="s">
        <v>31</v>
      </c>
      <c r="C27" t="s">
        <v>311</v>
      </c>
      <c r="D27" t="s">
        <v>312</v>
      </c>
    </row>
    <row r="28" spans="1:4" x14ac:dyDescent="0.15">
      <c r="A28" t="s">
        <v>313</v>
      </c>
      <c r="B28" t="s">
        <v>32</v>
      </c>
      <c r="C28" t="s">
        <v>314</v>
      </c>
      <c r="D28" t="s">
        <v>315</v>
      </c>
    </row>
    <row r="29" spans="1:4" x14ac:dyDescent="0.15">
      <c r="A29" t="s">
        <v>316</v>
      </c>
      <c r="B29" t="s">
        <v>33</v>
      </c>
      <c r="C29" t="s">
        <v>317</v>
      </c>
      <c r="D29" t="s">
        <v>318</v>
      </c>
    </row>
    <row r="30" spans="1:4" x14ac:dyDescent="0.15">
      <c r="A30" t="s">
        <v>319</v>
      </c>
      <c r="B30" t="s">
        <v>34</v>
      </c>
      <c r="C30" t="s">
        <v>320</v>
      </c>
      <c r="D30" t="s">
        <v>321</v>
      </c>
    </row>
    <row r="31" spans="1:4" x14ac:dyDescent="0.15">
      <c r="A31" t="s">
        <v>322</v>
      </c>
      <c r="B31" t="s">
        <v>35</v>
      </c>
      <c r="C31" t="s">
        <v>323</v>
      </c>
      <c r="D31" t="s">
        <v>324</v>
      </c>
    </row>
    <row r="32" spans="1:4" x14ac:dyDescent="0.15">
      <c r="A32" t="s">
        <v>325</v>
      </c>
      <c r="B32" t="s">
        <v>36</v>
      </c>
      <c r="C32" t="s">
        <v>326</v>
      </c>
      <c r="D32" t="s">
        <v>327</v>
      </c>
    </row>
    <row r="33" spans="1:5" x14ac:dyDescent="0.15">
      <c r="A33" t="s">
        <v>346</v>
      </c>
      <c r="B33" t="s">
        <v>37</v>
      </c>
      <c r="C33" t="s">
        <v>347</v>
      </c>
      <c r="D33" t="s">
        <v>348</v>
      </c>
      <c r="E33" t="str">
        <f>INDEX(B33:D33,1,MATCH(言語切替!$B$3,$B$1:$D$1,0))</f>
        <v>Tổng quan</v>
      </c>
    </row>
    <row r="34" spans="1:5" x14ac:dyDescent="0.15">
      <c r="A34" t="s">
        <v>349</v>
      </c>
      <c r="B34" t="s">
        <v>38</v>
      </c>
      <c r="C34" t="s">
        <v>350</v>
      </c>
      <c r="D34" t="s">
        <v>351</v>
      </c>
      <c r="E34" t="str">
        <f>INDEX(B34:D34,1,MATCH(言語切替!$B$3,$B$1:$D$1,0))</f>
        <v>Dùng cho ban điều hành và cuộc họp trưởng WG hàng tuần. Không cần nhập liệu; thông tin WBS, Vấn đề/ToDo và KPI được tự động tổng hợp.</v>
      </c>
    </row>
    <row r="35" spans="1:5" x14ac:dyDescent="0.15">
      <c r="A35" t="s">
        <v>352</v>
      </c>
      <c r="B35" t="s">
        <v>39</v>
      </c>
      <c r="C35" t="s">
        <v>353</v>
      </c>
      <c r="D35" t="s">
        <v>354</v>
      </c>
      <c r="E35" t="str">
        <f>INDEX(B35:D35,1,MATCH(言語切替!$B$3,$B$1:$D$1,0))</f>
        <v>WBS chưa hoàn thành</v>
      </c>
    </row>
    <row r="36" spans="1:5" x14ac:dyDescent="0.15">
      <c r="A36" t="s">
        <v>355</v>
      </c>
      <c r="B36" t="s">
        <v>40</v>
      </c>
      <c r="C36" t="s">
        <v>356</v>
      </c>
      <c r="D36" t="s">
        <v>357</v>
      </c>
      <c r="E36" t="str">
        <f>INDEX(B36:D36,1,MATCH(言語切替!$B$3,$B$1:$D$1,0))</f>
        <v>WBS chậm tiến độ</v>
      </c>
    </row>
    <row r="37" spans="1:5" x14ac:dyDescent="0.15">
      <c r="A37" t="s">
        <v>358</v>
      </c>
      <c r="B37" t="s">
        <v>41</v>
      </c>
      <c r="C37" t="s">
        <v>359</v>
      </c>
      <c r="D37" t="s">
        <v>360</v>
      </c>
      <c r="E37" t="str">
        <f>INDEX(B37:D37,1,MATCH(言語切替!$B$3,$B$1:$D$1,0))</f>
        <v>Vấn đề/ToDo chưa hoàn thành</v>
      </c>
    </row>
    <row r="38" spans="1:5" x14ac:dyDescent="0.15">
      <c r="A38" t="s">
        <v>361</v>
      </c>
      <c r="B38" t="s">
        <v>42</v>
      </c>
      <c r="C38" t="s">
        <v>362</v>
      </c>
      <c r="D38" t="s">
        <v>363</v>
      </c>
      <c r="E38" t="str">
        <f>INDEX(B38:D38,1,MATCH(言語切替!$B$3,$B$1:$D$1,0))</f>
        <v>High / Quá hạn</v>
      </c>
    </row>
    <row r="39" spans="1:5" x14ac:dyDescent="0.15">
      <c r="A39" t="s">
        <v>364</v>
      </c>
      <c r="B39" t="s">
        <v>43</v>
      </c>
      <c r="C39" t="s">
        <v>365</v>
      </c>
      <c r="D39" t="s">
        <v>366</v>
      </c>
      <c r="E39" t="str">
        <f>INDEX(B39:D39,1,MATCH(言語切替!$B$3,$B$1:$D$1,0))</f>
        <v>KPI chưa đạt</v>
      </c>
    </row>
    <row r="40" spans="1:5" x14ac:dyDescent="0.15">
      <c r="A40" t="s">
        <v>367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 x14ac:dyDescent="0.15">
      <c r="A41" t="s">
        <v>368</v>
      </c>
      <c r="B41" t="s">
        <v>45</v>
      </c>
      <c r="C41" t="s">
        <v>369</v>
      </c>
      <c r="D41" t="s">
        <v>370</v>
      </c>
      <c r="E41" t="str">
        <f>INDEX(B41:D41,1,MATCH(言語切替!$B$3,$B$1:$D$1,0))</f>
        <v>Vấn đề chưa hoàn thành</v>
      </c>
    </row>
    <row r="42" spans="1:5" x14ac:dyDescent="0.15">
      <c r="A42" t="s">
        <v>371</v>
      </c>
      <c r="B42" t="s">
        <v>46</v>
      </c>
      <c r="C42" t="s">
        <v>372</v>
      </c>
      <c r="D42" t="s">
        <v>373</v>
      </c>
      <c r="E42" t="str">
        <f>INDEX(B42:D42,1,MATCH(言語切替!$B$3,$B$1:$D$1,0))</f>
        <v>High/Quá hạn</v>
      </c>
    </row>
    <row r="43" spans="1:5" x14ac:dyDescent="0.15">
      <c r="A43" t="s">
        <v>374</v>
      </c>
      <c r="B43" t="s">
        <v>47</v>
      </c>
      <c r="C43" t="s">
        <v>375</v>
      </c>
      <c r="D43" t="s">
        <v>376</v>
      </c>
      <c r="E43" t="str">
        <f>INDEX(B43:D43,1,MATCH(言語切替!$B$3,$B$1:$D$1,0))</f>
        <v>Chờ quyết định/WG khác</v>
      </c>
    </row>
    <row r="44" spans="1:5" x14ac:dyDescent="0.15">
      <c r="A44" t="s">
        <v>377</v>
      </c>
      <c r="B44" t="s">
        <v>378</v>
      </c>
      <c r="C44" t="s">
        <v>379</v>
      </c>
      <c r="D44" t="s">
        <v>380</v>
      </c>
      <c r="E44" t="str">
        <f>INDEX(B44:D44,1,MATCH(言語切替!$B$3,$B$1:$D$1,0))</f>
        <v>Vấn đề chưa hoàn thành theo WG</v>
      </c>
    </row>
    <row r="45" spans="1:5" x14ac:dyDescent="0.15">
      <c r="A45" t="s">
        <v>381</v>
      </c>
      <c r="B45" t="s">
        <v>382</v>
      </c>
      <c r="C45" t="s">
        <v>383</v>
      </c>
      <c r="D45" t="s">
        <v>384</v>
      </c>
      <c r="E45" t="str">
        <f>INDEX(B45:D45,1,MATCH(言語切替!$B$3,$B$1:$D$1,0))</f>
        <v>Số lượng</v>
      </c>
    </row>
    <row r="46" spans="1:5" x14ac:dyDescent="0.15">
      <c r="A46" t="s">
        <v>385</v>
      </c>
      <c r="B46" t="s">
        <v>48</v>
      </c>
      <c r="C46" t="s">
        <v>386</v>
      </c>
      <c r="D46" t="s">
        <v>915</v>
      </c>
    </row>
    <row r="47" spans="1:5" x14ac:dyDescent="0.15">
      <c r="A47" t="s">
        <v>390</v>
      </c>
      <c r="B47" t="s">
        <v>51</v>
      </c>
      <c r="C47" t="s">
        <v>391</v>
      </c>
      <c r="D47" t="s">
        <v>392</v>
      </c>
    </row>
    <row r="48" spans="1:5" x14ac:dyDescent="0.15">
      <c r="A48" t="s">
        <v>393</v>
      </c>
      <c r="B48" t="s">
        <v>52</v>
      </c>
      <c r="C48" t="s">
        <v>394</v>
      </c>
      <c r="D48" t="s">
        <v>395</v>
      </c>
    </row>
    <row r="49" spans="1:4" x14ac:dyDescent="0.15">
      <c r="A49" t="s">
        <v>396</v>
      </c>
      <c r="B49" t="s">
        <v>44</v>
      </c>
      <c r="C49" t="s">
        <v>44</v>
      </c>
      <c r="D49" t="s">
        <v>44</v>
      </c>
    </row>
    <row r="50" spans="1:4" x14ac:dyDescent="0.15">
      <c r="A50" t="s">
        <v>397</v>
      </c>
      <c r="B50" t="s">
        <v>53</v>
      </c>
      <c r="C50" t="s">
        <v>398</v>
      </c>
      <c r="D50" t="s">
        <v>399</v>
      </c>
    </row>
    <row r="51" spans="1:4" x14ac:dyDescent="0.15">
      <c r="A51" t="s">
        <v>400</v>
      </c>
      <c r="B51" t="s">
        <v>54</v>
      </c>
      <c r="C51" t="s">
        <v>401</v>
      </c>
      <c r="D51" t="s">
        <v>402</v>
      </c>
    </row>
    <row r="52" spans="1:4" x14ac:dyDescent="0.15">
      <c r="A52" t="s">
        <v>403</v>
      </c>
      <c r="B52" t="s">
        <v>55</v>
      </c>
      <c r="C52" t="s">
        <v>404</v>
      </c>
      <c r="D52" t="s">
        <v>405</v>
      </c>
    </row>
    <row r="53" spans="1:4" x14ac:dyDescent="0.15">
      <c r="A53" t="s">
        <v>406</v>
      </c>
      <c r="B53" t="s">
        <v>56</v>
      </c>
      <c r="C53" t="s">
        <v>407</v>
      </c>
      <c r="D53" t="s">
        <v>408</v>
      </c>
    </row>
    <row r="54" spans="1:4" x14ac:dyDescent="0.15">
      <c r="A54" t="s">
        <v>409</v>
      </c>
      <c r="B54" t="s">
        <v>57</v>
      </c>
      <c r="C54" t="s">
        <v>410</v>
      </c>
      <c r="D54" t="s">
        <v>411</v>
      </c>
    </row>
    <row r="55" spans="1:4" x14ac:dyDescent="0.15">
      <c r="A55" t="s">
        <v>412</v>
      </c>
      <c r="B55" t="s">
        <v>58</v>
      </c>
      <c r="C55" t="s">
        <v>58</v>
      </c>
      <c r="D55" t="s">
        <v>413</v>
      </c>
    </row>
    <row r="56" spans="1:4" x14ac:dyDescent="0.15">
      <c r="A56" t="s">
        <v>414</v>
      </c>
      <c r="B56" t="s">
        <v>48</v>
      </c>
      <c r="C56" t="s">
        <v>386</v>
      </c>
      <c r="D56" t="s">
        <v>554</v>
      </c>
    </row>
    <row r="57" spans="1:4" x14ac:dyDescent="0.15">
      <c r="A57" t="s">
        <v>415</v>
      </c>
      <c r="B57" t="s">
        <v>329</v>
      </c>
      <c r="C57" t="s">
        <v>329</v>
      </c>
      <c r="D57" t="s">
        <v>329</v>
      </c>
    </row>
    <row r="58" spans="1:4" x14ac:dyDescent="0.15">
      <c r="A58" t="s">
        <v>416</v>
      </c>
      <c r="B58" t="s">
        <v>331</v>
      </c>
      <c r="C58" t="s">
        <v>331</v>
      </c>
      <c r="D58" t="s">
        <v>331</v>
      </c>
    </row>
    <row r="59" spans="1:4" x14ac:dyDescent="0.15">
      <c r="A59" t="s">
        <v>417</v>
      </c>
      <c r="B59" t="s">
        <v>333</v>
      </c>
      <c r="C59" t="s">
        <v>333</v>
      </c>
      <c r="D59" t="s">
        <v>333</v>
      </c>
    </row>
    <row r="60" spans="1:4" x14ac:dyDescent="0.15">
      <c r="A60" t="s">
        <v>418</v>
      </c>
      <c r="B60" t="s">
        <v>335</v>
      </c>
      <c r="C60" t="s">
        <v>335</v>
      </c>
      <c r="D60" t="s">
        <v>335</v>
      </c>
    </row>
    <row r="61" spans="1:4" x14ac:dyDescent="0.15">
      <c r="A61" t="s">
        <v>419</v>
      </c>
      <c r="B61" t="s">
        <v>337</v>
      </c>
      <c r="C61" t="s">
        <v>337</v>
      </c>
      <c r="D61" t="s">
        <v>337</v>
      </c>
    </row>
    <row r="62" spans="1:4" x14ac:dyDescent="0.15">
      <c r="A62" t="s">
        <v>420</v>
      </c>
      <c r="B62" t="s">
        <v>339</v>
      </c>
      <c r="C62" t="s">
        <v>339</v>
      </c>
      <c r="D62" t="s">
        <v>339</v>
      </c>
    </row>
    <row r="63" spans="1:4" x14ac:dyDescent="0.15">
      <c r="A63" t="s">
        <v>421</v>
      </c>
      <c r="B63" t="s">
        <v>341</v>
      </c>
      <c r="C63" t="s">
        <v>341</v>
      </c>
      <c r="D63" t="s">
        <v>341</v>
      </c>
    </row>
    <row r="64" spans="1:4" x14ac:dyDescent="0.15">
      <c r="A64" t="s">
        <v>422</v>
      </c>
      <c r="B64" t="s">
        <v>140</v>
      </c>
      <c r="C64" t="s">
        <v>140</v>
      </c>
      <c r="D64" t="s">
        <v>140</v>
      </c>
    </row>
    <row r="65" spans="1:4" x14ac:dyDescent="0.15">
      <c r="A65" t="s">
        <v>423</v>
      </c>
      <c r="B65" t="s">
        <v>344</v>
      </c>
      <c r="C65" t="s">
        <v>344</v>
      </c>
      <c r="D65" t="s">
        <v>344</v>
      </c>
    </row>
    <row r="66" spans="1:4" x14ac:dyDescent="0.15">
      <c r="A66" t="s">
        <v>424</v>
      </c>
      <c r="B66" t="s">
        <v>59</v>
      </c>
      <c r="C66" t="s">
        <v>59</v>
      </c>
      <c r="D66" t="s">
        <v>425</v>
      </c>
    </row>
    <row r="67" spans="1:4" x14ac:dyDescent="0.15">
      <c r="A67" t="s">
        <v>426</v>
      </c>
      <c r="B67" t="s">
        <v>65</v>
      </c>
      <c r="C67" t="s">
        <v>65</v>
      </c>
      <c r="D67" t="s">
        <v>65</v>
      </c>
    </row>
    <row r="68" spans="1:4" x14ac:dyDescent="0.15">
      <c r="A68" t="s">
        <v>427</v>
      </c>
      <c r="B68" t="s">
        <v>71</v>
      </c>
      <c r="C68" t="s">
        <v>71</v>
      </c>
      <c r="D68" t="s">
        <v>71</v>
      </c>
    </row>
    <row r="69" spans="1:4" x14ac:dyDescent="0.15">
      <c r="A69" t="s">
        <v>428</v>
      </c>
      <c r="B69" t="s">
        <v>77</v>
      </c>
      <c r="C69" t="s">
        <v>77</v>
      </c>
      <c r="D69" t="s">
        <v>77</v>
      </c>
    </row>
    <row r="70" spans="1:4" x14ac:dyDescent="0.15">
      <c r="A70" t="s">
        <v>429</v>
      </c>
      <c r="B70" t="s">
        <v>60</v>
      </c>
      <c r="C70" t="s">
        <v>430</v>
      </c>
      <c r="D70" t="s">
        <v>431</v>
      </c>
    </row>
    <row r="71" spans="1:4" x14ac:dyDescent="0.15">
      <c r="A71" t="s">
        <v>432</v>
      </c>
      <c r="B71" t="s">
        <v>66</v>
      </c>
      <c r="C71" t="s">
        <v>433</v>
      </c>
      <c r="D71" t="s">
        <v>434</v>
      </c>
    </row>
    <row r="72" spans="1:4" x14ac:dyDescent="0.15">
      <c r="A72" t="s">
        <v>435</v>
      </c>
      <c r="B72" t="s">
        <v>72</v>
      </c>
      <c r="C72" t="s">
        <v>436</v>
      </c>
      <c r="D72" t="s">
        <v>437</v>
      </c>
    </row>
    <row r="73" spans="1:4" x14ac:dyDescent="0.15">
      <c r="A73" t="s">
        <v>438</v>
      </c>
      <c r="B73" t="s">
        <v>78</v>
      </c>
      <c r="C73" t="s">
        <v>439</v>
      </c>
      <c r="D73" t="s">
        <v>440</v>
      </c>
    </row>
    <row r="74" spans="1:4" x14ac:dyDescent="0.15">
      <c r="A74" t="s">
        <v>441</v>
      </c>
      <c r="B74" t="s">
        <v>82</v>
      </c>
      <c r="C74" t="s">
        <v>442</v>
      </c>
      <c r="D74" t="s">
        <v>443</v>
      </c>
    </row>
    <row r="75" spans="1:4" x14ac:dyDescent="0.15">
      <c r="A75" t="s">
        <v>444</v>
      </c>
      <c r="B75" t="s">
        <v>84</v>
      </c>
      <c r="C75" t="s">
        <v>445</v>
      </c>
      <c r="D75" t="s">
        <v>446</v>
      </c>
    </row>
    <row r="76" spans="1:4" x14ac:dyDescent="0.15">
      <c r="A76" t="s">
        <v>447</v>
      </c>
      <c r="B76" t="s">
        <v>86</v>
      </c>
      <c r="C76" t="s">
        <v>448</v>
      </c>
      <c r="D76" t="s">
        <v>449</v>
      </c>
    </row>
    <row r="77" spans="1:4" x14ac:dyDescent="0.15">
      <c r="A77" t="s">
        <v>450</v>
      </c>
      <c r="B77" t="s">
        <v>87</v>
      </c>
      <c r="C77" t="s">
        <v>451</v>
      </c>
      <c r="D77" t="s">
        <v>452</v>
      </c>
    </row>
    <row r="78" spans="1:4" x14ac:dyDescent="0.15">
      <c r="A78" t="s">
        <v>453</v>
      </c>
      <c r="B78" t="s">
        <v>61</v>
      </c>
      <c r="C78" t="s">
        <v>61</v>
      </c>
      <c r="D78" t="s">
        <v>61</v>
      </c>
    </row>
    <row r="79" spans="1:4" x14ac:dyDescent="0.15">
      <c r="A79" t="s">
        <v>454</v>
      </c>
      <c r="B79" t="s">
        <v>67</v>
      </c>
      <c r="C79" t="s">
        <v>67</v>
      </c>
      <c r="D79" t="s">
        <v>67</v>
      </c>
    </row>
    <row r="80" spans="1:4" x14ac:dyDescent="0.15">
      <c r="A80" t="s">
        <v>455</v>
      </c>
      <c r="B80" t="s">
        <v>73</v>
      </c>
      <c r="C80" t="s">
        <v>73</v>
      </c>
      <c r="D80" t="s">
        <v>73</v>
      </c>
    </row>
    <row r="81" spans="1:4" x14ac:dyDescent="0.15">
      <c r="A81" t="s">
        <v>456</v>
      </c>
      <c r="B81" t="s">
        <v>62</v>
      </c>
      <c r="C81" t="s">
        <v>457</v>
      </c>
      <c r="D81" t="s">
        <v>458</v>
      </c>
    </row>
    <row r="82" spans="1:4" x14ac:dyDescent="0.15">
      <c r="A82" t="s">
        <v>459</v>
      </c>
      <c r="B82" t="s">
        <v>68</v>
      </c>
      <c r="C82" t="s">
        <v>68</v>
      </c>
      <c r="D82" t="s">
        <v>68</v>
      </c>
    </row>
    <row r="83" spans="1:4" x14ac:dyDescent="0.15">
      <c r="A83" t="s">
        <v>460</v>
      </c>
      <c r="B83" t="s">
        <v>74</v>
      </c>
      <c r="C83" t="s">
        <v>461</v>
      </c>
      <c r="D83" t="s">
        <v>462</v>
      </c>
    </row>
    <row r="84" spans="1:4" x14ac:dyDescent="0.15">
      <c r="A84" t="s">
        <v>463</v>
      </c>
      <c r="B84" t="s">
        <v>79</v>
      </c>
      <c r="C84" t="s">
        <v>464</v>
      </c>
      <c r="D84" t="s">
        <v>465</v>
      </c>
    </row>
    <row r="85" spans="1:4" x14ac:dyDescent="0.15">
      <c r="A85" t="s">
        <v>466</v>
      </c>
      <c r="B85" t="s">
        <v>63</v>
      </c>
      <c r="C85" t="s">
        <v>467</v>
      </c>
      <c r="D85" t="s">
        <v>468</v>
      </c>
    </row>
    <row r="86" spans="1:4" x14ac:dyDescent="0.15">
      <c r="A86" t="s">
        <v>469</v>
      </c>
      <c r="B86" t="s">
        <v>69</v>
      </c>
      <c r="C86" t="s">
        <v>470</v>
      </c>
      <c r="D86" t="s">
        <v>471</v>
      </c>
    </row>
    <row r="87" spans="1:4" x14ac:dyDescent="0.15">
      <c r="A87" t="s">
        <v>472</v>
      </c>
      <c r="B87" t="s">
        <v>75</v>
      </c>
      <c r="C87" t="s">
        <v>473</v>
      </c>
      <c r="D87" t="s">
        <v>474</v>
      </c>
    </row>
    <row r="88" spans="1:4" x14ac:dyDescent="0.15">
      <c r="A88" t="s">
        <v>475</v>
      </c>
      <c r="B88" t="s">
        <v>80</v>
      </c>
      <c r="C88" t="s">
        <v>476</v>
      </c>
      <c r="D88" t="s">
        <v>477</v>
      </c>
    </row>
    <row r="89" spans="1:4" x14ac:dyDescent="0.15">
      <c r="A89" t="s">
        <v>478</v>
      </c>
      <c r="B89" t="s">
        <v>64</v>
      </c>
      <c r="C89" t="s">
        <v>479</v>
      </c>
      <c r="D89" t="s">
        <v>480</v>
      </c>
    </row>
    <row r="90" spans="1:4" x14ac:dyDescent="0.15">
      <c r="A90" t="s">
        <v>481</v>
      </c>
      <c r="B90" t="s">
        <v>70</v>
      </c>
      <c r="C90" t="s">
        <v>482</v>
      </c>
      <c r="D90" t="s">
        <v>483</v>
      </c>
    </row>
    <row r="91" spans="1:4" x14ac:dyDescent="0.15">
      <c r="A91" t="s">
        <v>484</v>
      </c>
      <c r="B91" t="s">
        <v>76</v>
      </c>
      <c r="C91" t="s">
        <v>76</v>
      </c>
      <c r="D91" t="s">
        <v>485</v>
      </c>
    </row>
    <row r="92" spans="1:4" x14ac:dyDescent="0.15">
      <c r="A92" t="s">
        <v>486</v>
      </c>
      <c r="B92" t="s">
        <v>81</v>
      </c>
      <c r="C92" t="s">
        <v>487</v>
      </c>
      <c r="D92" t="s">
        <v>488</v>
      </c>
    </row>
    <row r="93" spans="1:4" x14ac:dyDescent="0.15">
      <c r="A93" t="s">
        <v>489</v>
      </c>
      <c r="B93" t="s">
        <v>83</v>
      </c>
      <c r="C93" t="s">
        <v>490</v>
      </c>
      <c r="D93" t="s">
        <v>491</v>
      </c>
    </row>
    <row r="94" spans="1:4" x14ac:dyDescent="0.15">
      <c r="A94" t="s">
        <v>492</v>
      </c>
      <c r="B94" t="s">
        <v>85</v>
      </c>
      <c r="C94" t="s">
        <v>493</v>
      </c>
      <c r="D94" t="s">
        <v>494</v>
      </c>
    </row>
    <row r="95" spans="1:4" x14ac:dyDescent="0.15">
      <c r="A95" t="s">
        <v>495</v>
      </c>
      <c r="B95" t="s">
        <v>88</v>
      </c>
      <c r="C95" t="s">
        <v>496</v>
      </c>
      <c r="D95" t="s">
        <v>497</v>
      </c>
    </row>
    <row r="96" spans="1:4" x14ac:dyDescent="0.15">
      <c r="A96" t="s">
        <v>498</v>
      </c>
      <c r="B96" t="s">
        <v>387</v>
      </c>
      <c r="C96" t="s">
        <v>499</v>
      </c>
      <c r="D96" t="s">
        <v>500</v>
      </c>
    </row>
    <row r="97" spans="1:4" x14ac:dyDescent="0.15">
      <c r="A97" t="s">
        <v>501</v>
      </c>
      <c r="B97" t="s">
        <v>388</v>
      </c>
      <c r="C97" t="s">
        <v>502</v>
      </c>
      <c r="D97" t="s">
        <v>503</v>
      </c>
    </row>
    <row r="98" spans="1:4" x14ac:dyDescent="0.15">
      <c r="A98" t="s">
        <v>504</v>
      </c>
      <c r="B98" t="s">
        <v>389</v>
      </c>
      <c r="C98" t="s">
        <v>505</v>
      </c>
      <c r="D98" t="s">
        <v>506</v>
      </c>
    </row>
    <row r="99" spans="1:4" x14ac:dyDescent="0.15">
      <c r="A99" t="s">
        <v>507</v>
      </c>
      <c r="B99" t="s">
        <v>89</v>
      </c>
      <c r="C99" t="s">
        <v>508</v>
      </c>
      <c r="D99" t="s">
        <v>509</v>
      </c>
    </row>
    <row r="100" spans="1:4" x14ac:dyDescent="0.15">
      <c r="A100" t="s">
        <v>510</v>
      </c>
      <c r="B100" t="s">
        <v>90</v>
      </c>
      <c r="C100" t="s">
        <v>511</v>
      </c>
      <c r="D100" t="s">
        <v>512</v>
      </c>
    </row>
    <row r="101" spans="1:4" x14ac:dyDescent="0.15">
      <c r="A101" t="s">
        <v>513</v>
      </c>
      <c r="B101" t="s">
        <v>91</v>
      </c>
      <c r="C101" t="s">
        <v>91</v>
      </c>
      <c r="D101" t="s">
        <v>91</v>
      </c>
    </row>
    <row r="102" spans="1:4" x14ac:dyDescent="0.15">
      <c r="A102" t="s">
        <v>514</v>
      </c>
      <c r="B102" t="s">
        <v>44</v>
      </c>
      <c r="C102" t="s">
        <v>44</v>
      </c>
      <c r="D102" t="s">
        <v>44</v>
      </c>
    </row>
    <row r="103" spans="1:4" x14ac:dyDescent="0.15">
      <c r="A103" t="s">
        <v>515</v>
      </c>
      <c r="B103" t="s">
        <v>53</v>
      </c>
      <c r="C103" t="s">
        <v>398</v>
      </c>
      <c r="D103" t="s">
        <v>399</v>
      </c>
    </row>
    <row r="104" spans="1:4" x14ac:dyDescent="0.15">
      <c r="A104" t="s">
        <v>516</v>
      </c>
      <c r="B104" t="s">
        <v>92</v>
      </c>
      <c r="C104" t="s">
        <v>517</v>
      </c>
      <c r="D104" t="s">
        <v>518</v>
      </c>
    </row>
    <row r="105" spans="1:4" x14ac:dyDescent="0.15">
      <c r="A105" t="s">
        <v>519</v>
      </c>
      <c r="B105" t="s">
        <v>93</v>
      </c>
      <c r="C105" t="s">
        <v>520</v>
      </c>
      <c r="D105" t="s">
        <v>521</v>
      </c>
    </row>
    <row r="106" spans="1:4" x14ac:dyDescent="0.15">
      <c r="A106" t="s">
        <v>522</v>
      </c>
      <c r="B106" t="s">
        <v>94</v>
      </c>
      <c r="C106" t="s">
        <v>523</v>
      </c>
      <c r="D106" t="s">
        <v>524</v>
      </c>
    </row>
    <row r="107" spans="1:4" x14ac:dyDescent="0.15">
      <c r="A107" t="s">
        <v>525</v>
      </c>
      <c r="B107" t="s">
        <v>95</v>
      </c>
      <c r="C107" t="s">
        <v>526</v>
      </c>
      <c r="D107" t="s">
        <v>527</v>
      </c>
    </row>
    <row r="108" spans="1:4" x14ac:dyDescent="0.15">
      <c r="A108" t="s">
        <v>528</v>
      </c>
      <c r="B108" t="s">
        <v>96</v>
      </c>
      <c r="C108" t="s">
        <v>529</v>
      </c>
      <c r="D108" t="s">
        <v>530</v>
      </c>
    </row>
    <row r="109" spans="1:4" x14ac:dyDescent="0.15">
      <c r="A109" t="s">
        <v>531</v>
      </c>
      <c r="B109" t="s">
        <v>97</v>
      </c>
      <c r="C109" t="s">
        <v>532</v>
      </c>
      <c r="D109" t="s">
        <v>533</v>
      </c>
    </row>
    <row r="110" spans="1:4" x14ac:dyDescent="0.15">
      <c r="A110" t="s">
        <v>534</v>
      </c>
      <c r="B110" t="s">
        <v>98</v>
      </c>
      <c r="C110" t="s">
        <v>535</v>
      </c>
      <c r="D110" t="s">
        <v>536</v>
      </c>
    </row>
    <row r="111" spans="1:4" x14ac:dyDescent="0.15">
      <c r="A111" t="s">
        <v>537</v>
      </c>
      <c r="B111" t="s">
        <v>99</v>
      </c>
      <c r="C111" t="s">
        <v>538</v>
      </c>
      <c r="D111" t="s">
        <v>539</v>
      </c>
    </row>
    <row r="112" spans="1:4" x14ac:dyDescent="0.15">
      <c r="A112" t="s">
        <v>540</v>
      </c>
      <c r="B112" t="s">
        <v>54</v>
      </c>
      <c r="C112" t="s">
        <v>401</v>
      </c>
      <c r="D112" t="s">
        <v>402</v>
      </c>
    </row>
    <row r="113" spans="1:4" x14ac:dyDescent="0.15">
      <c r="A113" t="s">
        <v>541</v>
      </c>
      <c r="B113" t="s">
        <v>100</v>
      </c>
      <c r="C113" t="s">
        <v>542</v>
      </c>
      <c r="D113" t="s">
        <v>543</v>
      </c>
    </row>
    <row r="114" spans="1:4" x14ac:dyDescent="0.15">
      <c r="A114" t="s">
        <v>544</v>
      </c>
      <c r="B114" t="s">
        <v>101</v>
      </c>
      <c r="C114" t="s">
        <v>545</v>
      </c>
      <c r="D114" t="s">
        <v>546</v>
      </c>
    </row>
    <row r="115" spans="1:4" x14ac:dyDescent="0.15">
      <c r="A115" t="s">
        <v>547</v>
      </c>
      <c r="B115" t="s">
        <v>102</v>
      </c>
      <c r="C115" t="s">
        <v>548</v>
      </c>
      <c r="D115" t="s">
        <v>549</v>
      </c>
    </row>
    <row r="116" spans="1:4" x14ac:dyDescent="0.15">
      <c r="A116" t="s">
        <v>550</v>
      </c>
      <c r="B116" t="s">
        <v>103</v>
      </c>
      <c r="C116" t="s">
        <v>551</v>
      </c>
      <c r="D116" t="s">
        <v>552</v>
      </c>
    </row>
    <row r="117" spans="1:4" x14ac:dyDescent="0.15">
      <c r="A117" t="s">
        <v>555</v>
      </c>
      <c r="B117" t="s">
        <v>556</v>
      </c>
      <c r="C117" t="s">
        <v>557</v>
      </c>
      <c r="D117" t="s">
        <v>558</v>
      </c>
    </row>
    <row r="118" spans="1:4" x14ac:dyDescent="0.15">
      <c r="A118" t="s">
        <v>559</v>
      </c>
      <c r="B118" t="s">
        <v>560</v>
      </c>
      <c r="C118" t="s">
        <v>561</v>
      </c>
      <c r="D118" t="s">
        <v>562</v>
      </c>
    </row>
    <row r="119" spans="1:4" x14ac:dyDescent="0.15">
      <c r="A119" t="s">
        <v>563</v>
      </c>
      <c r="B119" t="s">
        <v>564</v>
      </c>
      <c r="C119" t="s">
        <v>565</v>
      </c>
      <c r="D119" t="s">
        <v>566</v>
      </c>
    </row>
    <row r="120" spans="1:4" x14ac:dyDescent="0.15">
      <c r="A120" t="s">
        <v>567</v>
      </c>
      <c r="B120" t="s">
        <v>108</v>
      </c>
      <c r="C120" t="s">
        <v>568</v>
      </c>
      <c r="D120" t="s">
        <v>569</v>
      </c>
    </row>
    <row r="121" spans="1:4" x14ac:dyDescent="0.15">
      <c r="A121" t="s">
        <v>570</v>
      </c>
      <c r="B121" t="s">
        <v>174</v>
      </c>
      <c r="C121" t="s">
        <v>571</v>
      </c>
      <c r="D121" t="s">
        <v>572</v>
      </c>
    </row>
    <row r="122" spans="1:4" x14ac:dyDescent="0.15">
      <c r="A122" t="s">
        <v>573</v>
      </c>
      <c r="B122" t="s">
        <v>107</v>
      </c>
      <c r="C122" t="s">
        <v>574</v>
      </c>
      <c r="D122" t="s">
        <v>575</v>
      </c>
    </row>
    <row r="123" spans="1:4" x14ac:dyDescent="0.15">
      <c r="A123" t="s">
        <v>576</v>
      </c>
      <c r="B123" t="s">
        <v>112</v>
      </c>
      <c r="C123" t="s">
        <v>112</v>
      </c>
      <c r="D123" t="s">
        <v>577</v>
      </c>
    </row>
    <row r="124" spans="1:4" x14ac:dyDescent="0.15">
      <c r="A124" t="s">
        <v>578</v>
      </c>
      <c r="B124" t="s">
        <v>173</v>
      </c>
      <c r="C124" t="s">
        <v>173</v>
      </c>
      <c r="D124" t="s">
        <v>579</v>
      </c>
    </row>
    <row r="125" spans="1:4" x14ac:dyDescent="0.15">
      <c r="A125" t="s">
        <v>580</v>
      </c>
      <c r="B125" t="s">
        <v>151</v>
      </c>
      <c r="C125" t="s">
        <v>581</v>
      </c>
      <c r="D125" t="s">
        <v>582</v>
      </c>
    </row>
    <row r="126" spans="1:4" x14ac:dyDescent="0.15">
      <c r="A126" t="s">
        <v>583</v>
      </c>
      <c r="B126" t="s">
        <v>584</v>
      </c>
      <c r="C126" t="s">
        <v>585</v>
      </c>
      <c r="D126" t="s">
        <v>586</v>
      </c>
    </row>
    <row r="127" spans="1:4" x14ac:dyDescent="0.15">
      <c r="A127" t="s">
        <v>587</v>
      </c>
      <c r="B127" t="s">
        <v>105</v>
      </c>
      <c r="C127" t="s">
        <v>588</v>
      </c>
      <c r="D127" t="s">
        <v>589</v>
      </c>
    </row>
    <row r="128" spans="1:4" x14ac:dyDescent="0.15">
      <c r="A128" t="s">
        <v>590</v>
      </c>
      <c r="B128" t="s">
        <v>110</v>
      </c>
      <c r="C128" t="s">
        <v>591</v>
      </c>
      <c r="D128" t="s">
        <v>592</v>
      </c>
    </row>
    <row r="129" spans="1:4" x14ac:dyDescent="0.15">
      <c r="A129" t="s">
        <v>593</v>
      </c>
      <c r="B129" t="s">
        <v>114</v>
      </c>
      <c r="C129" t="s">
        <v>594</v>
      </c>
      <c r="D129" t="s">
        <v>595</v>
      </c>
    </row>
    <row r="130" spans="1:4" x14ac:dyDescent="0.15">
      <c r="A130" t="s">
        <v>596</v>
      </c>
      <c r="B130" t="s">
        <v>106</v>
      </c>
      <c r="C130" t="s">
        <v>597</v>
      </c>
      <c r="D130" t="s">
        <v>598</v>
      </c>
    </row>
    <row r="131" spans="1:4" x14ac:dyDescent="0.15">
      <c r="A131" t="s">
        <v>599</v>
      </c>
      <c r="B131" t="s">
        <v>111</v>
      </c>
      <c r="C131" t="s">
        <v>600</v>
      </c>
      <c r="D131" t="s">
        <v>601</v>
      </c>
    </row>
    <row r="132" spans="1:4" x14ac:dyDescent="0.15">
      <c r="A132" t="s">
        <v>602</v>
      </c>
      <c r="B132" t="s">
        <v>115</v>
      </c>
      <c r="C132" t="s">
        <v>603</v>
      </c>
      <c r="D132" t="s">
        <v>604</v>
      </c>
    </row>
    <row r="133" spans="1:4" x14ac:dyDescent="0.15">
      <c r="A133" t="s">
        <v>605</v>
      </c>
      <c r="B133" t="s">
        <v>116</v>
      </c>
      <c r="C133" t="s">
        <v>606</v>
      </c>
      <c r="D133" t="s">
        <v>607</v>
      </c>
    </row>
    <row r="134" spans="1:4" x14ac:dyDescent="0.15">
      <c r="A134" t="s">
        <v>608</v>
      </c>
      <c r="B134" t="s">
        <v>117</v>
      </c>
      <c r="C134" t="s">
        <v>609</v>
      </c>
      <c r="D134" t="s">
        <v>610</v>
      </c>
    </row>
    <row r="135" spans="1:4" x14ac:dyDescent="0.15">
      <c r="A135" t="s">
        <v>611</v>
      </c>
      <c r="B135" t="s">
        <v>118</v>
      </c>
      <c r="C135" t="s">
        <v>118</v>
      </c>
      <c r="D135" t="s">
        <v>118</v>
      </c>
    </row>
    <row r="136" spans="1:4" x14ac:dyDescent="0.15">
      <c r="A136" t="s">
        <v>612</v>
      </c>
      <c r="B136" t="s">
        <v>56</v>
      </c>
      <c r="C136" t="s">
        <v>613</v>
      </c>
      <c r="D136" t="s">
        <v>408</v>
      </c>
    </row>
    <row r="137" spans="1:4" x14ac:dyDescent="0.15">
      <c r="A137" t="s">
        <v>614</v>
      </c>
      <c r="B137" t="s">
        <v>44</v>
      </c>
      <c r="C137" t="s">
        <v>44</v>
      </c>
      <c r="D137" t="s">
        <v>44</v>
      </c>
    </row>
    <row r="138" spans="1:4" x14ac:dyDescent="0.15">
      <c r="A138" t="s">
        <v>615</v>
      </c>
      <c r="B138" t="s">
        <v>53</v>
      </c>
      <c r="C138" t="s">
        <v>398</v>
      </c>
      <c r="D138" t="s">
        <v>399</v>
      </c>
    </row>
    <row r="139" spans="1:4" x14ac:dyDescent="0.15">
      <c r="A139" t="s">
        <v>616</v>
      </c>
      <c r="B139" t="s">
        <v>119</v>
      </c>
      <c r="C139" t="s">
        <v>617</v>
      </c>
      <c r="D139" t="s">
        <v>618</v>
      </c>
    </row>
    <row r="140" spans="1:4" x14ac:dyDescent="0.15">
      <c r="A140" t="s">
        <v>619</v>
      </c>
      <c r="B140" t="s">
        <v>120</v>
      </c>
      <c r="C140" t="s">
        <v>620</v>
      </c>
      <c r="D140" t="s">
        <v>621</v>
      </c>
    </row>
    <row r="141" spans="1:4" x14ac:dyDescent="0.15">
      <c r="A141" t="s">
        <v>622</v>
      </c>
      <c r="B141" t="s">
        <v>121</v>
      </c>
      <c r="C141" t="s">
        <v>623</v>
      </c>
      <c r="D141" t="s">
        <v>624</v>
      </c>
    </row>
    <row r="142" spans="1:4" x14ac:dyDescent="0.15">
      <c r="A142" t="s">
        <v>625</v>
      </c>
      <c r="B142" t="s">
        <v>122</v>
      </c>
      <c r="C142" t="s">
        <v>523</v>
      </c>
      <c r="D142" t="s">
        <v>626</v>
      </c>
    </row>
    <row r="143" spans="1:4" x14ac:dyDescent="0.15">
      <c r="A143" t="s">
        <v>627</v>
      </c>
      <c r="B143" t="s">
        <v>123</v>
      </c>
      <c r="C143" t="s">
        <v>628</v>
      </c>
      <c r="D143" t="s">
        <v>629</v>
      </c>
    </row>
    <row r="144" spans="1:4" x14ac:dyDescent="0.15">
      <c r="A144" t="s">
        <v>630</v>
      </c>
      <c r="B144" t="s">
        <v>124</v>
      </c>
      <c r="C144" t="s">
        <v>631</v>
      </c>
      <c r="D144" t="s">
        <v>632</v>
      </c>
    </row>
    <row r="145" spans="1:4" x14ac:dyDescent="0.15">
      <c r="A145" t="s">
        <v>633</v>
      </c>
      <c r="B145" t="s">
        <v>125</v>
      </c>
      <c r="C145" t="s">
        <v>634</v>
      </c>
      <c r="D145" t="s">
        <v>635</v>
      </c>
    </row>
    <row r="146" spans="1:4" x14ac:dyDescent="0.15">
      <c r="A146" t="s">
        <v>636</v>
      </c>
      <c r="B146" t="s">
        <v>55</v>
      </c>
      <c r="C146" t="s">
        <v>404</v>
      </c>
      <c r="D146" t="s">
        <v>405</v>
      </c>
    </row>
    <row r="147" spans="1:4" x14ac:dyDescent="0.15">
      <c r="A147" t="s">
        <v>637</v>
      </c>
      <c r="B147" t="s">
        <v>54</v>
      </c>
      <c r="C147" t="s">
        <v>401</v>
      </c>
      <c r="D147" t="s">
        <v>402</v>
      </c>
    </row>
    <row r="148" spans="1:4" x14ac:dyDescent="0.15">
      <c r="A148" t="s">
        <v>638</v>
      </c>
      <c r="B148" t="s">
        <v>126</v>
      </c>
      <c r="C148" t="s">
        <v>639</v>
      </c>
      <c r="D148" t="s">
        <v>640</v>
      </c>
    </row>
    <row r="149" spans="1:4" x14ac:dyDescent="0.15">
      <c r="A149" t="s">
        <v>641</v>
      </c>
      <c r="B149" t="s">
        <v>127</v>
      </c>
      <c r="C149" t="s">
        <v>642</v>
      </c>
      <c r="D149" t="s">
        <v>643</v>
      </c>
    </row>
    <row r="150" spans="1:4" x14ac:dyDescent="0.15">
      <c r="A150" t="s">
        <v>644</v>
      </c>
      <c r="B150" t="s">
        <v>128</v>
      </c>
      <c r="C150" t="s">
        <v>645</v>
      </c>
      <c r="D150" t="s">
        <v>646</v>
      </c>
    </row>
    <row r="151" spans="1:4" x14ac:dyDescent="0.15">
      <c r="A151" t="s">
        <v>647</v>
      </c>
      <c r="B151" t="s">
        <v>102</v>
      </c>
      <c r="C151" t="s">
        <v>548</v>
      </c>
      <c r="D151" t="s">
        <v>549</v>
      </c>
    </row>
    <row r="152" spans="1:4" x14ac:dyDescent="0.15">
      <c r="A152" t="s">
        <v>648</v>
      </c>
      <c r="B152" t="s">
        <v>100</v>
      </c>
      <c r="C152" t="s">
        <v>542</v>
      </c>
      <c r="D152" t="s">
        <v>543</v>
      </c>
    </row>
    <row r="153" spans="1:4" x14ac:dyDescent="0.15">
      <c r="A153" t="s">
        <v>649</v>
      </c>
      <c r="B153" t="s">
        <v>129</v>
      </c>
      <c r="C153" t="s">
        <v>650</v>
      </c>
      <c r="D153" t="s">
        <v>651</v>
      </c>
    </row>
    <row r="154" spans="1:4" x14ac:dyDescent="0.15">
      <c r="A154" t="s">
        <v>652</v>
      </c>
      <c r="B154" t="s">
        <v>130</v>
      </c>
      <c r="C154" t="s">
        <v>653</v>
      </c>
      <c r="D154" t="s">
        <v>654</v>
      </c>
    </row>
    <row r="155" spans="1:4" x14ac:dyDescent="0.15">
      <c r="A155" t="s">
        <v>655</v>
      </c>
      <c r="B155" t="s">
        <v>132</v>
      </c>
      <c r="C155" t="s">
        <v>656</v>
      </c>
      <c r="D155" t="s">
        <v>657</v>
      </c>
    </row>
    <row r="156" spans="1:4" x14ac:dyDescent="0.15">
      <c r="A156" t="s">
        <v>658</v>
      </c>
      <c r="B156" t="s">
        <v>133</v>
      </c>
      <c r="C156" t="s">
        <v>659</v>
      </c>
      <c r="D156" t="s">
        <v>660</v>
      </c>
    </row>
    <row r="157" spans="1:4" x14ac:dyDescent="0.15">
      <c r="A157" t="s">
        <v>661</v>
      </c>
      <c r="B157" t="s">
        <v>134</v>
      </c>
      <c r="C157" t="s">
        <v>662</v>
      </c>
      <c r="D157" t="s">
        <v>663</v>
      </c>
    </row>
    <row r="158" spans="1:4" x14ac:dyDescent="0.15">
      <c r="A158" t="s">
        <v>664</v>
      </c>
      <c r="B158" t="s">
        <v>135</v>
      </c>
      <c r="C158" t="s">
        <v>665</v>
      </c>
      <c r="D158" t="s">
        <v>666</v>
      </c>
    </row>
    <row r="159" spans="1:4" x14ac:dyDescent="0.15">
      <c r="A159" t="s">
        <v>667</v>
      </c>
      <c r="B159" t="s">
        <v>137</v>
      </c>
      <c r="C159" t="s">
        <v>668</v>
      </c>
      <c r="D159" t="s">
        <v>669</v>
      </c>
    </row>
    <row r="160" spans="1:4" x14ac:dyDescent="0.15">
      <c r="A160" t="s">
        <v>670</v>
      </c>
      <c r="B160" t="s">
        <v>138</v>
      </c>
      <c r="C160" t="s">
        <v>671</v>
      </c>
      <c r="D160" t="s">
        <v>672</v>
      </c>
    </row>
    <row r="161" spans="1:4" x14ac:dyDescent="0.15">
      <c r="A161" t="s">
        <v>673</v>
      </c>
      <c r="B161" t="s">
        <v>139</v>
      </c>
      <c r="C161" t="s">
        <v>674</v>
      </c>
      <c r="D161" t="s">
        <v>675</v>
      </c>
    </row>
    <row r="162" spans="1:4" x14ac:dyDescent="0.15">
      <c r="A162" t="s">
        <v>676</v>
      </c>
      <c r="B162" t="s">
        <v>50</v>
      </c>
      <c r="C162" t="s">
        <v>677</v>
      </c>
      <c r="D162" t="s">
        <v>678</v>
      </c>
    </row>
    <row r="163" spans="1:4" x14ac:dyDescent="0.15">
      <c r="A163" t="s">
        <v>679</v>
      </c>
      <c r="B163" t="s">
        <v>141</v>
      </c>
      <c r="C163" t="s">
        <v>680</v>
      </c>
      <c r="D163" t="s">
        <v>681</v>
      </c>
    </row>
    <row r="164" spans="1:4" x14ac:dyDescent="0.15">
      <c r="A164" t="s">
        <v>682</v>
      </c>
      <c r="B164" t="s">
        <v>143</v>
      </c>
      <c r="C164" t="s">
        <v>683</v>
      </c>
      <c r="D164" t="s">
        <v>684</v>
      </c>
    </row>
    <row r="165" spans="1:4" x14ac:dyDescent="0.15">
      <c r="A165" t="s">
        <v>685</v>
      </c>
      <c r="B165" t="s">
        <v>144</v>
      </c>
      <c r="C165" t="s">
        <v>686</v>
      </c>
      <c r="D165" t="s">
        <v>687</v>
      </c>
    </row>
    <row r="166" spans="1:4" x14ac:dyDescent="0.15">
      <c r="A166" t="s">
        <v>688</v>
      </c>
      <c r="B166" t="s">
        <v>145</v>
      </c>
      <c r="C166" t="s">
        <v>689</v>
      </c>
      <c r="D166" t="s">
        <v>690</v>
      </c>
    </row>
    <row r="167" spans="1:4" x14ac:dyDescent="0.15">
      <c r="A167" t="s">
        <v>691</v>
      </c>
      <c r="B167" t="s">
        <v>146</v>
      </c>
      <c r="C167" t="s">
        <v>692</v>
      </c>
      <c r="D167" t="s">
        <v>693</v>
      </c>
    </row>
    <row r="168" spans="1:4" x14ac:dyDescent="0.15">
      <c r="A168" t="s">
        <v>694</v>
      </c>
      <c r="B168" t="s">
        <v>148</v>
      </c>
      <c r="C168" t="s">
        <v>695</v>
      </c>
      <c r="D168" t="s">
        <v>696</v>
      </c>
    </row>
    <row r="169" spans="1:4" x14ac:dyDescent="0.15">
      <c r="A169" t="s">
        <v>697</v>
      </c>
      <c r="B169" t="s">
        <v>149</v>
      </c>
      <c r="C169" t="s">
        <v>698</v>
      </c>
      <c r="D169" t="s">
        <v>699</v>
      </c>
    </row>
    <row r="170" spans="1:4" x14ac:dyDescent="0.15">
      <c r="A170" t="s">
        <v>700</v>
      </c>
      <c r="B170" t="s">
        <v>150</v>
      </c>
      <c r="C170" t="s">
        <v>701</v>
      </c>
      <c r="D170" t="s">
        <v>702</v>
      </c>
    </row>
    <row r="171" spans="1:4" x14ac:dyDescent="0.15">
      <c r="A171" t="s">
        <v>703</v>
      </c>
      <c r="B171" t="s">
        <v>49</v>
      </c>
      <c r="C171" t="s">
        <v>704</v>
      </c>
      <c r="D171" t="s">
        <v>705</v>
      </c>
    </row>
    <row r="172" spans="1:4" x14ac:dyDescent="0.15">
      <c r="A172" t="s">
        <v>706</v>
      </c>
      <c r="B172" t="s">
        <v>152</v>
      </c>
      <c r="C172" t="s">
        <v>707</v>
      </c>
      <c r="D172" t="s">
        <v>708</v>
      </c>
    </row>
    <row r="173" spans="1:4" x14ac:dyDescent="0.15">
      <c r="A173" t="s">
        <v>709</v>
      </c>
      <c r="B173" t="s">
        <v>153</v>
      </c>
      <c r="C173" t="s">
        <v>710</v>
      </c>
      <c r="D173" t="s">
        <v>711</v>
      </c>
    </row>
    <row r="174" spans="1:4" x14ac:dyDescent="0.15">
      <c r="A174" t="s">
        <v>712</v>
      </c>
      <c r="B174" t="s">
        <v>154</v>
      </c>
      <c r="C174" t="s">
        <v>713</v>
      </c>
      <c r="D174" t="s">
        <v>714</v>
      </c>
    </row>
    <row r="175" spans="1:4" x14ac:dyDescent="0.15">
      <c r="A175" t="s">
        <v>715</v>
      </c>
      <c r="B175" t="s">
        <v>155</v>
      </c>
      <c r="C175" t="s">
        <v>716</v>
      </c>
      <c r="D175" t="s">
        <v>717</v>
      </c>
    </row>
    <row r="176" spans="1:4" x14ac:dyDescent="0.15">
      <c r="A176" t="s">
        <v>718</v>
      </c>
      <c r="B176" t="s">
        <v>156</v>
      </c>
      <c r="C176" t="s">
        <v>719</v>
      </c>
      <c r="D176" t="s">
        <v>720</v>
      </c>
    </row>
    <row r="177" spans="1:4" x14ac:dyDescent="0.15">
      <c r="A177" t="s">
        <v>721</v>
      </c>
      <c r="B177" t="s">
        <v>157</v>
      </c>
      <c r="C177" t="s">
        <v>722</v>
      </c>
      <c r="D177" t="s">
        <v>723</v>
      </c>
    </row>
    <row r="178" spans="1:4" x14ac:dyDescent="0.15">
      <c r="A178" t="s">
        <v>724</v>
      </c>
      <c r="B178" t="s">
        <v>119</v>
      </c>
      <c r="C178" t="s">
        <v>617</v>
      </c>
      <c r="D178" t="s">
        <v>618</v>
      </c>
    </row>
    <row r="179" spans="1:4" x14ac:dyDescent="0.15">
      <c r="A179" t="s">
        <v>725</v>
      </c>
      <c r="B179" t="s">
        <v>158</v>
      </c>
      <c r="C179" t="s">
        <v>726</v>
      </c>
      <c r="D179" t="s">
        <v>727</v>
      </c>
    </row>
    <row r="180" spans="1:4" x14ac:dyDescent="0.15">
      <c r="A180" t="s">
        <v>728</v>
      </c>
      <c r="B180" t="s">
        <v>159</v>
      </c>
      <c r="C180" t="s">
        <v>729</v>
      </c>
      <c r="D180" t="s">
        <v>730</v>
      </c>
    </row>
    <row r="181" spans="1:4" x14ac:dyDescent="0.15">
      <c r="A181" t="s">
        <v>731</v>
      </c>
      <c r="B181" t="s">
        <v>160</v>
      </c>
      <c r="C181" t="s">
        <v>732</v>
      </c>
      <c r="D181" t="s">
        <v>733</v>
      </c>
    </row>
    <row r="182" spans="1:4" x14ac:dyDescent="0.15">
      <c r="A182" t="s">
        <v>734</v>
      </c>
      <c r="B182" t="s">
        <v>161</v>
      </c>
      <c r="C182" t="s">
        <v>735</v>
      </c>
      <c r="D182" t="s">
        <v>736</v>
      </c>
    </row>
    <row r="183" spans="1:4" x14ac:dyDescent="0.15">
      <c r="A183" t="s">
        <v>737</v>
      </c>
      <c r="B183" t="s">
        <v>162</v>
      </c>
      <c r="C183" t="s">
        <v>738</v>
      </c>
      <c r="D183" t="s">
        <v>739</v>
      </c>
    </row>
    <row r="184" spans="1:4" x14ac:dyDescent="0.15">
      <c r="A184" t="s">
        <v>740</v>
      </c>
      <c r="B184" t="s">
        <v>163</v>
      </c>
      <c r="C184" t="s">
        <v>741</v>
      </c>
      <c r="D184" t="s">
        <v>742</v>
      </c>
    </row>
    <row r="185" spans="1:4" x14ac:dyDescent="0.15">
      <c r="A185" t="s">
        <v>743</v>
      </c>
      <c r="B185" t="s">
        <v>164</v>
      </c>
      <c r="C185" t="s">
        <v>744</v>
      </c>
      <c r="D185" t="s">
        <v>745</v>
      </c>
    </row>
    <row r="186" spans="1:4" x14ac:dyDescent="0.15">
      <c r="A186" t="s">
        <v>746</v>
      </c>
      <c r="B186" t="s">
        <v>165</v>
      </c>
      <c r="C186" t="s">
        <v>747</v>
      </c>
      <c r="D186" t="s">
        <v>748</v>
      </c>
    </row>
    <row r="187" spans="1:4" x14ac:dyDescent="0.15">
      <c r="A187" t="s">
        <v>749</v>
      </c>
      <c r="B187" t="s">
        <v>166</v>
      </c>
      <c r="C187" t="s">
        <v>750</v>
      </c>
      <c r="D187" t="s">
        <v>751</v>
      </c>
    </row>
    <row r="188" spans="1:4" x14ac:dyDescent="0.15">
      <c r="A188" t="s">
        <v>752</v>
      </c>
      <c r="B188" t="s">
        <v>167</v>
      </c>
      <c r="C188" t="s">
        <v>753</v>
      </c>
      <c r="D188" t="s">
        <v>754</v>
      </c>
    </row>
    <row r="189" spans="1:4" x14ac:dyDescent="0.15">
      <c r="A189" t="s">
        <v>755</v>
      </c>
      <c r="B189" t="s">
        <v>103</v>
      </c>
      <c r="C189" t="s">
        <v>551</v>
      </c>
      <c r="D189" t="s">
        <v>552</v>
      </c>
    </row>
    <row r="190" spans="1:4" x14ac:dyDescent="0.15">
      <c r="A190" t="s">
        <v>756</v>
      </c>
      <c r="B190" t="s">
        <v>169</v>
      </c>
      <c r="C190" t="s">
        <v>757</v>
      </c>
      <c r="D190" t="s">
        <v>758</v>
      </c>
    </row>
    <row r="191" spans="1:4" x14ac:dyDescent="0.15">
      <c r="A191" t="s">
        <v>759</v>
      </c>
      <c r="B191" t="s">
        <v>170</v>
      </c>
      <c r="C191" t="s">
        <v>760</v>
      </c>
      <c r="D191" t="s">
        <v>761</v>
      </c>
    </row>
    <row r="192" spans="1:4" x14ac:dyDescent="0.15">
      <c r="A192" t="s">
        <v>762</v>
      </c>
      <c r="B192" t="s">
        <v>171</v>
      </c>
      <c r="C192" t="s">
        <v>763</v>
      </c>
      <c r="D192" t="s">
        <v>764</v>
      </c>
    </row>
    <row r="193" spans="1:4" x14ac:dyDescent="0.15">
      <c r="A193" t="s">
        <v>765</v>
      </c>
      <c r="B193" t="s">
        <v>172</v>
      </c>
      <c r="C193" t="s">
        <v>766</v>
      </c>
      <c r="D193" t="s">
        <v>767</v>
      </c>
    </row>
    <row r="194" spans="1:4" x14ac:dyDescent="0.15">
      <c r="A194" t="s">
        <v>768</v>
      </c>
      <c r="B194" t="s">
        <v>175</v>
      </c>
      <c r="C194" t="s">
        <v>175</v>
      </c>
      <c r="D194" t="s">
        <v>769</v>
      </c>
    </row>
    <row r="195" spans="1:4" x14ac:dyDescent="0.15">
      <c r="A195" t="s">
        <v>770</v>
      </c>
      <c r="B195" t="s">
        <v>176</v>
      </c>
      <c r="C195" t="s">
        <v>771</v>
      </c>
      <c r="D195" t="s">
        <v>772</v>
      </c>
    </row>
    <row r="196" spans="1:4" x14ac:dyDescent="0.15">
      <c r="A196" t="s">
        <v>773</v>
      </c>
      <c r="B196" t="s">
        <v>177</v>
      </c>
      <c r="C196" t="s">
        <v>177</v>
      </c>
      <c r="D196" t="s">
        <v>774</v>
      </c>
    </row>
    <row r="197" spans="1:4" x14ac:dyDescent="0.15">
      <c r="A197" t="s">
        <v>775</v>
      </c>
      <c r="B197" t="s">
        <v>44</v>
      </c>
      <c r="C197" t="s">
        <v>44</v>
      </c>
      <c r="D197" t="s">
        <v>44</v>
      </c>
    </row>
    <row r="198" spans="1:4" x14ac:dyDescent="0.15">
      <c r="A198" t="s">
        <v>776</v>
      </c>
      <c r="B198" t="s">
        <v>178</v>
      </c>
      <c r="C198" t="s">
        <v>777</v>
      </c>
      <c r="D198" t="s">
        <v>778</v>
      </c>
    </row>
    <row r="199" spans="1:4" x14ac:dyDescent="0.15">
      <c r="A199" t="s">
        <v>779</v>
      </c>
      <c r="B199" t="s">
        <v>179</v>
      </c>
      <c r="C199" t="s">
        <v>780</v>
      </c>
      <c r="D199" t="s">
        <v>781</v>
      </c>
    </row>
    <row r="200" spans="1:4" x14ac:dyDescent="0.15">
      <c r="A200" t="s">
        <v>782</v>
      </c>
      <c r="B200" t="s">
        <v>180</v>
      </c>
      <c r="C200" t="s">
        <v>180</v>
      </c>
      <c r="D200" t="s">
        <v>783</v>
      </c>
    </row>
    <row r="201" spans="1:4" x14ac:dyDescent="0.15">
      <c r="A201" t="s">
        <v>784</v>
      </c>
      <c r="B201" t="s">
        <v>181</v>
      </c>
      <c r="C201" t="s">
        <v>785</v>
      </c>
      <c r="D201" t="s">
        <v>786</v>
      </c>
    </row>
    <row r="202" spans="1:4" x14ac:dyDescent="0.15">
      <c r="A202" t="s">
        <v>787</v>
      </c>
      <c r="B202" t="s">
        <v>182</v>
      </c>
      <c r="C202" t="s">
        <v>788</v>
      </c>
      <c r="D202" t="s">
        <v>789</v>
      </c>
    </row>
    <row r="203" spans="1:4" x14ac:dyDescent="0.15">
      <c r="A203" t="s">
        <v>790</v>
      </c>
      <c r="B203" t="s">
        <v>183</v>
      </c>
      <c r="C203" t="s">
        <v>791</v>
      </c>
      <c r="D203" t="s">
        <v>792</v>
      </c>
    </row>
    <row r="204" spans="1:4" x14ac:dyDescent="0.15">
      <c r="A204" t="s">
        <v>793</v>
      </c>
      <c r="B204" t="s">
        <v>184</v>
      </c>
      <c r="C204" t="s">
        <v>794</v>
      </c>
      <c r="D204" t="s">
        <v>795</v>
      </c>
    </row>
    <row r="205" spans="1:4" x14ac:dyDescent="0.15">
      <c r="A205" t="s">
        <v>796</v>
      </c>
      <c r="B205" t="s">
        <v>122</v>
      </c>
      <c r="C205" t="s">
        <v>523</v>
      </c>
      <c r="D205" t="s">
        <v>626</v>
      </c>
    </row>
    <row r="206" spans="1:4" x14ac:dyDescent="0.15">
      <c r="A206" t="s">
        <v>797</v>
      </c>
      <c r="B206" t="s">
        <v>185</v>
      </c>
      <c r="C206" t="s">
        <v>798</v>
      </c>
      <c r="D206" t="s">
        <v>799</v>
      </c>
    </row>
    <row r="207" spans="1:4" x14ac:dyDescent="0.15">
      <c r="A207" t="s">
        <v>800</v>
      </c>
      <c r="B207" t="s">
        <v>186</v>
      </c>
      <c r="C207" t="s">
        <v>801</v>
      </c>
      <c r="D207" t="s">
        <v>802</v>
      </c>
    </row>
    <row r="208" spans="1:4" x14ac:dyDescent="0.15">
      <c r="A208" t="s">
        <v>803</v>
      </c>
      <c r="B208" t="s">
        <v>187</v>
      </c>
      <c r="C208" t="s">
        <v>804</v>
      </c>
      <c r="D208" t="s">
        <v>805</v>
      </c>
    </row>
    <row r="209" spans="1:4" x14ac:dyDescent="0.15">
      <c r="A209" t="s">
        <v>806</v>
      </c>
      <c r="B209" t="s">
        <v>188</v>
      </c>
      <c r="C209" t="s">
        <v>807</v>
      </c>
      <c r="D209" t="s">
        <v>808</v>
      </c>
    </row>
    <row r="210" spans="1:4" x14ac:dyDescent="0.15">
      <c r="A210" t="s">
        <v>809</v>
      </c>
      <c r="B210" t="s">
        <v>58</v>
      </c>
      <c r="C210" t="s">
        <v>58</v>
      </c>
      <c r="D210" t="s">
        <v>413</v>
      </c>
    </row>
    <row r="211" spans="1:4" x14ac:dyDescent="0.15">
      <c r="A211" t="s">
        <v>810</v>
      </c>
      <c r="B211" t="s">
        <v>189</v>
      </c>
      <c r="C211" t="s">
        <v>811</v>
      </c>
      <c r="D211" t="s">
        <v>812</v>
      </c>
    </row>
    <row r="212" spans="1:4" x14ac:dyDescent="0.15">
      <c r="A212" t="s">
        <v>813</v>
      </c>
      <c r="B212" t="s">
        <v>121</v>
      </c>
      <c r="C212" t="s">
        <v>623</v>
      </c>
      <c r="D212" t="s">
        <v>624</v>
      </c>
    </row>
    <row r="213" spans="1:4" x14ac:dyDescent="0.15">
      <c r="A213" t="s">
        <v>814</v>
      </c>
      <c r="B213" t="s">
        <v>103</v>
      </c>
      <c r="C213" t="s">
        <v>551</v>
      </c>
      <c r="D213" t="s">
        <v>552</v>
      </c>
    </row>
    <row r="214" spans="1:4" x14ac:dyDescent="0.15">
      <c r="A214" t="s">
        <v>815</v>
      </c>
      <c r="B214" t="s">
        <v>208</v>
      </c>
      <c r="C214" t="s">
        <v>816</v>
      </c>
      <c r="D214" t="s">
        <v>817</v>
      </c>
    </row>
    <row r="215" spans="1:4" x14ac:dyDescent="0.15">
      <c r="A215" t="s">
        <v>818</v>
      </c>
      <c r="B215" t="s">
        <v>215</v>
      </c>
      <c r="C215" t="s">
        <v>819</v>
      </c>
      <c r="D215" t="s">
        <v>820</v>
      </c>
    </row>
    <row r="216" spans="1:4" x14ac:dyDescent="0.15">
      <c r="A216" t="s">
        <v>821</v>
      </c>
      <c r="B216" t="s">
        <v>195</v>
      </c>
      <c r="C216" t="s">
        <v>822</v>
      </c>
      <c r="D216" t="s">
        <v>823</v>
      </c>
    </row>
    <row r="217" spans="1:4" x14ac:dyDescent="0.15">
      <c r="A217" t="s">
        <v>824</v>
      </c>
      <c r="B217" t="s">
        <v>216</v>
      </c>
      <c r="C217" t="s">
        <v>825</v>
      </c>
      <c r="D217" t="s">
        <v>826</v>
      </c>
    </row>
    <row r="218" spans="1:4" x14ac:dyDescent="0.15">
      <c r="A218" t="s">
        <v>827</v>
      </c>
      <c r="B218" t="s">
        <v>209</v>
      </c>
      <c r="C218" t="s">
        <v>828</v>
      </c>
      <c r="D218" t="s">
        <v>829</v>
      </c>
    </row>
    <row r="219" spans="1:4" x14ac:dyDescent="0.15">
      <c r="A219" t="s">
        <v>830</v>
      </c>
      <c r="B219" t="s">
        <v>217</v>
      </c>
      <c r="C219" t="s">
        <v>831</v>
      </c>
      <c r="D219" t="s">
        <v>832</v>
      </c>
    </row>
    <row r="220" spans="1:4" x14ac:dyDescent="0.15">
      <c r="A220" t="s">
        <v>833</v>
      </c>
      <c r="B220" t="s">
        <v>191</v>
      </c>
      <c r="C220" t="s">
        <v>834</v>
      </c>
      <c r="D220" t="s">
        <v>835</v>
      </c>
    </row>
    <row r="221" spans="1:4" x14ac:dyDescent="0.15">
      <c r="A221" t="s">
        <v>836</v>
      </c>
      <c r="B221" t="s">
        <v>192</v>
      </c>
      <c r="C221" t="s">
        <v>837</v>
      </c>
      <c r="D221" t="s">
        <v>838</v>
      </c>
    </row>
    <row r="222" spans="1:4" x14ac:dyDescent="0.15">
      <c r="A222" t="s">
        <v>839</v>
      </c>
      <c r="B222" t="s">
        <v>193</v>
      </c>
      <c r="C222" t="s">
        <v>840</v>
      </c>
      <c r="D222" t="s">
        <v>841</v>
      </c>
    </row>
    <row r="223" spans="1:4" x14ac:dyDescent="0.15">
      <c r="A223" t="s">
        <v>842</v>
      </c>
      <c r="B223" t="s">
        <v>197</v>
      </c>
      <c r="C223" t="s">
        <v>843</v>
      </c>
      <c r="D223" t="s">
        <v>844</v>
      </c>
    </row>
    <row r="224" spans="1:4" x14ac:dyDescent="0.15">
      <c r="A224" t="s">
        <v>845</v>
      </c>
      <c r="B224" t="s">
        <v>199</v>
      </c>
      <c r="C224" t="s">
        <v>846</v>
      </c>
      <c r="D224" t="s">
        <v>847</v>
      </c>
    </row>
    <row r="225" spans="1:4" x14ac:dyDescent="0.15">
      <c r="A225" t="s">
        <v>848</v>
      </c>
      <c r="B225" t="s">
        <v>200</v>
      </c>
      <c r="C225" t="s">
        <v>849</v>
      </c>
      <c r="D225" t="s">
        <v>850</v>
      </c>
    </row>
    <row r="226" spans="1:4" x14ac:dyDescent="0.15">
      <c r="A226" t="s">
        <v>851</v>
      </c>
      <c r="B226" t="s">
        <v>201</v>
      </c>
      <c r="C226" t="s">
        <v>852</v>
      </c>
      <c r="D226" t="s">
        <v>853</v>
      </c>
    </row>
    <row r="227" spans="1:4" x14ac:dyDescent="0.15">
      <c r="A227" t="s">
        <v>854</v>
      </c>
      <c r="B227" t="s">
        <v>203</v>
      </c>
      <c r="C227" t="s">
        <v>855</v>
      </c>
      <c r="D227" t="s">
        <v>856</v>
      </c>
    </row>
    <row r="228" spans="1:4" x14ac:dyDescent="0.15">
      <c r="A228" t="s">
        <v>857</v>
      </c>
      <c r="B228" t="s">
        <v>205</v>
      </c>
      <c r="C228" t="s">
        <v>858</v>
      </c>
      <c r="D228" t="s">
        <v>859</v>
      </c>
    </row>
    <row r="229" spans="1:4" x14ac:dyDescent="0.15">
      <c r="A229" t="s">
        <v>860</v>
      </c>
      <c r="B229" t="s">
        <v>206</v>
      </c>
      <c r="C229" t="s">
        <v>861</v>
      </c>
      <c r="D229" t="s">
        <v>862</v>
      </c>
    </row>
    <row r="230" spans="1:4" x14ac:dyDescent="0.15">
      <c r="A230" t="s">
        <v>863</v>
      </c>
      <c r="B230" t="s">
        <v>207</v>
      </c>
      <c r="C230" t="s">
        <v>864</v>
      </c>
      <c r="D230" t="s">
        <v>865</v>
      </c>
    </row>
    <row r="231" spans="1:4" x14ac:dyDescent="0.15">
      <c r="A231" t="s">
        <v>866</v>
      </c>
      <c r="B231" t="s">
        <v>210</v>
      </c>
      <c r="C231" t="s">
        <v>867</v>
      </c>
      <c r="D231" t="s">
        <v>868</v>
      </c>
    </row>
    <row r="232" spans="1:4" x14ac:dyDescent="0.15">
      <c r="A232" t="s">
        <v>869</v>
      </c>
      <c r="B232" t="s">
        <v>212</v>
      </c>
      <c r="C232" t="s">
        <v>870</v>
      </c>
      <c r="D232" t="s">
        <v>871</v>
      </c>
    </row>
    <row r="233" spans="1:4" x14ac:dyDescent="0.15">
      <c r="A233" t="s">
        <v>872</v>
      </c>
      <c r="B233" t="s">
        <v>213</v>
      </c>
      <c r="C233" t="s">
        <v>873</v>
      </c>
      <c r="D233" t="s">
        <v>874</v>
      </c>
    </row>
    <row r="234" spans="1:4" x14ac:dyDescent="0.15">
      <c r="A234" t="s">
        <v>875</v>
      </c>
      <c r="B234" t="s">
        <v>214</v>
      </c>
      <c r="C234" t="s">
        <v>876</v>
      </c>
      <c r="D234" t="s">
        <v>877</v>
      </c>
    </row>
    <row r="235" spans="1:4" x14ac:dyDescent="0.15">
      <c r="A235" t="s">
        <v>878</v>
      </c>
      <c r="B235" t="s">
        <v>218</v>
      </c>
      <c r="C235" t="s">
        <v>879</v>
      </c>
      <c r="D235" t="s">
        <v>880</v>
      </c>
    </row>
    <row r="236" spans="1:4" x14ac:dyDescent="0.15">
      <c r="A236" t="s">
        <v>881</v>
      </c>
      <c r="B236" t="s">
        <v>219</v>
      </c>
      <c r="C236" t="s">
        <v>882</v>
      </c>
      <c r="D236" t="s">
        <v>883</v>
      </c>
    </row>
    <row r="237" spans="1:4" x14ac:dyDescent="0.15">
      <c r="A237" t="s">
        <v>884</v>
      </c>
      <c r="B237" t="s">
        <v>220</v>
      </c>
      <c r="C237" t="s">
        <v>885</v>
      </c>
      <c r="D237" t="s">
        <v>886</v>
      </c>
    </row>
    <row r="238" spans="1:4" x14ac:dyDescent="0.15">
      <c r="A238" t="s">
        <v>887</v>
      </c>
      <c r="B238" t="s">
        <v>221</v>
      </c>
      <c r="C238" t="s">
        <v>888</v>
      </c>
      <c r="D238" t="s">
        <v>889</v>
      </c>
    </row>
    <row r="239" spans="1:4" x14ac:dyDescent="0.15">
      <c r="A239" t="s">
        <v>890</v>
      </c>
      <c r="B239" t="s">
        <v>222</v>
      </c>
      <c r="C239" t="s">
        <v>891</v>
      </c>
      <c r="D239" t="s">
        <v>892</v>
      </c>
    </row>
    <row r="240" spans="1:4" x14ac:dyDescent="0.15">
      <c r="A240" t="s">
        <v>893</v>
      </c>
      <c r="B240" t="s">
        <v>223</v>
      </c>
      <c r="C240" t="s">
        <v>894</v>
      </c>
      <c r="D240" t="s">
        <v>895</v>
      </c>
    </row>
    <row r="241" spans="1:4" x14ac:dyDescent="0.15">
      <c r="A241" t="s">
        <v>896</v>
      </c>
      <c r="B241" t="s">
        <v>224</v>
      </c>
      <c r="C241" t="s">
        <v>897</v>
      </c>
      <c r="D241" t="s">
        <v>898</v>
      </c>
    </row>
    <row r="242" spans="1:4" x14ac:dyDescent="0.15">
      <c r="A242" t="s">
        <v>899</v>
      </c>
      <c r="B242" t="s">
        <v>225</v>
      </c>
      <c r="C242" t="s">
        <v>900</v>
      </c>
      <c r="D242" t="s">
        <v>901</v>
      </c>
    </row>
    <row r="243" spans="1:4" x14ac:dyDescent="0.15">
      <c r="A243" t="s">
        <v>902</v>
      </c>
      <c r="B243" t="s">
        <v>226</v>
      </c>
      <c r="C243" t="s">
        <v>903</v>
      </c>
      <c r="D243" t="s">
        <v>904</v>
      </c>
    </row>
    <row r="244" spans="1:4" x14ac:dyDescent="0.15">
      <c r="A244" t="s">
        <v>905</v>
      </c>
      <c r="B244" t="s">
        <v>227</v>
      </c>
      <c r="C244" t="s">
        <v>906</v>
      </c>
      <c r="D244" t="s">
        <v>907</v>
      </c>
    </row>
    <row r="245" spans="1:4" x14ac:dyDescent="0.15">
      <c r="A245" t="s">
        <v>908</v>
      </c>
      <c r="B245" t="s">
        <v>103</v>
      </c>
      <c r="C245" t="s">
        <v>551</v>
      </c>
      <c r="D245" t="s">
        <v>552</v>
      </c>
    </row>
    <row r="246" spans="1:4" x14ac:dyDescent="0.15">
      <c r="A246" t="s">
        <v>909</v>
      </c>
      <c r="B246" t="s">
        <v>229</v>
      </c>
      <c r="C246" t="s">
        <v>910</v>
      </c>
      <c r="D246" t="s">
        <v>911</v>
      </c>
    </row>
    <row r="247" spans="1:4" x14ac:dyDescent="0.15">
      <c r="A247" t="s">
        <v>912</v>
      </c>
      <c r="B247" t="s">
        <v>230</v>
      </c>
      <c r="C247" t="s">
        <v>913</v>
      </c>
      <c r="D247" t="s">
        <v>914</v>
      </c>
    </row>
    <row r="248" spans="1:4" x14ac:dyDescent="0.15">
      <c r="A248" t="s">
        <v>916</v>
      </c>
      <c r="B248" t="s">
        <v>917</v>
      </c>
      <c r="C248" t="s">
        <v>918</v>
      </c>
      <c r="D248" t="s">
        <v>962</v>
      </c>
    </row>
    <row r="249" spans="1:4" x14ac:dyDescent="0.15">
      <c r="A249" t="s">
        <v>919</v>
      </c>
      <c r="B249" t="s">
        <v>974</v>
      </c>
      <c r="C249" t="s">
        <v>975</v>
      </c>
      <c r="D249" t="s">
        <v>976</v>
      </c>
    </row>
    <row r="250" spans="1:4" x14ac:dyDescent="0.15">
      <c r="A250" t="s">
        <v>920</v>
      </c>
      <c r="B250" t="s">
        <v>921</v>
      </c>
      <c r="C250" t="s">
        <v>922</v>
      </c>
      <c r="D250" t="s">
        <v>963</v>
      </c>
    </row>
    <row r="251" spans="1:4" x14ac:dyDescent="0.15">
      <c r="A251" t="s">
        <v>923</v>
      </c>
      <c r="B251" t="s">
        <v>924</v>
      </c>
      <c r="C251" t="s">
        <v>924</v>
      </c>
      <c r="D251" t="s">
        <v>924</v>
      </c>
    </row>
    <row r="252" spans="1:4" x14ac:dyDescent="0.15">
      <c r="A252" t="s">
        <v>925</v>
      </c>
      <c r="B252" t="s">
        <v>926</v>
      </c>
      <c r="C252" t="s">
        <v>926</v>
      </c>
      <c r="D252" t="s">
        <v>926</v>
      </c>
    </row>
    <row r="253" spans="1:4" x14ac:dyDescent="0.15">
      <c r="A253" t="s">
        <v>927</v>
      </c>
      <c r="B253" t="s">
        <v>928</v>
      </c>
      <c r="C253" t="s">
        <v>928</v>
      </c>
      <c r="D253" t="s">
        <v>928</v>
      </c>
    </row>
    <row r="254" spans="1:4" x14ac:dyDescent="0.15">
      <c r="A254" t="s">
        <v>929</v>
      </c>
      <c r="B254" t="s">
        <v>930</v>
      </c>
      <c r="C254" t="s">
        <v>931</v>
      </c>
      <c r="D254" t="s">
        <v>964</v>
      </c>
    </row>
    <row r="255" spans="1:4" x14ac:dyDescent="0.15">
      <c r="A255" t="s">
        <v>932</v>
      </c>
      <c r="B255" t="s">
        <v>933</v>
      </c>
      <c r="C255" t="s">
        <v>934</v>
      </c>
      <c r="D255" t="s">
        <v>965</v>
      </c>
    </row>
    <row r="256" spans="1:4" x14ac:dyDescent="0.15">
      <c r="A256" t="s">
        <v>935</v>
      </c>
      <c r="B256" t="s">
        <v>936</v>
      </c>
      <c r="C256" t="s">
        <v>937</v>
      </c>
      <c r="D256" t="s">
        <v>966</v>
      </c>
    </row>
    <row r="257" spans="1:4" x14ac:dyDescent="0.15">
      <c r="A257" t="s">
        <v>938</v>
      </c>
      <c r="B257" t="s">
        <v>939</v>
      </c>
      <c r="C257" t="s">
        <v>940</v>
      </c>
      <c r="D257" t="s">
        <v>967</v>
      </c>
    </row>
    <row r="258" spans="1:4" x14ac:dyDescent="0.15">
      <c r="A258" t="s">
        <v>941</v>
      </c>
      <c r="B258" t="s">
        <v>224</v>
      </c>
      <c r="C258" t="s">
        <v>897</v>
      </c>
      <c r="D258" t="s">
        <v>968</v>
      </c>
    </row>
    <row r="259" spans="1:4" x14ac:dyDescent="0.15">
      <c r="A259" t="s">
        <v>942</v>
      </c>
      <c r="B259" t="s">
        <v>943</v>
      </c>
      <c r="C259" t="s">
        <v>944</v>
      </c>
      <c r="D259" t="s">
        <v>969</v>
      </c>
    </row>
    <row r="260" spans="1:4" x14ac:dyDescent="0.15">
      <c r="A260" t="s">
        <v>945</v>
      </c>
      <c r="B260" t="s">
        <v>946</v>
      </c>
      <c r="C260" t="s">
        <v>947</v>
      </c>
      <c r="D260" t="s">
        <v>970</v>
      </c>
    </row>
    <row r="261" spans="1:4" x14ac:dyDescent="0.15">
      <c r="A261" t="s">
        <v>948</v>
      </c>
      <c r="B261" t="s">
        <v>949</v>
      </c>
      <c r="C261" t="s">
        <v>950</v>
      </c>
      <c r="D261" t="s">
        <v>971</v>
      </c>
    </row>
    <row r="262" spans="1:4" x14ac:dyDescent="0.15">
      <c r="A262" t="s">
        <v>951</v>
      </c>
      <c r="B262" t="s">
        <v>952</v>
      </c>
      <c r="C262" t="s">
        <v>953</v>
      </c>
      <c r="D262" t="s">
        <v>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2026-09-30T08:00:53Z</dcterms:modified>
  <cp:category/>
  <cp:contentStatus/>
</cp:coreProperties>
</file>